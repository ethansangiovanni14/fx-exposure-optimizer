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lop\Downloads\"/>
    </mc:Choice>
  </mc:AlternateContent>
  <xr:revisionPtr revIDLastSave="0" documentId="13_ncr:1_{5DB5B4BE-D738-4B1A-86BD-5379BAAE3A4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nalysis" sheetId="11" r:id="rId1"/>
    <sheet name="Dashboard" sheetId="1" r:id="rId2"/>
    <sheet name="Invoices_Clean" sheetId="2" r:id="rId3"/>
    <sheet name="Calendar" sheetId="9" r:id="rId4"/>
    <sheet name="ECB_FX_Rates" sheetId="8" r:id="rId5"/>
    <sheet name="suppliers" sheetId="3" r:id="rId6"/>
    <sheet name="budget_rates_synthetic" sheetId="10" r:id="rId7"/>
    <sheet name="Key_Validation" sheetId="5" r:id="rId8"/>
    <sheet name="Duplicate_Investigation" sheetId="4" r:id="rId9"/>
    <sheet name="Department_Investigation" sheetId="6" r:id="rId10"/>
  </sheets>
  <definedNames>
    <definedName name="ExternalData_1" localSheetId="2" hidden="1">Invoices_Clean!$A$1:$W$1501</definedName>
    <definedName name="ExternalData_2" localSheetId="4" hidden="1">ECB_FX_Rates!$A$1:$G$458</definedName>
    <definedName name="ExternalData_2" localSheetId="5" hidden="1">suppliers!$A$1:$J$19</definedName>
    <definedName name="ExternalData_3" localSheetId="3" hidden="1">'Calendar'!$A$1:$D$743</definedName>
    <definedName name="ExternalData_3" localSheetId="8" hidden="1">Duplicate_Investigation!$A$1:$G$31</definedName>
    <definedName name="ExternalData_4" localSheetId="6" hidden="1">budget_rates_synthetic!$A$1:$C$25</definedName>
    <definedName name="ExternalData_4" localSheetId="7" hidden="1">Key_Validation!$A$1:$W$1501</definedName>
    <definedName name="ExternalData_5" localSheetId="9" hidden="1">Department_Investigation!$A$1:$C$19</definedName>
  </definedNames>
  <calcPr calcId="191029"/>
  <pivotCaches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J8" i="1"/>
  <c r="D8" i="1"/>
  <c r="A8" i="1"/>
</calcChain>
</file>

<file path=xl/sharedStrings.xml><?xml version="1.0" encoding="utf-8"?>
<sst xmlns="http://schemas.openxmlformats.org/spreadsheetml/2006/main" count="30447" uniqueCount="3111">
  <si>
    <t>FX Exposure by Currency</t>
  </si>
  <si>
    <t>FX  Variance by Quarter</t>
  </si>
  <si>
    <t>Currency</t>
  </si>
  <si>
    <t>Actual Spend (USD)</t>
  </si>
  <si>
    <t>Budgeted Spend (USD)</t>
  </si>
  <si>
    <t>FX Variance (USD)</t>
  </si>
  <si>
    <t>EUR</t>
  </si>
  <si>
    <t>Quarter</t>
  </si>
  <si>
    <t>GBP</t>
  </si>
  <si>
    <t>JPY</t>
  </si>
  <si>
    <t>Grand Total</t>
  </si>
  <si>
    <t>2025-Q1</t>
  </si>
  <si>
    <t>2025-Q2</t>
  </si>
  <si>
    <t>2025-Q3</t>
  </si>
  <si>
    <t>2025-Q4</t>
  </si>
  <si>
    <t>FX Exposure by Supplier</t>
  </si>
  <si>
    <t>2026-Q1</t>
  </si>
  <si>
    <t>Supplier</t>
  </si>
  <si>
    <t xml:space="preserve">
FX Variance (USD)</t>
  </si>
  <si>
    <t>2026-Q2</t>
  </si>
  <si>
    <t>Alpen Precision Systems</t>
  </si>
  <si>
    <t>2026-Q3</t>
  </si>
  <si>
    <t>Tokyo Automation Systems</t>
  </si>
  <si>
    <t>2026-Q4</t>
  </si>
  <si>
    <t>Rhein Circuit Components</t>
  </si>
  <si>
    <t>Milan Assembly Robotics</t>
  </si>
  <si>
    <t>Thames Electronics Ltd</t>
  </si>
  <si>
    <t>FX Exposure by Department</t>
  </si>
  <si>
    <t>Osaka Microdevices</t>
  </si>
  <si>
    <t>Department</t>
  </si>
  <si>
    <t>Kyoto Optical Instruments</t>
  </si>
  <si>
    <t>Manufacturing</t>
  </si>
  <si>
    <t>Benelux Sensor Works</t>
  </si>
  <si>
    <t>Operations</t>
  </si>
  <si>
    <t>Oxford Technical Materials</t>
  </si>
  <si>
    <t>IT</t>
  </si>
  <si>
    <t>Lyon Industrial Controls</t>
  </si>
  <si>
    <t>Valencia Circuit Supply</t>
  </si>
  <si>
    <t>Nordlicht Packaging</t>
  </si>
  <si>
    <t>Bristol Calibration Services</t>
  </si>
  <si>
    <t>Nagoya Logistics Partners</t>
  </si>
  <si>
    <t>Yokohama Engineering Labs</t>
  </si>
  <si>
    <t>Manchester Cloud Solutions</t>
  </si>
  <si>
    <t>Dublin Systems Licensing</t>
  </si>
  <si>
    <t>Kobe Industrial Packaging</t>
  </si>
  <si>
    <t>International Supplier FX Exposure Dashboard</t>
  </si>
  <si>
    <t>2025–2026 Supplier Payments | Actual vs Budgeted USD Cost | ECB Reference Rates</t>
  </si>
  <si>
    <t>Total Actual Spend</t>
  </si>
  <si>
    <t>Total Budgeted Spend</t>
  </si>
  <si>
    <t>Total FX Variance</t>
  </si>
  <si>
    <t>FX Variance %</t>
  </si>
  <si>
    <t>Invoice_ID</t>
  </si>
  <si>
    <t>Supplier_Name</t>
  </si>
  <si>
    <t>Supplier_ID</t>
  </si>
  <si>
    <t>Category</t>
  </si>
  <si>
    <t>Invoice_Date</t>
  </si>
  <si>
    <t>Due_Date</t>
  </si>
  <si>
    <t>Invoice_Amount_Local</t>
  </si>
  <si>
    <t>Record_Status</t>
  </si>
  <si>
    <t>Transaction_Key</t>
  </si>
  <si>
    <t>Payment_Terms_Days</t>
  </si>
  <si>
    <t>Supplier_Name.1</t>
  </si>
  <si>
    <t>EUR_to_USD</t>
  </si>
  <si>
    <t>GBP_to_USD</t>
  </si>
  <si>
    <t>JPY_to_USD</t>
  </si>
  <si>
    <t>FX_Rate_to_USD</t>
  </si>
  <si>
    <t>Invoice_Amount_USD</t>
  </si>
  <si>
    <t>Budget_Quarter</t>
  </si>
  <si>
    <t>Budget_USD_Per_Unit</t>
  </si>
  <si>
    <t>Budgeted_Invoice_Amount_USD</t>
  </si>
  <si>
    <t>FX_Budget_Variance_USD</t>
  </si>
  <si>
    <t>FX_Budget_Variance_Pct</t>
  </si>
  <si>
    <t>INV-00001</t>
  </si>
  <si>
    <t>SUP01</t>
  </si>
  <si>
    <t>Components</t>
  </si>
  <si>
    <t>Historical</t>
  </si>
  <si>
    <t>SUP01-INV-00001</t>
  </si>
  <si>
    <t>INV-00002</t>
  </si>
  <si>
    <t>SUP15</t>
  </si>
  <si>
    <t>Freight</t>
  </si>
  <si>
    <t>SUP15-INV-00002</t>
  </si>
  <si>
    <t>INV-00003</t>
  </si>
  <si>
    <t>SUP10</t>
  </si>
  <si>
    <t>Services</t>
  </si>
  <si>
    <t>Planned</t>
  </si>
  <si>
    <t>SUP10-INV-00003</t>
  </si>
  <si>
    <t>INV-00004</t>
  </si>
  <si>
    <t>SUP04</t>
  </si>
  <si>
    <t>Packaging</t>
  </si>
  <si>
    <t>SUP04-INV-00004</t>
  </si>
  <si>
    <t>INV-00005</t>
  </si>
  <si>
    <t>SUP08</t>
  </si>
  <si>
    <t>SUP08-INV-00005</t>
  </si>
  <si>
    <t>INV-00006</t>
  </si>
  <si>
    <t>SUP09</t>
  </si>
  <si>
    <t>SUP09-INV-00006</t>
  </si>
  <si>
    <t>INV-00007</t>
  </si>
  <si>
    <t>SUP08-INV-00007</t>
  </si>
  <si>
    <t>INV-00008</t>
  </si>
  <si>
    <t>SUP01-INV-00008</t>
  </si>
  <si>
    <t>INV-00009</t>
  </si>
  <si>
    <t>SUP04-INV-00009</t>
  </si>
  <si>
    <t>INV-00010</t>
  </si>
  <si>
    <t>SUP16</t>
  </si>
  <si>
    <t>SUP16-INV-00010</t>
  </si>
  <si>
    <t>INV-00011</t>
  </si>
  <si>
    <t>SUP03</t>
  </si>
  <si>
    <t>SUP03-INV-00011</t>
  </si>
  <si>
    <t>INV-00012</t>
  </si>
  <si>
    <t>SUP15-INV-00012</t>
  </si>
  <si>
    <t>INV-00013</t>
  </si>
  <si>
    <t>SUP13</t>
  </si>
  <si>
    <t>SUP13-INV-00013</t>
  </si>
  <si>
    <t>INV-00014</t>
  </si>
  <si>
    <t>SUP09-INV-00014</t>
  </si>
  <si>
    <t>INV-00015</t>
  </si>
  <si>
    <t>SUP05</t>
  </si>
  <si>
    <t>SUP05-INV-00015</t>
  </si>
  <si>
    <t>INV-00016</t>
  </si>
  <si>
    <t>SUP16-INV-00016</t>
  </si>
  <si>
    <t>INV-00017</t>
  </si>
  <si>
    <t>SUP09-INV-00017</t>
  </si>
  <si>
    <t>INV-00018</t>
  </si>
  <si>
    <t>SUP02</t>
  </si>
  <si>
    <t>Equipment</t>
  </si>
  <si>
    <t>SUP02-INV-00018</t>
  </si>
  <si>
    <t>INV-00019</t>
  </si>
  <si>
    <t>SUP14</t>
  </si>
  <si>
    <t>SUP14-INV-00019</t>
  </si>
  <si>
    <t>INV-00020</t>
  </si>
  <si>
    <t>SUP09-INV-00020</t>
  </si>
  <si>
    <t>INV-00021</t>
  </si>
  <si>
    <t>SUP02-INV-00021</t>
  </si>
  <si>
    <t>INV-00022</t>
  </si>
  <si>
    <t>SUP08-INV-00022</t>
  </si>
  <si>
    <t>INV-00023</t>
  </si>
  <si>
    <t>SUP08-INV-00023</t>
  </si>
  <si>
    <t>INV-00024</t>
  </si>
  <si>
    <t>SUP17</t>
  </si>
  <si>
    <t>SUP17-INV-00024</t>
  </si>
  <si>
    <t>INV-00025</t>
  </si>
  <si>
    <t>SUP04-INV-00025</t>
  </si>
  <si>
    <t>INV-00026</t>
  </si>
  <si>
    <t>SUP09-INV-00026</t>
  </si>
  <si>
    <t>INV-00027</t>
  </si>
  <si>
    <t>SUP16-INV-00027</t>
  </si>
  <si>
    <t>INV-00028</t>
  </si>
  <si>
    <t>SUP08-INV-00028</t>
  </si>
  <si>
    <t>INV-00029</t>
  </si>
  <si>
    <t>SUP01-INV-00029</t>
  </si>
  <si>
    <t>INV-00030</t>
  </si>
  <si>
    <t>SUP11</t>
  </si>
  <si>
    <t>Software</t>
  </si>
  <si>
    <t>SUP11-INV-00030</t>
  </si>
  <si>
    <t>INV-00031</t>
  </si>
  <si>
    <t>SUP09-INV-00031</t>
  </si>
  <si>
    <t>INV-00032</t>
  </si>
  <si>
    <t>SUP10-INV-00032</t>
  </si>
  <si>
    <t>INV-00033</t>
  </si>
  <si>
    <t>SUP13-INV-00033</t>
  </si>
  <si>
    <t>INV-00034</t>
  </si>
  <si>
    <t>SUP10-INV-00034</t>
  </si>
  <si>
    <t>INV-00035</t>
  </si>
  <si>
    <t>SUP10-INV-00035</t>
  </si>
  <si>
    <t>INV-00036</t>
  </si>
  <si>
    <t>SUP16-INV-00036</t>
  </si>
  <si>
    <t>INV-00037</t>
  </si>
  <si>
    <t>SUP14-INV-00037</t>
  </si>
  <si>
    <t>INV-00038</t>
  </si>
  <si>
    <t>SUP07</t>
  </si>
  <si>
    <t>SUP07-INV-00038</t>
  </si>
  <si>
    <t>INV-00039</t>
  </si>
  <si>
    <t>SUP18</t>
  </si>
  <si>
    <t>SUP18-INV-00039</t>
  </si>
  <si>
    <t>INV-00040</t>
  </si>
  <si>
    <t>SUP10-INV-00040</t>
  </si>
  <si>
    <t>INV-00041</t>
  </si>
  <si>
    <t>SUP12</t>
  </si>
  <si>
    <t>SUP12-INV-00041</t>
  </si>
  <si>
    <t>INV-00042</t>
  </si>
  <si>
    <t>SUP04-INV-00042</t>
  </si>
  <si>
    <t>INV-00043</t>
  </si>
  <si>
    <t>SUP17-INV-00043</t>
  </si>
  <si>
    <t>INV-00044</t>
  </si>
  <si>
    <t>SUP04-INV-00044</t>
  </si>
  <si>
    <t>INV-00045</t>
  </si>
  <si>
    <t>SUP16-INV-00045</t>
  </si>
  <si>
    <t>INV-00046</t>
  </si>
  <si>
    <t>SUP16-INV-00046</t>
  </si>
  <si>
    <t>INV-00047</t>
  </si>
  <si>
    <t>SUP09-INV-00047</t>
  </si>
  <si>
    <t>INV-00048</t>
  </si>
  <si>
    <t>SUP07-INV-00048</t>
  </si>
  <si>
    <t>INV-00049</t>
  </si>
  <si>
    <t>SUP16-INV-00049</t>
  </si>
  <si>
    <t>INV-00050</t>
  </si>
  <si>
    <t>SUP05-INV-00050</t>
  </si>
  <si>
    <t>SUP17-INV-00050</t>
  </si>
  <si>
    <t>INV-00051</t>
  </si>
  <si>
    <t>SUP13-INV-00051</t>
  </si>
  <si>
    <t>INV-00052</t>
  </si>
  <si>
    <t>SUP13-INV-00052</t>
  </si>
  <si>
    <t>INV-00053</t>
  </si>
  <si>
    <t>SUP08-INV-00053</t>
  </si>
  <si>
    <t>INV-00054</t>
  </si>
  <si>
    <t>SUP02-INV-00054</t>
  </si>
  <si>
    <t>INV-00055</t>
  </si>
  <si>
    <t>SUP09-INV-00055</t>
  </si>
  <si>
    <t>INV-00056</t>
  </si>
  <si>
    <t>SUP12-INV-00056</t>
  </si>
  <si>
    <t>INV-00057</t>
  </si>
  <si>
    <t>SUP03-INV-00057</t>
  </si>
  <si>
    <t>INV-00058</t>
  </si>
  <si>
    <t>SUP09-INV-00058</t>
  </si>
  <si>
    <t>INV-00059</t>
  </si>
  <si>
    <t>SUP06</t>
  </si>
  <si>
    <t>SUP06-INV-00059</t>
  </si>
  <si>
    <t>INV-00060</t>
  </si>
  <si>
    <t>SUP05-INV-00060</t>
  </si>
  <si>
    <t>INV-00061</t>
  </si>
  <si>
    <t>SUP01-INV-00061</t>
  </si>
  <si>
    <t>INV-00062</t>
  </si>
  <si>
    <t>SUP14-INV-00062</t>
  </si>
  <si>
    <t>INV-00063</t>
  </si>
  <si>
    <t>SUP02-INV-00063</t>
  </si>
  <si>
    <t>INV-00064</t>
  </si>
  <si>
    <t>SUP02-INV-00064</t>
  </si>
  <si>
    <t>INV-00065</t>
  </si>
  <si>
    <t>SUP01-INV-00065</t>
  </si>
  <si>
    <t>INV-00066</t>
  </si>
  <si>
    <t>SUP02-INV-00066</t>
  </si>
  <si>
    <t>INV-00067</t>
  </si>
  <si>
    <t>SUP09-INV-00067</t>
  </si>
  <si>
    <t>INV-00068</t>
  </si>
  <si>
    <t>SUP02-INV-00068</t>
  </si>
  <si>
    <t>INV-00069</t>
  </si>
  <si>
    <t>SUP17-INV-00069</t>
  </si>
  <si>
    <t>INV-00070</t>
  </si>
  <si>
    <t>SUP03-INV-00070</t>
  </si>
  <si>
    <t>INV-00071</t>
  </si>
  <si>
    <t>SUP18-INV-00071</t>
  </si>
  <si>
    <t>INV-00072</t>
  </si>
  <si>
    <t>SUP07-INV-00072</t>
  </si>
  <si>
    <t>INV-00073</t>
  </si>
  <si>
    <t>SUP12-INV-00073</t>
  </si>
  <si>
    <t>INV-00074</t>
  </si>
  <si>
    <t>SUP13-INV-00074</t>
  </si>
  <si>
    <t>INV-00075</t>
  </si>
  <si>
    <t>SUP05-INV-00075</t>
  </si>
  <si>
    <t>INV-00076</t>
  </si>
  <si>
    <t>SUP11-INV-00076</t>
  </si>
  <si>
    <t>INV-00077</t>
  </si>
  <si>
    <t>SUP09-INV-00077</t>
  </si>
  <si>
    <t>INV-00078</t>
  </si>
  <si>
    <t>SUP18-INV-00078</t>
  </si>
  <si>
    <t>INV-00079</t>
  </si>
  <si>
    <t>SUP06-INV-00079</t>
  </si>
  <si>
    <t>INV-00080</t>
  </si>
  <si>
    <t>SUP13-INV-00080</t>
  </si>
  <si>
    <t>INV-00081</t>
  </si>
  <si>
    <t>SUP05-INV-00081</t>
  </si>
  <si>
    <t>INV-00082</t>
  </si>
  <si>
    <t>SUP17-INV-00082</t>
  </si>
  <si>
    <t>INV-00083</t>
  </si>
  <si>
    <t>SUP13-INV-00083</t>
  </si>
  <si>
    <t>INV-00084</t>
  </si>
  <si>
    <t>SUP08-INV-00084</t>
  </si>
  <si>
    <t>INV-00085</t>
  </si>
  <si>
    <t>SUP09-INV-00085</t>
  </si>
  <si>
    <t>INV-00086</t>
  </si>
  <si>
    <t>SUP16-INV-00086</t>
  </si>
  <si>
    <t>INV-00087</t>
  </si>
  <si>
    <t>SUP13-INV-00087</t>
  </si>
  <si>
    <t>INV-00088</t>
  </si>
  <si>
    <t>SUP04-INV-00088</t>
  </si>
  <si>
    <t>INV-00089</t>
  </si>
  <si>
    <t>SUP05-INV-00089</t>
  </si>
  <si>
    <t>INV-00090</t>
  </si>
  <si>
    <t>SUP01-INV-00090</t>
  </si>
  <si>
    <t>INV-00091</t>
  </si>
  <si>
    <t>SUP01-INV-00091</t>
  </si>
  <si>
    <t>INV-00092</t>
  </si>
  <si>
    <t>SUP02-INV-00092</t>
  </si>
  <si>
    <t>INV-00094</t>
  </si>
  <si>
    <t>SUP06-INV-00094</t>
  </si>
  <si>
    <t>INV-00095</t>
  </si>
  <si>
    <t>SUP17-INV-00095</t>
  </si>
  <si>
    <t>INV-00096</t>
  </si>
  <si>
    <t>SUP03-INV-00096</t>
  </si>
  <si>
    <t>INV-00097</t>
  </si>
  <si>
    <t>SUP18-INV-00097</t>
  </si>
  <si>
    <t>INV-00098</t>
  </si>
  <si>
    <t>SUP02-INV-00098</t>
  </si>
  <si>
    <t>INV-00099</t>
  </si>
  <si>
    <t>SUP15-INV-00099</t>
  </si>
  <si>
    <t>INV-00100</t>
  </si>
  <si>
    <t>SUP08-INV-00100</t>
  </si>
  <si>
    <t>INV-00101</t>
  </si>
  <si>
    <t>SUP04-INV-00101</t>
  </si>
  <si>
    <t>INV-00102</t>
  </si>
  <si>
    <t>SUP08-INV-00102</t>
  </si>
  <si>
    <t>INV-00103</t>
  </si>
  <si>
    <t>SUP07-INV-00103</t>
  </si>
  <si>
    <t>INV-00104</t>
  </si>
  <si>
    <t>SUP15-INV-00104</t>
  </si>
  <si>
    <t>INV-00105</t>
  </si>
  <si>
    <t>SUP06-INV-00105</t>
  </si>
  <si>
    <t>INV-00106</t>
  </si>
  <si>
    <t>SUP03-INV-00106</t>
  </si>
  <si>
    <t>INV-00107</t>
  </si>
  <si>
    <t>SUP03-INV-00107</t>
  </si>
  <si>
    <t>INV-00108</t>
  </si>
  <si>
    <t>SUP14-INV-00108</t>
  </si>
  <si>
    <t>INV-00109</t>
  </si>
  <si>
    <t>SUP04-INV-00109</t>
  </si>
  <si>
    <t>INV-00110</t>
  </si>
  <si>
    <t>SUP15-INV-00110</t>
  </si>
  <si>
    <t>INV-00111</t>
  </si>
  <si>
    <t>SUP08-INV-00111</t>
  </si>
  <si>
    <t>INV-00112</t>
  </si>
  <si>
    <t>SUP08-INV-00112</t>
  </si>
  <si>
    <t>INV-00113</t>
  </si>
  <si>
    <t>SUP09-INV-00113</t>
  </si>
  <si>
    <t>INV-00114</t>
  </si>
  <si>
    <t>SUP11-INV-00114</t>
  </si>
  <si>
    <t>INV-00115</t>
  </si>
  <si>
    <t>SUP02-INV-00115</t>
  </si>
  <si>
    <t>INV-00116</t>
  </si>
  <si>
    <t>SUP02-INV-00116</t>
  </si>
  <si>
    <t>INV-00117</t>
  </si>
  <si>
    <t>SUP09-INV-00117</t>
  </si>
  <si>
    <t>INV-00118</t>
  </si>
  <si>
    <t>SUP13-INV-00118</t>
  </si>
  <si>
    <t>INV-00119</t>
  </si>
  <si>
    <t>SUP07-INV-00119</t>
  </si>
  <si>
    <t>INV-00120</t>
  </si>
  <si>
    <t>SUP16-INV-00120</t>
  </si>
  <si>
    <t>INV-00121</t>
  </si>
  <si>
    <t>SUP18-INV-00121</t>
  </si>
  <si>
    <t>INV-00122</t>
  </si>
  <si>
    <t>SUP16-INV-00122</t>
  </si>
  <si>
    <t>INV-00123</t>
  </si>
  <si>
    <t>SUP06-INV-00123</t>
  </si>
  <si>
    <t>INV-00124</t>
  </si>
  <si>
    <t>SUP02-INV-00124</t>
  </si>
  <si>
    <t>INV-00125</t>
  </si>
  <si>
    <t>SUP13-INV-00125</t>
  </si>
  <si>
    <t>INV-00126</t>
  </si>
  <si>
    <t>SUP02-INV-00126</t>
  </si>
  <si>
    <t>INV-00127</t>
  </si>
  <si>
    <t>SUP03-INV-00127</t>
  </si>
  <si>
    <t>INV-00128</t>
  </si>
  <si>
    <t>SUP04-INV-00128</t>
  </si>
  <si>
    <t>INV-00129</t>
  </si>
  <si>
    <t>SUP02-INV-00129</t>
  </si>
  <si>
    <t>INV-00130</t>
  </si>
  <si>
    <t>SUP16-INV-00130</t>
  </si>
  <si>
    <t>INV-00131</t>
  </si>
  <si>
    <t>SUP04-INV-00131</t>
  </si>
  <si>
    <t>INV-00132</t>
  </si>
  <si>
    <t>SUP11-INV-00132</t>
  </si>
  <si>
    <t>INV-00133</t>
  </si>
  <si>
    <t>SUP14-INV-00133</t>
  </si>
  <si>
    <t>INV-00134</t>
  </si>
  <si>
    <t>SUP09-INV-00134</t>
  </si>
  <si>
    <t>INV-00135</t>
  </si>
  <si>
    <t>SUP13-INV-00135</t>
  </si>
  <si>
    <t>INV-00136</t>
  </si>
  <si>
    <t>SUP13-INV-00136</t>
  </si>
  <si>
    <t>INV-00137</t>
  </si>
  <si>
    <t>SUP06-INV-00137</t>
  </si>
  <si>
    <t>INV-00138</t>
  </si>
  <si>
    <t>SUP02-INV-00138</t>
  </si>
  <si>
    <t>INV-00139</t>
  </si>
  <si>
    <t>SUP03-INV-00139</t>
  </si>
  <si>
    <t>INV-00140</t>
  </si>
  <si>
    <t>SUP08-INV-00140</t>
  </si>
  <si>
    <t>INV-00141</t>
  </si>
  <si>
    <t>SUP02-INV-00141</t>
  </si>
  <si>
    <t>INV-00142</t>
  </si>
  <si>
    <t>SUP10-INV-00142</t>
  </si>
  <si>
    <t>INV-00143</t>
  </si>
  <si>
    <t>SUP11-INV-00143</t>
  </si>
  <si>
    <t>INV-00144</t>
  </si>
  <si>
    <t>SUP17-INV-00144</t>
  </si>
  <si>
    <t>INV-00145</t>
  </si>
  <si>
    <t>SUP17-INV-00145</t>
  </si>
  <si>
    <t>INV-00146</t>
  </si>
  <si>
    <t>SUP01-INV-00146</t>
  </si>
  <si>
    <t>INV-00147</t>
  </si>
  <si>
    <t>SUP13-INV-00147</t>
  </si>
  <si>
    <t>INV-00148</t>
  </si>
  <si>
    <t>SUP18-INV-00148</t>
  </si>
  <si>
    <t>INV-00149</t>
  </si>
  <si>
    <t>SUP04-INV-00149</t>
  </si>
  <si>
    <t>INV-00150</t>
  </si>
  <si>
    <t>SUP11-INV-00150</t>
  </si>
  <si>
    <t>INV-00151</t>
  </si>
  <si>
    <t>SUP01-INV-00151</t>
  </si>
  <si>
    <t>INV-00152</t>
  </si>
  <si>
    <t>SUP06-INV-00152</t>
  </si>
  <si>
    <t>INV-00153</t>
  </si>
  <si>
    <t>SUP06-INV-00153</t>
  </si>
  <si>
    <t>INV-00154</t>
  </si>
  <si>
    <t>SUP10-INV-00154</t>
  </si>
  <si>
    <t>INV-00155</t>
  </si>
  <si>
    <t>SUP10-INV-00155</t>
  </si>
  <si>
    <t>INV-00157</t>
  </si>
  <si>
    <t>SUP15-INV-00157</t>
  </si>
  <si>
    <t>INV-00158</t>
  </si>
  <si>
    <t>SUP10-INV-00158</t>
  </si>
  <si>
    <t>INV-00159</t>
  </si>
  <si>
    <t>SUP06-INV-00159</t>
  </si>
  <si>
    <t>INV-00160</t>
  </si>
  <si>
    <t>SUP05-INV-00160</t>
  </si>
  <si>
    <t>INV-00161</t>
  </si>
  <si>
    <t>SUP12-INV-00161</t>
  </si>
  <si>
    <t>INV-00162</t>
  </si>
  <si>
    <t>SUP06-INV-00162</t>
  </si>
  <si>
    <t>INV-00163</t>
  </si>
  <si>
    <t>SUP01-INV-00163</t>
  </si>
  <si>
    <t>INV-00164</t>
  </si>
  <si>
    <t>SUP13-INV-00164</t>
  </si>
  <si>
    <t>INV-00165</t>
  </si>
  <si>
    <t>SUP03-INV-00165</t>
  </si>
  <si>
    <t>INV-00166</t>
  </si>
  <si>
    <t>SUP16-INV-00166</t>
  </si>
  <si>
    <t>INV-00167</t>
  </si>
  <si>
    <t>SUP11-INV-00167</t>
  </si>
  <si>
    <t>INV-00168</t>
  </si>
  <si>
    <t>SUP13-INV-00168</t>
  </si>
  <si>
    <t>INV-00169</t>
  </si>
  <si>
    <t>SUP04-INV-00169</t>
  </si>
  <si>
    <t>INV-00170</t>
  </si>
  <si>
    <t>SUP08-INV-00170</t>
  </si>
  <si>
    <t>INV-00171</t>
  </si>
  <si>
    <t>SUP16-INV-00171</t>
  </si>
  <si>
    <t>INV-00172</t>
  </si>
  <si>
    <t>SUP08-INV-00172</t>
  </si>
  <si>
    <t>INV-00173</t>
  </si>
  <si>
    <t>SUP05-INV-00173</t>
  </si>
  <si>
    <t>INV-00174</t>
  </si>
  <si>
    <t>SUP06-INV-00174</t>
  </si>
  <si>
    <t>INV-00175</t>
  </si>
  <si>
    <t>SUP16-INV-00175</t>
  </si>
  <si>
    <t>INV-00176</t>
  </si>
  <si>
    <t>SUP03-INV-00176</t>
  </si>
  <si>
    <t>INV-00177</t>
  </si>
  <si>
    <t>SUP15-INV-00177</t>
  </si>
  <si>
    <t>INV-00178</t>
  </si>
  <si>
    <t>SUP16-INV-00178</t>
  </si>
  <si>
    <t>INV-00179</t>
  </si>
  <si>
    <t>SUP02-INV-00179</t>
  </si>
  <si>
    <t>INV-00180</t>
  </si>
  <si>
    <t>SUP12-INV-00180</t>
  </si>
  <si>
    <t>INV-00181</t>
  </si>
  <si>
    <t>SUP15-INV-00181</t>
  </si>
  <si>
    <t>INV-00182</t>
  </si>
  <si>
    <t>SUP01-INV-00182</t>
  </si>
  <si>
    <t>INV-00183</t>
  </si>
  <si>
    <t>SUP11-INV-00183</t>
  </si>
  <si>
    <t>INV-00184</t>
  </si>
  <si>
    <t>SUP18-INV-00184</t>
  </si>
  <si>
    <t>INV-00185</t>
  </si>
  <si>
    <t>SUP13-INV-00185</t>
  </si>
  <si>
    <t>INV-00186</t>
  </si>
  <si>
    <t>SUP17-INV-00186</t>
  </si>
  <si>
    <t>INV-00187</t>
  </si>
  <si>
    <t>SUP02-INV-00187</t>
  </si>
  <si>
    <t>INV-00188</t>
  </si>
  <si>
    <t>SUP03-INV-00188</t>
  </si>
  <si>
    <t>INV-00189</t>
  </si>
  <si>
    <t>SUP13-INV-00189</t>
  </si>
  <si>
    <t>INV-00190</t>
  </si>
  <si>
    <t>SUP04-INV-00190</t>
  </si>
  <si>
    <t>SUP02-INV-00190</t>
  </si>
  <si>
    <t>INV-00191</t>
  </si>
  <si>
    <t>SUP11-INV-00191</t>
  </si>
  <si>
    <t>INV-00192</t>
  </si>
  <si>
    <t>SUP01-INV-00192</t>
  </si>
  <si>
    <t>INV-00193</t>
  </si>
  <si>
    <t>SUP17-INV-00193</t>
  </si>
  <si>
    <t>INV-00194</t>
  </si>
  <si>
    <t>SUP12-INV-00194</t>
  </si>
  <si>
    <t>INV-00195</t>
  </si>
  <si>
    <t>SUP01-INV-00195</t>
  </si>
  <si>
    <t>INV-00196</t>
  </si>
  <si>
    <t>SUP03-INV-00196</t>
  </si>
  <si>
    <t>INV-00197</t>
  </si>
  <si>
    <t>SUP12-INV-00197</t>
  </si>
  <si>
    <t>INV-00198</t>
  </si>
  <si>
    <t>SUP03-INV-00198</t>
  </si>
  <si>
    <t>INV-00199</t>
  </si>
  <si>
    <t>SUP07-INV-00199</t>
  </si>
  <si>
    <t>INV-00200</t>
  </si>
  <si>
    <t>SUP15-INV-00200</t>
  </si>
  <si>
    <t>INV-00201</t>
  </si>
  <si>
    <t>SUP02-INV-00201</t>
  </si>
  <si>
    <t>INV-00202</t>
  </si>
  <si>
    <t>SUP03-INV-00202</t>
  </si>
  <si>
    <t>INV-00203</t>
  </si>
  <si>
    <t>SUP14-INV-00203</t>
  </si>
  <si>
    <t>INV-00204</t>
  </si>
  <si>
    <t>SUP15-INV-00204</t>
  </si>
  <si>
    <t>INV-00205</t>
  </si>
  <si>
    <t>SUP11-INV-00205</t>
  </si>
  <si>
    <t>INV-00206</t>
  </si>
  <si>
    <t>SUP12-INV-00206</t>
  </si>
  <si>
    <t>INV-00207</t>
  </si>
  <si>
    <t>SUP03-INV-00207</t>
  </si>
  <si>
    <t>INV-00208</t>
  </si>
  <si>
    <t>SUP13-INV-00208</t>
  </si>
  <si>
    <t>INV-00209</t>
  </si>
  <si>
    <t>SUP09-INV-00209</t>
  </si>
  <si>
    <t>INV-00210</t>
  </si>
  <si>
    <t>SUP03-INV-00210</t>
  </si>
  <si>
    <t>INV-00211</t>
  </si>
  <si>
    <t>SUP10-INV-00211</t>
  </si>
  <si>
    <t>INV-00212</t>
  </si>
  <si>
    <t>SUP08-INV-00212</t>
  </si>
  <si>
    <t>INV-00213</t>
  </si>
  <si>
    <t>SUP04-INV-00213</t>
  </si>
  <si>
    <t>INV-00214</t>
  </si>
  <si>
    <t>SUP05-INV-00214</t>
  </si>
  <si>
    <t>INV-00216</t>
  </si>
  <si>
    <t>SUP16-INV-00216</t>
  </si>
  <si>
    <t>INV-00217</t>
  </si>
  <si>
    <t>SUP17-INV-00217</t>
  </si>
  <si>
    <t>INV-00218</t>
  </si>
  <si>
    <t>SUP01-INV-00218</t>
  </si>
  <si>
    <t>INV-00219</t>
  </si>
  <si>
    <t>SUP05-INV-00219</t>
  </si>
  <si>
    <t>INV-00220</t>
  </si>
  <si>
    <t>SUP02-INV-00220</t>
  </si>
  <si>
    <t>INV-00221</t>
  </si>
  <si>
    <t>SUP04-INV-00221</t>
  </si>
  <si>
    <t>INV-00222</t>
  </si>
  <si>
    <t>SUP07-INV-00222</t>
  </si>
  <si>
    <t>INV-00223</t>
  </si>
  <si>
    <t>SUP09-INV-00223</t>
  </si>
  <si>
    <t>INV-00224</t>
  </si>
  <si>
    <t>SUP07-INV-00224</t>
  </si>
  <si>
    <t>INV-00225</t>
  </si>
  <si>
    <t>SUP13-INV-00225</t>
  </si>
  <si>
    <t>INV-00226</t>
  </si>
  <si>
    <t>SUP08-INV-00226</t>
  </si>
  <si>
    <t>INV-00227</t>
  </si>
  <si>
    <t>SUP14-INV-00227</t>
  </si>
  <si>
    <t>INV-00228</t>
  </si>
  <si>
    <t>SUP14-INV-00228</t>
  </si>
  <si>
    <t>INV-00229</t>
  </si>
  <si>
    <t>SUP08-INV-00229</t>
  </si>
  <si>
    <t>INV-00230</t>
  </si>
  <si>
    <t>SUP13-INV-00230</t>
  </si>
  <si>
    <t>INV-00231</t>
  </si>
  <si>
    <t>SUP06-INV-00231</t>
  </si>
  <si>
    <t>INV-00232</t>
  </si>
  <si>
    <t>SUP13-INV-00232</t>
  </si>
  <si>
    <t>INV-00233</t>
  </si>
  <si>
    <t>SUP01-INV-00233</t>
  </si>
  <si>
    <t>INV-00234</t>
  </si>
  <si>
    <t>SUP15-INV-00234</t>
  </si>
  <si>
    <t>INV-00235</t>
  </si>
  <si>
    <t>SUP16-INV-00235</t>
  </si>
  <si>
    <t>INV-00236</t>
  </si>
  <si>
    <t>SUP15-INV-00236</t>
  </si>
  <si>
    <t>INV-00237</t>
  </si>
  <si>
    <t>SUP17-INV-00237</t>
  </si>
  <si>
    <t>INV-00238</t>
  </si>
  <si>
    <t>SUP17-INV-00238</t>
  </si>
  <si>
    <t>INV-00239</t>
  </si>
  <si>
    <t>SUP04-INV-00239</t>
  </si>
  <si>
    <t>INV-00240</t>
  </si>
  <si>
    <t>SUP16-INV-00240</t>
  </si>
  <si>
    <t>INV-00241</t>
  </si>
  <si>
    <t>SUP06-INV-00241</t>
  </si>
  <si>
    <t>INV-00242</t>
  </si>
  <si>
    <t>SUP08-INV-00242</t>
  </si>
  <si>
    <t>INV-00243</t>
  </si>
  <si>
    <t>SUP02-INV-00243</t>
  </si>
  <si>
    <t>INV-00244</t>
  </si>
  <si>
    <t>SUP13-INV-00244</t>
  </si>
  <si>
    <t>INV-00245</t>
  </si>
  <si>
    <t>SUP01-INV-00245</t>
  </si>
  <si>
    <t>INV-00246</t>
  </si>
  <si>
    <t>SUP09-INV-00246</t>
  </si>
  <si>
    <t>INV-00247</t>
  </si>
  <si>
    <t>SUP03-INV-00247</t>
  </si>
  <si>
    <t>INV-00248</t>
  </si>
  <si>
    <t>SUP11-INV-00248</t>
  </si>
  <si>
    <t>INV-00249</t>
  </si>
  <si>
    <t>SUP17-INV-00249</t>
  </si>
  <si>
    <t>INV-00250</t>
  </si>
  <si>
    <t>SUP16-INV-00250</t>
  </si>
  <si>
    <t>INV-00251</t>
  </si>
  <si>
    <t>SUP04-INV-00251</t>
  </si>
  <si>
    <t>INV-00252</t>
  </si>
  <si>
    <t>SUP16-INV-00252</t>
  </si>
  <si>
    <t>INV-00253</t>
  </si>
  <si>
    <t>SUP01-INV-00253</t>
  </si>
  <si>
    <t>SUP09-INV-00253</t>
  </si>
  <si>
    <t>INV-00254</t>
  </si>
  <si>
    <t>SUP02-INV-00254</t>
  </si>
  <si>
    <t>INV-00255</t>
  </si>
  <si>
    <t>SUP05-INV-00255</t>
  </si>
  <si>
    <t>INV-00256</t>
  </si>
  <si>
    <t>SUP09-INV-00256</t>
  </si>
  <si>
    <t>INV-00257</t>
  </si>
  <si>
    <t>SUP06-INV-00257</t>
  </si>
  <si>
    <t>INV-00258</t>
  </si>
  <si>
    <t>SUP18-INV-00258</t>
  </si>
  <si>
    <t>INV-00259</t>
  </si>
  <si>
    <t>SUP04-INV-00259</t>
  </si>
  <si>
    <t>INV-00260</t>
  </si>
  <si>
    <t>SUP03-INV-00260</t>
  </si>
  <si>
    <t>INV-00261</t>
  </si>
  <si>
    <t>SUP15-INV-00261</t>
  </si>
  <si>
    <t>INV-00262</t>
  </si>
  <si>
    <t>SUP08-INV-00262</t>
  </si>
  <si>
    <t>INV-00263</t>
  </si>
  <si>
    <t>SUP09-INV-00263</t>
  </si>
  <si>
    <t>INV-00264</t>
  </si>
  <si>
    <t>SUP12-INV-00264</t>
  </si>
  <si>
    <t>INV-00265</t>
  </si>
  <si>
    <t>SUP12-INV-00265</t>
  </si>
  <si>
    <t>INV-00266</t>
  </si>
  <si>
    <t>SUP08-INV-00266</t>
  </si>
  <si>
    <t>INV-00267</t>
  </si>
  <si>
    <t>SUP05-INV-00267</t>
  </si>
  <si>
    <t>INV-00268</t>
  </si>
  <si>
    <t>SUP16-INV-00268</t>
  </si>
  <si>
    <t>INV-00269</t>
  </si>
  <si>
    <t>SUP17-INV-00269</t>
  </si>
  <si>
    <t>INV-00270</t>
  </si>
  <si>
    <t>SUP09-INV-00270</t>
  </si>
  <si>
    <t>INV-00271</t>
  </si>
  <si>
    <t>SUP01-INV-00271</t>
  </si>
  <si>
    <t>INV-00272</t>
  </si>
  <si>
    <t>SUP14-INV-00272</t>
  </si>
  <si>
    <t>INV-00273</t>
  </si>
  <si>
    <t>SUP08-INV-00273</t>
  </si>
  <si>
    <t>INV-00274</t>
  </si>
  <si>
    <t>SUP04-INV-00274</t>
  </si>
  <si>
    <t>INV-00275</t>
  </si>
  <si>
    <t>SUP08-INV-00275</t>
  </si>
  <si>
    <t>INV-00276</t>
  </si>
  <si>
    <t>SUP09-INV-00276</t>
  </si>
  <si>
    <t>INV-00277</t>
  </si>
  <si>
    <t>SUP11-INV-00277</t>
  </si>
  <si>
    <t>INV-00278</t>
  </si>
  <si>
    <t>SUP01-INV-00278</t>
  </si>
  <si>
    <t>INV-00279</t>
  </si>
  <si>
    <t>SUP12-INV-00279</t>
  </si>
  <si>
    <t>INV-00280</t>
  </si>
  <si>
    <t>SUP09-INV-00280</t>
  </si>
  <si>
    <t>INV-00281</t>
  </si>
  <si>
    <t>SUP07-INV-00281</t>
  </si>
  <si>
    <t>INV-00282</t>
  </si>
  <si>
    <t>SUP09-INV-00282</t>
  </si>
  <si>
    <t>INV-00283</t>
  </si>
  <si>
    <t>SUP07-INV-00283</t>
  </si>
  <si>
    <t>INV-00284</t>
  </si>
  <si>
    <t>SUP06-INV-00284</t>
  </si>
  <si>
    <t>INV-00285</t>
  </si>
  <si>
    <t>SUP09-INV-00285</t>
  </si>
  <si>
    <t>INV-00286</t>
  </si>
  <si>
    <t>SUP16-INV-00286</t>
  </si>
  <si>
    <t>INV-00287</t>
  </si>
  <si>
    <t>SUP16-INV-00287</t>
  </si>
  <si>
    <t>INV-00288</t>
  </si>
  <si>
    <t>SUP14-INV-00288</t>
  </si>
  <si>
    <t>INV-00289</t>
  </si>
  <si>
    <t>SUP09-INV-00289</t>
  </si>
  <si>
    <t>INV-00290</t>
  </si>
  <si>
    <t>SUP04-INV-00290</t>
  </si>
  <si>
    <t>INV-00291</t>
  </si>
  <si>
    <t>SUP16-INV-00291</t>
  </si>
  <si>
    <t>INV-00292</t>
  </si>
  <si>
    <t>SUP16-INV-00292</t>
  </si>
  <si>
    <t>INV-00293</t>
  </si>
  <si>
    <t>SUP08-INV-00293</t>
  </si>
  <si>
    <t>INV-00294</t>
  </si>
  <si>
    <t>SUP04-INV-00294</t>
  </si>
  <si>
    <t>INV-00295</t>
  </si>
  <si>
    <t>SUP14-INV-00295</t>
  </si>
  <si>
    <t>INV-00296</t>
  </si>
  <si>
    <t>SUP11-INV-00296</t>
  </si>
  <si>
    <t>INV-00297</t>
  </si>
  <si>
    <t>SUP08-INV-00297</t>
  </si>
  <si>
    <t>INV-00298</t>
  </si>
  <si>
    <t>SUP09-INV-00298</t>
  </si>
  <si>
    <t>INV-00299</t>
  </si>
  <si>
    <t>SUP15-INV-00299</t>
  </si>
  <si>
    <t>INV-00300</t>
  </si>
  <si>
    <t>SUP03-INV-00300</t>
  </si>
  <si>
    <t>INV-00301</t>
  </si>
  <si>
    <t>SUP14-INV-00301</t>
  </si>
  <si>
    <t>INV-00302</t>
  </si>
  <si>
    <t>SUP09-INV-00302</t>
  </si>
  <si>
    <t>INV-00303</t>
  </si>
  <si>
    <t>SUP05-INV-00303</t>
  </si>
  <si>
    <t>INV-00304</t>
  </si>
  <si>
    <t>SUP11-INV-00304</t>
  </si>
  <si>
    <t>INV-00305</t>
  </si>
  <si>
    <t>SUP18-INV-00305</t>
  </si>
  <si>
    <t>INV-00306</t>
  </si>
  <si>
    <t>SUP04-INV-00306</t>
  </si>
  <si>
    <t>INV-00307</t>
  </si>
  <si>
    <t>SUP04-INV-00307</t>
  </si>
  <si>
    <t>INV-00308</t>
  </si>
  <si>
    <t>SUP12-INV-00308</t>
  </si>
  <si>
    <t>INV-00309</t>
  </si>
  <si>
    <t>SUP07-INV-00309</t>
  </si>
  <si>
    <t>INV-00310</t>
  </si>
  <si>
    <t>SUP16-INV-00310</t>
  </si>
  <si>
    <t>INV-00311</t>
  </si>
  <si>
    <t>SUP05-INV-00311</t>
  </si>
  <si>
    <t>INV-00312</t>
  </si>
  <si>
    <t>SUP15-INV-00312</t>
  </si>
  <si>
    <t>SUP14-INV-00312</t>
  </si>
  <si>
    <t>INV-00313</t>
  </si>
  <si>
    <t>SUP10-INV-00313</t>
  </si>
  <si>
    <t>INV-00314</t>
  </si>
  <si>
    <t>SUP11-INV-00314</t>
  </si>
  <si>
    <t>INV-00315</t>
  </si>
  <si>
    <t>SUP01-INV-00315</t>
  </si>
  <si>
    <t>INV-00316</t>
  </si>
  <si>
    <t>SUP03-INV-00316</t>
  </si>
  <si>
    <t>INV-00317</t>
  </si>
  <si>
    <t>SUP05-INV-00317</t>
  </si>
  <si>
    <t>INV-00318</t>
  </si>
  <si>
    <t>SUP11-INV-00318</t>
  </si>
  <si>
    <t>INV-00319</t>
  </si>
  <si>
    <t>SUP14-INV-00319</t>
  </si>
  <si>
    <t>INV-00320</t>
  </si>
  <si>
    <t>SUP03-INV-00320</t>
  </si>
  <si>
    <t>INV-00321</t>
  </si>
  <si>
    <t>SUP01-INV-00321</t>
  </si>
  <si>
    <t>INV-00322</t>
  </si>
  <si>
    <t>SUP10-INV-00322</t>
  </si>
  <si>
    <t>INV-00323</t>
  </si>
  <si>
    <t>SUP04-INV-00323</t>
  </si>
  <si>
    <t>INV-00324</t>
  </si>
  <si>
    <t>SUP10-INV-00324</t>
  </si>
  <si>
    <t>INV-00325</t>
  </si>
  <si>
    <t>SUP03-INV-00325</t>
  </si>
  <si>
    <t>INV-00326</t>
  </si>
  <si>
    <t>SUP15-INV-00326</t>
  </si>
  <si>
    <t>INV-00327</t>
  </si>
  <si>
    <t>SUP07-INV-00327</t>
  </si>
  <si>
    <t>INV-00328</t>
  </si>
  <si>
    <t>SUP16-INV-00328</t>
  </si>
  <si>
    <t>INV-00329</t>
  </si>
  <si>
    <t>SUP17-INV-00329</t>
  </si>
  <si>
    <t>INV-00330</t>
  </si>
  <si>
    <t>SUP11-INV-00330</t>
  </si>
  <si>
    <t>INV-00331</t>
  </si>
  <si>
    <t>SUP06-INV-00331</t>
  </si>
  <si>
    <t>INV-00332</t>
  </si>
  <si>
    <t>SUP04-INV-00332</t>
  </si>
  <si>
    <t>INV-00333</t>
  </si>
  <si>
    <t>SUP11-INV-00333</t>
  </si>
  <si>
    <t>INV-00334</t>
  </si>
  <si>
    <t>SUP15-INV-00334</t>
  </si>
  <si>
    <t>INV-00335</t>
  </si>
  <si>
    <t>SUP05-INV-00335</t>
  </si>
  <si>
    <t>INV-00336</t>
  </si>
  <si>
    <t>SUP07-INV-00336</t>
  </si>
  <si>
    <t>INV-00337</t>
  </si>
  <si>
    <t>SUP15-INV-00337</t>
  </si>
  <si>
    <t>INV-00338</t>
  </si>
  <si>
    <t>SUP14-INV-00338</t>
  </si>
  <si>
    <t>INV-00339</t>
  </si>
  <si>
    <t>SUP04-INV-00339</t>
  </si>
  <si>
    <t>INV-00340</t>
  </si>
  <si>
    <t>SUP02-INV-00340</t>
  </si>
  <si>
    <t>INV-00341</t>
  </si>
  <si>
    <t>SUP18-INV-00341</t>
  </si>
  <si>
    <t>INV-00342</t>
  </si>
  <si>
    <t>Shipping</t>
  </si>
  <si>
    <t>SUP15-INV-00342</t>
  </si>
  <si>
    <t>INV-00343</t>
  </si>
  <si>
    <t>SUP04-INV-00343</t>
  </si>
  <si>
    <t>INV-00344</t>
  </si>
  <si>
    <t>SUP16-INV-00344</t>
  </si>
  <si>
    <t>INV-00345</t>
  </si>
  <si>
    <t>SUP17-INV-00345</t>
  </si>
  <si>
    <t>INV-00346</t>
  </si>
  <si>
    <t>SUP04-INV-00346</t>
  </si>
  <si>
    <t>INV-00347</t>
  </si>
  <si>
    <t>SUP02-INV-00347</t>
  </si>
  <si>
    <t>INV-00348</t>
  </si>
  <si>
    <t>SUP05-INV-00348</t>
  </si>
  <si>
    <t>INV-00349</t>
  </si>
  <si>
    <t>SUP02-INV-00349</t>
  </si>
  <si>
    <t>INV-00350</t>
  </si>
  <si>
    <t>SUP12-INV-00350</t>
  </si>
  <si>
    <t>INV-00351</t>
  </si>
  <si>
    <t>SUP13-INV-00351</t>
  </si>
  <si>
    <t>INV-00352</t>
  </si>
  <si>
    <t>SUP04-INV-00352</t>
  </si>
  <si>
    <t>INV-00353</t>
  </si>
  <si>
    <t>SUP01-INV-00353</t>
  </si>
  <si>
    <t>INV-00354</t>
  </si>
  <si>
    <t>SUP12-INV-00354</t>
  </si>
  <si>
    <t>INV-00355</t>
  </si>
  <si>
    <t>Parts</t>
  </si>
  <si>
    <t>SUP03-INV-00355</t>
  </si>
  <si>
    <t>INV-00356</t>
  </si>
  <si>
    <t>SUP11-INV-00356</t>
  </si>
  <si>
    <t>INV-00357</t>
  </si>
  <si>
    <t>SUP18-INV-00357</t>
  </si>
  <si>
    <t>INV-00358</t>
  </si>
  <si>
    <t>SUP03-INV-00358</t>
  </si>
  <si>
    <t>INV-00359</t>
  </si>
  <si>
    <t>SUP01-INV-00359</t>
  </si>
  <si>
    <t>INV-00360</t>
  </si>
  <si>
    <t>SUP11-INV-00360</t>
  </si>
  <si>
    <t>INV-00361</t>
  </si>
  <si>
    <t>SUP05-INV-00361</t>
  </si>
  <si>
    <t>INV-00362</t>
  </si>
  <si>
    <t>SUP12-INV-00362</t>
  </si>
  <si>
    <t>INV-00363</t>
  </si>
  <si>
    <t>SUP04-INV-00363</t>
  </si>
  <si>
    <t>INV-00364</t>
  </si>
  <si>
    <t>SUP14-INV-00364</t>
  </si>
  <si>
    <t>INV-00365</t>
  </si>
  <si>
    <t>SUP13-INV-00365</t>
  </si>
  <si>
    <t>INV-00366</t>
  </si>
  <si>
    <t>SUP02-INV-00366</t>
  </si>
  <si>
    <t>INV-00367</t>
  </si>
  <si>
    <t>SUP07-INV-00367</t>
  </si>
  <si>
    <t>INV-00368</t>
  </si>
  <si>
    <t>SUP07-INV-00368</t>
  </si>
  <si>
    <t>INV-00369</t>
  </si>
  <si>
    <t>SUP13-INV-00369</t>
  </si>
  <si>
    <t>INV-00370</t>
  </si>
  <si>
    <t>SUP03-INV-00370</t>
  </si>
  <si>
    <t>INV-00371</t>
  </si>
  <si>
    <t>SUP05-INV-00371</t>
  </si>
  <si>
    <t>INV-00372</t>
  </si>
  <si>
    <t>SUP16-INV-00372</t>
  </si>
  <si>
    <t>INV-00373</t>
  </si>
  <si>
    <t>SUP01-INV-00373</t>
  </si>
  <si>
    <t>INV-00374</t>
  </si>
  <si>
    <t>SUP09-INV-00374</t>
  </si>
  <si>
    <t>INV-00375</t>
  </si>
  <si>
    <t>SUP12-INV-00375</t>
  </si>
  <si>
    <t>INV-00376</t>
  </si>
  <si>
    <t>SUP09-INV-00376</t>
  </si>
  <si>
    <t>INV-00377</t>
  </si>
  <si>
    <t>SUP04-INV-00377</t>
  </si>
  <si>
    <t>INV-00378</t>
  </si>
  <si>
    <t>SUP03-INV-00378</t>
  </si>
  <si>
    <t>INV-00379</t>
  </si>
  <si>
    <t>SUP11-INV-00379</t>
  </si>
  <si>
    <t>INV-00380</t>
  </si>
  <si>
    <t>SUP08-INV-00380</t>
  </si>
  <si>
    <t>INV-00381</t>
  </si>
  <si>
    <t>SUP03-INV-00381</t>
  </si>
  <si>
    <t>INV-00382</t>
  </si>
  <si>
    <t>SUP11-INV-00382</t>
  </si>
  <si>
    <t>INV-00383</t>
  </si>
  <si>
    <t>SUP04-INV-00383</t>
  </si>
  <si>
    <t>INV-00384</t>
  </si>
  <si>
    <t>SUP01-INV-00384</t>
  </si>
  <si>
    <t>INV-00385</t>
  </si>
  <si>
    <t>SUP18-INV-00385</t>
  </si>
  <si>
    <t>INV-00386</t>
  </si>
  <si>
    <t>SUP10-INV-00386</t>
  </si>
  <si>
    <t>INV-00387</t>
  </si>
  <si>
    <t>SUP12-INV-00387</t>
  </si>
  <si>
    <t>INV-00388</t>
  </si>
  <si>
    <t>SUP08-INV-00388</t>
  </si>
  <si>
    <t>INV-00389</t>
  </si>
  <si>
    <t>SUP18-INV-00389</t>
  </si>
  <si>
    <t>INV-00390</t>
  </si>
  <si>
    <t>SUP14-INV-00390</t>
  </si>
  <si>
    <t>INV-00391</t>
  </si>
  <si>
    <t>SUP16-INV-00391</t>
  </si>
  <si>
    <t>INV-00392</t>
  </si>
  <si>
    <t>SUP11-INV-00392</t>
  </si>
  <si>
    <t>INV-00393</t>
  </si>
  <si>
    <t>SUP06-INV-00393</t>
  </si>
  <si>
    <t>INV-00394</t>
  </si>
  <si>
    <t>SUP14-INV-00394</t>
  </si>
  <si>
    <t>INV-00395</t>
  </si>
  <si>
    <t>SUP08-INV-00395</t>
  </si>
  <si>
    <t>INV-00396</t>
  </si>
  <si>
    <t>SUP08-INV-00396</t>
  </si>
  <si>
    <t>INV-00397</t>
  </si>
  <si>
    <t>SUP04-INV-00397</t>
  </si>
  <si>
    <t>INV-00398</t>
  </si>
  <si>
    <t>SUP05-INV-00398</t>
  </si>
  <si>
    <t>INV-00399</t>
  </si>
  <si>
    <t>SUP08-INV-00399</t>
  </si>
  <si>
    <t>INV-00400</t>
  </si>
  <si>
    <t>SUP14-INV-00400</t>
  </si>
  <si>
    <t>INV-00401</t>
  </si>
  <si>
    <t>SUP10-INV-00401</t>
  </si>
  <si>
    <t>INV-00402</t>
  </si>
  <si>
    <t>SUP12-INV-00402</t>
  </si>
  <si>
    <t>INV-00403</t>
  </si>
  <si>
    <t>SUP09-INV-00403</t>
  </si>
  <si>
    <t>INV-00404</t>
  </si>
  <si>
    <t>SUP15-INV-00404</t>
  </si>
  <si>
    <t>INV-00405</t>
  </si>
  <si>
    <t>SUP05-INV-00405</t>
  </si>
  <si>
    <t>INV-00406</t>
  </si>
  <si>
    <t>SUP12-INV-00406</t>
  </si>
  <si>
    <t>INV-00407</t>
  </si>
  <si>
    <t>SUP01-INV-00407</t>
  </si>
  <si>
    <t>INV-00408</t>
  </si>
  <si>
    <t>SUP09-INV-00408</t>
  </si>
  <si>
    <t>INV-00409</t>
  </si>
  <si>
    <t>SUP10-INV-00409</t>
  </si>
  <si>
    <t>INV-00410</t>
  </si>
  <si>
    <t>SUP13-INV-00410</t>
  </si>
  <si>
    <t>INV-00411</t>
  </si>
  <si>
    <t>SUP14-INV-00411</t>
  </si>
  <si>
    <t>INV-00412</t>
  </si>
  <si>
    <t>SUP18-INV-00412</t>
  </si>
  <si>
    <t>INV-00413</t>
  </si>
  <si>
    <t>SUP17-INV-00413</t>
  </si>
  <si>
    <t>INV-00414</t>
  </si>
  <si>
    <t>SUP13-INV-00414</t>
  </si>
  <si>
    <t>INV-00415</t>
  </si>
  <si>
    <t>SUP14-INV-00415</t>
  </si>
  <si>
    <t>INV-00416</t>
  </si>
  <si>
    <t>SUP02-INV-00416</t>
  </si>
  <si>
    <t>INV-00417</t>
  </si>
  <si>
    <t>SUP04-INV-00417</t>
  </si>
  <si>
    <t>INV-00419</t>
  </si>
  <si>
    <t>SUP16-INV-00419</t>
  </si>
  <si>
    <t>INV-00420</t>
  </si>
  <si>
    <t>SUP01-INV-00420</t>
  </si>
  <si>
    <t>INV-00421</t>
  </si>
  <si>
    <t>SUP01-INV-00421</t>
  </si>
  <si>
    <t>INV-00422</t>
  </si>
  <si>
    <t>SUP07-INV-00422</t>
  </si>
  <si>
    <t>INV-00423</t>
  </si>
  <si>
    <t>SUP18-INV-00423</t>
  </si>
  <si>
    <t>INV-00424</t>
  </si>
  <si>
    <t>SUP09-INV-00424</t>
  </si>
  <si>
    <t>INV-00425</t>
  </si>
  <si>
    <t>SUP10-INV-00425</t>
  </si>
  <si>
    <t>INV-00426</t>
  </si>
  <si>
    <t>SUP13-INV-00426</t>
  </si>
  <si>
    <t>INV-00427</t>
  </si>
  <si>
    <t>SUP15-INV-00427</t>
  </si>
  <si>
    <t>INV-00428</t>
  </si>
  <si>
    <t>SUP01-INV-00428</t>
  </si>
  <si>
    <t>INV-00429</t>
  </si>
  <si>
    <t>SUP10-INV-00429</t>
  </si>
  <si>
    <t>INV-00430</t>
  </si>
  <si>
    <t>SUP08-INV-00430</t>
  </si>
  <si>
    <t>INV-00431</t>
  </si>
  <si>
    <t>SUP02-INV-00431</t>
  </si>
  <si>
    <t>INV-00432</t>
  </si>
  <si>
    <t>SUP13-INV-00432</t>
  </si>
  <si>
    <t>INV-00433</t>
  </si>
  <si>
    <t>SUP05-INV-00433</t>
  </si>
  <si>
    <t>INV-00434</t>
  </si>
  <si>
    <t>SUP11-INV-00434</t>
  </si>
  <si>
    <t>INV-00435</t>
  </si>
  <si>
    <t>SUP14-INV-00435</t>
  </si>
  <si>
    <t>INV-00436</t>
  </si>
  <si>
    <t>SUP04-INV-00436</t>
  </si>
  <si>
    <t>INV-00437</t>
  </si>
  <si>
    <t>SUP06-INV-00437</t>
  </si>
  <si>
    <t>INV-00438</t>
  </si>
  <si>
    <t>SUP18-INV-00438</t>
  </si>
  <si>
    <t>INV-00439</t>
  </si>
  <si>
    <t>SUP17-INV-00439</t>
  </si>
  <si>
    <t>INV-00440</t>
  </si>
  <si>
    <t>SUP18-INV-00440</t>
  </si>
  <si>
    <t>INV-00441</t>
  </si>
  <si>
    <t>SUP17-INV-00441</t>
  </si>
  <si>
    <t>INV-00442</t>
  </si>
  <si>
    <t>SUP10-INV-00442</t>
  </si>
  <si>
    <t>INV-00443</t>
  </si>
  <si>
    <t>SUP01-INV-00443</t>
  </si>
  <si>
    <t>INV-00444</t>
  </si>
  <si>
    <t>SUP14-INV-00444</t>
  </si>
  <si>
    <t>INV-00445</t>
  </si>
  <si>
    <t>SUP16-INV-00445</t>
  </si>
  <si>
    <t>INV-00446</t>
  </si>
  <si>
    <t>SUP11-INV-00446</t>
  </si>
  <si>
    <t>INV-00447</t>
  </si>
  <si>
    <t>SUP06-INV-00447</t>
  </si>
  <si>
    <t>INV-00448</t>
  </si>
  <si>
    <t>SUP02-INV-00448</t>
  </si>
  <si>
    <t>INV-00449</t>
  </si>
  <si>
    <t>SUP10-INV-00449</t>
  </si>
  <si>
    <t>INV-00450</t>
  </si>
  <si>
    <t>SUP03-INV-00450</t>
  </si>
  <si>
    <t>INV-00451</t>
  </si>
  <si>
    <t>SUP14-INV-00451</t>
  </si>
  <si>
    <t>INV-00452</t>
  </si>
  <si>
    <t>SUP01-INV-00452</t>
  </si>
  <si>
    <t>INV-00453</t>
  </si>
  <si>
    <t>SUP08-INV-00453</t>
  </si>
  <si>
    <t>INV-00454</t>
  </si>
  <si>
    <t>SUP01-INV-00454</t>
  </si>
  <si>
    <t>INV-00455</t>
  </si>
  <si>
    <t>SUP17-INV-00455</t>
  </si>
  <si>
    <t>INV-00456</t>
  </si>
  <si>
    <t>SUP14-INV-00456</t>
  </si>
  <si>
    <t>INV-00457</t>
  </si>
  <si>
    <t>SUP05-INV-00457</t>
  </si>
  <si>
    <t>INV-00458</t>
  </si>
  <si>
    <t>SUP01-INV-00458</t>
  </si>
  <si>
    <t>INV-00459</t>
  </si>
  <si>
    <t>SUP02-INV-00459</t>
  </si>
  <si>
    <t>INV-00460</t>
  </si>
  <si>
    <t>SUP10-INV-00460</t>
  </si>
  <si>
    <t>INV-00461</t>
  </si>
  <si>
    <t>SUP10-INV-00461</t>
  </si>
  <si>
    <t>INV-00462</t>
  </si>
  <si>
    <t>SUP03-INV-00462</t>
  </si>
  <si>
    <t>INV-00463</t>
  </si>
  <si>
    <t>SUP12-INV-00463</t>
  </si>
  <si>
    <t>INV-00464</t>
  </si>
  <si>
    <t>SUP11-INV-00464</t>
  </si>
  <si>
    <t>INV-00465</t>
  </si>
  <si>
    <t>SUP18-INV-00465</t>
  </si>
  <si>
    <t>INV-00466</t>
  </si>
  <si>
    <t>SUP15-INV-00466</t>
  </si>
  <si>
    <t>INV-00467</t>
  </si>
  <si>
    <t>SUP16-INV-00467</t>
  </si>
  <si>
    <t>INV-00468</t>
  </si>
  <si>
    <t>SUP03-INV-00468</t>
  </si>
  <si>
    <t>INV-00469</t>
  </si>
  <si>
    <t>SUP13-INV-00469</t>
  </si>
  <si>
    <t>INV-00470</t>
  </si>
  <si>
    <t>SUP04-INV-00470</t>
  </si>
  <si>
    <t>INV-00471</t>
  </si>
  <si>
    <t>SUP04-INV-00471</t>
  </si>
  <si>
    <t>INV-00472</t>
  </si>
  <si>
    <t>SUP18-INV-00472</t>
  </si>
  <si>
    <t>INV-00473</t>
  </si>
  <si>
    <t>SUP06-INV-00473</t>
  </si>
  <si>
    <t>INV-00474</t>
  </si>
  <si>
    <t>SUP16-INV-00474</t>
  </si>
  <si>
    <t>INV-00475</t>
  </si>
  <si>
    <t>SUP15-INV-00475</t>
  </si>
  <si>
    <t>INV-00476</t>
  </si>
  <si>
    <t>SUP14-INV-00476</t>
  </si>
  <si>
    <t>INV-00477</t>
  </si>
  <si>
    <t>SUP06-INV-00477</t>
  </si>
  <si>
    <t>INV-00478</t>
  </si>
  <si>
    <t>SUP16-INV-00478</t>
  </si>
  <si>
    <t>INV-00479</t>
  </si>
  <si>
    <t>SUP15-INV-00479</t>
  </si>
  <si>
    <t>INV-00480</t>
  </si>
  <si>
    <t>SUP03-INV-00480</t>
  </si>
  <si>
    <t>INV-00481</t>
  </si>
  <si>
    <t>SUP05-INV-00481</t>
  </si>
  <si>
    <t>INV-00482</t>
  </si>
  <si>
    <t>SUP10-INV-00482</t>
  </si>
  <si>
    <t>INV-00483</t>
  </si>
  <si>
    <t>SUP04-INV-00483</t>
  </si>
  <si>
    <t>INV-00484</t>
  </si>
  <si>
    <t>SUP05-INV-00484</t>
  </si>
  <si>
    <t>INV-00485</t>
  </si>
  <si>
    <t>SUP09-INV-00485</t>
  </si>
  <si>
    <t>INV-00486</t>
  </si>
  <si>
    <t>SUP14-INV-00486</t>
  </si>
  <si>
    <t>INV-00487</t>
  </si>
  <si>
    <t>SUP12-INV-00487</t>
  </si>
  <si>
    <t>INV-00488</t>
  </si>
  <si>
    <t>SUP11-INV-00488</t>
  </si>
  <si>
    <t>INV-00489</t>
  </si>
  <si>
    <t>SUP16-INV-00489</t>
  </si>
  <si>
    <t>INV-00490</t>
  </si>
  <si>
    <t>SUP01-INV-00490</t>
  </si>
  <si>
    <t>INV-00491</t>
  </si>
  <si>
    <t>SUP02-INV-00491</t>
  </si>
  <si>
    <t>INV-00492</t>
  </si>
  <si>
    <t>SUP03-INV-00492</t>
  </si>
  <si>
    <t>INV-00493</t>
  </si>
  <si>
    <t>SUP01-INV-00493</t>
  </si>
  <si>
    <t>INV-00494</t>
  </si>
  <si>
    <t>SUP17-INV-00494</t>
  </si>
  <si>
    <t>INV-00495</t>
  </si>
  <si>
    <t>SUP10-INV-00495</t>
  </si>
  <si>
    <t>INV-00496</t>
  </si>
  <si>
    <t>SUP09-INV-00496</t>
  </si>
  <si>
    <t>INV-00497</t>
  </si>
  <si>
    <t>SUP02-INV-00497</t>
  </si>
  <si>
    <t>INV-00498</t>
  </si>
  <si>
    <t>SUP09-INV-00498</t>
  </si>
  <si>
    <t>INV-00499</t>
  </si>
  <si>
    <t>SUP16-INV-00499</t>
  </si>
  <si>
    <t>INV-00500</t>
  </si>
  <si>
    <t>SUP09-INV-00500</t>
  </si>
  <si>
    <t>INV-00501</t>
  </si>
  <si>
    <t>SUP13-INV-00501</t>
  </si>
  <si>
    <t>INV-00502</t>
  </si>
  <si>
    <t>SUP16-INV-00502</t>
  </si>
  <si>
    <t>INV-00503</t>
  </si>
  <si>
    <t>SUP10-INV-00503</t>
  </si>
  <si>
    <t>INV-00504</t>
  </si>
  <si>
    <t>SUP11-INV-00504</t>
  </si>
  <si>
    <t>INV-00505</t>
  </si>
  <si>
    <t>SUP09-INV-00505</t>
  </si>
  <si>
    <t>INV-00506</t>
  </si>
  <si>
    <t>SUP07-INV-00506</t>
  </si>
  <si>
    <t>INV-00507</t>
  </si>
  <si>
    <t>SUP08-INV-00507</t>
  </si>
  <si>
    <t>INV-00508</t>
  </si>
  <si>
    <t>SUP12-INV-00508</t>
  </si>
  <si>
    <t>INV-00509</t>
  </si>
  <si>
    <t>SUP15-INV-00509</t>
  </si>
  <si>
    <t>INV-00510</t>
  </si>
  <si>
    <t>SUP05-INV-00510</t>
  </si>
  <si>
    <t>INV-00511</t>
  </si>
  <si>
    <t>SUP01-INV-00511</t>
  </si>
  <si>
    <t>INV-00512</t>
  </si>
  <si>
    <t>SUP12-INV-00512</t>
  </si>
  <si>
    <t>INV-00513</t>
  </si>
  <si>
    <t>SUP13-INV-00513</t>
  </si>
  <si>
    <t>INV-00515</t>
  </si>
  <si>
    <t>SUP05-INV-00515</t>
  </si>
  <si>
    <t>SUP16-INV-00515</t>
  </si>
  <si>
    <t>INV-00516</t>
  </si>
  <si>
    <t>SUP07-INV-00516</t>
  </si>
  <si>
    <t>INV-00517</t>
  </si>
  <si>
    <t>SUP04-INV-00517</t>
  </si>
  <si>
    <t>INV-00518</t>
  </si>
  <si>
    <t>SUP16-INV-00518</t>
  </si>
  <si>
    <t>INV-00519</t>
  </si>
  <si>
    <t>SUP05-INV-00519</t>
  </si>
  <si>
    <t>INV-00520</t>
  </si>
  <si>
    <t>SUP06-INV-00520</t>
  </si>
  <si>
    <t>INV-00521</t>
  </si>
  <si>
    <t>SUP18-INV-00521</t>
  </si>
  <si>
    <t>INV-00522</t>
  </si>
  <si>
    <t>SUP17-INV-00522</t>
  </si>
  <si>
    <t>INV-00523</t>
  </si>
  <si>
    <t>SUP16-INV-00523</t>
  </si>
  <si>
    <t>INV-00524</t>
  </si>
  <si>
    <t>SUP13-INV-00524</t>
  </si>
  <si>
    <t>INV-00525</t>
  </si>
  <si>
    <t>SUP03-INV-00525</t>
  </si>
  <si>
    <t>INV-00526</t>
  </si>
  <si>
    <t>SUP13-INV-00526</t>
  </si>
  <si>
    <t>INV-00527</t>
  </si>
  <si>
    <t>SUP03-INV-00527</t>
  </si>
  <si>
    <t>INV-00528</t>
  </si>
  <si>
    <t>SUP17-INV-00528</t>
  </si>
  <si>
    <t>INV-00529</t>
  </si>
  <si>
    <t>SUP13-INV-00529</t>
  </si>
  <si>
    <t>INV-00530</t>
  </si>
  <si>
    <t>SUP18-INV-00530</t>
  </si>
  <si>
    <t>INV-00531</t>
  </si>
  <si>
    <t>SUP12-INV-00531</t>
  </si>
  <si>
    <t>INV-00532</t>
  </si>
  <si>
    <t>SUP01-INV-00532</t>
  </si>
  <si>
    <t>INV-00533</t>
  </si>
  <si>
    <t>SUP16-INV-00533</t>
  </si>
  <si>
    <t>INV-00534</t>
  </si>
  <si>
    <t>SUP07-INV-00534</t>
  </si>
  <si>
    <t>INV-00535</t>
  </si>
  <si>
    <t>SUP03-INV-00535</t>
  </si>
  <si>
    <t>INV-00536</t>
  </si>
  <si>
    <t>SUP04-INV-00536</t>
  </si>
  <si>
    <t>INV-00537</t>
  </si>
  <si>
    <t>SUP09-INV-00537</t>
  </si>
  <si>
    <t>INV-00538</t>
  </si>
  <si>
    <t>SUP10-INV-00538</t>
  </si>
  <si>
    <t>INV-00539</t>
  </si>
  <si>
    <t>SUP09-INV-00539</t>
  </si>
  <si>
    <t>INV-00540</t>
  </si>
  <si>
    <t>SUP12-INV-00540</t>
  </si>
  <si>
    <t>INV-00541</t>
  </si>
  <si>
    <t>SUP17-INV-00541</t>
  </si>
  <si>
    <t>INV-00542</t>
  </si>
  <si>
    <t>SUP12-INV-00542</t>
  </si>
  <si>
    <t>INV-00543</t>
  </si>
  <si>
    <t>SUP02-INV-00543</t>
  </si>
  <si>
    <t>INV-00544</t>
  </si>
  <si>
    <t>SUP13-INV-00544</t>
  </si>
  <si>
    <t>INV-00545</t>
  </si>
  <si>
    <t>SUP17-INV-00545</t>
  </si>
  <si>
    <t>INV-00546</t>
  </si>
  <si>
    <t>SUP13-INV-00546</t>
  </si>
  <si>
    <t>INV-00547</t>
  </si>
  <si>
    <t>SUP01-INV-00547</t>
  </si>
  <si>
    <t>INV-00548</t>
  </si>
  <si>
    <t>SUP05-INV-00548</t>
  </si>
  <si>
    <t>INV-00549</t>
  </si>
  <si>
    <t>SUP06-INV-00549</t>
  </si>
  <si>
    <t>INV-00550</t>
  </si>
  <si>
    <t>SUP10-INV-00550</t>
  </si>
  <si>
    <t>INV-00551</t>
  </si>
  <si>
    <t>SUP15-INV-00551</t>
  </si>
  <si>
    <t>INV-00552</t>
  </si>
  <si>
    <t>SUP04-INV-00552</t>
  </si>
  <si>
    <t>INV-00553</t>
  </si>
  <si>
    <t>SUP17-INV-00553</t>
  </si>
  <si>
    <t>INV-00554</t>
  </si>
  <si>
    <t>SUP12-INV-00554</t>
  </si>
  <si>
    <t>INV-00555</t>
  </si>
  <si>
    <t>SUP02-INV-00555</t>
  </si>
  <si>
    <t>INV-00556</t>
  </si>
  <si>
    <t>SUP13-INV-00556</t>
  </si>
  <si>
    <t>INV-00557</t>
  </si>
  <si>
    <t>SUP13-INV-00557</t>
  </si>
  <si>
    <t>INV-00558</t>
  </si>
  <si>
    <t>SUP05-INV-00558</t>
  </si>
  <si>
    <t>INV-00559</t>
  </si>
  <si>
    <t>SUP10-INV-00559</t>
  </si>
  <si>
    <t>INV-00560</t>
  </si>
  <si>
    <t>SUP05-INV-00560</t>
  </si>
  <si>
    <t>INV-00561</t>
  </si>
  <si>
    <t>SUP15-INV-00561</t>
  </si>
  <si>
    <t>INV-00562</t>
  </si>
  <si>
    <t>SUP17-INV-00562</t>
  </si>
  <si>
    <t>INV-00563</t>
  </si>
  <si>
    <t>SUP13-INV-00563</t>
  </si>
  <si>
    <t>INV-00564</t>
  </si>
  <si>
    <t>SUP09-INV-00564</t>
  </si>
  <si>
    <t>INV-00565</t>
  </si>
  <si>
    <t>SUP07-INV-00565</t>
  </si>
  <si>
    <t>INV-00566</t>
  </si>
  <si>
    <t>SUP04-INV-00566</t>
  </si>
  <si>
    <t>INV-00567</t>
  </si>
  <si>
    <t>SUP04-INV-00567</t>
  </si>
  <si>
    <t>INV-00568</t>
  </si>
  <si>
    <t>SUP09-INV-00568</t>
  </si>
  <si>
    <t>INV-00569</t>
  </si>
  <si>
    <t>SUP09-INV-00569</t>
  </si>
  <si>
    <t>INV-00570</t>
  </si>
  <si>
    <t>SUP11-INV-00570</t>
  </si>
  <si>
    <t>INV-00571</t>
  </si>
  <si>
    <t>SUP18-INV-00571</t>
  </si>
  <si>
    <t>INV-00572</t>
  </si>
  <si>
    <t>SUP03-INV-00572</t>
  </si>
  <si>
    <t>INV-00573</t>
  </si>
  <si>
    <t>SUP09-INV-00573</t>
  </si>
  <si>
    <t>INV-00574</t>
  </si>
  <si>
    <t>SUP15-INV-00574</t>
  </si>
  <si>
    <t>INV-00575</t>
  </si>
  <si>
    <t>SUP06-INV-00575</t>
  </si>
  <si>
    <t>INV-00576</t>
  </si>
  <si>
    <t>SUP15-INV-00576</t>
  </si>
  <si>
    <t>INV-00577</t>
  </si>
  <si>
    <t>SUP02-INV-00577</t>
  </si>
  <si>
    <t>INV-00578</t>
  </si>
  <si>
    <t>SUP08-INV-00578</t>
  </si>
  <si>
    <t>INV-00579</t>
  </si>
  <si>
    <t>SUP15-INV-00579</t>
  </si>
  <si>
    <t>INV-00580</t>
  </si>
  <si>
    <t>SUP09-INV-00580</t>
  </si>
  <si>
    <t>INV-00581</t>
  </si>
  <si>
    <t>SUP06-INV-00581</t>
  </si>
  <si>
    <t>INV-00582</t>
  </si>
  <si>
    <t>SUP03-INV-00582</t>
  </si>
  <si>
    <t>INV-00583</t>
  </si>
  <si>
    <t>SUP18-INV-00583</t>
  </si>
  <si>
    <t>INV-00584</t>
  </si>
  <si>
    <t>SUP16-INV-00584</t>
  </si>
  <si>
    <t>INV-00585</t>
  </si>
  <si>
    <t>SUP11-INV-00585</t>
  </si>
  <si>
    <t>INV-00586</t>
  </si>
  <si>
    <t>SUP04-INV-00586</t>
  </si>
  <si>
    <t>INV-00587</t>
  </si>
  <si>
    <t>SUP03-INV-00587</t>
  </si>
  <si>
    <t>INV-00588</t>
  </si>
  <si>
    <t>SUP16-INV-00588</t>
  </si>
  <si>
    <t>INV-00589</t>
  </si>
  <si>
    <t>SUP08-INV-00589</t>
  </si>
  <si>
    <t>INV-00590</t>
  </si>
  <si>
    <t>SUP01-INV-00590</t>
  </si>
  <si>
    <t>INV-00591</t>
  </si>
  <si>
    <t>SUP03-INV-00591</t>
  </si>
  <si>
    <t>INV-00592</t>
  </si>
  <si>
    <t>SUP07-INV-00592</t>
  </si>
  <si>
    <t>INV-00593</t>
  </si>
  <si>
    <t>SUP07-INV-00593</t>
  </si>
  <si>
    <t>INV-00594</t>
  </si>
  <si>
    <t>SUP03-INV-00594</t>
  </si>
  <si>
    <t>INV-00595</t>
  </si>
  <si>
    <t>SUP06-INV-00595</t>
  </si>
  <si>
    <t>INV-00596</t>
  </si>
  <si>
    <t>SUP17-INV-00596</t>
  </si>
  <si>
    <t>INV-00597</t>
  </si>
  <si>
    <t>SUP15-INV-00597</t>
  </si>
  <si>
    <t>INV-00598</t>
  </si>
  <si>
    <t>SUP17-INV-00598</t>
  </si>
  <si>
    <t>INV-00599</t>
  </si>
  <si>
    <t>SUP10-INV-00599</t>
  </si>
  <si>
    <t>INV-00600</t>
  </si>
  <si>
    <t>SUP08-INV-00600</t>
  </si>
  <si>
    <t>INV-00601</t>
  </si>
  <si>
    <t>SUP05-INV-00601</t>
  </si>
  <si>
    <t>INV-00602</t>
  </si>
  <si>
    <t>SUP09-INV-00602</t>
  </si>
  <si>
    <t>INV-00603</t>
  </si>
  <si>
    <t>SUP14-INV-00603</t>
  </si>
  <si>
    <t>INV-00604</t>
  </si>
  <si>
    <t>SUP09-INV-00604</t>
  </si>
  <si>
    <t>INV-00605</t>
  </si>
  <si>
    <t>SUP08-INV-00605</t>
  </si>
  <si>
    <t>INV-00606</t>
  </si>
  <si>
    <t>SUP07-INV-00606</t>
  </si>
  <si>
    <t>INV-00607</t>
  </si>
  <si>
    <t>SUP04-INV-00607</t>
  </si>
  <si>
    <t>INV-00608</t>
  </si>
  <si>
    <t>SUP13-INV-00608</t>
  </si>
  <si>
    <t>INV-00609</t>
  </si>
  <si>
    <t>SUP03-INV-00609</t>
  </si>
  <si>
    <t>INV-00610</t>
  </si>
  <si>
    <t>SUP15-INV-00610</t>
  </si>
  <si>
    <t>INV-00611</t>
  </si>
  <si>
    <t>SUP16-INV-00611</t>
  </si>
  <si>
    <t>SUP15-INV-00611</t>
  </si>
  <si>
    <t>INV-00612</t>
  </si>
  <si>
    <t>SUP18-INV-00612</t>
  </si>
  <si>
    <t>INV-00613</t>
  </si>
  <si>
    <t>SUP06-INV-00613</t>
  </si>
  <si>
    <t>INV-00614</t>
  </si>
  <si>
    <t>SUP16-INV-00614</t>
  </si>
  <si>
    <t>INV-00615</t>
  </si>
  <si>
    <t>SUP05-INV-00615</t>
  </si>
  <si>
    <t>INV-00616</t>
  </si>
  <si>
    <t>SUP08-INV-00616</t>
  </si>
  <si>
    <t>INV-00617</t>
  </si>
  <si>
    <t>SUP13-INV-00617</t>
  </si>
  <si>
    <t>INV-00618</t>
  </si>
  <si>
    <t>SUP05-INV-00618</t>
  </si>
  <si>
    <t>INV-00619</t>
  </si>
  <si>
    <t>SUP12-INV-00619</t>
  </si>
  <si>
    <t>INV-00620</t>
  </si>
  <si>
    <t>SUP16-INV-00620</t>
  </si>
  <si>
    <t>INV-00621</t>
  </si>
  <si>
    <t>SUP01-INV-00621</t>
  </si>
  <si>
    <t>INV-00622</t>
  </si>
  <si>
    <t>SUP14-INV-00622</t>
  </si>
  <si>
    <t>INV-00623</t>
  </si>
  <si>
    <t>SUP11-INV-00623</t>
  </si>
  <si>
    <t>INV-00624</t>
  </si>
  <si>
    <t>SUP06-INV-00624</t>
  </si>
  <si>
    <t>INV-00625</t>
  </si>
  <si>
    <t>SUP18-INV-00625</t>
  </si>
  <si>
    <t>INV-00626</t>
  </si>
  <si>
    <t>SUP04-INV-00626</t>
  </si>
  <si>
    <t>INV-00627</t>
  </si>
  <si>
    <t>SUP01-INV-00627</t>
  </si>
  <si>
    <t>INV-00628</t>
  </si>
  <si>
    <t>SUP18-INV-00628</t>
  </si>
  <si>
    <t>INV-00629</t>
  </si>
  <si>
    <t>SUP05-INV-00629</t>
  </si>
  <si>
    <t>INV-00630</t>
  </si>
  <si>
    <t>SUP03-INV-00630</t>
  </si>
  <si>
    <t>INV-00631</t>
  </si>
  <si>
    <t>SUP08-INV-00631</t>
  </si>
  <si>
    <t>INV-00632</t>
  </si>
  <si>
    <t>SUP05-INV-00632</t>
  </si>
  <si>
    <t>INV-00633</t>
  </si>
  <si>
    <t>SUP06-INV-00633</t>
  </si>
  <si>
    <t>INV-00634</t>
  </si>
  <si>
    <t>SUP02-INV-00634</t>
  </si>
  <si>
    <t>INV-00635</t>
  </si>
  <si>
    <t>SUP14-INV-00635</t>
  </si>
  <si>
    <t>INV-00636</t>
  </si>
  <si>
    <t>SUP15-INV-00636</t>
  </si>
  <si>
    <t>INV-00637</t>
  </si>
  <si>
    <t>SUP01-INV-00637</t>
  </si>
  <si>
    <t>INV-00638</t>
  </si>
  <si>
    <t>SUP13-INV-00638</t>
  </si>
  <si>
    <t>INV-00639</t>
  </si>
  <si>
    <t>SUP11-INV-00639</t>
  </si>
  <si>
    <t>INV-00640</t>
  </si>
  <si>
    <t>SUP02-INV-00640</t>
  </si>
  <si>
    <t>INV-00641</t>
  </si>
  <si>
    <t>SUP14-INV-00641</t>
  </si>
  <si>
    <t>INV-00642</t>
  </si>
  <si>
    <t>SUP03-INV-00642</t>
  </si>
  <si>
    <t>INV-00643</t>
  </si>
  <si>
    <t>SUP07-INV-00643</t>
  </si>
  <si>
    <t>INV-00644</t>
  </si>
  <si>
    <t>SUP14-INV-00644</t>
  </si>
  <si>
    <t>INV-00645</t>
  </si>
  <si>
    <t>SUP13-INV-00645</t>
  </si>
  <si>
    <t>INV-00646</t>
  </si>
  <si>
    <t>SUP03-INV-00646</t>
  </si>
  <si>
    <t>INV-00647</t>
  </si>
  <si>
    <t>SUP10-INV-00647</t>
  </si>
  <si>
    <t>INV-00648</t>
  </si>
  <si>
    <t>SUP13-INV-00648</t>
  </si>
  <si>
    <t>INV-00649</t>
  </si>
  <si>
    <t>SUP04-INV-00649</t>
  </si>
  <si>
    <t>INV-00650</t>
  </si>
  <si>
    <t>SUP14-INV-00650</t>
  </si>
  <si>
    <t>INV-00651</t>
  </si>
  <si>
    <t>SUP15-INV-00651</t>
  </si>
  <si>
    <t>INV-00652</t>
  </si>
  <si>
    <t>SUP09-INV-00652</t>
  </si>
  <si>
    <t>INV-00653</t>
  </si>
  <si>
    <t>SUP11-INV-00653</t>
  </si>
  <si>
    <t>INV-00654</t>
  </si>
  <si>
    <t>SUP02-INV-00654</t>
  </si>
  <si>
    <t>INV-00655</t>
  </si>
  <si>
    <t>SUP16-INV-00655</t>
  </si>
  <si>
    <t>INV-00656</t>
  </si>
  <si>
    <t>SUP01-INV-00656</t>
  </si>
  <si>
    <t>INV-00657</t>
  </si>
  <si>
    <t>SUP17-INV-00657</t>
  </si>
  <si>
    <t>INV-00658</t>
  </si>
  <si>
    <t>SUP03-INV-00658</t>
  </si>
  <si>
    <t>INV-00659</t>
  </si>
  <si>
    <t>SUP13-INV-00659</t>
  </si>
  <si>
    <t>INV-00661</t>
  </si>
  <si>
    <t>SUP11-INV-00661</t>
  </si>
  <si>
    <t>INV-00662</t>
  </si>
  <si>
    <t>SUP01-INV-00662</t>
  </si>
  <si>
    <t>INV-00663</t>
  </si>
  <si>
    <t>SUP16-INV-00663</t>
  </si>
  <si>
    <t>INV-00664</t>
  </si>
  <si>
    <t>SUP06-INV-00664</t>
  </si>
  <si>
    <t>INV-00665</t>
  </si>
  <si>
    <t>SUP05-INV-00665</t>
  </si>
  <si>
    <t>INV-00666</t>
  </si>
  <si>
    <t>SUP09-INV-00666</t>
  </si>
  <si>
    <t>INV-00667</t>
  </si>
  <si>
    <t>SUP01-INV-00667</t>
  </si>
  <si>
    <t>INV-00668</t>
  </si>
  <si>
    <t>SUP09-INV-00668</t>
  </si>
  <si>
    <t>INV-00669</t>
  </si>
  <si>
    <t>SUP14-INV-00669</t>
  </si>
  <si>
    <t>INV-00670</t>
  </si>
  <si>
    <t>SUP10-INV-00670</t>
  </si>
  <si>
    <t>INV-00671</t>
  </si>
  <si>
    <t>SUP16-INV-00671</t>
  </si>
  <si>
    <t>INV-00672</t>
  </si>
  <si>
    <t>SUP04-INV-00672</t>
  </si>
  <si>
    <t>INV-00673</t>
  </si>
  <si>
    <t>SUP15-INV-00673</t>
  </si>
  <si>
    <t>INV-00674</t>
  </si>
  <si>
    <t>SUP17-INV-00674</t>
  </si>
  <si>
    <t>INV-00675</t>
  </si>
  <si>
    <t>SUP16-INV-00675</t>
  </si>
  <si>
    <t>INV-00676</t>
  </si>
  <si>
    <t>SUP09-INV-00676</t>
  </si>
  <si>
    <t>INV-00677</t>
  </si>
  <si>
    <t>SUP15-INV-00677</t>
  </si>
  <si>
    <t>INV-00678</t>
  </si>
  <si>
    <t>SUP10-INV-00678</t>
  </si>
  <si>
    <t>INV-00679</t>
  </si>
  <si>
    <t>SUP04-INV-00679</t>
  </si>
  <si>
    <t>INV-00680</t>
  </si>
  <si>
    <t>SUP09-INV-00680</t>
  </si>
  <si>
    <t>INV-00681</t>
  </si>
  <si>
    <t>SUP08-INV-00681</t>
  </si>
  <si>
    <t>INV-00682</t>
  </si>
  <si>
    <t>SUP01-INV-00682</t>
  </si>
  <si>
    <t>INV-00683</t>
  </si>
  <si>
    <t>SUP16-INV-00683</t>
  </si>
  <si>
    <t>INV-00684</t>
  </si>
  <si>
    <t>SUP09-INV-00684</t>
  </si>
  <si>
    <t>INV-00685</t>
  </si>
  <si>
    <t>SUP06-INV-00685</t>
  </si>
  <si>
    <t>INV-00686</t>
  </si>
  <si>
    <t>SUP17-INV-00686</t>
  </si>
  <si>
    <t>INV-00687</t>
  </si>
  <si>
    <t>SUP16-INV-00687</t>
  </si>
  <si>
    <t>INV-00688</t>
  </si>
  <si>
    <t>SUP15-INV-00688</t>
  </si>
  <si>
    <t>INV-00689</t>
  </si>
  <si>
    <t>SUP12-INV-00689</t>
  </si>
  <si>
    <t>INV-00690</t>
  </si>
  <si>
    <t>SUP15-INV-00690</t>
  </si>
  <si>
    <t>INV-00691</t>
  </si>
  <si>
    <t>SUP03-INV-00691</t>
  </si>
  <si>
    <t>INV-00692</t>
  </si>
  <si>
    <t>SUP06-INV-00692</t>
  </si>
  <si>
    <t>INV-00693</t>
  </si>
  <si>
    <t>SUP15-INV-00693</t>
  </si>
  <si>
    <t>INV-00694</t>
  </si>
  <si>
    <t>SUP17-INV-00694</t>
  </si>
  <si>
    <t>INV-00695</t>
  </si>
  <si>
    <t>SUP05-INV-00695</t>
  </si>
  <si>
    <t>INV-00696</t>
  </si>
  <si>
    <t>SUP04-INV-00696</t>
  </si>
  <si>
    <t>INV-00697</t>
  </si>
  <si>
    <t>SUP10-INV-00697</t>
  </si>
  <si>
    <t>INV-00698</t>
  </si>
  <si>
    <t>SUP15-INV-00698</t>
  </si>
  <si>
    <t>INV-00699</t>
  </si>
  <si>
    <t>SUP06-INV-00699</t>
  </si>
  <si>
    <t>INV-00700</t>
  </si>
  <si>
    <t>SUP12-INV-00700</t>
  </si>
  <si>
    <t>INV-00701</t>
  </si>
  <si>
    <t>SUP17-INV-00701</t>
  </si>
  <si>
    <t>INV-00702</t>
  </si>
  <si>
    <t>SUP08-INV-00702</t>
  </si>
  <si>
    <t>INV-00703</t>
  </si>
  <si>
    <t>SUP08-INV-00703</t>
  </si>
  <si>
    <t>INV-00704</t>
  </si>
  <si>
    <t>SUP13-INV-00704</t>
  </si>
  <si>
    <t>INV-00705</t>
  </si>
  <si>
    <t>SUP13-INV-00705</t>
  </si>
  <si>
    <t>INV-00706</t>
  </si>
  <si>
    <t>SUP08-INV-00706</t>
  </si>
  <si>
    <t>INV-00707</t>
  </si>
  <si>
    <t>SUP09-INV-00707</t>
  </si>
  <si>
    <t>INV-00708</t>
  </si>
  <si>
    <t>SUP15-INV-00708</t>
  </si>
  <si>
    <t>INV-00709</t>
  </si>
  <si>
    <t>SUP07-INV-00709</t>
  </si>
  <si>
    <t>INV-00710</t>
  </si>
  <si>
    <t>SUP02-INV-00710</t>
  </si>
  <si>
    <t>INV-00711</t>
  </si>
  <si>
    <t>SUP02-INV-00711</t>
  </si>
  <si>
    <t>INV-00712</t>
  </si>
  <si>
    <t>SUP04-INV-00712</t>
  </si>
  <si>
    <t>INV-00713</t>
  </si>
  <si>
    <t>SUP15-INV-00713</t>
  </si>
  <si>
    <t>INV-00714</t>
  </si>
  <si>
    <t>SUP02-INV-00714</t>
  </si>
  <si>
    <t>INV-00715</t>
  </si>
  <si>
    <t>SUP15-INV-00715</t>
  </si>
  <si>
    <t>INV-00716</t>
  </si>
  <si>
    <t>SUP13-INV-00716</t>
  </si>
  <si>
    <t>INV-00717</t>
  </si>
  <si>
    <t>SUP02-INV-00717</t>
  </si>
  <si>
    <t>INV-00718</t>
  </si>
  <si>
    <t>SUP01-INV-00718</t>
  </si>
  <si>
    <t>INV-00719</t>
  </si>
  <si>
    <t>SUP01-INV-00719</t>
  </si>
  <si>
    <t>INV-00720</t>
  </si>
  <si>
    <t>SUP18-INV-00720</t>
  </si>
  <si>
    <t>INV-00721</t>
  </si>
  <si>
    <t>SUP08-INV-00721</t>
  </si>
  <si>
    <t>INV-00722</t>
  </si>
  <si>
    <t>SUP10-INV-00722</t>
  </si>
  <si>
    <t>INV-00723</t>
  </si>
  <si>
    <t>SUP02-INV-00723</t>
  </si>
  <si>
    <t>INV-00724</t>
  </si>
  <si>
    <t>SUP04-INV-00724</t>
  </si>
  <si>
    <t>INV-00725</t>
  </si>
  <si>
    <t>SUP09-INV-00725</t>
  </si>
  <si>
    <t>INV-00726</t>
  </si>
  <si>
    <t>SUP10-INV-00726</t>
  </si>
  <si>
    <t>INV-00727</t>
  </si>
  <si>
    <t>SUP09-INV-00727</t>
  </si>
  <si>
    <t>INV-00728</t>
  </si>
  <si>
    <t>SUP16-INV-00728</t>
  </si>
  <si>
    <t>INV-00729</t>
  </si>
  <si>
    <t>SUP16-INV-00729</t>
  </si>
  <si>
    <t>INV-00730</t>
  </si>
  <si>
    <t>SUP16-INV-00730</t>
  </si>
  <si>
    <t>INV-00731</t>
  </si>
  <si>
    <t>SUP16-INV-00731</t>
  </si>
  <si>
    <t>INV-00732</t>
  </si>
  <si>
    <t>SUP04-INV-00732</t>
  </si>
  <si>
    <t>INV-00733</t>
  </si>
  <si>
    <t>SUP16-INV-00733</t>
  </si>
  <si>
    <t>INV-00734</t>
  </si>
  <si>
    <t>SUP03-INV-00734</t>
  </si>
  <si>
    <t>INV-00735</t>
  </si>
  <si>
    <t>SUP09-INV-00735</t>
  </si>
  <si>
    <t>INV-00736</t>
  </si>
  <si>
    <t>SUP09-INV-00736</t>
  </si>
  <si>
    <t>INV-00737</t>
  </si>
  <si>
    <t>SUP04-INV-00737</t>
  </si>
  <si>
    <t>INV-00738</t>
  </si>
  <si>
    <t>SUP09-INV-00738</t>
  </si>
  <si>
    <t>INV-00739</t>
  </si>
  <si>
    <t>SUP14-INV-00739</t>
  </si>
  <si>
    <t>INV-00740</t>
  </si>
  <si>
    <t>SUP04-INV-00740</t>
  </si>
  <si>
    <t>INV-00741</t>
  </si>
  <si>
    <t>SUP06-INV-00741</t>
  </si>
  <si>
    <t>INV-00742</t>
  </si>
  <si>
    <t>SUP04-INV-00742</t>
  </si>
  <si>
    <t>INV-00743</t>
  </si>
  <si>
    <t>SUP04-INV-00743</t>
  </si>
  <si>
    <t>INV-00744</t>
  </si>
  <si>
    <t>SUP14-INV-00744</t>
  </si>
  <si>
    <t>INV-00746</t>
  </si>
  <si>
    <t>SUP04-INV-00746</t>
  </si>
  <si>
    <t>INV-00747</t>
  </si>
  <si>
    <t>SUP02-INV-00747</t>
  </si>
  <si>
    <t>INV-00748</t>
  </si>
  <si>
    <t>SUP05-INV-00748</t>
  </si>
  <si>
    <t>INV-00749</t>
  </si>
  <si>
    <t>SUP08-INV-00749</t>
  </si>
  <si>
    <t>INV-00750</t>
  </si>
  <si>
    <t>SUP13-INV-00750</t>
  </si>
  <si>
    <t>INV-00751</t>
  </si>
  <si>
    <t>SUP16-INV-00751</t>
  </si>
  <si>
    <t>INV-00752</t>
  </si>
  <si>
    <t>SUP13-INV-00752</t>
  </si>
  <si>
    <t>INV-00753</t>
  </si>
  <si>
    <t>SUP01-INV-00753</t>
  </si>
  <si>
    <t>INV-00754</t>
  </si>
  <si>
    <t>SUP10-INV-00754</t>
  </si>
  <si>
    <t>INV-00755</t>
  </si>
  <si>
    <t>SUP01-INV-00755</t>
  </si>
  <si>
    <t>INV-00756</t>
  </si>
  <si>
    <t>SUP05-INV-00756</t>
  </si>
  <si>
    <t>INV-00757</t>
  </si>
  <si>
    <t>SUP12-INV-00757</t>
  </si>
  <si>
    <t>SUP07-INV-00757</t>
  </si>
  <si>
    <t>INV-00758</t>
  </si>
  <si>
    <t>SUP09-INV-00758</t>
  </si>
  <si>
    <t>INV-00759</t>
  </si>
  <si>
    <t>SUP17-INV-00759</t>
  </si>
  <si>
    <t>INV-00760</t>
  </si>
  <si>
    <t>SUP02-INV-00760</t>
  </si>
  <si>
    <t>INV-00761</t>
  </si>
  <si>
    <t>SUP05-INV-00761</t>
  </si>
  <si>
    <t>INV-00762</t>
  </si>
  <si>
    <t>SUP02-INV-00762</t>
  </si>
  <si>
    <t>INV-00763</t>
  </si>
  <si>
    <t>SUP01-INV-00763</t>
  </si>
  <si>
    <t>INV-00764</t>
  </si>
  <si>
    <t>SUP18-INV-00764</t>
  </si>
  <si>
    <t>INV-00765</t>
  </si>
  <si>
    <t>SUP10-INV-00765</t>
  </si>
  <si>
    <t>INV-00766</t>
  </si>
  <si>
    <t>SUP13-INV-00766</t>
  </si>
  <si>
    <t>INV-00767</t>
  </si>
  <si>
    <t>SUP11-INV-00767</t>
  </si>
  <si>
    <t>INV-00768</t>
  </si>
  <si>
    <t>SUP05-INV-00768</t>
  </si>
  <si>
    <t>INV-00769</t>
  </si>
  <si>
    <t>SUP14-INV-00769</t>
  </si>
  <si>
    <t>INV-00770</t>
  </si>
  <si>
    <t>SUP08-INV-00770</t>
  </si>
  <si>
    <t>INV-00771</t>
  </si>
  <si>
    <t>SUP14-INV-00771</t>
  </si>
  <si>
    <t>INV-00772</t>
  </si>
  <si>
    <t>SUP04-INV-00772</t>
  </si>
  <si>
    <t>INV-00773</t>
  </si>
  <si>
    <t>SUP09-INV-00773</t>
  </si>
  <si>
    <t>INV-00774</t>
  </si>
  <si>
    <t>SUP01-INV-00774</t>
  </si>
  <si>
    <t>INV-00775</t>
  </si>
  <si>
    <t>SUP08-INV-00775</t>
  </si>
  <si>
    <t>INV-00776</t>
  </si>
  <si>
    <t>SUP09-INV-00776</t>
  </si>
  <si>
    <t>INV-00777</t>
  </si>
  <si>
    <t>SUP11-INV-00777</t>
  </si>
  <si>
    <t>INV-00778</t>
  </si>
  <si>
    <t>SUP07-INV-00778</t>
  </si>
  <si>
    <t>INV-00779</t>
  </si>
  <si>
    <t>SUP16-INV-00779</t>
  </si>
  <si>
    <t>INV-00780</t>
  </si>
  <si>
    <t>SUP08-INV-00780</t>
  </si>
  <si>
    <t>INV-00781</t>
  </si>
  <si>
    <t>SUP04-INV-00781</t>
  </si>
  <si>
    <t>INV-00782</t>
  </si>
  <si>
    <t>SUP17-INV-00782</t>
  </si>
  <si>
    <t>INV-00783</t>
  </si>
  <si>
    <t>SUP16-INV-00783</t>
  </si>
  <si>
    <t>INV-00784</t>
  </si>
  <si>
    <t>SUP09-INV-00784</t>
  </si>
  <si>
    <t>INV-00785</t>
  </si>
  <si>
    <t>SUP12-INV-00785</t>
  </si>
  <si>
    <t>INV-00786</t>
  </si>
  <si>
    <t>SUP09-INV-00786</t>
  </si>
  <si>
    <t>INV-00787</t>
  </si>
  <si>
    <t>SUP11-INV-00787</t>
  </si>
  <si>
    <t>INV-00788</t>
  </si>
  <si>
    <t>SUP04-INV-00788</t>
  </si>
  <si>
    <t>INV-00789</t>
  </si>
  <si>
    <t>SUP06-INV-00789</t>
  </si>
  <si>
    <t>INV-00790</t>
  </si>
  <si>
    <t>SUP14-INV-00790</t>
  </si>
  <si>
    <t>INV-00791</t>
  </si>
  <si>
    <t>SUP08-INV-00791</t>
  </si>
  <si>
    <t>INV-00792</t>
  </si>
  <si>
    <t>SUP07-INV-00792</t>
  </si>
  <si>
    <t>INV-00793</t>
  </si>
  <si>
    <t>SUP11-INV-00793</t>
  </si>
  <si>
    <t>INV-00794</t>
  </si>
  <si>
    <t>SUP07-INV-00794</t>
  </si>
  <si>
    <t>INV-00795</t>
  </si>
  <si>
    <t>SUP07-INV-00795</t>
  </si>
  <si>
    <t>INV-00796</t>
  </si>
  <si>
    <t>SUP18-INV-00796</t>
  </si>
  <si>
    <t>INV-00797</t>
  </si>
  <si>
    <t>SUP02-INV-00797</t>
  </si>
  <si>
    <t>INV-00798</t>
  </si>
  <si>
    <t>SUP02-INV-00798</t>
  </si>
  <si>
    <t>INV-00799</t>
  </si>
  <si>
    <t>SUP07-INV-00799</t>
  </si>
  <si>
    <t>INV-00800</t>
  </si>
  <si>
    <t>SUP09-INV-00800</t>
  </si>
  <si>
    <t>INV-00801</t>
  </si>
  <si>
    <t>SUP04-INV-00801</t>
  </si>
  <si>
    <t>INV-00802</t>
  </si>
  <si>
    <t>SUP05-INV-00802</t>
  </si>
  <si>
    <t>INV-00803</t>
  </si>
  <si>
    <t>SUP06-INV-00803</t>
  </si>
  <si>
    <t>INV-00804</t>
  </si>
  <si>
    <t>SUP07-INV-00804</t>
  </si>
  <si>
    <t>INV-00805</t>
  </si>
  <si>
    <t>SUP10-INV-00805</t>
  </si>
  <si>
    <t>INV-00806</t>
  </si>
  <si>
    <t>SUP01-INV-00806</t>
  </si>
  <si>
    <t>INV-00807</t>
  </si>
  <si>
    <t>SUP01-INV-00807</t>
  </si>
  <si>
    <t>INV-00808</t>
  </si>
  <si>
    <t>SUP01-INV-00808</t>
  </si>
  <si>
    <t>INV-00809</t>
  </si>
  <si>
    <t>SUP04-INV-00809</t>
  </si>
  <si>
    <t>INV-00810</t>
  </si>
  <si>
    <t>SUP14-INV-00810</t>
  </si>
  <si>
    <t>INV-00811</t>
  </si>
  <si>
    <t>SUP09-INV-00811</t>
  </si>
  <si>
    <t>INV-00812</t>
  </si>
  <si>
    <t>SUP16-INV-00812</t>
  </si>
  <si>
    <t>INV-00813</t>
  </si>
  <si>
    <t>SUP13-INV-00813</t>
  </si>
  <si>
    <t>INV-00814</t>
  </si>
  <si>
    <t>SUP15-INV-00814</t>
  </si>
  <si>
    <t>INV-00815</t>
  </si>
  <si>
    <t>SUP15-INV-00815</t>
  </si>
  <si>
    <t>INV-00816</t>
  </si>
  <si>
    <t>SUP15-INV-00816</t>
  </si>
  <si>
    <t>INV-00817</t>
  </si>
  <si>
    <t>SUP14-INV-00817</t>
  </si>
  <si>
    <t>INV-00818</t>
  </si>
  <si>
    <t>SUP06-INV-00818</t>
  </si>
  <si>
    <t>INV-00819</t>
  </si>
  <si>
    <t>SUP01-INV-00819</t>
  </si>
  <si>
    <t>INV-00820</t>
  </si>
  <si>
    <t>SUP05-INV-00820</t>
  </si>
  <si>
    <t>INV-00821</t>
  </si>
  <si>
    <t>SUP09-INV-00821</t>
  </si>
  <si>
    <t>INV-00822</t>
  </si>
  <si>
    <t>SUP11-INV-00822</t>
  </si>
  <si>
    <t>INV-00823</t>
  </si>
  <si>
    <t>SUP01-INV-00823</t>
  </si>
  <si>
    <t>INV-00824</t>
  </si>
  <si>
    <t>SUP01-INV-00824</t>
  </si>
  <si>
    <t>INV-00825</t>
  </si>
  <si>
    <t>SUP13-INV-00825</t>
  </si>
  <si>
    <t>INV-00826</t>
  </si>
  <si>
    <t>SUP03-INV-00826</t>
  </si>
  <si>
    <t>INV-00827</t>
  </si>
  <si>
    <t>SUP16-INV-00827</t>
  </si>
  <si>
    <t>INV-00828</t>
  </si>
  <si>
    <t>SUP09-INV-00828</t>
  </si>
  <si>
    <t>INV-00829</t>
  </si>
  <si>
    <t>SUP03-INV-00829</t>
  </si>
  <si>
    <t>INV-00830</t>
  </si>
  <si>
    <t>SUP08-INV-00830</t>
  </si>
  <si>
    <t>INV-00831</t>
  </si>
  <si>
    <t>SUP17-INV-00831</t>
  </si>
  <si>
    <t>INV-00832</t>
  </si>
  <si>
    <t>SUP08-INV-00832</t>
  </si>
  <si>
    <t>INV-00833</t>
  </si>
  <si>
    <t>SUP01-INV-00833</t>
  </si>
  <si>
    <t>INV-00834</t>
  </si>
  <si>
    <t>SUP16-INV-00834</t>
  </si>
  <si>
    <t>INV-00835</t>
  </si>
  <si>
    <t>SUP14-INV-00835</t>
  </si>
  <si>
    <t>INV-00836</t>
  </si>
  <si>
    <t>SUP09-INV-00836</t>
  </si>
  <si>
    <t>INV-00837</t>
  </si>
  <si>
    <t>SUP08-INV-00837</t>
  </si>
  <si>
    <t>INV-00838</t>
  </si>
  <si>
    <t>SUP16-INV-00838</t>
  </si>
  <si>
    <t>INV-00839</t>
  </si>
  <si>
    <t>SUP01-INV-00839</t>
  </si>
  <si>
    <t>INV-00840</t>
  </si>
  <si>
    <t>SUP01-INV-00840</t>
  </si>
  <si>
    <t>INV-00841</t>
  </si>
  <si>
    <t>SUP13-INV-00841</t>
  </si>
  <si>
    <t>INV-00842</t>
  </si>
  <si>
    <t>SUP01-INV-00842</t>
  </si>
  <si>
    <t>SUP12-INV-00842</t>
  </si>
  <si>
    <t>INV-00843</t>
  </si>
  <si>
    <t>SUP15-INV-00843</t>
  </si>
  <si>
    <t>INV-00844</t>
  </si>
  <si>
    <t>SUP05-INV-00844</t>
  </si>
  <si>
    <t>INV-00845</t>
  </si>
  <si>
    <t>SUP18-INV-00845</t>
  </si>
  <si>
    <t>INV-00846</t>
  </si>
  <si>
    <t>SUP18-INV-00846</t>
  </si>
  <si>
    <t>INV-00847</t>
  </si>
  <si>
    <t>SUP16-INV-00847</t>
  </si>
  <si>
    <t>INV-00848</t>
  </si>
  <si>
    <t>SUP09-INV-00848</t>
  </si>
  <si>
    <t>INV-00849</t>
  </si>
  <si>
    <t>SUP08-INV-00849</t>
  </si>
  <si>
    <t>INV-00850</t>
  </si>
  <si>
    <t>SUP05-INV-00850</t>
  </si>
  <si>
    <t>INV-00851</t>
  </si>
  <si>
    <t>SUP06-INV-00851</t>
  </si>
  <si>
    <t>INV-00852</t>
  </si>
  <si>
    <t>SUP05-INV-00852</t>
  </si>
  <si>
    <t>INV-00853</t>
  </si>
  <si>
    <t>SUP05-INV-00853</t>
  </si>
  <si>
    <t>INV-00854</t>
  </si>
  <si>
    <t>SUP12-INV-00854</t>
  </si>
  <si>
    <t>INV-00855</t>
  </si>
  <si>
    <t>SUP03-INV-00855</t>
  </si>
  <si>
    <t>INV-00856</t>
  </si>
  <si>
    <t>SUP17-INV-00856</t>
  </si>
  <si>
    <t>INV-00857</t>
  </si>
  <si>
    <t>SUP12-INV-00857</t>
  </si>
  <si>
    <t>INV-00858</t>
  </si>
  <si>
    <t>SUP13-INV-00858</t>
  </si>
  <si>
    <t>INV-00859</t>
  </si>
  <si>
    <t>SUP02-INV-00859</t>
  </si>
  <si>
    <t>INV-00860</t>
  </si>
  <si>
    <t>SUP04-INV-00860</t>
  </si>
  <si>
    <t>INV-00861</t>
  </si>
  <si>
    <t>SUP12-INV-00861</t>
  </si>
  <si>
    <t>INV-00862</t>
  </si>
  <si>
    <t>SUP04-INV-00862</t>
  </si>
  <si>
    <t>INV-00863</t>
  </si>
  <si>
    <t>SUP01-INV-00863</t>
  </si>
  <si>
    <t>INV-00864</t>
  </si>
  <si>
    <t>SUP16-INV-00864</t>
  </si>
  <si>
    <t>INV-00865</t>
  </si>
  <si>
    <t>SUP18-INV-00865</t>
  </si>
  <si>
    <t>INV-00866</t>
  </si>
  <si>
    <t>SUP14-INV-00866</t>
  </si>
  <si>
    <t>INV-00867</t>
  </si>
  <si>
    <t>SUP12-INV-00867</t>
  </si>
  <si>
    <t>INV-00868</t>
  </si>
  <si>
    <t>SUP05-INV-00868</t>
  </si>
  <si>
    <t>INV-00869</t>
  </si>
  <si>
    <t>SUP13-INV-00869</t>
  </si>
  <si>
    <t>INV-00870</t>
  </si>
  <si>
    <t>SUP01-INV-00870</t>
  </si>
  <si>
    <t>INV-00871</t>
  </si>
  <si>
    <t>SUP09-INV-00871</t>
  </si>
  <si>
    <t>INV-00872</t>
  </si>
  <si>
    <t>SUP04-INV-00872</t>
  </si>
  <si>
    <t>INV-00873</t>
  </si>
  <si>
    <t>SUP08-INV-00873</t>
  </si>
  <si>
    <t>INV-00874</t>
  </si>
  <si>
    <t>SUP04-INV-00874</t>
  </si>
  <si>
    <t>INV-00875</t>
  </si>
  <si>
    <t>SUP03-INV-00875</t>
  </si>
  <si>
    <t>INV-00876</t>
  </si>
  <si>
    <t>SUP15-INV-00876</t>
  </si>
  <si>
    <t>INV-00877</t>
  </si>
  <si>
    <t>SUP14-INV-00877</t>
  </si>
  <si>
    <t>INV-00878</t>
  </si>
  <si>
    <t>SUP10-INV-00878</t>
  </si>
  <si>
    <t>INV-00879</t>
  </si>
  <si>
    <t>SUP11-INV-00879</t>
  </si>
  <si>
    <t>INV-00880</t>
  </si>
  <si>
    <t>SUP04-INV-00880</t>
  </si>
  <si>
    <t>INV-00881</t>
  </si>
  <si>
    <t>SUP12-INV-00881</t>
  </si>
  <si>
    <t>INV-00882</t>
  </si>
  <si>
    <t>SUP16-INV-00882</t>
  </si>
  <si>
    <t>INV-00883</t>
  </si>
  <si>
    <t>SUP03-INV-00883</t>
  </si>
  <si>
    <t>INV-00884</t>
  </si>
  <si>
    <t>SUP11-INV-00884</t>
  </si>
  <si>
    <t>INV-00885</t>
  </si>
  <si>
    <t>SUP03-INV-00885</t>
  </si>
  <si>
    <t>INV-00886</t>
  </si>
  <si>
    <t>SUP01-INV-00886</t>
  </si>
  <si>
    <t>INV-00887</t>
  </si>
  <si>
    <t>SUP10-INV-00887</t>
  </si>
  <si>
    <t>INV-00888</t>
  </si>
  <si>
    <t>SUP10-INV-00888</t>
  </si>
  <si>
    <t>INV-00889</t>
  </si>
  <si>
    <t>SUP16-INV-00889</t>
  </si>
  <si>
    <t>INV-00890</t>
  </si>
  <si>
    <t>SUP16-INV-00890</t>
  </si>
  <si>
    <t>INV-00891</t>
  </si>
  <si>
    <t>SUP04-INV-00891</t>
  </si>
  <si>
    <t>INV-00892</t>
  </si>
  <si>
    <t>SUP01-INV-00892</t>
  </si>
  <si>
    <t>INV-00893</t>
  </si>
  <si>
    <t>SUP03-INV-00893</t>
  </si>
  <si>
    <t>INV-00894</t>
  </si>
  <si>
    <t>SUP03-INV-00894</t>
  </si>
  <si>
    <t>INV-00895</t>
  </si>
  <si>
    <t>SUP09-INV-00895</t>
  </si>
  <si>
    <t>INV-00896</t>
  </si>
  <si>
    <t>SUP08-INV-00896</t>
  </si>
  <si>
    <t>INV-00897</t>
  </si>
  <si>
    <t>SUP16-INV-00897</t>
  </si>
  <si>
    <t>INV-00898</t>
  </si>
  <si>
    <t>SUP08-INV-00898</t>
  </si>
  <si>
    <t>INV-00899</t>
  </si>
  <si>
    <t>SUP12-INV-00899</t>
  </si>
  <si>
    <t>INV-00900</t>
  </si>
  <si>
    <t>SUP14-INV-00900</t>
  </si>
  <si>
    <t>INV-00901</t>
  </si>
  <si>
    <t>SUP17-INV-00901</t>
  </si>
  <si>
    <t>INV-00902</t>
  </si>
  <si>
    <t>SUP18-INV-00902</t>
  </si>
  <si>
    <t>INV-00903</t>
  </si>
  <si>
    <t>SUP04-INV-00903</t>
  </si>
  <si>
    <t>INV-00904</t>
  </si>
  <si>
    <t>SUP10-INV-00904</t>
  </si>
  <si>
    <t>INV-00905</t>
  </si>
  <si>
    <t>SUP09-INV-00905</t>
  </si>
  <si>
    <t>INV-00906</t>
  </si>
  <si>
    <t>SUP01-INV-00906</t>
  </si>
  <si>
    <t>INV-00907</t>
  </si>
  <si>
    <t>SUP16-INV-00907</t>
  </si>
  <si>
    <t>INV-00908</t>
  </si>
  <si>
    <t>SUP05-INV-00908</t>
  </si>
  <si>
    <t>INV-00909</t>
  </si>
  <si>
    <t>SUP14-INV-00909</t>
  </si>
  <si>
    <t>INV-00910</t>
  </si>
  <si>
    <t>SUP07-INV-00910</t>
  </si>
  <si>
    <t>INV-00911</t>
  </si>
  <si>
    <t>SUP08-INV-00911</t>
  </si>
  <si>
    <t>INV-00912</t>
  </si>
  <si>
    <t>SUP01-INV-00912</t>
  </si>
  <si>
    <t>INV-00913</t>
  </si>
  <si>
    <t>SUP13-INV-00913</t>
  </si>
  <si>
    <t>INV-00914</t>
  </si>
  <si>
    <t>SUP17-INV-00914</t>
  </si>
  <si>
    <t>INV-00915</t>
  </si>
  <si>
    <t>SUP16-INV-00915</t>
  </si>
  <si>
    <t>INV-00916</t>
  </si>
  <si>
    <t>SUP05-INV-00916</t>
  </si>
  <si>
    <t>INV-00917</t>
  </si>
  <si>
    <t>SUP04-INV-00917</t>
  </si>
  <si>
    <t>INV-00918</t>
  </si>
  <si>
    <t>SUP14-INV-00918</t>
  </si>
  <si>
    <t>INV-00919</t>
  </si>
  <si>
    <t>SUP14-INV-00919</t>
  </si>
  <si>
    <t>INV-00920</t>
  </si>
  <si>
    <t>SUP01-INV-00920</t>
  </si>
  <si>
    <t>INV-00921</t>
  </si>
  <si>
    <t>SUP07-INV-00921</t>
  </si>
  <si>
    <t>INV-00922</t>
  </si>
  <si>
    <t>SUP15-INV-00922</t>
  </si>
  <si>
    <t>INV-00923</t>
  </si>
  <si>
    <t>SUP14-INV-00923</t>
  </si>
  <si>
    <t>INV-00924</t>
  </si>
  <si>
    <t>SUP03-INV-00924</t>
  </si>
  <si>
    <t>INV-00925</t>
  </si>
  <si>
    <t>SUP17-INV-00925</t>
  </si>
  <si>
    <t>INV-00926</t>
  </si>
  <si>
    <t>SUP13-INV-00926</t>
  </si>
  <si>
    <t>INV-00927</t>
  </si>
  <si>
    <t>SUP13-INV-00927</t>
  </si>
  <si>
    <t>INV-00928</t>
  </si>
  <si>
    <t>SUP10-INV-00928</t>
  </si>
  <si>
    <t>INV-00929</t>
  </si>
  <si>
    <t>SUP01-INV-00929</t>
  </si>
  <si>
    <t>INV-00930</t>
  </si>
  <si>
    <t>SUP18-INV-00930</t>
  </si>
  <si>
    <t>INV-00931</t>
  </si>
  <si>
    <t>SUP09-INV-00931</t>
  </si>
  <si>
    <t>INV-00932</t>
  </si>
  <si>
    <t>SUP10-INV-00932</t>
  </si>
  <si>
    <t>INV-00933</t>
  </si>
  <si>
    <t>SUP13-INV-00933</t>
  </si>
  <si>
    <t>INV-00934</t>
  </si>
  <si>
    <t>SUP11-INV-00934</t>
  </si>
  <si>
    <t>INV-00935</t>
  </si>
  <si>
    <t>SUP15-INV-00935</t>
  </si>
  <si>
    <t>INV-00936</t>
  </si>
  <si>
    <t>SUP04-INV-00936</t>
  </si>
  <si>
    <t>INV-00937</t>
  </si>
  <si>
    <t>SUP03-INV-00937</t>
  </si>
  <si>
    <t>INV-00938</t>
  </si>
  <si>
    <t>SUP16-INV-00938</t>
  </si>
  <si>
    <t>INV-00939</t>
  </si>
  <si>
    <t>SUP09-INV-00939</t>
  </si>
  <si>
    <t>INV-00940</t>
  </si>
  <si>
    <t>SUP03-INV-00940</t>
  </si>
  <si>
    <t>INV-00941</t>
  </si>
  <si>
    <t>SUP06-INV-00941</t>
  </si>
  <si>
    <t>INV-00942</t>
  </si>
  <si>
    <t>SUP15-INV-00942</t>
  </si>
  <si>
    <t>INV-00943</t>
  </si>
  <si>
    <t>SUP04-INV-00943</t>
  </si>
  <si>
    <t>INV-00944</t>
  </si>
  <si>
    <t>SUP14-INV-00944</t>
  </si>
  <si>
    <t>INV-00945</t>
  </si>
  <si>
    <t>SUP15-INV-00945</t>
  </si>
  <si>
    <t>INV-00946</t>
  </si>
  <si>
    <t>SUP07-INV-00946</t>
  </si>
  <si>
    <t>INV-00947</t>
  </si>
  <si>
    <t>SUP18-INV-00947</t>
  </si>
  <si>
    <t>INV-00948</t>
  </si>
  <si>
    <t>SUP03-INV-00948</t>
  </si>
  <si>
    <t>INV-00949</t>
  </si>
  <si>
    <t>SUP02-INV-00949</t>
  </si>
  <si>
    <t>INV-00950</t>
  </si>
  <si>
    <t>SUP02-INV-00950</t>
  </si>
  <si>
    <t>INV-00951</t>
  </si>
  <si>
    <t>SUP16-INV-00951</t>
  </si>
  <si>
    <t>INV-00952</t>
  </si>
  <si>
    <t>SUP15-INV-00952</t>
  </si>
  <si>
    <t>INV-00953</t>
  </si>
  <si>
    <t>SUP16-INV-00953</t>
  </si>
  <si>
    <t>INV-00954</t>
  </si>
  <si>
    <t>SUP08-INV-00954</t>
  </si>
  <si>
    <t>INV-00955</t>
  </si>
  <si>
    <t>SUP01-INV-00955</t>
  </si>
  <si>
    <t>INV-00956</t>
  </si>
  <si>
    <t>SUP04-INV-00956</t>
  </si>
  <si>
    <t>INV-00957</t>
  </si>
  <si>
    <t>SUP13-INV-00957</t>
  </si>
  <si>
    <t>INV-00958</t>
  </si>
  <si>
    <t>SUP01-INV-00958</t>
  </si>
  <si>
    <t>INV-00959</t>
  </si>
  <si>
    <t>SUP18-INV-00959</t>
  </si>
  <si>
    <t>INV-00960</t>
  </si>
  <si>
    <t>SUP04-INV-00960</t>
  </si>
  <si>
    <t>INV-00961</t>
  </si>
  <si>
    <t>SUP01-INV-00961</t>
  </si>
  <si>
    <t>INV-00962</t>
  </si>
  <si>
    <t>SUP18-INV-00962</t>
  </si>
  <si>
    <t>INV-00963</t>
  </si>
  <si>
    <t>SUP16-INV-00963</t>
  </si>
  <si>
    <t>INV-00964</t>
  </si>
  <si>
    <t>SUP05-INV-00964</t>
  </si>
  <si>
    <t>INV-00965</t>
  </si>
  <si>
    <t>SUP09-INV-00965</t>
  </si>
  <si>
    <t>INV-00966</t>
  </si>
  <si>
    <t>SUP13-INV-00966</t>
  </si>
  <si>
    <t>INV-00967</t>
  </si>
  <si>
    <t>SUP01-INV-00967</t>
  </si>
  <si>
    <t>INV-00968</t>
  </si>
  <si>
    <t>SUP09-INV-00968</t>
  </si>
  <si>
    <t>INV-00969</t>
  </si>
  <si>
    <t>SUP18-INV-00969</t>
  </si>
  <si>
    <t>INV-00970</t>
  </si>
  <si>
    <t>SUP13-INV-00970</t>
  </si>
  <si>
    <t>INV-00971</t>
  </si>
  <si>
    <t>SUP05-INV-00971</t>
  </si>
  <si>
    <t>INV-00972</t>
  </si>
  <si>
    <t>SUP01-INV-00972</t>
  </si>
  <si>
    <t>INV-00973</t>
  </si>
  <si>
    <t>SUP01-INV-00973</t>
  </si>
  <si>
    <t>INV-00974</t>
  </si>
  <si>
    <t>SUP10-INV-00974</t>
  </si>
  <si>
    <t>INV-00975</t>
  </si>
  <si>
    <t>SUP06-INV-00975</t>
  </si>
  <si>
    <t>INV-00976</t>
  </si>
  <si>
    <t>SUP05-INV-00976</t>
  </si>
  <si>
    <t>INV-00977</t>
  </si>
  <si>
    <t>SUP02-INV-00977</t>
  </si>
  <si>
    <t>INV-00978</t>
  </si>
  <si>
    <t>SUP04-INV-00978</t>
  </si>
  <si>
    <t>INV-00979</t>
  </si>
  <si>
    <t>SUP17-INV-00979</t>
  </si>
  <si>
    <t>INV-00980</t>
  </si>
  <si>
    <t>SUP11-INV-00980</t>
  </si>
  <si>
    <t>INV-00981</t>
  </si>
  <si>
    <t>SUP01-INV-00981</t>
  </si>
  <si>
    <t>INV-00982</t>
  </si>
  <si>
    <t>SUP18-INV-00982</t>
  </si>
  <si>
    <t>INV-00983</t>
  </si>
  <si>
    <t>SUP12-INV-00983</t>
  </si>
  <si>
    <t>INV-00984</t>
  </si>
  <si>
    <t>SUP05-INV-00984</t>
  </si>
  <si>
    <t>INV-00985</t>
  </si>
  <si>
    <t>SUP04-INV-00985</t>
  </si>
  <si>
    <t>INV-00986</t>
  </si>
  <si>
    <t>SUP03-INV-00986</t>
  </si>
  <si>
    <t>INV-00987</t>
  </si>
  <si>
    <t>SUP13-INV-00987</t>
  </si>
  <si>
    <t>INV-00988</t>
  </si>
  <si>
    <t>SUP07-INV-00988</t>
  </si>
  <si>
    <t>INV-00989</t>
  </si>
  <si>
    <t>SUP16-INV-00989</t>
  </si>
  <si>
    <t>INV-00990</t>
  </si>
  <si>
    <t>SUP12-INV-00990</t>
  </si>
  <si>
    <t>INV-00991</t>
  </si>
  <si>
    <t>SUP01-INV-00991</t>
  </si>
  <si>
    <t>INV-00993</t>
  </si>
  <si>
    <t>SUP06-INV-00993</t>
  </si>
  <si>
    <t>INV-00994</t>
  </si>
  <si>
    <t>SUP15-INV-00994</t>
  </si>
  <si>
    <t>INV-00995</t>
  </si>
  <si>
    <t>SUP13-INV-00995</t>
  </si>
  <si>
    <t>INV-00996</t>
  </si>
  <si>
    <t>SUP02-INV-00996</t>
  </si>
  <si>
    <t>INV-00997</t>
  </si>
  <si>
    <t>SUP16-INV-00997</t>
  </si>
  <si>
    <t>INV-00998</t>
  </si>
  <si>
    <t>SUP03-INV-00998</t>
  </si>
  <si>
    <t>INV-00999</t>
  </si>
  <si>
    <t>SUP16-INV-00999</t>
  </si>
  <si>
    <t>INV-01000</t>
  </si>
  <si>
    <t>SUP10-INV-01000</t>
  </si>
  <si>
    <t>INV-01001</t>
  </si>
  <si>
    <t>SUP06-INV-01001</t>
  </si>
  <si>
    <t>INV-01002</t>
  </si>
  <si>
    <t>SUP17-INV-01002</t>
  </si>
  <si>
    <t>INV-01003</t>
  </si>
  <si>
    <t>SUP07-INV-01003</t>
  </si>
  <si>
    <t>INV-01004</t>
  </si>
  <si>
    <t>SUP08-INV-01004</t>
  </si>
  <si>
    <t>INV-01005</t>
  </si>
  <si>
    <t>SUP05-INV-01005</t>
  </si>
  <si>
    <t>INV-01006</t>
  </si>
  <si>
    <t>SUP05-INV-01006</t>
  </si>
  <si>
    <t>INV-01007</t>
  </si>
  <si>
    <t>SUP04-INV-01007</t>
  </si>
  <si>
    <t>INV-01008</t>
  </si>
  <si>
    <t>SUP08-INV-01008</t>
  </si>
  <si>
    <t>INV-01009</t>
  </si>
  <si>
    <t>SUP18-INV-01009</t>
  </si>
  <si>
    <t>INV-01010</t>
  </si>
  <si>
    <t>SUP08-INV-01010</t>
  </si>
  <si>
    <t>INV-01011</t>
  </si>
  <si>
    <t>SUP07-INV-01011</t>
  </si>
  <si>
    <t>INV-01012</t>
  </si>
  <si>
    <t>SUP13-INV-01012</t>
  </si>
  <si>
    <t>INV-01013</t>
  </si>
  <si>
    <t>SUP17-INV-01013</t>
  </si>
  <si>
    <t>INV-01014</t>
  </si>
  <si>
    <t>SUP06-INV-01014</t>
  </si>
  <si>
    <t>INV-01015</t>
  </si>
  <si>
    <t>SUP06-INV-01015</t>
  </si>
  <si>
    <t>INV-01016</t>
  </si>
  <si>
    <t>SUP08-INV-01016</t>
  </si>
  <si>
    <t>INV-01017</t>
  </si>
  <si>
    <t>SUP13-INV-01017</t>
  </si>
  <si>
    <t>INV-01018</t>
  </si>
  <si>
    <t>SUP08-INV-01018</t>
  </si>
  <si>
    <t>INV-01019</t>
  </si>
  <si>
    <t>SUP11-INV-01019</t>
  </si>
  <si>
    <t>INV-01020</t>
  </si>
  <si>
    <t>SUP09-INV-01020</t>
  </si>
  <si>
    <t>INV-01021</t>
  </si>
  <si>
    <t>SUP16-INV-01021</t>
  </si>
  <si>
    <t>INV-01022</t>
  </si>
  <si>
    <t>SUP14-INV-01022</t>
  </si>
  <si>
    <t>INV-01023</t>
  </si>
  <si>
    <t>SUP02-INV-01023</t>
  </si>
  <si>
    <t>INV-01024</t>
  </si>
  <si>
    <t>SUP13-INV-01024</t>
  </si>
  <si>
    <t>INV-01025</t>
  </si>
  <si>
    <t>SUP08-INV-01025</t>
  </si>
  <si>
    <t>INV-01026</t>
  </si>
  <si>
    <t>SUP02-INV-01026</t>
  </si>
  <si>
    <t>INV-01027</t>
  </si>
  <si>
    <t>SUP16-INV-01027</t>
  </si>
  <si>
    <t>INV-01028</t>
  </si>
  <si>
    <t>SUP12-INV-01028</t>
  </si>
  <si>
    <t>INV-01029</t>
  </si>
  <si>
    <t>SUP02-INV-01029</t>
  </si>
  <si>
    <t>INV-01030</t>
  </si>
  <si>
    <t>SUP14-INV-01030</t>
  </si>
  <si>
    <t>INV-01031</t>
  </si>
  <si>
    <t>SUP05-INV-01031</t>
  </si>
  <si>
    <t>INV-01032</t>
  </si>
  <si>
    <t>SUP10-INV-01032</t>
  </si>
  <si>
    <t>INV-01033</t>
  </si>
  <si>
    <t>SUP03-INV-01033</t>
  </si>
  <si>
    <t>INV-01034</t>
  </si>
  <si>
    <t>SUP16-INV-01034</t>
  </si>
  <si>
    <t>INV-01035</t>
  </si>
  <si>
    <t>SUP18-INV-01035</t>
  </si>
  <si>
    <t>INV-01036</t>
  </si>
  <si>
    <t>SUP12-INV-01036</t>
  </si>
  <si>
    <t>INV-01037</t>
  </si>
  <si>
    <t>SUP09-INV-01037</t>
  </si>
  <si>
    <t>INV-01038</t>
  </si>
  <si>
    <t>SUP09-INV-01038</t>
  </si>
  <si>
    <t>INV-01039</t>
  </si>
  <si>
    <t>SUP12-INV-01039</t>
  </si>
  <si>
    <t>INV-01040</t>
  </si>
  <si>
    <t>SUP03-INV-01040</t>
  </si>
  <si>
    <t>INV-01041</t>
  </si>
  <si>
    <t>SUP09-INV-01041</t>
  </si>
  <si>
    <t>INV-01042</t>
  </si>
  <si>
    <t>SUP06-INV-01042</t>
  </si>
  <si>
    <t>INV-01043</t>
  </si>
  <si>
    <t>SUP01-INV-01043</t>
  </si>
  <si>
    <t>INV-01044</t>
  </si>
  <si>
    <t>SUP16-INV-01044</t>
  </si>
  <si>
    <t>INV-01045</t>
  </si>
  <si>
    <t>SUP11-INV-01045</t>
  </si>
  <si>
    <t>INV-01046</t>
  </si>
  <si>
    <t>SUP05-INV-01046</t>
  </si>
  <si>
    <t>INV-01047</t>
  </si>
  <si>
    <t>SUP13-INV-01047</t>
  </si>
  <si>
    <t>INV-01048</t>
  </si>
  <si>
    <t>SUP08-INV-01048</t>
  </si>
  <si>
    <t>INV-01049</t>
  </si>
  <si>
    <t>SUP09-INV-01049</t>
  </si>
  <si>
    <t>INV-01050</t>
  </si>
  <si>
    <t>SUP05-INV-01050</t>
  </si>
  <si>
    <t>INV-01051</t>
  </si>
  <si>
    <t>SUP11-INV-01051</t>
  </si>
  <si>
    <t>INV-01052</t>
  </si>
  <si>
    <t>SUP13-INV-01052</t>
  </si>
  <si>
    <t>INV-01053</t>
  </si>
  <si>
    <t>SUP15-INV-01053</t>
  </si>
  <si>
    <t>INV-01054</t>
  </si>
  <si>
    <t>SUP09-INV-01054</t>
  </si>
  <si>
    <t>INV-01055</t>
  </si>
  <si>
    <t>SUP07-INV-01055</t>
  </si>
  <si>
    <t>INV-01056</t>
  </si>
  <si>
    <t>SUP12-INV-01056</t>
  </si>
  <si>
    <t>INV-01057</t>
  </si>
  <si>
    <t>SUP13-INV-01057</t>
  </si>
  <si>
    <t>INV-01058</t>
  </si>
  <si>
    <t>SUP12-INV-01058</t>
  </si>
  <si>
    <t>INV-01059</t>
  </si>
  <si>
    <t>SUP08-INV-01059</t>
  </si>
  <si>
    <t>INV-01060</t>
  </si>
  <si>
    <t>SUP07-INV-01060</t>
  </si>
  <si>
    <t>INV-01061</t>
  </si>
  <si>
    <t>SUP04-INV-01061</t>
  </si>
  <si>
    <t>INV-01062</t>
  </si>
  <si>
    <t>SUP04-INV-01062</t>
  </si>
  <si>
    <t>INV-01063</t>
  </si>
  <si>
    <t>SUP08-INV-01063</t>
  </si>
  <si>
    <t>INV-01064</t>
  </si>
  <si>
    <t>SUP02-INV-01064</t>
  </si>
  <si>
    <t>INV-01065</t>
  </si>
  <si>
    <t>SUP12-INV-01065</t>
  </si>
  <si>
    <t>INV-01066</t>
  </si>
  <si>
    <t>SUP03-INV-01066</t>
  </si>
  <si>
    <t>INV-01067</t>
  </si>
  <si>
    <t>SUP12-INV-01067</t>
  </si>
  <si>
    <t>INV-01068</t>
  </si>
  <si>
    <t>SUP03-INV-01068</t>
  </si>
  <si>
    <t>INV-01069</t>
  </si>
  <si>
    <t>SUP13-INV-01069</t>
  </si>
  <si>
    <t>INV-01070</t>
  </si>
  <si>
    <t>SUP08-INV-01070</t>
  </si>
  <si>
    <t>INV-01071</t>
  </si>
  <si>
    <t>SUP09-INV-01071</t>
  </si>
  <si>
    <t>INV-01072</t>
  </si>
  <si>
    <t>SUP02-INV-01072</t>
  </si>
  <si>
    <t>INV-01073</t>
  </si>
  <si>
    <t>SUP16-INV-01073</t>
  </si>
  <si>
    <t>INV-01074</t>
  </si>
  <si>
    <t>SUP08-INV-01074</t>
  </si>
  <si>
    <t>INV-01075</t>
  </si>
  <si>
    <t>SUP12-INV-01075</t>
  </si>
  <si>
    <t>INV-01076</t>
  </si>
  <si>
    <t>SUP04-INV-01076</t>
  </si>
  <si>
    <t>INV-01077</t>
  </si>
  <si>
    <t>SUP13-INV-01077</t>
  </si>
  <si>
    <t>INV-01078</t>
  </si>
  <si>
    <t>SUP08-INV-01078</t>
  </si>
  <si>
    <t>INV-01079</t>
  </si>
  <si>
    <t>SUP11-INV-01079</t>
  </si>
  <si>
    <t>INV-01080</t>
  </si>
  <si>
    <t>SUP12-INV-01080</t>
  </si>
  <si>
    <t>INV-01081</t>
  </si>
  <si>
    <t>SUP10-INV-01081</t>
  </si>
  <si>
    <t>INV-01082</t>
  </si>
  <si>
    <t>SUP14-INV-01082</t>
  </si>
  <si>
    <t>INV-01083</t>
  </si>
  <si>
    <t>SUP16-INV-01083</t>
  </si>
  <si>
    <t>INV-01084</t>
  </si>
  <si>
    <t>SUP11-INV-01084</t>
  </si>
  <si>
    <t>INV-01085</t>
  </si>
  <si>
    <t>SUP16-INV-01085</t>
  </si>
  <si>
    <t>INV-01086</t>
  </si>
  <si>
    <t>SUP18-INV-01086</t>
  </si>
  <si>
    <t>INV-01087</t>
  </si>
  <si>
    <t>SUP03-INV-01087</t>
  </si>
  <si>
    <t>INV-01088</t>
  </si>
  <si>
    <t>SUP08-INV-01088</t>
  </si>
  <si>
    <t>INV-01089</t>
  </si>
  <si>
    <t>SUP02-INV-01089</t>
  </si>
  <si>
    <t>SUP01-INV-01089</t>
  </si>
  <si>
    <t>INV-01090</t>
  </si>
  <si>
    <t>SUP10-INV-01090</t>
  </si>
  <si>
    <t>INV-01091</t>
  </si>
  <si>
    <t>SUP03-INV-01091</t>
  </si>
  <si>
    <t>INV-01092</t>
  </si>
  <si>
    <t>SUP16-INV-01092</t>
  </si>
  <si>
    <t>INV-01093</t>
  </si>
  <si>
    <t>SUP05-INV-01093</t>
  </si>
  <si>
    <t>INV-01094</t>
  </si>
  <si>
    <t>SUP12-INV-01094</t>
  </si>
  <si>
    <t>INV-01095</t>
  </si>
  <si>
    <t>SUP02-INV-01095</t>
  </si>
  <si>
    <t>INV-01096</t>
  </si>
  <si>
    <t>SUP15-INV-01096</t>
  </si>
  <si>
    <t>INV-01097</t>
  </si>
  <si>
    <t>SUP04-INV-01097</t>
  </si>
  <si>
    <t>INV-01098</t>
  </si>
  <si>
    <t>SUP13-INV-01098</t>
  </si>
  <si>
    <t>INV-01099</t>
  </si>
  <si>
    <t>SUP03-INV-01099</t>
  </si>
  <si>
    <t>INV-01100</t>
  </si>
  <si>
    <t>SUP13-INV-01100</t>
  </si>
  <si>
    <t>INV-01101</t>
  </si>
  <si>
    <t>SUP02-INV-01101</t>
  </si>
  <si>
    <t>INV-01102</t>
  </si>
  <si>
    <t>SUP07-INV-01102</t>
  </si>
  <si>
    <t>INV-01103</t>
  </si>
  <si>
    <t>SUP02-INV-01103</t>
  </si>
  <si>
    <t>INV-01104</t>
  </si>
  <si>
    <t>SUP01-INV-01104</t>
  </si>
  <si>
    <t>INV-01105</t>
  </si>
  <si>
    <t>SUP18-INV-01105</t>
  </si>
  <si>
    <t>INV-01106</t>
  </si>
  <si>
    <t>SUP14-INV-01106</t>
  </si>
  <si>
    <t>INV-01107</t>
  </si>
  <si>
    <t>SUP18-INV-01107</t>
  </si>
  <si>
    <t>INV-01108</t>
  </si>
  <si>
    <t>SUP17-INV-01108</t>
  </si>
  <si>
    <t>INV-01109</t>
  </si>
  <si>
    <t>SUP07-INV-01109</t>
  </si>
  <si>
    <t>INV-01110</t>
  </si>
  <si>
    <t>SUP03-INV-01110</t>
  </si>
  <si>
    <t>INV-01111</t>
  </si>
  <si>
    <t>SUP12-INV-01111</t>
  </si>
  <si>
    <t>INV-01112</t>
  </si>
  <si>
    <t>SUP11-INV-01112</t>
  </si>
  <si>
    <t>INV-01113</t>
  </si>
  <si>
    <t>SUP05-INV-01113</t>
  </si>
  <si>
    <t>INV-01114</t>
  </si>
  <si>
    <t>SUP16-INV-01114</t>
  </si>
  <si>
    <t>INV-01116</t>
  </si>
  <si>
    <t>SUP04-INV-01116</t>
  </si>
  <si>
    <t>INV-01117</t>
  </si>
  <si>
    <t>SUP03-INV-01117</t>
  </si>
  <si>
    <t>INV-01118</t>
  </si>
  <si>
    <t>SUP18-INV-01118</t>
  </si>
  <si>
    <t>INV-01119</t>
  </si>
  <si>
    <t>SUP15-INV-01119</t>
  </si>
  <si>
    <t>INV-01120</t>
  </si>
  <si>
    <t>SUP13-INV-01120</t>
  </si>
  <si>
    <t>INV-01121</t>
  </si>
  <si>
    <t>SUP04-INV-01121</t>
  </si>
  <si>
    <t>INV-01122</t>
  </si>
  <si>
    <t>SUP05-INV-01122</t>
  </si>
  <si>
    <t>INV-01123</t>
  </si>
  <si>
    <t>SUP05-INV-01123</t>
  </si>
  <si>
    <t>INV-01124</t>
  </si>
  <si>
    <t>SUP07-INV-01124</t>
  </si>
  <si>
    <t>INV-01125</t>
  </si>
  <si>
    <t>SUP02-INV-01125</t>
  </si>
  <si>
    <t>INV-01126</t>
  </si>
  <si>
    <t>SUP13-INV-01126</t>
  </si>
  <si>
    <t>INV-01127</t>
  </si>
  <si>
    <t>SUP12-INV-01127</t>
  </si>
  <si>
    <t>INV-01128</t>
  </si>
  <si>
    <t>SUP16-INV-01128</t>
  </si>
  <si>
    <t>INV-01129</t>
  </si>
  <si>
    <t>SUP13-INV-01129</t>
  </si>
  <si>
    <t>INV-01130</t>
  </si>
  <si>
    <t>SUP16-INV-01130</t>
  </si>
  <si>
    <t>INV-01131</t>
  </si>
  <si>
    <t>SUP01-INV-01131</t>
  </si>
  <si>
    <t>INV-01132</t>
  </si>
  <si>
    <t>SUP07-INV-01132</t>
  </si>
  <si>
    <t>INV-01133</t>
  </si>
  <si>
    <t>SUP17-INV-01133</t>
  </si>
  <si>
    <t>INV-01134</t>
  </si>
  <si>
    <t>SUP01-INV-01134</t>
  </si>
  <si>
    <t>INV-01135</t>
  </si>
  <si>
    <t>SUP02-INV-01135</t>
  </si>
  <si>
    <t>INV-01136</t>
  </si>
  <si>
    <t>SUP02-INV-01136</t>
  </si>
  <si>
    <t>INV-01137</t>
  </si>
  <si>
    <t>SUP12-INV-01137</t>
  </si>
  <si>
    <t>INV-01138</t>
  </si>
  <si>
    <t>SUP14-INV-01138</t>
  </si>
  <si>
    <t>INV-01139</t>
  </si>
  <si>
    <t>SUP04-INV-01139</t>
  </si>
  <si>
    <t>INV-01140</t>
  </si>
  <si>
    <t>SUP12-INV-01140</t>
  </si>
  <si>
    <t>INV-01141</t>
  </si>
  <si>
    <t>SUP16-INV-01141</t>
  </si>
  <si>
    <t>INV-01142</t>
  </si>
  <si>
    <t>SUP03-INV-01142</t>
  </si>
  <si>
    <t>INV-01143</t>
  </si>
  <si>
    <t>SUP08-INV-01143</t>
  </si>
  <si>
    <t>INV-01144</t>
  </si>
  <si>
    <t>SUP14-INV-01144</t>
  </si>
  <si>
    <t>INV-01145</t>
  </si>
  <si>
    <t>SUP18-INV-01145</t>
  </si>
  <si>
    <t>INV-01146</t>
  </si>
  <si>
    <t>SUP11-INV-01146</t>
  </si>
  <si>
    <t>INV-01147</t>
  </si>
  <si>
    <t>SUP09-INV-01147</t>
  </si>
  <si>
    <t>INV-01148</t>
  </si>
  <si>
    <t>SUP09-INV-01148</t>
  </si>
  <si>
    <t>INV-01149</t>
  </si>
  <si>
    <t>SUP02-INV-01149</t>
  </si>
  <si>
    <t>INV-01150</t>
  </si>
  <si>
    <t>SUP14-INV-01150</t>
  </si>
  <si>
    <t>INV-01151</t>
  </si>
  <si>
    <t>SUP10-INV-01151</t>
  </si>
  <si>
    <t>INV-01152</t>
  </si>
  <si>
    <t>SUP03-INV-01152</t>
  </si>
  <si>
    <t>INV-01153</t>
  </si>
  <si>
    <t>SUP04-INV-01153</t>
  </si>
  <si>
    <t>INV-01154</t>
  </si>
  <si>
    <t>SUP02-INV-01154</t>
  </si>
  <si>
    <t>INV-01155</t>
  </si>
  <si>
    <t>SUP07-INV-01155</t>
  </si>
  <si>
    <t>INV-01156</t>
  </si>
  <si>
    <t>SUP15-INV-01156</t>
  </si>
  <si>
    <t>INV-01157</t>
  </si>
  <si>
    <t>SUP08-INV-01157</t>
  </si>
  <si>
    <t>INV-01158</t>
  </si>
  <si>
    <t>SUP16-INV-01158</t>
  </si>
  <si>
    <t>INV-01159</t>
  </si>
  <si>
    <t>SUP11-INV-01159</t>
  </si>
  <si>
    <t>INV-01160</t>
  </si>
  <si>
    <t>SUP12-INV-01160</t>
  </si>
  <si>
    <t>INV-01161</t>
  </si>
  <si>
    <t>SUP01-INV-01161</t>
  </si>
  <si>
    <t>INV-01162</t>
  </si>
  <si>
    <t>SUP05-INV-01162</t>
  </si>
  <si>
    <t>INV-01163</t>
  </si>
  <si>
    <t>SUP14-INV-01163</t>
  </si>
  <si>
    <t>INV-01164</t>
  </si>
  <si>
    <t>SUP02-INV-01164</t>
  </si>
  <si>
    <t>INV-01165</t>
  </si>
  <si>
    <t>SUP02-INV-01165</t>
  </si>
  <si>
    <t>INV-01166</t>
  </si>
  <si>
    <t>SUP04-INV-01166</t>
  </si>
  <si>
    <t>INV-01167</t>
  </si>
  <si>
    <t>SUP10-INV-01167</t>
  </si>
  <si>
    <t>INV-01168</t>
  </si>
  <si>
    <t>SUP16-INV-01168</t>
  </si>
  <si>
    <t>INV-01169</t>
  </si>
  <si>
    <t>SUP11-INV-01169</t>
  </si>
  <si>
    <t>INV-01170</t>
  </si>
  <si>
    <t>SUP02-INV-01170</t>
  </si>
  <si>
    <t>INV-01171</t>
  </si>
  <si>
    <t>SUP09-INV-01171</t>
  </si>
  <si>
    <t>INV-01172</t>
  </si>
  <si>
    <t>SUP12-INV-01172</t>
  </si>
  <si>
    <t>INV-01173</t>
  </si>
  <si>
    <t>SUP08-INV-01173</t>
  </si>
  <si>
    <t>INV-01174</t>
  </si>
  <si>
    <t>SUP13-INV-01174</t>
  </si>
  <si>
    <t>INV-01175</t>
  </si>
  <si>
    <t>SUP01-INV-01175</t>
  </si>
  <si>
    <t>INV-01176</t>
  </si>
  <si>
    <t>SUP01-INV-01176</t>
  </si>
  <si>
    <t>INV-01177</t>
  </si>
  <si>
    <t>SUP13-INV-01177</t>
  </si>
  <si>
    <t>INV-01178</t>
  </si>
  <si>
    <t>SUP09-INV-01178</t>
  </si>
  <si>
    <t>INV-01179</t>
  </si>
  <si>
    <t>SUP13-INV-01179</t>
  </si>
  <si>
    <t>INV-01180</t>
  </si>
  <si>
    <t>SUP12-INV-01180</t>
  </si>
  <si>
    <t>INV-01181</t>
  </si>
  <si>
    <t>SUP13-INV-01181</t>
  </si>
  <si>
    <t>INV-01182</t>
  </si>
  <si>
    <t>SUP14-INV-01182</t>
  </si>
  <si>
    <t>INV-01183</t>
  </si>
  <si>
    <t>SUP16-INV-01183</t>
  </si>
  <si>
    <t>INV-01184</t>
  </si>
  <si>
    <t>SUP14-INV-01184</t>
  </si>
  <si>
    <t>INV-01185</t>
  </si>
  <si>
    <t>SUP12-INV-01185</t>
  </si>
  <si>
    <t>INV-01186</t>
  </si>
  <si>
    <t>SUP04-INV-01186</t>
  </si>
  <si>
    <t>INV-01187</t>
  </si>
  <si>
    <t>SUP07-INV-01187</t>
  </si>
  <si>
    <t>INV-01188</t>
  </si>
  <si>
    <t>SUP05-INV-01188</t>
  </si>
  <si>
    <t>INV-01189</t>
  </si>
  <si>
    <t>SUP16-INV-01189</t>
  </si>
  <si>
    <t>INV-01190</t>
  </si>
  <si>
    <t>SUP10-INV-01190</t>
  </si>
  <si>
    <t>INV-01191</t>
  </si>
  <si>
    <t>SUP01-INV-01191</t>
  </si>
  <si>
    <t>INV-01192</t>
  </si>
  <si>
    <t>SUP06-INV-01192</t>
  </si>
  <si>
    <t>INV-01193</t>
  </si>
  <si>
    <t>SUP15-INV-01193</t>
  </si>
  <si>
    <t>INV-01194</t>
  </si>
  <si>
    <t>SUP05-INV-01194</t>
  </si>
  <si>
    <t>INV-01195</t>
  </si>
  <si>
    <t>SUP04-INV-01195</t>
  </si>
  <si>
    <t>INV-01196</t>
  </si>
  <si>
    <t>SUP12-INV-01196</t>
  </si>
  <si>
    <t>INV-01197</t>
  </si>
  <si>
    <t>SUP13-INV-01197</t>
  </si>
  <si>
    <t>INV-01198</t>
  </si>
  <si>
    <t>SUP04-INV-01198</t>
  </si>
  <si>
    <t>INV-01199</t>
  </si>
  <si>
    <t>SUP17-INV-01199</t>
  </si>
  <si>
    <t>INV-01200</t>
  </si>
  <si>
    <t>SUP09-INV-01200</t>
  </si>
  <si>
    <t>INV-01201</t>
  </si>
  <si>
    <t>SUP08-INV-01201</t>
  </si>
  <si>
    <t>INV-01203</t>
  </si>
  <si>
    <t>SUP03-INV-01203</t>
  </si>
  <si>
    <t>INV-01204</t>
  </si>
  <si>
    <t>SUP01-INV-01204</t>
  </si>
  <si>
    <t>INV-01205</t>
  </si>
  <si>
    <t>SUP06-INV-01205</t>
  </si>
  <si>
    <t>INV-01206</t>
  </si>
  <si>
    <t>SUP04-INV-01206</t>
  </si>
  <si>
    <t>INV-01207</t>
  </si>
  <si>
    <t>SUP15-INV-01207</t>
  </si>
  <si>
    <t>INV-01208</t>
  </si>
  <si>
    <t>SUP01-INV-01208</t>
  </si>
  <si>
    <t>INV-01209</t>
  </si>
  <si>
    <t>SUP17-INV-01209</t>
  </si>
  <si>
    <t>INV-01210</t>
  </si>
  <si>
    <t>SUP11-INV-01210</t>
  </si>
  <si>
    <t>INV-01211</t>
  </si>
  <si>
    <t>SUP13-INV-01211</t>
  </si>
  <si>
    <t>INV-01212</t>
  </si>
  <si>
    <t>SUP14-INV-01212</t>
  </si>
  <si>
    <t>SUP02-INV-01212</t>
  </si>
  <si>
    <t>INV-01213</t>
  </si>
  <si>
    <t>SUP17-INV-01213</t>
  </si>
  <si>
    <t>INV-01214</t>
  </si>
  <si>
    <t>SUP10-INV-01214</t>
  </si>
  <si>
    <t>INV-01215</t>
  </si>
  <si>
    <t>SUP10-INV-01215</t>
  </si>
  <si>
    <t>INV-01216</t>
  </si>
  <si>
    <t>SUP15-INV-01216</t>
  </si>
  <si>
    <t>INV-01217</t>
  </si>
  <si>
    <t>SUP18-INV-01217</t>
  </si>
  <si>
    <t>INV-01218</t>
  </si>
  <si>
    <t>SUP08-INV-01218</t>
  </si>
  <si>
    <t>INV-01219</t>
  </si>
  <si>
    <t>SUP13-INV-01219</t>
  </si>
  <si>
    <t>INV-01220</t>
  </si>
  <si>
    <t>SUP13-INV-01220</t>
  </si>
  <si>
    <t>INV-01221</t>
  </si>
  <si>
    <t>SUP05-INV-01221</t>
  </si>
  <si>
    <t>INV-01222</t>
  </si>
  <si>
    <t>SUP16-INV-01222</t>
  </si>
  <si>
    <t>INV-01223</t>
  </si>
  <si>
    <t>SUP01-INV-01223</t>
  </si>
  <si>
    <t>INV-01224</t>
  </si>
  <si>
    <t>SUP03-INV-01224</t>
  </si>
  <si>
    <t>INV-01225</t>
  </si>
  <si>
    <t>SUP16-INV-01225</t>
  </si>
  <si>
    <t>INV-01226</t>
  </si>
  <si>
    <t>SUP02-INV-01226</t>
  </si>
  <si>
    <t>INV-01227</t>
  </si>
  <si>
    <t>SUP03-INV-01227</t>
  </si>
  <si>
    <t>INV-01228</t>
  </si>
  <si>
    <t>SUP13-INV-01228</t>
  </si>
  <si>
    <t>INV-01229</t>
  </si>
  <si>
    <t>SUP01-INV-01229</t>
  </si>
  <si>
    <t>INV-01230</t>
  </si>
  <si>
    <t>SUP14-INV-01230</t>
  </si>
  <si>
    <t>INV-01231</t>
  </si>
  <si>
    <t>SUP03-INV-01231</t>
  </si>
  <si>
    <t>INV-01232</t>
  </si>
  <si>
    <t>SUP06-INV-01232</t>
  </si>
  <si>
    <t>INV-01233</t>
  </si>
  <si>
    <t>SUP01-INV-01233</t>
  </si>
  <si>
    <t>INV-01234</t>
  </si>
  <si>
    <t>SUP15-INV-01234</t>
  </si>
  <si>
    <t>INV-01235</t>
  </si>
  <si>
    <t>SUP11-INV-01235</t>
  </si>
  <si>
    <t>INV-01236</t>
  </si>
  <si>
    <t>SUP13-INV-01236</t>
  </si>
  <si>
    <t>INV-01237</t>
  </si>
  <si>
    <t>SUP01-INV-01237</t>
  </si>
  <si>
    <t>INV-01238</t>
  </si>
  <si>
    <t>SUP03-INV-01238</t>
  </si>
  <si>
    <t>INV-01239</t>
  </si>
  <si>
    <t>SUP16-INV-01239</t>
  </si>
  <si>
    <t>INV-01240</t>
  </si>
  <si>
    <t>SUP03-INV-01240</t>
  </si>
  <si>
    <t>INV-01241</t>
  </si>
  <si>
    <t>SUP10-INV-01241</t>
  </si>
  <si>
    <t>INV-01242</t>
  </si>
  <si>
    <t>SUP12-INV-01242</t>
  </si>
  <si>
    <t>INV-01243</t>
  </si>
  <si>
    <t>SUP02-INV-01243</t>
  </si>
  <si>
    <t>INV-01245</t>
  </si>
  <si>
    <t>SUP16-INV-01245</t>
  </si>
  <si>
    <t>INV-01246</t>
  </si>
  <si>
    <t>SUP15-INV-01246</t>
  </si>
  <si>
    <t>INV-01247</t>
  </si>
  <si>
    <t>SUP11-INV-01247</t>
  </si>
  <si>
    <t>INV-01248</t>
  </si>
  <si>
    <t>SUP01-INV-01248</t>
  </si>
  <si>
    <t>INV-01249</t>
  </si>
  <si>
    <t>SUP13-INV-01249</t>
  </si>
  <si>
    <t>INV-01250</t>
  </si>
  <si>
    <t>SUP10-INV-01250</t>
  </si>
  <si>
    <t>INV-01251</t>
  </si>
  <si>
    <t>SUP01-INV-01251</t>
  </si>
  <si>
    <t>INV-01252</t>
  </si>
  <si>
    <t>SUP02-INV-01252</t>
  </si>
  <si>
    <t>INV-01253</t>
  </si>
  <si>
    <t>SUP01-INV-01253</t>
  </si>
  <si>
    <t>INV-01254</t>
  </si>
  <si>
    <t>SUP04-INV-01254</t>
  </si>
  <si>
    <t>INV-01255</t>
  </si>
  <si>
    <t>SUP09-INV-01255</t>
  </si>
  <si>
    <t>INV-01257</t>
  </si>
  <si>
    <t>SUP16-INV-01257</t>
  </si>
  <si>
    <t>INV-01258</t>
  </si>
  <si>
    <t>SUP11-INV-01258</t>
  </si>
  <si>
    <t>INV-01259</t>
  </si>
  <si>
    <t>SUP07-INV-01259</t>
  </si>
  <si>
    <t>INV-01260</t>
  </si>
  <si>
    <t>SUP01-INV-01260</t>
  </si>
  <si>
    <t>INV-01261</t>
  </si>
  <si>
    <t>SUP03-INV-01261</t>
  </si>
  <si>
    <t>INV-01262</t>
  </si>
  <si>
    <t>SUP01-INV-01262</t>
  </si>
  <si>
    <t>INV-01263</t>
  </si>
  <si>
    <t>SUP13-INV-01263</t>
  </si>
  <si>
    <t>INV-01264</t>
  </si>
  <si>
    <t>SUP02-INV-01264</t>
  </si>
  <si>
    <t>INV-01265</t>
  </si>
  <si>
    <t>SUP04-INV-01265</t>
  </si>
  <si>
    <t>INV-01266</t>
  </si>
  <si>
    <t>SUP13-INV-01266</t>
  </si>
  <si>
    <t>INV-01267</t>
  </si>
  <si>
    <t>SUP02-INV-01267</t>
  </si>
  <si>
    <t>INV-01268</t>
  </si>
  <si>
    <t>SUP15-INV-01268</t>
  </si>
  <si>
    <t>INV-01269</t>
  </si>
  <si>
    <t>SUP10-INV-01269</t>
  </si>
  <si>
    <t>INV-01270</t>
  </si>
  <si>
    <t>SUP04-INV-01270</t>
  </si>
  <si>
    <t>INV-01271</t>
  </si>
  <si>
    <t>SUP08-INV-01271</t>
  </si>
  <si>
    <t>INV-01272</t>
  </si>
  <si>
    <t>SUP16-INV-01272</t>
  </si>
  <si>
    <t>INV-01273</t>
  </si>
  <si>
    <t>SUP01-INV-01273</t>
  </si>
  <si>
    <t>INV-01274</t>
  </si>
  <si>
    <t>SUP13-INV-01274</t>
  </si>
  <si>
    <t>INV-01276</t>
  </si>
  <si>
    <t>SUP17-INV-01276</t>
  </si>
  <si>
    <t>INV-01277</t>
  </si>
  <si>
    <t>SUP12-INV-01277</t>
  </si>
  <si>
    <t>INV-01278</t>
  </si>
  <si>
    <t>SUP03-INV-01278</t>
  </si>
  <si>
    <t>INV-01279</t>
  </si>
  <si>
    <t>SUP02-INV-01279</t>
  </si>
  <si>
    <t>INV-01280</t>
  </si>
  <si>
    <t>SUP16-INV-01280</t>
  </si>
  <si>
    <t>INV-01281</t>
  </si>
  <si>
    <t>SUP08-INV-01281</t>
  </si>
  <si>
    <t>INV-01282</t>
  </si>
  <si>
    <t>SUP01-INV-01282</t>
  </si>
  <si>
    <t>INV-01283</t>
  </si>
  <si>
    <t>SUP05-INV-01283</t>
  </si>
  <si>
    <t>INV-01284</t>
  </si>
  <si>
    <t>SUP03-INV-01284</t>
  </si>
  <si>
    <t>INV-01285</t>
  </si>
  <si>
    <t>SUP09-INV-01285</t>
  </si>
  <si>
    <t>INV-01286</t>
  </si>
  <si>
    <t>SUP11-INV-01286</t>
  </si>
  <si>
    <t>INV-01287</t>
  </si>
  <si>
    <t>SUP17-INV-01287</t>
  </si>
  <si>
    <t>INV-01288</t>
  </si>
  <si>
    <t>SUP12-INV-01288</t>
  </si>
  <si>
    <t>INV-01289</t>
  </si>
  <si>
    <t>SUP02-INV-01289</t>
  </si>
  <si>
    <t>INV-01290</t>
  </si>
  <si>
    <t>SUP01-INV-01290</t>
  </si>
  <si>
    <t>INV-01291</t>
  </si>
  <si>
    <t>SUP03-INV-01291</t>
  </si>
  <si>
    <t>INV-01292</t>
  </si>
  <si>
    <t>SUP10-INV-01292</t>
  </si>
  <si>
    <t>INV-01293</t>
  </si>
  <si>
    <t>SUP07-INV-01293</t>
  </si>
  <si>
    <t>INV-01294</t>
  </si>
  <si>
    <t>SUP16-INV-01294</t>
  </si>
  <si>
    <t>INV-01295</t>
  </si>
  <si>
    <t>SUP14-INV-01295</t>
  </si>
  <si>
    <t>INV-01296</t>
  </si>
  <si>
    <t>SUP12-INV-01296</t>
  </si>
  <si>
    <t>INV-01297</t>
  </si>
  <si>
    <t>SUP16-INV-01297</t>
  </si>
  <si>
    <t>INV-01298</t>
  </si>
  <si>
    <t>SUP08-INV-01298</t>
  </si>
  <si>
    <t>INV-01299</t>
  </si>
  <si>
    <t>SUP16-INV-01299</t>
  </si>
  <si>
    <t>SUP15-INV-01299</t>
  </si>
  <si>
    <t>INV-01300</t>
  </si>
  <si>
    <t>SUP01-INV-01300</t>
  </si>
  <si>
    <t>INV-01301</t>
  </si>
  <si>
    <t>SUP04-INV-01301</t>
  </si>
  <si>
    <t>INV-01302</t>
  </si>
  <si>
    <t>SUP08-INV-01302</t>
  </si>
  <si>
    <t>INV-01303</t>
  </si>
  <si>
    <t>SUP02-INV-01303</t>
  </si>
  <si>
    <t>INV-01304</t>
  </si>
  <si>
    <t>SUP01-INV-01304</t>
  </si>
  <si>
    <t>INV-01305</t>
  </si>
  <si>
    <t>SUP10-INV-01305</t>
  </si>
  <si>
    <t>INV-01306</t>
  </si>
  <si>
    <t>SUP16-INV-01306</t>
  </si>
  <si>
    <t>INV-01307</t>
  </si>
  <si>
    <t>SUP01-INV-01307</t>
  </si>
  <si>
    <t>INV-01308</t>
  </si>
  <si>
    <t>SUP16-INV-01308</t>
  </si>
  <si>
    <t>INV-01309</t>
  </si>
  <si>
    <t>SUP05-INV-01309</t>
  </si>
  <si>
    <t>INV-01310</t>
  </si>
  <si>
    <t>SUP09-INV-01310</t>
  </si>
  <si>
    <t>INV-01311</t>
  </si>
  <si>
    <t>SUP08-INV-01311</t>
  </si>
  <si>
    <t>INV-01312</t>
  </si>
  <si>
    <t>IT Software</t>
  </si>
  <si>
    <t>SUP11-INV-01312</t>
  </si>
  <si>
    <t>INV-01313</t>
  </si>
  <si>
    <t>SUP16-INV-01313</t>
  </si>
  <si>
    <t>INV-01315</t>
  </si>
  <si>
    <t>SUP03-INV-01315</t>
  </si>
  <si>
    <t>INV-01316</t>
  </si>
  <si>
    <t>SUP02-INV-01316</t>
  </si>
  <si>
    <t>INV-01317</t>
  </si>
  <si>
    <t>SUP18-INV-01317</t>
  </si>
  <si>
    <t>INV-01318</t>
  </si>
  <si>
    <t>SUP17-INV-01318</t>
  </si>
  <si>
    <t>INV-01319</t>
  </si>
  <si>
    <t>SUP17-INV-01319</t>
  </si>
  <si>
    <t>INV-01320</t>
  </si>
  <si>
    <t>SUP10-INV-01320</t>
  </si>
  <si>
    <t>INV-01321</t>
  </si>
  <si>
    <t>SUP17-INV-01321</t>
  </si>
  <si>
    <t>INV-01322</t>
  </si>
  <si>
    <t>SUP12-INV-01322</t>
  </si>
  <si>
    <t>INV-01323</t>
  </si>
  <si>
    <t>SUP13-INV-01323</t>
  </si>
  <si>
    <t>INV-01324</t>
  </si>
  <si>
    <t>SUP03-INV-01324</t>
  </si>
  <si>
    <t>INV-01325</t>
  </si>
  <si>
    <t>SUP09-INV-01325</t>
  </si>
  <si>
    <t>INV-01326</t>
  </si>
  <si>
    <t>SUP13-INV-01326</t>
  </si>
  <si>
    <t>INV-01327</t>
  </si>
  <si>
    <t>SUP17-INV-01327</t>
  </si>
  <si>
    <t>INV-01328</t>
  </si>
  <si>
    <t>SUP12-INV-01328</t>
  </si>
  <si>
    <t>INV-01329</t>
  </si>
  <si>
    <t>SUP15-INV-01329</t>
  </si>
  <si>
    <t>INV-01330</t>
  </si>
  <si>
    <t>SUP09-INV-01330</t>
  </si>
  <si>
    <t>INV-01331</t>
  </si>
  <si>
    <t>SUP01-INV-01331</t>
  </si>
  <si>
    <t>INV-01332</t>
  </si>
  <si>
    <t>SUP01-INV-01332</t>
  </si>
  <si>
    <t>INV-01333</t>
  </si>
  <si>
    <t>SUP03-INV-01333</t>
  </si>
  <si>
    <t>INV-01334</t>
  </si>
  <si>
    <t>SUP08-INV-01334</t>
  </si>
  <si>
    <t>INV-01335</t>
  </si>
  <si>
    <t>SUP09-INV-01335</t>
  </si>
  <si>
    <t>INV-01336</t>
  </si>
  <si>
    <t>SUP04-INV-01336</t>
  </si>
  <si>
    <t>INV-01337</t>
  </si>
  <si>
    <t>SUP01-INV-01337</t>
  </si>
  <si>
    <t>INV-01338</t>
  </si>
  <si>
    <t>SUP08-INV-01338</t>
  </si>
  <si>
    <t>INV-01339</t>
  </si>
  <si>
    <t>SUP07-INV-01339</t>
  </si>
  <si>
    <t>INV-01340</t>
  </si>
  <si>
    <t>SUP09-INV-01340</t>
  </si>
  <si>
    <t>INV-01341</t>
  </si>
  <si>
    <t>SUP04-INV-01341</t>
  </si>
  <si>
    <t>SUP15-INV-01341</t>
  </si>
  <si>
    <t>INV-01342</t>
  </si>
  <si>
    <t>SUP01-INV-01342</t>
  </si>
  <si>
    <t>INV-01343</t>
  </si>
  <si>
    <t>SUP04-INV-01343</t>
  </si>
  <si>
    <t>INV-01344</t>
  </si>
  <si>
    <t>SUP09-INV-01344</t>
  </si>
  <si>
    <t>INV-01345</t>
  </si>
  <si>
    <t>SUP18-INV-01345</t>
  </si>
  <si>
    <t>INV-01346</t>
  </si>
  <si>
    <t>SUP16-INV-01346</t>
  </si>
  <si>
    <t>INV-01347</t>
  </si>
  <si>
    <t>SUP08-INV-01347</t>
  </si>
  <si>
    <t>INV-01348</t>
  </si>
  <si>
    <t>SUP05-INV-01348</t>
  </si>
  <si>
    <t>INV-01349</t>
  </si>
  <si>
    <t>SUP08-INV-01349</t>
  </si>
  <si>
    <t>INV-01350</t>
  </si>
  <si>
    <t>SUP12-INV-01350</t>
  </si>
  <si>
    <t>INV-01351</t>
  </si>
  <si>
    <t>SUP02-INV-01351</t>
  </si>
  <si>
    <t>INV-01352</t>
  </si>
  <si>
    <t>SUP09-INV-01352</t>
  </si>
  <si>
    <t>INV-01353</t>
  </si>
  <si>
    <t>SUP07-INV-01353</t>
  </si>
  <si>
    <t>SUP09-INV-01353</t>
  </si>
  <si>
    <t>INV-01354</t>
  </si>
  <si>
    <t>SUP13-INV-01354</t>
  </si>
  <si>
    <t>INV-01355</t>
  </si>
  <si>
    <t>SUP14-INV-01355</t>
  </si>
  <si>
    <t>INV-01356</t>
  </si>
  <si>
    <t>SUP02-INV-01356</t>
  </si>
  <si>
    <t>INV-01357</t>
  </si>
  <si>
    <t>SUP12-INV-01357</t>
  </si>
  <si>
    <t>INV-01358</t>
  </si>
  <si>
    <t>SUP10-INV-01358</t>
  </si>
  <si>
    <t>INV-01359</t>
  </si>
  <si>
    <t>SUP03-INV-01359</t>
  </si>
  <si>
    <t>INV-01360</t>
  </si>
  <si>
    <t>SUP02-INV-01360</t>
  </si>
  <si>
    <t>INV-01361</t>
  </si>
  <si>
    <t>SUP01-INV-01361</t>
  </si>
  <si>
    <t>INV-01362</t>
  </si>
  <si>
    <t>SUP17-INV-01362</t>
  </si>
  <si>
    <t>INV-01363</t>
  </si>
  <si>
    <t>SUP12-INV-01363</t>
  </si>
  <si>
    <t>INV-01364</t>
  </si>
  <si>
    <t>SUP10-INV-01364</t>
  </si>
  <si>
    <t>INV-01365</t>
  </si>
  <si>
    <t>SUP13-INV-01365</t>
  </si>
  <si>
    <t>INV-01366</t>
  </si>
  <si>
    <t>SUP08-INV-01366</t>
  </si>
  <si>
    <t>INV-01367</t>
  </si>
  <si>
    <t>SUP08-INV-01367</t>
  </si>
  <si>
    <t>INV-01368</t>
  </si>
  <si>
    <t>SUP03-INV-01368</t>
  </si>
  <si>
    <t>INV-01369</t>
  </si>
  <si>
    <t>SUP04-INV-01369</t>
  </si>
  <si>
    <t>INV-01370</t>
  </si>
  <si>
    <t>SUP09-INV-01370</t>
  </si>
  <si>
    <t>INV-01371</t>
  </si>
  <si>
    <t>SUP05-INV-01371</t>
  </si>
  <si>
    <t>INV-01372</t>
  </si>
  <si>
    <t>SUP03-INV-01372</t>
  </si>
  <si>
    <t>SUP02-INV-01372</t>
  </si>
  <si>
    <t>INV-01373</t>
  </si>
  <si>
    <t>SUP14-INV-01373</t>
  </si>
  <si>
    <t>INV-01374</t>
  </si>
  <si>
    <t>SUP17-INV-01374</t>
  </si>
  <si>
    <t>INV-01375</t>
  </si>
  <si>
    <t>SUP02-INV-01375</t>
  </si>
  <si>
    <t>INV-01376</t>
  </si>
  <si>
    <t>SUP17-INV-01376</t>
  </si>
  <si>
    <t>INV-01377</t>
  </si>
  <si>
    <t>SUP01-INV-01377</t>
  </si>
  <si>
    <t>INV-01378</t>
  </si>
  <si>
    <t>SUP14-INV-01378</t>
  </si>
  <si>
    <t>INV-01379</t>
  </si>
  <si>
    <t>SUP13-INV-01379</t>
  </si>
  <si>
    <t>INV-01380</t>
  </si>
  <si>
    <t>SUP03-INV-01380</t>
  </si>
  <si>
    <t>INV-01381</t>
  </si>
  <si>
    <t>SUP12-INV-01381</t>
  </si>
  <si>
    <t>INV-01382</t>
  </si>
  <si>
    <t>SUP01-INV-01382</t>
  </si>
  <si>
    <t>INV-01383</t>
  </si>
  <si>
    <t>SUP02-INV-01383</t>
  </si>
  <si>
    <t>INV-01384</t>
  </si>
  <si>
    <t>SUP06-INV-01384</t>
  </si>
  <si>
    <t>INV-01385</t>
  </si>
  <si>
    <t>SUP03-INV-01385</t>
  </si>
  <si>
    <t>INV-01386</t>
  </si>
  <si>
    <t>SUP16-INV-01386</t>
  </si>
  <si>
    <t>INV-01387</t>
  </si>
  <si>
    <t>SUP03-INV-01387</t>
  </si>
  <si>
    <t>INV-01388</t>
  </si>
  <si>
    <t>SUP03-INV-01388</t>
  </si>
  <si>
    <t>INV-01389</t>
  </si>
  <si>
    <t>SUP06-INV-01389</t>
  </si>
  <si>
    <t>INV-01390</t>
  </si>
  <si>
    <t>SUP02-INV-01390</t>
  </si>
  <si>
    <t>INV-01391</t>
  </si>
  <si>
    <t>SUP08-INV-01391</t>
  </si>
  <si>
    <t>INV-01392</t>
  </si>
  <si>
    <t>SUP16-INV-01392</t>
  </si>
  <si>
    <t>INV-01393</t>
  </si>
  <si>
    <t>SUP06-INV-01393</t>
  </si>
  <si>
    <t>INV-01394</t>
  </si>
  <si>
    <t>SUP10-INV-01394</t>
  </si>
  <si>
    <t>INV-01395</t>
  </si>
  <si>
    <t>SUP02-INV-01395</t>
  </si>
  <si>
    <t>INV-01396</t>
  </si>
  <si>
    <t>SUP05-INV-01396</t>
  </si>
  <si>
    <t>INV-01397</t>
  </si>
  <si>
    <t>SUP08-INV-01397</t>
  </si>
  <si>
    <t>INV-01398</t>
  </si>
  <si>
    <t>SUP14-INV-01398</t>
  </si>
  <si>
    <t>INV-01399</t>
  </si>
  <si>
    <t>SUP04-INV-01399</t>
  </si>
  <si>
    <t>INV-01400</t>
  </si>
  <si>
    <t>SUP10-INV-01400</t>
  </si>
  <si>
    <t>INV-01401</t>
  </si>
  <si>
    <t>SUP02-INV-01401</t>
  </si>
  <si>
    <t>INV-01402</t>
  </si>
  <si>
    <t>SUP12-INV-01402</t>
  </si>
  <si>
    <t>INV-01403</t>
  </si>
  <si>
    <t>SUP16-INV-01403</t>
  </si>
  <si>
    <t>INV-01404</t>
  </si>
  <si>
    <t>SUP10-INV-01404</t>
  </si>
  <si>
    <t>INV-01405</t>
  </si>
  <si>
    <t>SUP15-INV-01405</t>
  </si>
  <si>
    <t>INV-01406</t>
  </si>
  <si>
    <t>SUP16-INV-01406</t>
  </si>
  <si>
    <t>INV-01407</t>
  </si>
  <si>
    <t>SUP17-INV-01407</t>
  </si>
  <si>
    <t>INV-01408</t>
  </si>
  <si>
    <t>SUP11-INV-01408</t>
  </si>
  <si>
    <t>INV-01409</t>
  </si>
  <si>
    <t>SUP05-INV-01409</t>
  </si>
  <si>
    <t>INV-01410</t>
  </si>
  <si>
    <t>SUP02-INV-01410</t>
  </si>
  <si>
    <t>INV-01411</t>
  </si>
  <si>
    <t>SUP06-INV-01411</t>
  </si>
  <si>
    <t>SUP01-INV-01411</t>
  </si>
  <si>
    <t>INV-01412</t>
  </si>
  <si>
    <t>SUP12-INV-01412</t>
  </si>
  <si>
    <t>INV-01413</t>
  </si>
  <si>
    <t>SUP01-INV-01413</t>
  </si>
  <si>
    <t>INV-01414</t>
  </si>
  <si>
    <t>SUP03-INV-01414</t>
  </si>
  <si>
    <t>INV-01415</t>
  </si>
  <si>
    <t>SUP04-INV-01415</t>
  </si>
  <si>
    <t>INV-01416</t>
  </si>
  <si>
    <t>SUP12-INV-01416</t>
  </si>
  <si>
    <t>INV-01417</t>
  </si>
  <si>
    <t>SUP02-INV-01417</t>
  </si>
  <si>
    <t>INV-01418</t>
  </si>
  <si>
    <t>SUP16-INV-01418</t>
  </si>
  <si>
    <t>INV-01419</t>
  </si>
  <si>
    <t>SUP17-INV-01419</t>
  </si>
  <si>
    <t>INV-01420</t>
  </si>
  <si>
    <t>SUP04-INV-01420</t>
  </si>
  <si>
    <t>INV-01421</t>
  </si>
  <si>
    <t>SUP13-INV-01421</t>
  </si>
  <si>
    <t>INV-01422</t>
  </si>
  <si>
    <t>SUP03-INV-01422</t>
  </si>
  <si>
    <t>INV-01423</t>
  </si>
  <si>
    <t>SUP13-INV-01423</t>
  </si>
  <si>
    <t>INV-01424</t>
  </si>
  <si>
    <t>SUP02-INV-01424</t>
  </si>
  <si>
    <t>INV-01425</t>
  </si>
  <si>
    <t>SUP02-INV-01425</t>
  </si>
  <si>
    <t>INV-01426</t>
  </si>
  <si>
    <t>SUP08-INV-01426</t>
  </si>
  <si>
    <t>INV-01427</t>
  </si>
  <si>
    <t>SUP09-INV-01427</t>
  </si>
  <si>
    <t>INV-01428</t>
  </si>
  <si>
    <t>SUP15-INV-01428</t>
  </si>
  <si>
    <t>INV-01429</t>
  </si>
  <si>
    <t>SUP05-INV-01429</t>
  </si>
  <si>
    <t>INV-01430</t>
  </si>
  <si>
    <t>SUP02-INV-01430</t>
  </si>
  <si>
    <t>INV-01431</t>
  </si>
  <si>
    <t>SUP05-INV-01431</t>
  </si>
  <si>
    <t>INV-01432</t>
  </si>
  <si>
    <t>SUP18-INV-01432</t>
  </si>
  <si>
    <t>INV-01433</t>
  </si>
  <si>
    <t>SUP08-INV-01433</t>
  </si>
  <si>
    <t>INV-01434</t>
  </si>
  <si>
    <t>SUP16-INV-01434</t>
  </si>
  <si>
    <t>INV-01435</t>
  </si>
  <si>
    <t>SUP09-INV-01435</t>
  </si>
  <si>
    <t>INV-01436</t>
  </si>
  <si>
    <t>SUP08-INV-01436</t>
  </si>
  <si>
    <t>INV-01437</t>
  </si>
  <si>
    <t>SUP08-INV-01437</t>
  </si>
  <si>
    <t>INV-01438</t>
  </si>
  <si>
    <t>SUP09-INV-01438</t>
  </si>
  <si>
    <t>INV-01439</t>
  </si>
  <si>
    <t>SUP13-INV-01439</t>
  </si>
  <si>
    <t>INV-01440</t>
  </si>
  <si>
    <t>SUP18-INV-01440</t>
  </si>
  <si>
    <t>INV-01441</t>
  </si>
  <si>
    <t>SUP01-INV-01441</t>
  </si>
  <si>
    <t>INV-01442</t>
  </si>
  <si>
    <t>SUP16-INV-01442</t>
  </si>
  <si>
    <t>INV-01443</t>
  </si>
  <si>
    <t>SUP02-INV-01443</t>
  </si>
  <si>
    <t>INV-01444</t>
  </si>
  <si>
    <t>SUP01-INV-01444</t>
  </si>
  <si>
    <t>INV-01445</t>
  </si>
  <si>
    <t>SUP01-INV-01445</t>
  </si>
  <si>
    <t>INV-01446</t>
  </si>
  <si>
    <t>SUP04-INV-01446</t>
  </si>
  <si>
    <t>INV-01447</t>
  </si>
  <si>
    <t>SUP10-INV-01447</t>
  </si>
  <si>
    <t>INV-01448</t>
  </si>
  <si>
    <t>SUP13-INV-01448</t>
  </si>
  <si>
    <t>INV-01449</t>
  </si>
  <si>
    <t>SUP17-INV-01449</t>
  </si>
  <si>
    <t>INV-01450</t>
  </si>
  <si>
    <t>SUP18-INV-01450</t>
  </si>
  <si>
    <t>INV-01451</t>
  </si>
  <si>
    <t>SUP01-INV-01451</t>
  </si>
  <si>
    <t>INV-01452</t>
  </si>
  <si>
    <t>SUP13-INV-01452</t>
  </si>
  <si>
    <t>INV-01454</t>
  </si>
  <si>
    <t>SUP13-INV-01454</t>
  </si>
  <si>
    <t>INV-01455</t>
  </si>
  <si>
    <t>SUP03-INV-01455</t>
  </si>
  <si>
    <t>INV-01456</t>
  </si>
  <si>
    <t>SUP03-INV-01456</t>
  </si>
  <si>
    <t>INV-01457</t>
  </si>
  <si>
    <t>SUP08-INV-01457</t>
  </si>
  <si>
    <t>INV-01458</t>
  </si>
  <si>
    <t>SUP14-INV-01458</t>
  </si>
  <si>
    <t>INV-01459</t>
  </si>
  <si>
    <t>SUP08-INV-01459</t>
  </si>
  <si>
    <t>INV-01460</t>
  </si>
  <si>
    <t>SUP10-INV-01460</t>
  </si>
  <si>
    <t>INV-01461</t>
  </si>
  <si>
    <t>SUP02-INV-01461</t>
  </si>
  <si>
    <t>INV-01462</t>
  </si>
  <si>
    <t>SUP09-INV-01462</t>
  </si>
  <si>
    <t>INV-01463</t>
  </si>
  <si>
    <t>SUP05-INV-01463</t>
  </si>
  <si>
    <t>INV-01464</t>
  </si>
  <si>
    <t>SUP17-INV-01464</t>
  </si>
  <si>
    <t>INV-01465</t>
  </si>
  <si>
    <t>SUP03-INV-01465</t>
  </si>
  <si>
    <t>INV-01466</t>
  </si>
  <si>
    <t>SUP03-INV-01466</t>
  </si>
  <si>
    <t>INV-01467</t>
  </si>
  <si>
    <t>SUP13-INV-01467</t>
  </si>
  <si>
    <t>INV-01468</t>
  </si>
  <si>
    <t>SUP11-INV-01468</t>
  </si>
  <si>
    <t>INV-01469</t>
  </si>
  <si>
    <t>SUP16-INV-01469</t>
  </si>
  <si>
    <t>INV-01470</t>
  </si>
  <si>
    <t>SUP04-INV-01470</t>
  </si>
  <si>
    <t>INV-01471</t>
  </si>
  <si>
    <t>SUP15-INV-01471</t>
  </si>
  <si>
    <t>INV-01472</t>
  </si>
  <si>
    <t>SUP13-INV-01472</t>
  </si>
  <si>
    <t>INV-01473</t>
  </si>
  <si>
    <t>SUP02-INV-01473</t>
  </si>
  <si>
    <t>INV-01474</t>
  </si>
  <si>
    <t>SUP18-INV-01474</t>
  </si>
  <si>
    <t>INV-01475</t>
  </si>
  <si>
    <t>SUP15-INV-01475</t>
  </si>
  <si>
    <t>INV-01476</t>
  </si>
  <si>
    <t>SUP04-INV-01476</t>
  </si>
  <si>
    <t>INV-01477</t>
  </si>
  <si>
    <t>SUP12-INV-01477</t>
  </si>
  <si>
    <t>INV-01478</t>
  </si>
  <si>
    <t>SUP13-INV-01478</t>
  </si>
  <si>
    <t>INV-01479</t>
  </si>
  <si>
    <t>SUP16-INV-01479</t>
  </si>
  <si>
    <t>INV-01480</t>
  </si>
  <si>
    <t>SUP01-INV-01480</t>
  </si>
  <si>
    <t>INV-01481</t>
  </si>
  <si>
    <t>SUP18-INV-01481</t>
  </si>
  <si>
    <t>INV-01482</t>
  </si>
  <si>
    <t>SUP11-INV-01482</t>
  </si>
  <si>
    <t>INV-01483</t>
  </si>
  <si>
    <t>SUP01-INV-01483</t>
  </si>
  <si>
    <t>INV-01484</t>
  </si>
  <si>
    <t>SUP16-INV-01484</t>
  </si>
  <si>
    <t>INV-01485</t>
  </si>
  <si>
    <t>SUP08-INV-01485</t>
  </si>
  <si>
    <t>INV-01486</t>
  </si>
  <si>
    <t>SUP16-INV-01486</t>
  </si>
  <si>
    <t>INV-01487</t>
  </si>
  <si>
    <t>SUP10-INV-01487</t>
  </si>
  <si>
    <t>INV-01488</t>
  </si>
  <si>
    <t>SUP04-INV-01488</t>
  </si>
  <si>
    <t>INV-01489</t>
  </si>
  <si>
    <t>SUP15-INV-01489</t>
  </si>
  <si>
    <t>INV-01490</t>
  </si>
  <si>
    <t>SUP09-INV-01490</t>
  </si>
  <si>
    <t>INV-01491</t>
  </si>
  <si>
    <t>SUP05-INV-01491</t>
  </si>
  <si>
    <t>INV-01492</t>
  </si>
  <si>
    <t>SUP01-INV-01492</t>
  </si>
  <si>
    <t>INV-01493</t>
  </si>
  <si>
    <t>SUP11-INV-01493</t>
  </si>
  <si>
    <t>INV-01494</t>
  </si>
  <si>
    <t>SUP16-INV-01494</t>
  </si>
  <si>
    <t>INV-01495</t>
  </si>
  <si>
    <t>SUP02-INV-01495</t>
  </si>
  <si>
    <t>INV-01496</t>
  </si>
  <si>
    <t>SUP02-INV-01496</t>
  </si>
  <si>
    <t>INV-01497</t>
  </si>
  <si>
    <t>SUP01-INV-01497</t>
  </si>
  <si>
    <t>INV-01498</t>
  </si>
  <si>
    <t>SUP10-INV-01498</t>
  </si>
  <si>
    <t>INV-01499</t>
  </si>
  <si>
    <t>SUP07-INV-01499</t>
  </si>
  <si>
    <t>INV-01500</t>
  </si>
  <si>
    <t>SUP01-INV-01500</t>
  </si>
  <si>
    <t>Rate_Date</t>
  </si>
  <si>
    <t>USD</t>
  </si>
  <si>
    <t>Country</t>
  </si>
  <si>
    <t>Default_Department</t>
  </si>
  <si>
    <t>Typical_Invoice_Min</t>
  </si>
  <si>
    <t>Typical_Invoice_Max</t>
  </si>
  <si>
    <t>Relative_Frequency</t>
  </si>
  <si>
    <t>Germany</t>
  </si>
  <si>
    <t>Austria</t>
  </si>
  <si>
    <t>Netherlands</t>
  </si>
  <si>
    <t>France</t>
  </si>
  <si>
    <t>Ireland</t>
  </si>
  <si>
    <t>Italy</t>
  </si>
  <si>
    <t>Spain</t>
  </si>
  <si>
    <t>United Kingdom</t>
  </si>
  <si>
    <t>Japan</t>
  </si>
  <si>
    <t>Count</t>
  </si>
  <si>
    <t>Invoice_Count</t>
  </si>
  <si>
    <t>Unfavorable Variance</t>
  </si>
  <si>
    <t>Favorable Variance</t>
  </si>
  <si>
    <t>Actual Spend</t>
  </si>
  <si>
    <t>Key Takeaways</t>
  </si>
  <si>
    <t>• EUR is the largest currency exposure at $17.09M and generated $832.38K of unfavorable FX variance.</t>
  </si>
  <si>
    <t>• 2026-Q1 had the highest quarterly unfavorable variance (+$221.94K); 2026-Q4 was favorable (-$87.45K).</t>
  </si>
  <si>
    <t>• Alpen Precision Systems is the largest supplier exposure at $4.89M; Manufacturing represents 87.6% of international spend.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</si>
</sst>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$&quot;#,##0.00"/>
    <numFmt numFmtId="165" formatCode="&quot;$&quot;0.00,,&quot;M&quot;"/>
    <numFmt numFmtId="166" formatCode="\+&quot;$&quot;0.00,&quot;K&quot;;\-&quot;$&quot;0.00,&quot;K&quot;"/>
    <numFmt numFmtId="167" formatCode="\$#,##0.00;\-\$#,##0.00"/>
    <numFmt numFmtId="168" formatCode="\$#,##0.00"/>
  </numFmts>
  <fonts count="9" x14ac:knownFonts="1">
    <font>
      <sz val="11"/>
      <color theme="1"/>
      <name val="Aptos Narrow"/>
    </font>
    <font>
      <sz val="11"/>
      <color theme="1"/>
      <name val="Aptos Narrow"/>
      <family val="2"/>
    </font>
    <font>
      <b/>
      <sz val="14"/>
      <color theme="1"/>
      <name val="Aptos Narrow"/>
      <family val="2"/>
    </font>
    <font>
      <sz val="26"/>
      <color theme="1"/>
      <name val="Aptos Narrow"/>
      <family val="2"/>
    </font>
    <font>
      <sz val="14"/>
      <color theme="1"/>
      <name val="Aptos Narrow"/>
      <family val="2"/>
    </font>
    <font>
      <b/>
      <sz val="18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4"/>
      <color rgb="FF333333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rgb="FFFF9999"/>
      </patternFill>
    </fill>
    <fill>
      <patternFill patternType="solid">
        <fgColor theme="2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BFBFBF"/>
      </bottom>
      <diagonal/>
    </border>
    <border>
      <left/>
      <right/>
      <top style="thin">
        <color rgb="FFD0D0D0"/>
      </top>
      <bottom style="thin">
        <color rgb="FFBFBFBF"/>
      </bottom>
      <diagonal/>
    </border>
    <border>
      <left/>
      <right style="thin">
        <color rgb="FFD0D0D0"/>
      </right>
      <top style="thin">
        <color rgb="FFD0D0D0"/>
      </top>
      <bottom style="thin">
        <color rgb="FFBFBFBF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0" fontId="2" fillId="0" borderId="0" xfId="0" applyFont="1"/>
    <xf numFmtId="164" fontId="0" fillId="0" borderId="0" xfId="0" applyNumberFormat="1" applyAlignment="1">
      <alignment horizontal="left"/>
    </xf>
    <xf numFmtId="0" fontId="0" fillId="4" borderId="0" xfId="0" applyFill="1" applyAlignment="1">
      <alignment vertical="center"/>
    </xf>
    <xf numFmtId="0" fontId="6" fillId="5" borderId="0" xfId="0" applyFont="1" applyFill="1"/>
    <xf numFmtId="167" fontId="0" fillId="0" borderId="0" xfId="0" applyNumberFormat="1"/>
    <xf numFmtId="168" fontId="0" fillId="0" borderId="0" xfId="0" applyNumberFormat="1"/>
    <xf numFmtId="165" fontId="5" fillId="2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/>
    </xf>
    <xf numFmtId="0" fontId="7" fillId="6" borderId="9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horizontal="left" vertical="center"/>
    </xf>
    <xf numFmtId="0" fontId="0" fillId="0" borderId="0" xfId="0" pivotButton="1"/>
    <xf numFmtId="0" fontId="0" fillId="7" borderId="3" xfId="0" applyFill="1" applyBorder="1"/>
    <xf numFmtId="0" fontId="0" fillId="7" borderId="0" xfId="0" applyFill="1"/>
    <xf numFmtId="0" fontId="0" fillId="7" borderId="4" xfId="0" applyFill="1" applyBorder="1"/>
    <xf numFmtId="0" fontId="8" fillId="7" borderId="11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8" fillId="7" borderId="12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4" fillId="7" borderId="3" xfId="0" applyFont="1" applyFill="1" applyBorder="1"/>
    <xf numFmtId="0" fontId="4" fillId="7" borderId="0" xfId="0" applyFont="1" applyFill="1"/>
    <xf numFmtId="0" fontId="4" fillId="7" borderId="4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</cellXfs>
  <cellStyles count="2">
    <cellStyle name="Comma" xfId="1" xr:uid="{00000000-0005-0000-0000-000000000000}"/>
    <cellStyle name="Normal" xfId="0" builtinId="0"/>
  </cellStyles>
  <dxfs count="4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Actual vs Budgeted Spend by Currency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Spend</c:v>
          </c:tx>
          <c:spPr>
            <a:solidFill>
              <a:srgbClr val="1F6D8C"/>
            </a:solidFill>
          </c:spPr>
          <c:invertIfNegative val="1"/>
          <c:cat>
            <c:strRef>
              <c:f>Analysis!$A$4:$A$6</c:f>
              <c:strCache>
                <c:ptCount val="3"/>
                <c:pt idx="0">
                  <c:v>EUR</c:v>
                </c:pt>
                <c:pt idx="1">
                  <c:v>GBP</c:v>
                </c:pt>
                <c:pt idx="2">
                  <c:v>JPY</c:v>
                </c:pt>
              </c:strCache>
            </c:strRef>
          </c:cat>
          <c:val>
            <c:numRef>
              <c:f>Analysis!$B$4:$B$6</c:f>
              <c:numCache>
                <c:formatCode>"$"#,##0.00</c:formatCode>
                <c:ptCount val="3"/>
                <c:pt idx="0">
                  <c:v>17092955.728554003</c:v>
                </c:pt>
                <c:pt idx="1">
                  <c:v>5192040.5437915549</c:v>
                </c:pt>
                <c:pt idx="2">
                  <c:v>8747553.8482927401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27D-416D-AF2E-D3BE30C2B2E8}"/>
            </c:ext>
          </c:extLst>
        </c:ser>
        <c:ser>
          <c:idx val="1"/>
          <c:order val="1"/>
          <c:tx>
            <c:v>Budgeted Spend</c:v>
          </c:tx>
          <c:spPr>
            <a:solidFill>
              <a:srgbClr val="ED7D31"/>
            </a:solidFill>
          </c:spPr>
          <c:invertIfNegative val="1"/>
          <c:cat>
            <c:strRef>
              <c:f>Analysis!$A$4:$A$6</c:f>
              <c:strCache>
                <c:ptCount val="3"/>
                <c:pt idx="0">
                  <c:v>EUR</c:v>
                </c:pt>
                <c:pt idx="1">
                  <c:v>GBP</c:v>
                </c:pt>
                <c:pt idx="2">
                  <c:v>JPY</c:v>
                </c:pt>
              </c:strCache>
            </c:strRef>
          </c:cat>
          <c:val>
            <c:numRef>
              <c:f>Analysis!$C$4:$C$6</c:f>
              <c:numCache>
                <c:formatCode>"$"#,##0.00</c:formatCode>
                <c:ptCount val="3"/>
                <c:pt idx="0">
                  <c:v>16260580.691599999</c:v>
                </c:pt>
                <c:pt idx="1">
                  <c:v>4983795.093279995</c:v>
                </c:pt>
                <c:pt idx="2">
                  <c:v>9075043.8457759954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27D-416D-AF2E-D3BE30C2B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0.0,,&quot;M&quot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FX Budget Variance by Quarter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Unfavorable</c:v>
          </c:tx>
          <c:spPr>
            <a:solidFill>
              <a:srgbClr val="F28E8E"/>
            </a:solidFill>
          </c:spPr>
          <c:invertIfNegative val="1"/>
          <c:cat>
            <c:strRef>
              <c:f>Analysis!$L$3:$L$10</c:f>
              <c:strCache>
                <c:ptCount val="8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  <c:pt idx="4">
                  <c:v>2026-Q1</c:v>
                </c:pt>
                <c:pt idx="5">
                  <c:v>2026-Q2</c:v>
                </c:pt>
                <c:pt idx="6">
                  <c:v>2026-Q3</c:v>
                </c:pt>
                <c:pt idx="7">
                  <c:v>2026-Q4</c:v>
                </c:pt>
              </c:strCache>
            </c:strRef>
          </c:cat>
          <c:val>
            <c:numRef>
              <c:f>Analysis!$M$3:$M$10</c:f>
              <c:numCache>
                <c:formatCode>\$#,##0.00;\-\$#,##0.00</c:formatCode>
                <c:ptCount val="8"/>
                <c:pt idx="0">
                  <c:v>20488.581696587047</c:v>
                </c:pt>
                <c:pt idx="1">
                  <c:v>206967.04993822373</c:v>
                </c:pt>
                <c:pt idx="2">
                  <c:v>153539.34185348178</c:v>
                </c:pt>
                <c:pt idx="3">
                  <c:v>21765.007316986303</c:v>
                </c:pt>
                <c:pt idx="4">
                  <c:v>221935.28477535775</c:v>
                </c:pt>
                <c:pt idx="5">
                  <c:v>118989.38086976486</c:v>
                </c:pt>
                <c:pt idx="6">
                  <c:v>56896.525637795246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297-432C-A6CB-BF316A8A294A}"/>
            </c:ext>
          </c:extLst>
        </c:ser>
        <c:ser>
          <c:idx val="1"/>
          <c:order val="1"/>
          <c:tx>
            <c:v>Favorable</c:v>
          </c:tx>
          <c:spPr>
            <a:solidFill>
              <a:srgbClr val="3B7D23"/>
            </a:solidFill>
          </c:spPr>
          <c:invertIfNegative val="1"/>
          <c:cat>
            <c:strRef>
              <c:f>Analysis!$L$3:$L$10</c:f>
              <c:strCache>
                <c:ptCount val="8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  <c:pt idx="4">
                  <c:v>2026-Q1</c:v>
                </c:pt>
                <c:pt idx="5">
                  <c:v>2026-Q2</c:v>
                </c:pt>
                <c:pt idx="6">
                  <c:v>2026-Q3</c:v>
                </c:pt>
                <c:pt idx="7">
                  <c:v>2026-Q4</c:v>
                </c:pt>
              </c:strCache>
            </c:strRef>
          </c:cat>
          <c:val>
            <c:numRef>
              <c:f>Analysis!$N$3:$N$10</c:f>
              <c:numCache>
                <c:formatCode>\$#,##0.00;\-\$#,##0.00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-87450.682105892905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B4E5A2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297-432C-A6CB-BF316A8A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-1000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0,&quot;K&quot;;\-&quot;$&quot;0,&quot;K&quot;;&quot;$&quot;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5 Suppliers by Actual Spend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Actual Spend</c:v>
          </c:tx>
          <c:spPr>
            <a:solidFill>
              <a:srgbClr val="1F6D8C"/>
            </a:solidFill>
          </c:spPr>
          <c:invertIfNegative val="1"/>
          <c:cat>
            <c:strRef>
              <c:f>Analysis!$P$3:$P$7</c:f>
              <c:strCache>
                <c:ptCount val="5"/>
                <c:pt idx="0">
                  <c:v>Thames Electronics Ltd</c:v>
                </c:pt>
                <c:pt idx="1">
                  <c:v>Milan Assembly Robotics</c:v>
                </c:pt>
                <c:pt idx="2">
                  <c:v>Rhein Circuit Components</c:v>
                </c:pt>
                <c:pt idx="3">
                  <c:v>Tokyo Automation Systems</c:v>
                </c:pt>
                <c:pt idx="4">
                  <c:v>Alpen Precision Systems</c:v>
                </c:pt>
              </c:strCache>
            </c:strRef>
          </c:cat>
          <c:val>
            <c:numRef>
              <c:f>Analysis!$Q$3:$Q$7</c:f>
              <c:numCache>
                <c:formatCode>\$#,##0.00</c:formatCode>
                <c:ptCount val="5"/>
                <c:pt idx="0">
                  <c:v>2565901.5701863612</c:v>
                </c:pt>
                <c:pt idx="1">
                  <c:v>3001621.8352989997</c:v>
                </c:pt>
                <c:pt idx="2">
                  <c:v>3444955.3254670012</c:v>
                </c:pt>
                <c:pt idx="3">
                  <c:v>3571866.5552871865</c:v>
                </c:pt>
                <c:pt idx="4">
                  <c:v>4892945.5152520016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416-4CA8-943C-7884EAC31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0.0,,&quot;M&quot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</xdr:row>
      <xdr:rowOff>152400</xdr:rowOff>
    </xdr:from>
    <xdr:to>
      <xdr:col>8</xdr:col>
      <xdr:colOff>381000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10</xdr:row>
      <xdr:rowOff>142875</xdr:rowOff>
    </xdr:from>
    <xdr:to>
      <xdr:col>17</xdr:col>
      <xdr:colOff>419100</xdr:colOff>
      <xdr:row>27</xdr:row>
      <xdr:rowOff>47625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28</xdr:row>
      <xdr:rowOff>0</xdr:rowOff>
    </xdr:from>
    <xdr:to>
      <xdr:col>13</xdr:col>
      <xdr:colOff>9525</xdr:colOff>
      <xdr:row>43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 Sangiovanni" refreshedDate="46303.108104282408" createdVersion="8" refreshedVersion="8" minRefreshableVersion="3" recordCount="1500" xr:uid="{00000000-000A-0000-FFFF-FFFF00000000}">
  <cacheSource type="worksheet">
    <worksheetSource name="supplier_invoices_raw"/>
  </cacheSource>
  <cacheFields count="23">
    <cacheField name="Invoice_ID" numFmtId="0">
      <sharedItems/>
    </cacheField>
    <cacheField name="Supplier_Name" numFmtId="0">
      <sharedItems count="18">
        <s v="Rhein Circuit Components"/>
        <s v="Nagoya Logistics Partners"/>
        <s v="Bristol Calibration Services"/>
        <s v="Nordlicht Packaging"/>
        <s v="Valencia Circuit Supply"/>
        <s v="Thames Electronics Ltd"/>
        <s v="Kyoto Optical Instruments"/>
        <s v="Benelux Sensor Works"/>
        <s v="Osaka Microdevices"/>
        <s v="Lyon Industrial Controls"/>
        <s v="Alpen Precision Systems"/>
        <s v="Tokyo Automation Systems"/>
        <s v="Kobe Industrial Packaging"/>
        <s v="Manchester Cloud Solutions"/>
        <s v="Milan Assembly Robotics"/>
        <s v="Yokohama Engineering Labs"/>
        <s v="Oxford Technical Materials"/>
        <s v="Dublin Systems Licensing"/>
      </sharedItems>
    </cacheField>
    <cacheField name="Supplier_ID" numFmtId="0">
      <sharedItems/>
    </cacheField>
    <cacheField name="Department" numFmtId="0">
      <sharedItems count="3">
        <s v="Manufacturing"/>
        <s v="Operations"/>
        <s v="IT"/>
      </sharedItems>
    </cacheField>
    <cacheField name="Category" numFmtId="0">
      <sharedItems/>
    </cacheField>
    <cacheField name="Invoice_Date" numFmtId="14">
      <sharedItems containsSemiMixedTypes="0" containsNonDate="0" containsDate="1" containsString="0" minDate="2025-01-01T00:00:00" maxDate="2027-01-01T00:00:00"/>
    </cacheField>
    <cacheField name="Due_Date" numFmtId="0">
      <sharedItems containsSemiMixedTypes="0" containsString="0" containsNumber="1" containsInteger="1" minValue="45688" maxValue="46446"/>
    </cacheField>
    <cacheField name="Currency" numFmtId="0">
      <sharedItems count="3">
        <s v="EUR"/>
        <s v="JPY"/>
        <s v="GBP"/>
      </sharedItems>
    </cacheField>
    <cacheField name="Invoice_Amount_Local" numFmtId="0">
      <sharedItems containsSemiMixedTypes="0" containsString="0" containsNumber="1" minValue="831.89" maxValue="16507999.01"/>
    </cacheField>
    <cacheField name="Record_Status" numFmtId="0">
      <sharedItems/>
    </cacheField>
    <cacheField name="Transaction_Key" numFmtId="0">
      <sharedItems/>
    </cacheField>
    <cacheField name="Payment_Terms_Days" numFmtId="0">
      <sharedItems containsSemiMixedTypes="0" containsString="0" containsNumber="1" containsInteger="1" minValue="30" maxValue="60"/>
    </cacheField>
    <cacheField name="Supplier_Name.1" numFmtId="0">
      <sharedItems/>
    </cacheField>
    <cacheField name="EUR_to_USD" numFmtId="0">
      <sharedItems containsSemiMixedTypes="0" containsString="0" containsNumber="1" minValue="1.0198" maxValue="1.1974"/>
    </cacheField>
    <cacheField name="GBP_to_USD" numFmtId="0">
      <sharedItems containsSemiMixedTypes="0" containsString="0" containsNumber="1" minValue="1.2117395437262357" maxValue="1.3816670514892635"/>
    </cacheField>
    <cacheField name="JPY_to_USD" numFmtId="0">
      <sharedItems containsSemiMixedTypes="0" containsString="0" containsNumber="1" minValue="6.1007943323314728E-3" maxValue="7.1257373486494869E-3"/>
    </cacheField>
    <cacheField name="FX_Rate_to_USD" numFmtId="0">
      <sharedItems containsSemiMixedTypes="0" containsString="0" containsNumber="1" minValue="6.1007943323314728E-3" maxValue="1.3816670514892635"/>
    </cacheField>
    <cacheField name="Invoice_Amount_USD" numFmtId="0">
      <sharedItems containsSemiMixedTypes="0" containsString="0" containsNumber="1" minValue="838.04892726606533" maxValue="113933.6456" count="1500">
        <n v="19670.081859999998"/>
        <n v="5392.5755362433238"/>
        <n v="10703.022310827573"/>
        <n v="2698.2085999999999"/>
        <n v="16381.34388"/>
        <n v="12177.127346077168"/>
        <n v="2475.821848"/>
        <n v="33457.980923999996"/>
        <n v="11617.810825000002"/>
        <n v="3302.1801192005205"/>
        <n v="4242.6360960000002"/>
        <n v="12404.407625040774"/>
        <n v="22595.774724163304"/>
        <n v="34633.01608891019"/>
        <n v="10038.179180000001"/>
        <n v="3863.8385171946429"/>
        <n v="20758.52169202808"/>
        <n v="37071.801166000005"/>
        <n v="83092.071799827376"/>
        <n v="32644.383484688493"/>
        <n v="80758.613421999995"/>
        <n v="9111.9396300000008"/>
        <n v="10440.689492000001"/>
        <n v="4467.7323292525371"/>
        <n v="11552.887228"/>
        <n v="25806.283670952966"/>
        <n v="9194.7434287404794"/>
        <n v="16800.110249999998"/>
        <n v="47115.530168999998"/>
        <n v="4690.1211832280287"/>
        <n v="27400.634324548912"/>
        <n v="10764.319380771962"/>
        <n v="6919.0610887279863"/>
        <n v="1800.9105462210175"/>
        <n v="9592.0566365408449"/>
        <n v="4694.0450434888317"/>
        <n v="69356.728350245961"/>
        <n v="64793.160349999998"/>
        <n v="14147.704551237326"/>
        <n v="17064.219252105533"/>
        <n v="20625.579773645914"/>
        <n v="7655.8172460000005"/>
        <n v="5580.1122589680062"/>
        <n v="2872.3461419999999"/>
        <n v="5700.3127253936218"/>
        <n v="23495.702393875999"/>
        <n v="39481.400419790109"/>
        <n v="9765.6735849999986"/>
        <n v="12479.89416269128"/>
        <n v="19022.795649"/>
        <n v="2777.1964955385915"/>
        <n v="20972.387667877872"/>
        <n v="26047.837909050802"/>
        <n v="2781.6482560000004"/>
        <n v="13697.749728000003"/>
        <n v="30605.298865979381"/>
        <n v="35128.26388647854"/>
        <n v="27082.833500000001"/>
        <n v="46874.309331794575"/>
        <n v="3787.2482109999996"/>
        <n v="13880.748414000002"/>
        <n v="32846.700751999997"/>
        <n v="39857.871668669155"/>
        <n v="13745.671807999999"/>
        <n v="47248.221846"/>
        <n v="48793.104360000005"/>
        <n v="47123.349699999999"/>
        <n v="9690.5712820512817"/>
        <n v="29498.933747999999"/>
        <n v="5311.340391964286"/>
        <n v="6373.2268409999997"/>
        <n v="13893.96650432726"/>
        <n v="74792.840429999997"/>
        <n v="8730.8776568805442"/>
        <n v="14576.378025022565"/>
        <n v="21677.807142000001"/>
        <n v="7573.5283336286839"/>
        <n v="7448.8020100502517"/>
        <n v="4607.6779993226837"/>
        <n v="16887.493839999999"/>
        <n v="40233.779872570201"/>
        <n v="30793.775053999998"/>
        <n v="845.74849816637834"/>
        <n v="6830.4596329062124"/>
        <n v="9220.2568259999989"/>
        <n v="10841.363256672113"/>
        <n v="15372.600937933827"/>
        <n v="27057.952219999999"/>
        <n v="7957.4314959999992"/>
        <n v="4449.8815500000001"/>
        <n v="29932.979507"/>
        <n v="48734.355280000003"/>
        <n v="85466.797416000001"/>
        <n v="10349.626635000001"/>
        <n v="2110.3798100546678"/>
        <n v="16810.117614999999"/>
        <n v="11374.134847265093"/>
        <n v="47882.876563999998"/>
        <n v="14878.386345344477"/>
        <n v="8455.6956119999995"/>
        <n v="9215.3388020000002"/>
        <n v="14440.403313000001"/>
        <n v="17202.353562"/>
        <n v="9185.6603602620089"/>
        <n v="13254.405957000001"/>
        <n v="4618.7085960000004"/>
        <n v="9505.8961020000006"/>
        <n v="74627.6382798056"/>
        <n v="7285.1454720000002"/>
        <n v="1882.1667660703606"/>
        <n v="15238.09158"/>
        <n v="18310.445330000002"/>
        <n v="35479.963901756026"/>
        <n v="9760.6985122284186"/>
        <n v="25166.403888000001"/>
        <n v="74334.259164999996"/>
        <n v="20061.273022312373"/>
        <n v="6593.9756476221391"/>
        <n v="59613.175212000002"/>
        <n v="15528.847683729053"/>
        <n v="2132.9894682284944"/>
        <n v="31497.026095718502"/>
        <n v="9833.1261840000006"/>
        <n v="49306.809838000001"/>
        <n v="13328.638115970514"/>
        <n v="39491.459383000001"/>
        <n v="15716.879899999998"/>
        <n v="9218.7985449999996"/>
        <n v="73939.259364999991"/>
        <n v="13957.289184514137"/>
        <n v="10161.378384000001"/>
        <n v="6589.9780652028048"/>
        <n v="90508.285879848583"/>
        <n v="20407.916074759691"/>
        <n v="20821.093188934123"/>
        <n v="13838.121308408005"/>
        <n v="2175.6254630000003"/>
        <n v="60078.830520999996"/>
        <n v="30974.79336"/>
        <n v="5739.9155440000004"/>
        <n v="19824.481599999999"/>
        <n v="15895.318072990965"/>
        <n v="6094.6342445627024"/>
        <n v="9101.5790740704124"/>
        <n v="5235.9190816127457"/>
        <n v="24922.798733"/>
        <n v="33855.314322097824"/>
        <n v="3892.4319098177098"/>
        <n v="10325.021997999998"/>
        <n v="7879.8514874251496"/>
        <n v="41929.55917"/>
        <n v="6496.5657570000003"/>
        <n v="4181.7583530000002"/>
        <n v="19325.708621809743"/>
        <n v="12474.052441820077"/>
        <n v="15551.619505449413"/>
        <n v="17543.280940919038"/>
        <n v="10549.263399000001"/>
        <n v="30555.889439999999"/>
        <n v="36887.198466831374"/>
        <n v="3989.8455120000003"/>
        <n v="27712.154807999999"/>
        <n v="16686.380565273084"/>
        <n v="4201.3317059999999"/>
        <n v="32097.864318779371"/>
        <n v="2178.5755426900582"/>
        <n v="8908.1536520393493"/>
        <n v="6712.23434"/>
        <n v="12388.894611000002"/>
        <n v="6708.3029824646865"/>
        <n v="34260.008730000001"/>
        <n v="3786.6698280000005"/>
        <n v="1269.8061680000001"/>
        <n v="10113.378503396543"/>
        <n v="9493.8626929999991"/>
        <n v="13660.294041515406"/>
        <n v="21307.855374722771"/>
        <n v="31581.074416000003"/>
        <n v="3185.9063829787228"/>
        <n v="12455.896328880384"/>
        <n v="24021.107472"/>
        <n v="6456.7030993817261"/>
        <n v="9121.4420544693639"/>
        <n v="12727.871297994112"/>
        <n v="6465.4682578448292"/>
        <n v="38814.371100000004"/>
        <n v="23373.076089999999"/>
        <n v="24462.690823926954"/>
        <n v="7472.3202400000009"/>
        <n v="19729.643202000003"/>
        <n v="5279.1721384011098"/>
        <n v="24806.042016000003"/>
        <n v="4581.2369122525324"/>
        <n v="17976.896133966857"/>
        <n v="25594.858259999997"/>
        <n v="14117.214286"/>
        <n v="14418.135252487935"/>
        <n v="10789.562135"/>
        <n v="85423.376465000008"/>
        <n v="12020.58662336974"/>
        <n v="54510.195468999998"/>
        <n v="9761.6326499999996"/>
        <n v="57946.352516773368"/>
        <n v="11197.748251927438"/>
        <n v="3137.4856715402921"/>
        <n v="12157.119755026577"/>
        <n v="18424.980846000002"/>
        <n v="13468.580490589711"/>
        <n v="36883.492590229776"/>
        <n v="14721.024969"/>
        <n v="17960.644132519006"/>
        <n v="8353.8815049999994"/>
        <n v="6892.095863999999"/>
        <n v="10858.645509"/>
        <n v="5461.0789330699363"/>
        <n v="3102.6183309177695"/>
        <n v="48020.962299999999"/>
        <n v="18489.552921000002"/>
        <n v="86497.859505"/>
        <n v="4798.0648520000004"/>
        <n v="43297.602156000001"/>
        <n v="11694.950487297921"/>
        <n v="19983.036975000003"/>
        <n v="34897.218159487056"/>
        <n v="14725.855458"/>
        <n v="112020.96036854936"/>
        <n v="61139.547138207316"/>
        <n v="6129.3317040000011"/>
        <n v="22714.746804441918"/>
        <n v="7628.3807389999993"/>
        <n v="4511.4334513535405"/>
        <n v="39416.106540000001"/>
        <n v="9441.3715010568558"/>
        <n v="4450.856928823312"/>
        <n v="18387.174116598439"/>
        <n v="838.04892726606533"/>
        <n v="3379.8098889435969"/>
        <n v="5144.1445400000011"/>
        <n v="7015.790964696319"/>
        <n v="4943.7054720000006"/>
        <n v="4695.2583999999988"/>
        <n v="31622.967788999998"/>
        <n v="11554.148320260107"/>
        <n v="53873.972880000001"/>
        <n v="28397.576395833334"/>
        <n v="18665.580236999998"/>
        <n v="4761.2044757255662"/>
        <n v="1858.6743091179753"/>
        <n v="4440.8205225371348"/>
        <n v="7715.3507200000004"/>
        <n v="30054.856251308182"/>
        <n v="24526.342820000002"/>
        <n v="16207.520929907523"/>
        <n v="27036.347078999999"/>
        <n v="32148.571840000001"/>
        <n v="13565.04488894168"/>
        <n v="8437.9407900000006"/>
        <n v="6084.1280488813045"/>
        <n v="13722.231682000001"/>
        <n v="7680.6532779999998"/>
        <n v="12166.24277578544"/>
        <n v="9801.610999999999"/>
        <n v="31942.622841106353"/>
        <n v="10489.108435229487"/>
        <n v="3699.923886649276"/>
        <n v="3853.4460300000001"/>
        <n v="19514.959565000001"/>
        <n v="17128.711407417723"/>
        <n v="7207.6679653006504"/>
        <n v="22957.567243192152"/>
        <n v="19927.964576999999"/>
        <n v="32334.735641449239"/>
        <n v="9880.8994949999997"/>
        <n v="12670.703958"/>
        <n v="19666.504337999999"/>
        <n v="5395.2343586122261"/>
        <n v="8581.5868550068117"/>
        <n v="48254.259130000006"/>
        <n v="8614.4144404706967"/>
        <n v="40734.344077622722"/>
        <n v="80511.518817000004"/>
        <n v="29643.845987875702"/>
        <n v="43134.462730000007"/>
        <n v="11494.793436"/>
        <n v="42255.075493417244"/>
        <n v="24318.221464131755"/>
        <n v="16713.48127389151"/>
        <n v="23148.391005537724"/>
        <n v="47699.862846003889"/>
        <n v="2448.5554000000002"/>
        <n v="13735.109030607859"/>
        <n v="26810.572061362735"/>
        <n v="16003.721664000001"/>
        <n v="2807.5588750000002"/>
        <n v="56232.183886193729"/>
        <n v="5974.0368551787869"/>
        <n v="10520.642475000001"/>
        <n v="54769.711520919845"/>
        <n v="11310.956674687704"/>
        <n v="25825.291984"/>
        <n v="96984.754520892151"/>
        <n v="17648.439826308699"/>
        <n v="8135.890144"/>
        <n v="6980.0237521916997"/>
        <n v="10847.543709322177"/>
        <n v="2426.0831250000001"/>
        <n v="8776.1252999999997"/>
        <n v="33924.186299919435"/>
        <n v="67009.486246"/>
        <n v="7259.9261823070256"/>
        <n v="10636.334978999999"/>
        <n v="3076.8507595306755"/>
        <n v="75713.546798135678"/>
        <n v="2540.6801815592739"/>
        <n v="7301.8377101349006"/>
        <n v="25705.859352999996"/>
        <n v="14455.748846"/>
        <n v="16903.357118"/>
        <n v="7969.7487930733923"/>
        <n v="65329.971538656835"/>
        <n v="21055.539960000002"/>
        <n v="24138.273925999998"/>
        <n v="16840.152329146018"/>
        <n v="7934.7167870000003"/>
        <n v="2474.3485197777591"/>
        <n v="25718.798738000001"/>
        <n v="10459.526289982219"/>
        <n v="93382.425069999998"/>
        <n v="15999.836378919988"/>
        <n v="2808.8610375511098"/>
        <n v="9476.3170478507709"/>
        <n v="3992.8927500000004"/>
        <n v="8080.4792120000002"/>
        <n v="10068.107441668142"/>
        <n v="13690.790471795306"/>
        <n v="5852.0832920000003"/>
        <n v="52358.904239999996"/>
        <n v="3527.9871738738734"/>
        <n v="71954.805416711708"/>
        <n v="4298.1168299999999"/>
        <n v="46242.984960000002"/>
        <n v="7582.6747907648432"/>
        <n v="4098.271709364878"/>
        <n v="11871.214646999999"/>
        <n v="12598.671280725624"/>
        <n v="5854.3519992400461"/>
        <n v="5835.2838389999997"/>
        <n v="56544.10768999999"/>
        <n v="39324.193155000001"/>
        <n v="66268.024590999994"/>
        <n v="21859.806129127533"/>
        <n v="14829.650858969651"/>
        <n v="13145.186537"/>
        <n v="9422.3303049999995"/>
        <n v="30014.09679244176"/>
        <n v="17994.545232000004"/>
        <n v="3961.3596380640211"/>
        <n v="10016.233185765892"/>
        <n v="12411.005505000001"/>
        <n v="34496.424551999997"/>
        <n v="9925.2138485477171"/>
        <n v="20253.582107999999"/>
        <n v="30899.951099261692"/>
        <n v="6443.9072099999994"/>
        <n v="29237.945566091643"/>
        <n v="5373.1686371324386"/>
        <n v="44094.170582000006"/>
        <n v="89736.243403999993"/>
        <n v="58429.486199999999"/>
        <n v="5205.7489185704662"/>
        <n v="23041.963224000003"/>
        <n v="12479.512549999999"/>
        <n v="19103.204046713177"/>
        <n v="8429.7939929999993"/>
        <n v="31478.681227479468"/>
        <n v="24265.782638076671"/>
        <n v="25730.960640321337"/>
        <n v="16854.837454"/>
        <n v="21530.651044999999"/>
        <n v="6147.7795909456518"/>
        <n v="14727.097800000001"/>
        <n v="12239.337792"/>
        <n v="14375.23975028377"/>
        <n v="6985.2323970000007"/>
        <n v="16597.024249999999"/>
        <n v="13720.159784997477"/>
        <n v="9034.0520380341386"/>
        <n v="17574.825621397282"/>
        <n v="18507.169744999999"/>
        <n v="6325.087615965761"/>
        <n v="90833.264328835678"/>
        <n v="6109.8741941262315"/>
        <n v="3445.186457022568"/>
        <n v="1995.8442"/>
        <n v="39924.406867565725"/>
        <n v="12948.557897000001"/>
        <n v="2926.1968400000005"/>
        <n v="3983.7930400000005"/>
        <n v="36062.400491"/>
        <n v="8382.5408520000001"/>
        <n v="88646.992079417847"/>
        <n v="11251.869856459331"/>
        <n v="13659.031298447382"/>
        <n v="16461.364680025254"/>
        <n v="9092.0671780486409"/>
        <n v="27566.561604999999"/>
        <n v="28209.918115916898"/>
        <n v="28153.644288000003"/>
        <n v="24098.933361088311"/>
        <n v="15856.555549063374"/>
        <n v="29051.890122265522"/>
        <n v="11307.114411924789"/>
        <n v="9717.7174463035008"/>
        <n v="1406.6177711450382"/>
        <n v="8660.4364494352412"/>
        <n v="37139.228913299405"/>
        <n v="28674.203008000004"/>
        <n v="2602.611054"/>
        <n v="13862.810159105295"/>
        <n v="18308.606212000002"/>
        <n v="20039.585279999999"/>
        <n v="65099.190790999994"/>
        <n v="8756.637894546815"/>
        <n v="8948.0492395614638"/>
        <n v="20304.054071608716"/>
        <n v="22219.708790444784"/>
        <n v="10933.679621707513"/>
        <n v="29888.778370999997"/>
        <n v="15577.815830822845"/>
        <n v="8901.8363719999998"/>
        <n v="34742.337037999998"/>
        <n v="23925.750603320175"/>
        <n v="20446.212780000002"/>
        <n v="3599.4936850308873"/>
        <n v="36745.847620090251"/>
        <n v="7691.4972579999994"/>
        <n v="5188.6722819999995"/>
        <n v="2119.1193205145601"/>
        <n v="3527.9929942081749"/>
        <n v="7954.1672576187748"/>
        <n v="845.66986400556971"/>
        <n v="19841.320445874517"/>
        <n v="12044.651105999999"/>
        <n v="46861.205470003239"/>
        <n v="21954.04037185264"/>
        <n v="11326.966231406836"/>
        <n v="1478.0016540000001"/>
        <n v="61961.872518000004"/>
        <n v="20078.523983110485"/>
        <n v="14858.050065000001"/>
        <n v="27246.392842635993"/>
        <n v="25298.838872000004"/>
        <n v="9227.7229289999996"/>
        <n v="37805.010796999995"/>
        <n v="2269.6256595354785"/>
        <n v="32513.838312594835"/>
        <n v="26534.767402000001"/>
        <n v="15475.014251999999"/>
        <n v="24581.113269999998"/>
        <n v="10632.509959241537"/>
        <n v="23018.404918260385"/>
        <n v="27311.806367999998"/>
        <n v="14524.876285444232"/>
        <n v="12275.305959184616"/>
        <n v="12405.710965788563"/>
        <n v="18147.114620287201"/>
        <n v="5812.0184333610468"/>
        <n v="29868.130467999999"/>
        <n v="24814.067748871923"/>
        <n v="3435.1511040000005"/>
        <n v="2860.5522820000001"/>
        <n v="13290.866196779818"/>
        <n v="13511.641748"/>
        <n v="23238.315489037548"/>
        <n v="6458.5526535933523"/>
        <n v="52613.852167277641"/>
        <n v="3124.3472519999996"/>
        <n v="8394.2245182110382"/>
        <n v="13344.638016310597"/>
        <n v="13862.781004"/>
        <n v="16357.244811"/>
        <n v="14349.889955205968"/>
        <n v="8512.101748000001"/>
        <n v="9893.8610069999995"/>
        <n v="9277.4096648372506"/>
        <n v="20770.760157763376"/>
        <n v="6725.6052125228534"/>
        <n v="4411.9054166215583"/>
        <n v="19871.952860889982"/>
        <n v="17889.213225999996"/>
        <n v="61563.497203999992"/>
        <n v="16715.183142000002"/>
        <n v="38439.614074999998"/>
        <n v="8924.2857936726032"/>
        <n v="7762.1421772544591"/>
        <n v="17218.337188256835"/>
        <n v="44623.450170000004"/>
        <n v="18884.414590389017"/>
        <n v="18228.301428426908"/>
        <n v="37380.02708146099"/>
        <n v="17799.453852862716"/>
        <n v="8508.9961006155008"/>
        <n v="14776.233002540019"/>
        <n v="5053.9973794297266"/>
        <n v="24808.091565412291"/>
        <n v="22177.135083000001"/>
        <n v="28583.424868999999"/>
        <n v="37304.55036536861"/>
        <n v="12848.561342128529"/>
        <n v="12747.05601"/>
        <n v="29061.675157999998"/>
        <n v="22665.746462283652"/>
        <n v="4548.0512317899502"/>
        <n v="16521.613212"/>
        <n v="3144.4806689404841"/>
        <n v="19296.382079999999"/>
        <n v="5658.1993800000009"/>
        <n v="5579.809813357303"/>
        <n v="25965.527769999997"/>
        <n v="2006.472726"/>
        <n v="5766.3187051955174"/>
        <n v="4135.3014730506075"/>
        <n v="9992.6944434031611"/>
        <n v="10090.382270963231"/>
        <n v="19768.487906999999"/>
        <n v="40115.838614354063"/>
        <n v="15968.776642000001"/>
        <n v="6670.6522486224458"/>
        <n v="12542.122233112159"/>
        <n v="15834.879505917943"/>
        <n v="21603.614116699275"/>
        <n v="46675.721996"/>
        <n v="17549.038352219395"/>
        <n v="44110.501616999994"/>
        <n v="3538.2296700000002"/>
        <n v="13340.029592999999"/>
        <n v="41100.115908141968"/>
        <n v="13868.084974625423"/>
        <n v="21231.74914680648"/>
        <n v="4979.3523913093777"/>
        <n v="9363.2239523864828"/>
        <n v="3316.8275766976908"/>
        <n v="86827.066309999995"/>
        <n v="11934.064188329092"/>
        <n v="7298.9396653810636"/>
        <n v="18824.012664121765"/>
        <n v="16070.752073999998"/>
        <n v="37239.488664999997"/>
        <n v="4776.2897639999992"/>
        <n v="13985.891856763928"/>
        <n v="10340.900732694396"/>
        <n v="6015.8055859999995"/>
        <n v="5025.2305514524869"/>
        <n v="23778.160694771956"/>
        <n v="45664.592839999998"/>
        <n v="12645.393920920389"/>
        <n v="30699.773188847907"/>
        <n v="14404.807343"/>
        <n v="3138.1961926467529"/>
        <n v="4575.9840899999999"/>
        <n v="16700.491761899913"/>
        <n v="8317.6264313676747"/>
        <n v="7004.9053694925205"/>
        <n v="7459.4926162723605"/>
        <n v="69642.052935"/>
        <n v="10910.152367999999"/>
        <n v="4349.6897920000001"/>
        <n v="35608.674487182441"/>
        <n v="28526.010649769589"/>
        <n v="1478.0839511743611"/>
        <n v="4120.0405002763346"/>
        <n v="16498.625129999997"/>
        <n v="37482.190707713286"/>
        <n v="1257.4876924113953"/>
        <n v="10116.817056000002"/>
        <n v="14381.392285682279"/>
        <n v="27915.455040000001"/>
        <n v="18247.650927999999"/>
        <n v="10506.920425753029"/>
        <n v="29081.895092444916"/>
        <n v="3188.7968949999995"/>
        <n v="6352.0588799999987"/>
        <n v="6703.6995373027994"/>
        <n v="11554.659753321825"/>
        <n v="5366.2312191708943"/>
        <n v="13936.460159999999"/>
        <n v="20726.82591"/>
        <n v="17470.117682924232"/>
        <n v="20977.004776999998"/>
        <n v="31278.24453"/>
        <n v="16754.445947"/>
        <n v="97410.595555000007"/>
        <n v="48722.891813000002"/>
        <n v="15369.685599000002"/>
        <n v="8063.8108550000006"/>
        <n v="10098.878025509646"/>
        <n v="3884.3654947317182"/>
        <n v="1130.0035480633303"/>
        <n v="7162.5540866376341"/>
        <n v="17966.680056000001"/>
        <n v="10412.269499999999"/>
        <n v="26958.146831537157"/>
        <n v="13274.357968857494"/>
        <n v="29325.454851073653"/>
        <n v="26319.284098"/>
        <n v="33404.463171000003"/>
        <n v="12224.552376"/>
        <n v="5149.424392891161"/>
        <n v="16830.62095"/>
        <n v="8604.5125743431217"/>
        <n v="29039.926570779924"/>
        <n v="1909.7226218786259"/>
        <n v="5286.6540121281587"/>
        <n v="10012.240494"/>
        <n v="3880.6485262289962"/>
        <n v="15690.518493999998"/>
        <n v="30124.389078"/>
        <n v="10571.037144116557"/>
        <n v="29199.175147999998"/>
        <n v="12872.234198099459"/>
        <n v="26139.468481906788"/>
        <n v="20723.208268000002"/>
        <n v="37256.241774739741"/>
        <n v="10640.090350733139"/>
        <n v="6284.9761449999996"/>
        <n v="7665.2553908580685"/>
        <n v="10264.375595999998"/>
        <n v="62406.434880000008"/>
        <n v="11845.299254248681"/>
        <n v="16248.116875"/>
        <n v="10719.859591999999"/>
        <n v="18732.131107999998"/>
        <n v="9429.5817439999992"/>
        <n v="17028.752075"/>
        <n v="27640.234195000001"/>
        <n v="87333.411278981584"/>
        <n v="5061.781233533191"/>
        <n v="46486.152516000002"/>
        <n v="9072.7906044240426"/>
        <n v="8072.4179833012195"/>
        <n v="44309.919494000002"/>
        <n v="29499.023024037931"/>
        <n v="8207.2272399999983"/>
        <n v="68026.727529999989"/>
        <n v="52637.849742743732"/>
        <n v="16758.407340782731"/>
        <n v="15055.183200000001"/>
        <n v="2948.1051557741862"/>
        <n v="21102.333460977585"/>
        <n v="11521.598086999998"/>
        <n v="42202.568742871772"/>
        <n v="11988.73028261222"/>
        <n v="14846.002262097816"/>
        <n v="9081.0771372182408"/>
        <n v="80676.613709999991"/>
        <n v="10993.001225957049"/>
        <n v="25437.483299"/>
        <n v="2982.4129482901039"/>
        <n v="29860.173291999996"/>
        <n v="30808.994942697198"/>
        <n v="3680.0665795136397"/>
        <n v="30361.438050000001"/>
        <n v="6525.891765998037"/>
        <n v="11360.78356"/>
        <n v="10729.088372"/>
        <n v="26668.387727536232"/>
        <n v="39578.632288000001"/>
        <n v="6334.8944346807266"/>
        <n v="45283.801802000649"/>
        <n v="2495.6257219375871"/>
        <n v="18458.168970078485"/>
        <n v="9378.0875369999994"/>
        <n v="9262.5745047989403"/>
        <n v="1549.7236298331918"/>
        <n v="16111.635350481443"/>
        <n v="17082.608794455176"/>
        <n v="7318.705479641485"/>
        <n v="6974.8621222768807"/>
        <n v="3929.062066"/>
        <n v="5921.4265768799096"/>
        <n v="12359.351769999999"/>
        <n v="18233.469110999999"/>
        <n v="26554.278404676948"/>
        <n v="24460.235848621207"/>
        <n v="7444.4029660000015"/>
        <n v="8770.4696399864006"/>
        <n v="2867.587858271731"/>
        <n v="9767.2288948326295"/>
        <n v="26330.108614232206"/>
        <n v="19676.651185408264"/>
        <n v="22925.180514"/>
        <n v="5403.6423100000002"/>
        <n v="14935.278478374836"/>
        <n v="9952.3160352135637"/>
        <n v="25136.238287999997"/>
        <n v="5844.3754319999998"/>
        <n v="18812.614880740479"/>
        <n v="9016.7339176900332"/>
        <n v="4056.989345"/>
        <n v="30687.574355725035"/>
        <n v="6138.582475907554"/>
        <n v="15682.008774"/>
        <n v="4972.2710079999997"/>
        <n v="14751.231724381334"/>
        <n v="12375.498534686345"/>
        <n v="35573.456310000001"/>
        <n v="36639.956106803475"/>
        <n v="9361.1114757341584"/>
        <n v="29005.555230999998"/>
        <n v="43614.016640000002"/>
        <n v="72256.262641000008"/>
        <n v="13030.407327000001"/>
        <n v="11603.907150436809"/>
        <n v="26443.204420000002"/>
        <n v="14924.789307194831"/>
        <n v="26331.878567690394"/>
        <n v="61903.532169999999"/>
        <n v="12927.613065"/>
        <n v="34510.185425000003"/>
        <n v="6965.6844016570485"/>
        <n v="28719.370064999999"/>
        <n v="8602.4179758902337"/>
        <n v="63184.511551999996"/>
        <n v="12043.165645999999"/>
        <n v="34147.161032777454"/>
        <n v="15394.64217142182"/>
        <n v="36515.861996613501"/>
        <n v="17474.526718731118"/>
        <n v="6070.5248498581968"/>
        <n v="23735.437128046149"/>
        <n v="12816.810186632738"/>
        <n v="6698.7223750000003"/>
        <n v="31954.733806445911"/>
        <n v="17471.16288"/>
        <n v="39139.059653422424"/>
        <n v="18973.167280977312"/>
        <n v="3393.9066849999995"/>
        <n v="19498.270010319917"/>
        <n v="30302.507678098016"/>
        <n v="5478.0976799999999"/>
        <n v="2614.7207800000001"/>
        <n v="5883.3304099999996"/>
        <n v="2086.7841359999998"/>
        <n v="41549.362925479218"/>
        <n v="7181.1666149999992"/>
        <n v="52925.866910000004"/>
        <n v="12520.475879999998"/>
        <n v="20986.974661"/>
        <n v="4905.4448685948546"/>
        <n v="14700.818127148785"/>
        <n v="13219.22655702713"/>
        <n v="48850.35024"/>
        <n v="9000.3158754773758"/>
        <n v="29394.302883999997"/>
        <n v="12520.486577"/>
        <n v="39749.072381390004"/>
        <n v="88226.951680999991"/>
        <n v="32412.784518843458"/>
        <n v="3139.1866543134129"/>
        <n v="54408.381170000001"/>
        <n v="5589.6275280000009"/>
        <n v="30207.869267999999"/>
        <n v="36559.862459999997"/>
        <n v="12356.627113093557"/>
        <n v="18551.778786581013"/>
        <n v="42223.47066991905"/>
        <n v="6658.6239695197582"/>
        <n v="32949.065355000006"/>
        <n v="52097.855267969549"/>
        <n v="20777.809296000003"/>
        <n v="90413.361174090853"/>
        <n v="10773.112634000001"/>
        <n v="22248.321137648556"/>
        <n v="10279.244647"/>
        <n v="22434.016725000001"/>
        <n v="5599.7313996966996"/>
        <n v="11383.004951979387"/>
        <n v="53933.61591"/>
        <n v="4040.7905696400621"/>
        <n v="22535.358294999998"/>
        <n v="2590.3527980000003"/>
        <n v="8358.6140240791283"/>
        <n v="8045.8922119980489"/>
        <n v="41477.989574435713"/>
        <n v="5257.0523338649646"/>
        <n v="43560.106100734396"/>
        <n v="11524.250985158351"/>
        <n v="7490.5907999999999"/>
        <n v="10426.058017999998"/>
        <n v="82175.601910371654"/>
        <n v="7265.5079399999995"/>
        <n v="22515.619419999995"/>
        <n v="9911.9436474698614"/>
        <n v="70368.025319999986"/>
        <n v="101097.87845999999"/>
        <n v="5765.4637295156872"/>
        <n v="36796.676608000002"/>
        <n v="24661.772348999999"/>
        <n v="78933.470814"/>
        <n v="12993.901485305703"/>
        <n v="5097.1702569999998"/>
        <n v="34302.600534999998"/>
        <n v="4148.1245079999999"/>
        <n v="75157.382729999998"/>
        <n v="16112.524314949704"/>
        <n v="45144.540739999997"/>
        <n v="12283.128858000002"/>
        <n v="26420.514489999998"/>
        <n v="8247.1303200000002"/>
        <n v="38241.350444195647"/>
        <n v="33644.786678765879"/>
        <n v="23918.883007647983"/>
        <n v="25575.750563059086"/>
        <n v="9034.3218260616341"/>
        <n v="3247.0291866837388"/>
        <n v="6092.3961825536853"/>
        <n v="36005.79090602856"/>
        <n v="11654.338334999999"/>
        <n v="10762.107424999998"/>
        <n v="5716.5171420000006"/>
        <n v="29178.757580608279"/>
        <n v="5789.7110886644214"/>
        <n v="18968.235142999998"/>
        <n v="12882.984296000001"/>
        <n v="6614.2520284443426"/>
        <n v="19757.246846999999"/>
        <n v="5168.9779252473845"/>
        <n v="35459.764706559261"/>
        <n v="3778.9789559999999"/>
        <n v="4539.901116"/>
        <n v="4928.2714815776071"/>
        <n v="16308.680779999999"/>
        <n v="47010.000239999994"/>
        <n v="23611.453087963466"/>
        <n v="34128.323221833685"/>
        <n v="18934.116361638131"/>
        <n v="3388.9634999999998"/>
        <n v="4664.7361057120033"/>
        <n v="16141.456819999999"/>
        <n v="19761.056874000002"/>
        <n v="29680.801566761609"/>
        <n v="51243.601499999997"/>
        <n v="9230.4968556399763"/>
        <n v="6490.0529549295779"/>
        <n v="23283.754572000002"/>
        <n v="7911.2793169592105"/>
        <n v="3003.6726819155574"/>
        <n v="14825.609496795045"/>
        <n v="35689.44672193002"/>
        <n v="22011.588719999996"/>
        <n v="9474.0356620000002"/>
        <n v="1953.56448"/>
        <n v="22741.623379999997"/>
        <n v="18734.607640000002"/>
        <n v="6144.6497165623223"/>
        <n v="25527.45708"/>
        <n v="5384.1013946055982"/>
        <n v="29870.402122895761"/>
        <n v="30598.570962907444"/>
        <n v="17803.485635999998"/>
        <n v="5567.5284000000001"/>
        <n v="5014.5686264103924"/>
        <n v="4486.3292879999999"/>
        <n v="36499.164119999994"/>
        <n v="13213.684574802048"/>
        <n v="2168.1571676179888"/>
        <n v="44885.916723327202"/>
        <n v="16611.297145726265"/>
        <n v="18268.737374"/>
        <n v="7490.9870225112991"/>
        <n v="16626.458119999999"/>
        <n v="18966.959636737491"/>
        <n v="8447.2088960000001"/>
        <n v="10191.464712000001"/>
        <n v="5486.7490639999996"/>
        <n v="16390.592826"/>
        <n v="18244.698275909432"/>
        <n v="67210.895177824816"/>
        <n v="7549.1955823665894"/>
        <n v="8269.5659944016152"/>
        <n v="3207.764443"/>
        <n v="32015.509303399525"/>
        <n v="4229.3506215909092"/>
        <n v="18315.091545000003"/>
        <n v="3141.905581012807"/>
        <n v="29493.625094999999"/>
        <n v="17319.764852"/>
        <n v="7673.5148847445844"/>
        <n v="3587.0205941835302"/>
        <n v="18533.092010641631"/>
        <n v="25924.406792185466"/>
        <n v="6046.7843039999998"/>
        <n v="9865.1489600000004"/>
        <n v="12549.300883"/>
        <n v="25450.501027999999"/>
        <n v="45279.896272005521"/>
        <n v="13144.912507999999"/>
        <n v="9622.7734461503969"/>
        <n v="9675.7388909999991"/>
        <n v="26790.465183977642"/>
        <n v="72479.048535478592"/>
        <n v="6059.0700726610776"/>
        <n v="9907.726736590881"/>
        <n v="8591.6481299999996"/>
        <n v="17852.560560120357"/>
        <n v="26803.846381933981"/>
        <n v="16879.426530000001"/>
        <n v="34808.599677920385"/>
        <n v="42724.505343999997"/>
        <n v="23793.601593105304"/>
        <n v="28378.221120000002"/>
        <n v="8589.7075949999999"/>
        <n v="41742.233730000007"/>
        <n v="29091.887866681067"/>
        <n v="4222.9371899383987"/>
        <n v="16110.703532117606"/>
        <n v="36647.099818000002"/>
        <n v="5526.0120900000002"/>
        <n v="90263.822629137678"/>
        <n v="36907.392939031764"/>
        <n v="16322.745499000001"/>
        <n v="46228.366463999999"/>
        <n v="11660.935564880152"/>
        <n v="65289.528025744337"/>
        <n v="9878.4157200000009"/>
        <n v="2264.9091068898742"/>
        <n v="21580.442418169696"/>
        <n v="14124.82147439638"/>
        <n v="1114.3514935215178"/>
        <n v="19014.353360000001"/>
        <n v="4801.4828364839932"/>
        <n v="8203.5586981654269"/>
        <n v="22771.497454567052"/>
        <n v="34797.031905567033"/>
        <n v="2116.436880239014"/>
        <n v="10212.757849208821"/>
        <n v="7178.3047640000013"/>
        <n v="15227.682814"/>
        <n v="15442.478818314732"/>
        <n v="10370.570163838502"/>
        <n v="23739.750884999998"/>
        <n v="9049.3507200000004"/>
        <n v="9566.662396318914"/>
        <n v="9982.7370359999986"/>
        <n v="34540.545805363654"/>
        <n v="4912.5154304272382"/>
        <n v="74988.158372999998"/>
        <n v="11376.730027674863"/>
        <n v="22104.909377999997"/>
        <n v="83894.130109999998"/>
        <n v="63794.645615999994"/>
        <n v="13449.965897848735"/>
        <n v="15435.609071612233"/>
        <n v="13224.265920108479"/>
        <n v="17874.26784"/>
        <n v="34248.046574"/>
        <n v="8129.1905379999998"/>
        <n v="35075.451440429315"/>
        <n v="17391.049157000001"/>
        <n v="2962.8778730926688"/>
        <n v="15030.824885"/>
        <n v="16399.531481999999"/>
        <n v="8111.8668811741209"/>
        <n v="7174.3311323797707"/>
        <n v="22860.803111999998"/>
        <n v="30444.921180499317"/>
        <n v="29849.527813315155"/>
        <n v="37910.391003000004"/>
        <n v="7361.3192183077372"/>
        <n v="16380.606527503531"/>
        <n v="13749.404792151554"/>
        <n v="20547.795806999999"/>
        <n v="28010.290560000001"/>
        <n v="28141.404972"/>
        <n v="11496.99151327029"/>
        <n v="6828.7501619999994"/>
        <n v="11959.709032999999"/>
        <n v="56194.107408999997"/>
        <n v="2097.3193419999998"/>
        <n v="6816.2722979948921"/>
        <n v="7174.4655186376358"/>
        <n v="26204.441364000002"/>
        <n v="4763.0365006907759"/>
        <n v="7002.2374276866931"/>
        <n v="20310.346965000001"/>
        <n v="10172.587764"/>
        <n v="8536.9982099999997"/>
        <n v="5458.8678202878009"/>
        <n v="52302.049002000007"/>
        <n v="14549.058715196772"/>
        <n v="19065.667438734723"/>
        <n v="7594.5479599999999"/>
        <n v="4349.1874860000007"/>
        <n v="8413.2372558094103"/>
        <n v="33927.548967084644"/>
        <n v="24420.028896"/>
        <n v="14860.811724687588"/>
        <n v="23847.819975000002"/>
        <n v="25019.097751389945"/>
        <n v="3480.3731215405905"/>
        <n v="17631.507734999999"/>
        <n v="10930.018722493642"/>
        <n v="108502.80744700001"/>
        <n v="26848.916673999996"/>
        <n v="23996.366520000003"/>
        <n v="6769.3030999999992"/>
        <n v="7515.0727740000002"/>
        <n v="5899.4722599999996"/>
        <n v="19920.556768894541"/>
        <n v="21074.016287999999"/>
        <n v="85749.709282999989"/>
        <n v="22922.290205256842"/>
        <n v="8599.183235532937"/>
        <n v="3841.3775660000001"/>
        <n v="11735.720520000001"/>
        <n v="6868.9806749999998"/>
        <n v="5301.4055619055689"/>
        <n v="16548.308369999999"/>
        <n v="5557.1883588957053"/>
        <n v="24096.142347255784"/>
        <n v="12169.02593712499"/>
        <n v="19968.532121693181"/>
        <n v="90843.964250999998"/>
        <n v="20574.759446585678"/>
        <n v="6163.6858579999998"/>
        <n v="30420.501850000001"/>
        <n v="4588.2162652134575"/>
        <n v="30079.387595733355"/>
        <n v="84574.118629999997"/>
        <n v="71068.827168526099"/>
        <n v="31531.210326000004"/>
        <n v="17863.879477035014"/>
        <n v="8684.5527870000005"/>
        <n v="9385.4623782103299"/>
        <n v="4638.8034250027631"/>
        <n v="28661.734278142645"/>
        <n v="8909.5746257967494"/>
        <n v="30742.945605133566"/>
        <n v="7190.1603367003363"/>
        <n v="6463.5012399999996"/>
        <n v="47941.559116309283"/>
        <n v="11203.015382"/>
        <n v="42906.014009999999"/>
        <n v="3063.4947176933156"/>
        <n v="6774.7890335093707"/>
        <n v="25330.915928999999"/>
        <n v="23660.107115004299"/>
        <n v="24848.521949999998"/>
        <n v="9036.7121298174443"/>
        <n v="17642.581543999997"/>
        <n v="7846.4451179673315"/>
        <n v="17336.374959056637"/>
        <n v="1461.1285693842153"/>
        <n v="23371.775310348057"/>
        <n v="75089.924845000001"/>
        <n v="19156.652339121552"/>
        <n v="26824.020580089291"/>
        <n v="10738.110022888532"/>
        <n v="7921.0594560000009"/>
        <n v="67544.184599999993"/>
        <n v="15334.869855999999"/>
        <n v="2176.527615"/>
        <n v="24483.920709999999"/>
        <n v="38874.700691999999"/>
        <n v="35851.595822553012"/>
        <n v="23778.857820000001"/>
        <n v="29584.692727272726"/>
        <n v="23746.276536000005"/>
        <n v="16199.579352089346"/>
        <n v="16191.100530000002"/>
        <n v="8638.7270021855966"/>
        <n v="37251.798011999999"/>
        <n v="23684.180945121188"/>
        <n v="4344.6998399999993"/>
        <n v="12499.028282943527"/>
        <n v="8310.4444919999987"/>
        <n v="5551.484506975984"/>
        <n v="5073.653327"/>
        <n v="5803.0950676638176"/>
        <n v="10772.230331524304"/>
        <n v="5245.6487910568158"/>
        <n v="23309.80559568121"/>
        <n v="12044.944605349339"/>
        <n v="9722.5977306173918"/>
        <n v="7530.2405386231712"/>
        <n v="5263.4609671317985"/>
        <n v="23613.183300000001"/>
        <n v="26023.470566"/>
        <n v="23627.284818000004"/>
        <n v="16574.848297"/>
        <n v="15767.855861539369"/>
        <n v="10969.040738"/>
        <n v="6352.3951781290252"/>
        <n v="24558.387611999999"/>
        <n v="23466.858122187732"/>
        <n v="62773.474515999995"/>
        <n v="6856.7189650915234"/>
        <n v="3043.6100099999999"/>
        <n v="16049.557690299765"/>
        <n v="10601.66094"/>
        <n v="7128.3979094625529"/>
        <n v="91381.799582999985"/>
        <n v="33112.527974999997"/>
        <n v="34962.054120000008"/>
        <n v="22635.593722000001"/>
        <n v="21011.331206401112"/>
        <n v="10762.176090656154"/>
        <n v="1964.7542827128239"/>
        <n v="3088.8812557298224"/>
        <n v="40791.732156000005"/>
        <n v="7045.6628340000007"/>
        <n v="28651.837311740892"/>
        <n v="5822.1282840096874"/>
        <n v="21314.466516"/>
        <n v="6034.9700080787161"/>
        <n v="7522.7006880000008"/>
        <n v="23526.816594"/>
        <n v="7402.5711140845069"/>
        <n v="7694.0479601313264"/>
        <n v="26962.714377398257"/>
        <n v="3283.9203299999999"/>
        <n v="7760.7882449999997"/>
        <n v="23476.605485"/>
        <n v="76090.749327000012"/>
        <n v="56593.104959999997"/>
        <n v="20649.621088092932"/>
        <n v="33768.334938922155"/>
        <n v="19994.024036750296"/>
        <n v="16249.259689441838"/>
        <n v="25532.278000735852"/>
        <n v="16566.800919999998"/>
        <n v="65064.305942000006"/>
        <n v="5772.6505713819734"/>
        <n v="24369.564780000001"/>
        <n v="49141.094889000007"/>
        <n v="30081.317544000005"/>
        <n v="25113.913055213285"/>
        <n v="47864.635260094612"/>
        <n v="10155.358794"/>
        <n v="26404.556988389821"/>
        <n v="4735.2441646680472"/>
        <n v="11963.642575"/>
        <n v="26804.256696"/>
        <n v="76532.725488348879"/>
        <n v="9898.4699905445632"/>
        <n v="7910.6685752646645"/>
        <n v="36842.478529615917"/>
        <n v="32821.809023330286"/>
        <n v="83941.270682999981"/>
        <n v="64354.886178569352"/>
        <n v="4660.2952281586795"/>
        <n v="24433.533645"/>
        <n v="10998.979331"/>
        <n v="50547.936383999993"/>
        <n v="21425.024355000001"/>
        <n v="10565.027646167293"/>
        <n v="6810.7831889999989"/>
        <n v="6281.3070962615784"/>
        <n v="4992.4926220782227"/>
        <n v="23108.312563630087"/>
        <n v="13112.118359999999"/>
        <n v="32919.075878999996"/>
        <n v="23266.095747924715"/>
        <n v="13840.406295000003"/>
        <n v="61635.976460000005"/>
        <n v="3840.9834209999999"/>
        <n v="2401.4415904398275"/>
        <n v="24514.820079920137"/>
        <n v="3533.5092827306353"/>
        <n v="16029.282037999999"/>
        <n v="22135.812181944126"/>
        <n v="4038.4733557591931"/>
        <n v="10540.581013999999"/>
        <n v="28572.246288616672"/>
        <n v="28592.359873999998"/>
        <n v="28717.689286000004"/>
        <n v="27545.3336526901"/>
        <n v="16436.46799305957"/>
        <n v="21316.163891862623"/>
        <n v="19685.21312895032"/>
        <n v="17599.443706975115"/>
        <n v="26449.413168387939"/>
        <n v="30833.056682120437"/>
        <n v="45363.244209755823"/>
        <n v="15513.152329996547"/>
        <n v="5238.0925390000002"/>
        <n v="101172.225312"/>
        <n v="21195.012161999999"/>
        <n v="3296.7460016118566"/>
        <n v="6118.0051833392672"/>
        <n v="30379.544256999998"/>
        <n v="7197.3332189999992"/>
        <n v="7711.565026471083"/>
        <n v="26352.799907000001"/>
        <n v="12770.350301"/>
        <n v="18708.745175732893"/>
        <n v="25561.849620349985"/>
        <n v="9385.3716079999995"/>
        <n v="2729.507543114998"/>
        <n v="11324.413008522659"/>
        <n v="25743.659966999996"/>
        <n v="13457.18916"/>
        <n v="43514.373554999991"/>
        <n v="10729.536195999999"/>
        <n v="5683.7503939999997"/>
        <n v="9060.4671094320365"/>
        <n v="46761.845172000001"/>
        <n v="9405.223011889082"/>
        <n v="2151.9339748360799"/>
        <n v="13743.328840824277"/>
        <n v="58984.733600241911"/>
        <n v="61031.673750000002"/>
        <n v="8650.2130128910921"/>
        <n v="8043.5152500207305"/>
        <n v="6101.3511857436597"/>
        <n v="11629.899719885812"/>
        <n v="15621.372288442182"/>
        <n v="6934.1709359999995"/>
        <n v="31347.044922707941"/>
        <n v="5439.2277470429935"/>
        <n v="9351.7516800000012"/>
        <n v="11655.760469175841"/>
        <n v="36152.288999999997"/>
        <n v="5209.7037840000003"/>
        <n v="6491.7343841504098"/>
        <n v="40106.918419000001"/>
        <n v="33204.595500000003"/>
        <n v="31390.921924017119"/>
        <n v="35185.383699999998"/>
        <n v="27188.100934944941"/>
        <n v="5518.2677549999999"/>
        <n v="12461.327540999999"/>
        <n v="24305.058567"/>
        <n v="1877.9814275672675"/>
        <n v="5612.0447199148521"/>
        <n v="19970.589912609554"/>
        <n v="30277.922125000005"/>
        <n v="32628.569909999998"/>
        <n v="28977.700383230749"/>
        <n v="18928.651830000003"/>
        <n v="19705.482553973357"/>
        <n v="19838.227403528741"/>
        <n v="44973.699887999996"/>
        <n v="4933.9004854890445"/>
        <n v="11479.038627458298"/>
        <n v="2833.5267825001797"/>
        <n v="36711.729536999999"/>
        <n v="6408.4071717638117"/>
        <n v="2306.4448569787478"/>
        <n v="41197.103505999999"/>
        <n v="16551.0488"/>
        <n v="36118.052208000001"/>
        <n v="9252.0858829999997"/>
        <n v="34170.860323145127"/>
        <n v="8523.2031461012139"/>
        <n v="13538.450731880204"/>
        <n v="35857.766142"/>
        <n v="6768.1633920000004"/>
        <n v="23861.032727999995"/>
        <n v="54170.713204000007"/>
        <n v="25032.158476354765"/>
        <n v="81494.472150000001"/>
        <n v="8621.3424129999985"/>
        <n v="35457.937521497661"/>
        <n v="18224.930751"/>
        <n v="12599.789789466073"/>
        <n v="3341.8823726221208"/>
        <n v="10790.098599999999"/>
        <n v="5829.8066889999991"/>
        <n v="13808.010919314393"/>
        <n v="15073.867259999999"/>
        <n v="6824.813366723989"/>
        <n v="6757.1558703194796"/>
        <n v="38195.725438923277"/>
        <n v="25545.584169999998"/>
        <n v="17958.470850000002"/>
        <n v="16464.374259912722"/>
        <n v="8039.9690199999995"/>
        <n v="19450.980320999999"/>
        <n v="25066.716444000002"/>
        <n v="19375.447110000001"/>
        <n v="16408.515144980465"/>
        <n v="13482.409334203654"/>
        <n v="6117.3010999203389"/>
        <n v="9689.8707266590627"/>
        <n v="63799.303399999997"/>
        <n v="22896.944907999998"/>
        <n v="31121.059967999998"/>
        <n v="2202.9276197037548"/>
        <n v="85912.321364999996"/>
        <n v="10126.709038858931"/>
        <n v="62940.641430276846"/>
        <n v="29107.389626090378"/>
        <n v="17099.082783441037"/>
        <n v="17259.759045000003"/>
        <n v="11636.961203450343"/>
        <n v="8491.6998339930724"/>
        <n v="17824.642897000002"/>
        <n v="2561.7683999999999"/>
        <n v="28069.006828000001"/>
        <n v="63172.086289999999"/>
        <n v="19203.575579999997"/>
        <n v="1879.233970958152"/>
        <n v="6124.3679431253749"/>
        <n v="39228.151616999996"/>
        <n v="29975.165223362073"/>
        <n v="6409.4715300000007"/>
        <n v="20217.453498461324"/>
        <n v="7984.4383899999993"/>
        <n v="9624.9284985507238"/>
        <n v="7230.7605858166817"/>
        <n v="10255.45356"/>
        <n v="19316.538293000001"/>
        <n v="3246.7031555719518"/>
        <n v="6825.7870947511165"/>
        <n v="4886.9107834657989"/>
        <n v="2361.8250000000003"/>
        <n v="8323.7476966346931"/>
        <n v="30913.599924458133"/>
        <n v="19873.126646373541"/>
        <n v="8743.733569"/>
        <n v="13681.713323697679"/>
        <n v="8445.7726265140791"/>
        <n v="9498.184050692249"/>
        <n v="9741.9765845762522"/>
        <n v="2300.2780861495689"/>
        <n v="11066.962400795945"/>
        <n v="19087.852341000002"/>
        <n v="17177.104428999999"/>
        <n v="19657.872883"/>
        <n v="15685.511478"/>
        <n v="21445.214972779999"/>
        <n v="9619.4706160000005"/>
        <n v="25630.246948"/>
        <n v="7238.5605099999993"/>
        <n v="70143.607199999999"/>
        <n v="7194.2950997729713"/>
        <n v="11573.372448"/>
        <n v="7637.3761979820019"/>
        <n v="17497.627609000003"/>
        <n v="2014.9628760000001"/>
        <n v="10644.948232258064"/>
        <n v="9830.909118806796"/>
        <n v="7657.0030697699758"/>
        <n v="5836.2408359999999"/>
        <n v="19245.245370000001"/>
        <n v="24148.187924999998"/>
        <n v="19632.835277645376"/>
        <n v="44636.893437999999"/>
        <n v="26657.141923737548"/>
        <n v="57416.377696000003"/>
        <n v="13111.009659903835"/>
        <n v="8755.4309261155668"/>
        <n v="71317.064718551323"/>
        <n v="76289.966633999997"/>
        <n v="21190.224500196"/>
        <n v="9044.3578876484135"/>
        <n v="38737.321469999995"/>
        <n v="37912.549749999998"/>
        <n v="13337.527823999999"/>
        <n v="4171.8727064162749"/>
        <n v="27249.396725856339"/>
        <n v="10768.072298350138"/>
        <n v="36889.405603054271"/>
        <n v="22094.653350000001"/>
        <n v="8084.0187680000008"/>
        <n v="3349.3724399999996"/>
        <n v="15020.962083999999"/>
        <n v="28658.148664502663"/>
        <n v="17405.807975999996"/>
        <n v="11129.832504999998"/>
        <n v="68378.580257000009"/>
        <n v="55069.417476751754"/>
        <n v="10000.436127450297"/>
        <n v="79628.04045"/>
        <n v="3761.0968297966506"/>
        <n v="54884.236680000002"/>
        <n v="70321.112274942454"/>
        <n v="13029.234318973569"/>
        <n v="17044.111266"/>
        <n v="14856.119662583778"/>
        <n v="46121.834614999992"/>
        <n v="32589.349144"/>
        <n v="1075.249902"/>
        <n v="35048.386679999996"/>
        <n v="10049.400471360941"/>
        <n v="20317.213683999998"/>
        <n v="11598.913414000001"/>
        <n v="6252.9977999999992"/>
        <n v="26017.111250000002"/>
        <n v="22347.226128000002"/>
        <n v="16375.488618071809"/>
        <n v="4595.5904"/>
        <n v="1818.7928815773846"/>
        <n v="40752.411930000002"/>
        <n v="5624.8406399999994"/>
        <n v="25010.649952999996"/>
        <n v="72877.420868776331"/>
        <n v="11096.546400000001"/>
        <n v="2914.8442640968087"/>
        <n v="57566.292029999997"/>
        <n v="13636.814778426658"/>
        <n v="13329.315067175748"/>
        <n v="11679.255217612623"/>
        <n v="15817.020473273946"/>
        <n v="6390.4603321465893"/>
        <n v="5475.9897809235617"/>
        <n v="2850.5895599953801"/>
        <n v="7754.61312"/>
        <n v="66057.733755000008"/>
        <n v="12161.307493999999"/>
        <n v="8418.1912919999995"/>
        <n v="34329.397414742765"/>
        <n v="31861.242991999996"/>
        <n v="30178.740166000003"/>
        <n v="13613.65502"/>
        <n v="16471.298969837586"/>
        <n v="28331.533439999999"/>
        <n v="14336.251313701432"/>
        <n v="3851.9914148430867"/>
        <n v="10070.186398"/>
        <n v="17886.517265343507"/>
        <n v="7313.2220369999995"/>
        <n v="3739.8796514567616"/>
        <n v="17024.057540999998"/>
        <n v="113022.647424"/>
        <n v="3276.0015749999998"/>
        <n v="43208.258904665308"/>
        <n v="10892.082921890413"/>
        <n v="20278.171848000002"/>
        <n v="26904.04493"/>
        <n v="15979.22777"/>
        <n v="11696.199647615884"/>
        <n v="10464.835090999999"/>
        <n v="5529.7678760068848"/>
        <n v="26615.85453490396"/>
        <n v="26150.081957999999"/>
        <n v="13351.777797999999"/>
        <n v="13247.777470641371"/>
        <n v="5919.7980293989995"/>
        <n v="16164.952675623825"/>
        <n v="32462.254815"/>
        <n v="22318.339673201113"/>
        <n v="113933.6456"/>
        <n v="37356.707025000003"/>
        <n v="26735.881816000005"/>
        <n v="9352.7571219999991"/>
        <n v="1786.2940778361369"/>
        <n v="14769.329618116726"/>
        <n v="8818.0683527925394"/>
        <n v="12672.195351290184"/>
        <n v="31439.574192"/>
        <n v="12373.293291885964"/>
        <n v="8216.9624567304327"/>
        <n v="22058.146691999998"/>
        <n v="5022.4930470000008"/>
        <n v="9373.0620960000015"/>
        <n v="72366.870114744714"/>
        <n v="34503.454884999999"/>
        <n v="1888.9235565287538"/>
        <n v="58852.838640000002"/>
        <n v="8313.601552809514"/>
        <n v="10321.891644000001"/>
        <n v="1845.3160261175749"/>
        <n v="18939.887190000001"/>
        <n v="34027.26672"/>
        <n v="23863.943796625874"/>
        <n v="15068.674397778957"/>
        <n v="6706.0003219528971"/>
        <n v="5161.1822099999999"/>
        <n v="9033.4335698841714"/>
        <n v="16072.418403145477"/>
        <n v="58063.543335000002"/>
        <n v="2801.9078092111954"/>
        <n v="5948.9125637543457"/>
        <n v="4428.1425179999997"/>
        <n v="27719.384199679414"/>
        <n v="8661.3398615658552"/>
        <n v="20640.264347799042"/>
        <n v="12474.890500000001"/>
        <n v="12459.388153202131"/>
        <n v="2423.5935931536951"/>
        <n v="48985.482860000004"/>
        <n v="8106.8766597983085"/>
        <n v="3352.812813"/>
        <n v="19370.325968767029"/>
        <n v="19385.839888656927"/>
        <n v="13737.94464"/>
        <n v="1539.6359200237732"/>
        <n v="14937.434273731466"/>
        <n v="29947.563485999999"/>
        <n v="11908.311109999999"/>
        <n v="2535.4809853715624"/>
        <n v="20542.637859396502"/>
        <n v="89543.482455000005"/>
        <n v="45025.453199999996"/>
        <n v="9397.2903779999997"/>
        <n v="1742.777646741931"/>
        <n v="29289.591111999998"/>
        <n v="56172.818049999994"/>
      </sharedItems>
    </cacheField>
    <cacheField name="Budget_Quarter" numFmtId="0">
      <sharedItems count="8">
        <s v="2026-Q2"/>
        <s v="2025-Q3"/>
        <s v="2026-Q4"/>
        <s v="2025-Q1"/>
        <s v="2026-Q3"/>
        <s v="2025-Q2"/>
        <s v="2026-Q1"/>
        <s v="2025-Q4"/>
      </sharedItems>
    </cacheField>
    <cacheField name="Budget_USD_Per_Unit" numFmtId="0">
      <sharedItems containsSemiMixedTypes="0" containsString="0" containsNumber="1" minValue="6.4599999999999996E-3" maxValue="1.3149999999999999"/>
    </cacheField>
    <cacheField name="Budgeted_Invoice_Amount_USD" numFmtId="0">
      <sharedItems containsSemiMixedTypes="0" containsString="0" containsNumber="1" minValue="848.94078599999989" maxValue="110603.59336700001"/>
    </cacheField>
    <cacheField name="FX_Budget_Variance_USD" numFmtId="0">
      <sharedItems containsSemiMixedTypes="0" containsString="0" containsNumber="1" minValue="-7997.3569180623163" maxValue="10195.789824000007"/>
    </cacheField>
    <cacheField name="FX_Budget_Variance_Pct" numFmtId="0">
      <sharedItems containsSemiMixedTypes="0" containsString="0" containsNumber="1" minValue="-9.7653915799357768E-2" maxValue="0.12431924882629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x:pivotCacheRecords xmlns:x="http://schemas.openxmlformats.org/spreadsheetml/2006/main" count="1500">
  <x:r>
    <x:s v="INV-00001"/>
    <x:x v="0"/>
    <x:s v="SUP01"/>
    <x:x v="0"/>
    <x:s v="Components"/>
    <x:d v="2026-04-17T00:00:00Z"/>
    <x:n v="46159"/>
    <x:x v="0"/>
    <x:n v="16673.8"/>
    <x:s v="Historical"/>
    <x:s v="SUP01-INV-00001"/>
    <x:n v="30"/>
    <x:s v="Rhein Circuit Components"/>
    <x:n v="1.1797"/>
    <x:n v="1.3533636196769456"/>
    <x:n v="0.006284359684636693"/>
    <x:n v="1.1797"/>
    <x:x v="0"/>
    <x:x v="0"/>
    <x:n v="1.083"/>
    <x:n v="18057.7254"/>
    <x:n v="1612.356459999999"/>
    <x:n v="0.0892890120036934"/>
  </x:r>
  <x:r>
    <x:s v="INV-00002"/>
    <x:x v="1"/>
    <x:s v="SUP15"/>
    <x:x v="1"/>
    <x:s v="Freight"/>
    <x:d v="2025-07-17T00:00:00Z"/>
    <x:n v="45885"/>
    <x:x v="1"/>
    <x:n v="802342.96"/>
    <x:s v="Historical"/>
    <x:s v="SUP15-INV-00002"/>
    <x:n v="30"/>
    <x:s v="Nagoya Logistics Partners"/>
    <x:n v="1.1579"/>
    <x:n v="1.3395418787598334"/>
    <x:n v="0.006721035523566287"/>
    <x:n v="0.006721035523566287"/>
    <x:x v="1"/>
    <x:x v="1"/>
    <x:n v="0.00684"/>
    <x:n v="5488.0258464"/>
    <x:n v="-95.4503101566761"/>
    <x:n v="-0.017392467314870423"/>
  </x:r>
  <x:r>
    <x:s v="INV-00003"/>
    <x:x v="2"/>
    <x:s v="SUP10"/>
    <x:x v="1"/>
    <x:s v="Services"/>
    <x:d v="2026-11-04T00:00:00Z"/>
    <x:n v="46375"/>
    <x:x v="2"/>
    <x:n v="8105.55"/>
    <x:s v="Planned"/>
    <x:s v="SUP10-INV-00003"/>
    <x:n v="45"/>
    <x:s v="Bristol Calibration Services"/>
    <x:n v="1.1177"/>
    <x:n v="1.320456022210408"/>
    <x:n v="0.00632004523607577"/>
    <x:n v="1.320456022210408"/>
    <x:x v="2"/>
    <x:x v="2"/>
    <x:n v="1.315"/>
    <x:n v="10658.79825"/>
    <x:n v="44.22406082757334"/>
    <x:n v="0.004149066319701974"/>
  </x:r>
  <x:r>
    <x:s v="INV-00004"/>
    <x:x v="3"/>
    <x:s v="SUP04"/>
    <x:x v="1"/>
    <x:s v="Packaging"/>
    <x:d v="2025-01-15T00:00:00Z"/>
    <x:n v="45702"/>
    <x:x v="0"/>
    <x:n v="2619.62"/>
    <x:s v="Historical"/>
    <x:s v="SUP04-INV-00004"/>
    <x:n v="30"/>
    <x:s v="Nordlicht Packaging"/>
    <x:n v="1.03"/>
    <x:n v="1.2216384187491844"/>
    <x:n v="0.006367851622874807"/>
    <x:n v="1.03"/>
    <x:x v="3"/>
    <x:x v="3"/>
    <x:n v="1.052"/>
    <x:n v="2755.84024"/>
    <x:n v="-57.63164000000006"/>
    <x:n v="-0.020912547528517133"/>
  </x:r>
  <x:r>
    <x:s v="INV-00005"/>
    <x:x v="4"/>
    <x:s v="SUP08"/>
    <x:x v="0"/>
    <x:s v="Components"/>
    <x:d v="2026-07-03T00:00:00Z"/>
    <x:n v="46236"/>
    <x:x v="0"/>
    <x:n v="14309.35"/>
    <x:s v="Historical"/>
    <x:s v="SUP08-INV-00005"/>
    <x:n v="30"/>
    <x:s v="Valencia Circuit Supply"/>
    <x:n v="1.1448"/>
    <x:n v="1.3355109659356044"/>
    <x:n v="0.006205550737207286"/>
    <x:n v="1.1448"/>
    <x:x v="4"/>
    <x:x v="4"/>
    <x:n v="1.101"/>
    <x:n v="15754.59435"/>
    <x:n v="626.749530000001"/>
    <x:n v="0.0397820163487739"/>
  </x:r>
  <x:r>
    <x:s v="INV-00006"/>
    <x:x v="5"/>
    <x:s v="SUP09"/>
    <x:x v="0"/>
    <x:s v="Components"/>
    <x:d v="2025-06-24T00:00:00Z"/>
    <x:n v="45862"/>
    <x:x v="2"/>
    <x:n v="8945.84"/>
    <x:s v="Historical"/>
    <x:s v="SUP09-INV-00006"/>
    <x:n v="30"/>
    <x:s v="Thames Electronics Ltd"/>
    <x:n v="1.1607"/>
    <x:n v="1.3612055822680897"/>
    <x:n v="0.006897842752718845"/>
    <x:n v="1.3612055822680897"/>
    <x:x v="5"/>
    <x:x v="5"/>
    <x:n v="1.26"/>
    <x:n v="11271.7584"/>
    <x:n v="905.3689460771675"/>
    <x:n v="0.08032189068896006"/>
  </x:r>
  <x:r>
    <x:s v="INV-00007"/>
    <x:x v="4"/>
    <x:s v="SUP08"/>
    <x:x v="0"/>
    <x:s v="Components"/>
    <x:d v="2026-09-23T00:00:00Z"/>
    <x:n v="46318"/>
    <x:x v="0"/>
    <x:n v="2169.68"/>
    <x:s v="Historical"/>
    <x:s v="SUP08-INV-00007"/>
    <x:n v="30"/>
    <x:s v="Valencia Circuit Supply"/>
    <x:n v="1.1411"/>
    <x:n v="1.327632344386271"/>
    <x:n v="0.006332408435072143"/>
    <x:n v="1.1411"/>
    <x:x v="6"/>
    <x:x v="4"/>
    <x:n v="1.101"/>
    <x:n v="2388.8176799999997"/>
    <x:n v="87.00416800000039"/>
    <x:n v="0.03642143505903741"/>
  </x:r>
  <x:r>
    <x:s v="INV-00008"/>
    <x:x v="0"/>
    <x:s v="SUP01"/>
    <x:x v="0"/>
    <x:s v="Components"/>
    <x:d v="2026-02-13T00:00:00Z"/>
    <x:n v="46096"/>
    <x:x v="0"/>
    <x:n v="28206.02"/>
    <x:s v="Historical"/>
    <x:s v="SUP01-INV-00008"/>
    <x:n v="30"/>
    <x:s v="Rhein Circuit Components"/>
    <x:n v="1.1862"/>
    <x:n v="1.3609453877925652"/>
    <x:n v="0.00652367596106253"/>
    <x:n v="1.1862"/>
    <x:x v="7"/>
    <x:x v="6"/>
    <x:n v="1.065"/>
    <x:n v="30039.4113"/>
    <x:n v="3418.569623999996"/>
    <x:n v="0.11380281690140832"/>
  </x:r>
  <x:r>
    <x:s v="INV-00009"/>
    <x:x v="3"/>
    <x:s v="SUP04"/>
    <x:x v="1"/>
    <x:s v="Packaging"/>
    <x:d v="2026-04-02T00:00:00Z"/>
    <x:n v="46144"/>
    <x:x v="0"/>
    <x:n v="10080.53"/>
    <x:s v="Historical"/>
    <x:s v="SUP04-INV-00009"/>
    <x:n v="30"/>
    <x:s v="Nordlicht Packaging"/>
    <x:n v="1.1525"/>
    <x:n v="1.3208714886594157"/>
    <x:n v="0.006265630096770686"/>
    <x:n v="1.1525"/>
    <x:x v="8"/>
    <x:x v="0"/>
    <x:n v="1.083"/>
    <x:n v="10917.21399"/>
    <x:n v="700.5968350000021"/>
    <x:n v="0.06417359187442309"/>
  </x:r>
  <x:r>
    <x:s v="INV-00010"/>
    <x:x v="6"/>
    <x:s v="SUP16"/>
    <x:x v="0"/>
    <x:s v="Components"/>
    <x:d v="2026-05-08T00:00:00Z"/>
    <x:n v="46180"/>
    <x:x v="1"/>
    <x:n v="517662.57"/>
    <x:s v="Historical"/>
    <x:s v="SUP16-INV-00010"/>
    <x:n v="30"/>
    <x:s v="Kyoto Optical Instruments"/>
    <x:n v="1.1761"/>
    <x:n v="1.3610693206804767"/>
    <x:n v="0.006379020448012149"/>
    <x:n v="0.006379020448012149"/>
    <x:x v="9"/>
    <x:x v="0"/>
    <x:n v="0.0066"/>
    <x:n v="3416.572962"/>
    <x:n v="-114.3928427994797"/>
    <x:n v="-0.033481750301189585"/>
  </x:r>
  <x:r>
    <x:s v="INV-00011"/>
    <x:x v="7"/>
    <x:s v="SUP03"/>
    <x:x v="0"/>
    <x:s v="Components"/>
    <x:d v="2026-09-14T00:00:00Z"/>
    <x:n v="46309"/>
    <x:x v="0"/>
    <x:n v="3672.96"/>
    <x:s v="Historical"/>
    <x:s v="SUP03-INV-00011"/>
    <x:n v="30"/>
    <x:s v="Benelux Sensor Works"/>
    <x:n v="1.1551"/>
    <x:n v="1.3494474169957242"/>
    <x:n v="0.006470423481962805"/>
    <x:n v="1.1551"/>
    <x:x v="10"/>
    <x:x v="4"/>
    <x:n v="1.101"/>
    <x:n v="4043.92896"/>
    <x:n v="198.707136"/>
    <x:n v="0.04913714804722979"/>
  </x:r>
  <x:r>
    <x:s v="INV-00012"/>
    <x:x v="1"/>
    <x:s v="SUP15"/>
    <x:x v="1"/>
    <x:s v="Freight"/>
    <x:d v="2026-04-02T00:00:00Z"/>
    <x:n v="46144"/>
    <x:x v="1"/>
    <x:n v="1979754.22"/>
    <x:s v="Historical"/>
    <x:s v="SUP15-INV-00012"/>
    <x:n v="30"/>
    <x:s v="Nagoya Logistics Partners"/>
    <x:n v="1.1525"/>
    <x:n v="1.3208714886594157"/>
    <x:n v="0.006265630096770686"/>
    <x:n v="0.006265630096770686"/>
    <x:x v="11"/>
    <x:x v="0"/>
    <x:n v="0.0066"/>
    <x:n v="13066.377852"/>
    <x:n v="-661.9702269592253"/>
    <x:n v="-0.05066210654989601"/>
  </x:r>
  <x:r>
    <x:s v="INV-00013"/>
    <x:x v="8"/>
    <x:s v="SUP13"/>
    <x:x v="0"/>
    <x:s v="Components"/>
    <x:d v="2026-02-22T00:00:00Z"/>
    <x:n v="46120"/>
    <x:x v="1"/>
    <x:n v="3587555.89"/>
    <x:s v="Historical"/>
    <x:s v="SUP13-INV-00013"/>
    <x:n v="45"/>
    <x:s v="Osaka Microdevices"/>
    <x:n v="1.1555"/>
    <x:n v="1.3367963164349013"/>
    <x:n v="0.006298375667720483"/>
    <x:n v="0.006298375667720483"/>
    <x:x v="12"/>
    <x:x v="6"/>
    <x:n v="0.00646"/>
    <x:n v="23175.6110494"/>
    <x:n v="-579.8363252366944"/>
    <x:n v="-0.0250192464828972"/>
  </x:r>
  <x:r>
    <x:s v="INV-00014"/>
    <x:x v="5"/>
    <x:s v="SUP09"/>
    <x:x v="0"/>
    <x:s v="Components"/>
    <x:d v="2025-04-02T00:00:00Z"/>
    <x:n v="45779"/>
    <x:x v="2"/>
    <x:n v="26754.59"/>
    <x:s v="Historical"/>
    <x:s v="SUP09-INV-00014"/>
    <x:n v="30"/>
    <x:s v="Thames Electronics Ltd"/>
    <x:n v="1.0803"/>
    <x:n v="1.294470073692409"/>
    <x:n v="0.006700781540751768"/>
    <x:n v="1.294470073692409"/>
    <x:x v="13"/>
    <x:x v="5"/>
    <x:n v="1.26"/>
    <x:n v="33710.7834"/>
    <x:n v="922.2326889101896"/>
    <x:n v="0.027357201343181765"/>
  </x:r>
  <x:r>
    <x:s v="INV-00015"/>
    <x:x v="9"/>
    <x:s v="SUP05"/>
    <x:x v="0"/>
    <x:s v="Components"/>
    <x:d v="2025-10-05T00:00:00Z"/>
    <x:n v="45980"/>
    <x:x v="0"/>
    <x:n v="8439.7"/>
    <x:s v="Historical"/>
    <x:s v="SUP05-INV-00015"/>
    <x:n v="45"/>
    <x:s v="Lyon Industrial Controls"/>
    <x:n v="1.1894"/>
    <x:n v="1.3679125934445082"/>
    <x:n v="0.006446263075172078"/>
    <x:n v="1.1894"/>
    <x:x v="14"/>
    <x:x v="7"/>
    <x:n v="1.106"/>
    <x:n v="9334.308200000001"/>
    <x:n v="703.8709799999997"/>
    <x:n v="0.07540687160940321"/>
  </x:r>
  <x:r>
    <x:s v="INV-00016"/>
    <x:x v="6"/>
    <x:s v="SUP16"/>
    <x:x v="0"/>
    <x:s v="Components"/>
    <x:d v="2026-06-15T00:00:00Z"/>
    <x:n v="46218"/>
    <x:x v="1"/>
    <x:n v="618939.86"/>
    <x:s v="Historical"/>
    <x:s v="SUP16-INV-00016"/>
    <x:n v="30"/>
    <x:s v="Kyoto Optical Instruments"/>
    <x:n v="1.1607"/>
    <x:n v="1.3421134789496203"/>
    <x:n v="0.0062426719733232935"/>
    <x:n v="0.0062426719733232935"/>
    <x:x v="15"/>
    <x:x v="0"/>
    <x:n v="0.0066"/>
    <x:n v="4085.003076"/>
    <x:n v="-221.16455880535705"/>
    <x:n v="-0.0541406101025313"/>
  </x:r>
  <x:r>
    <x:s v="INV-00017"/>
    <x:x v="5"/>
    <x:s v="SUP09"/>
    <x:x v="0"/>
    <x:s v="Components"/>
    <x:d v="2025-02-16T00:00:00Z"/>
    <x:n v="45734"/>
    <x:x v="2"/>
    <x:n v="16048.44"/>
    <x:s v="Historical"/>
    <x:s v="SUP09-INV-00017"/>
    <x:n v="30"/>
    <x:s v="Thames Electronics Ltd"/>
    <x:n v="1.0889"/>
    <x:n v="1.2934915600536925"/>
    <x:n v="0.006726587595749938"/>
    <x:n v="1.2934915600536925"/>
    <x:x v="16"/>
    <x:x v="3"/>
    <x:n v="1.238"/>
    <x:n v="19867.96872"/>
    <x:n v="890.5529720280792"/>
    <x:n v="0.04482355416291793"/>
  </x:r>
  <x:r>
    <x:s v="INV-00018"/>
    <x:x v="10"/>
    <x:s v="SUP02"/>
    <x:x v="0"/>
    <x:s v="Equipment"/>
    <x:d v="2025-10-03T00:00:00Z"/>
    <x:n v="45978"/>
    <x:x v="0"/>
    <x:n v="31593.49"/>
    <x:s v="Historical"/>
    <x:s v="SUP02-INV-00018"/>
    <x:n v="45"/>
    <x:s v="Alpen Precision Systems"/>
    <x:n v="1.1734"/>
    <x:n v="1.3447169378867752"/>
    <x:n v="0.006786581839213418"/>
    <x:n v="1.1734"/>
    <x:x v="17"/>
    <x:x v="7"/>
    <x:n v="1.106"/>
    <x:n v="34942.39994"/>
    <x:n v="2129.4012260000018"/>
    <x:n v="0.06094032549728757"/>
  </x:r>
  <x:r>
    <x:s v="INV-00019"/>
    <x:x v="11"/>
    <x:s v="SUP14"/>
    <x:x v="0"/>
    <x:s v="Equipment"/>
    <x:d v="2025-03-26T00:00:00Z"/>
    <x:n v="45802"/>
    <x:x v="1"/>
    <x:n v="12493079.39"/>
    <x:s v="Historical"/>
    <x:s v="SUP14-INV-00019"/>
    <x:n v="60"/>
    <x:s v="Tokyo Automation Systems"/>
    <x:n v="1.0788"/>
    <x:n v="1.2900756968776532"/>
    <x:n v="0.006651048088779285"/>
    <x:n v="0.006651048088779285"/>
    <x:x v="18"/>
    <x:x v="3"/>
    <x:n v="0.00656"/>
    <x:n v="81954.6007984"/>
    <x:n v="1137.4710014273733"/>
    <x:n v="0.013879281826110488"/>
  </x:r>
  <x:r>
    <x:s v="INV-00020"/>
    <x:x v="5"/>
    <x:s v="SUP09"/>
    <x:x v="0"/>
    <x:s v="Components"/>
    <x:d v="2025-04-20T00:00:00Z"/>
    <x:n v="45797"/>
    <x:x v="2"/>
    <x:n v="24039.06"/>
    <x:s v="Historical"/>
    <x:s v="SUP09-INV-00020"/>
    <x:n v="30"/>
    <x:s v="Thames Electronics Ltd"/>
    <x:n v="1.1574"/>
    <x:n v="1.357972544878564"/>
    <x:n v="0.006935106956678052"/>
    <x:n v="1.357972544878564"/>
    <x:x v="19"/>
    <x:x v="5"/>
    <x:n v="1.26"/>
    <x:n v="30289.215600000003"/>
    <x:n v="2355.1678846884897"/>
    <x:n v="0.07775598799886022"/>
  </x:r>
  <x:r>
    <x:s v="INV-00021"/>
    <x:x v="10"/>
    <x:s v="SUP02"/>
    <x:x v="0"/>
    <x:s v="Equipment"/>
    <x:d v="2025-09-30T00:00:00Z"/>
    <x:n v="45975"/>
    <x:x v="0"/>
    <x:n v="68783.42"/>
    <x:s v="Historical"/>
    <x:s v="SUP02-INV-00021"/>
    <x:n v="45"/>
    <x:s v="Alpen Precision Systems"/>
    <x:n v="1.1741"/>
    <x:n v="1.344286695672086"/>
    <x:n v="0.006757021178637201"/>
    <x:n v="1.1741"/>
    <x:x v="20"/>
    <x:x v="1"/>
    <x:n v="1.088"/>
    <x:n v="74836.36096"/>
    <x:n v="5922.2524619999895"/>
    <x:n v="0.07913602941176456"/>
  </x:r>
  <x:r>
    <x:s v="INV-00022"/>
    <x:x v="4"/>
    <x:s v="SUP08"/>
    <x:x v="0"/>
    <x:s v="Components"/>
    <x:d v="2025-03-13T00:00:00Z"/>
    <x:n v="45759"/>
    <x:x v="0"/>
    <x:n v="8413.61"/>
    <x:s v="Historical"/>
    <x:s v="SUP08-INV-00022"/>
    <x:n v="30"/>
    <x:s v="Valencia Circuit Supply"/>
    <x:n v="1.083"/>
    <x:n v="1.2927021413736304"/>
    <x:n v="0.006741782868525897"/>
    <x:n v="1.083"/>
    <x:x v="21"/>
    <x:x v="3"/>
    <x:n v="1.052"/>
    <x:n v="8851.11772"/>
    <x:n v="260.82191000000057"/>
    <x:n v="0.029467680608365084"/>
  </x:r>
  <x:r>
    <x:s v="INV-00023"/>
    <x:x v="4"/>
    <x:s v="SUP08"/>
    <x:x v="0"/>
    <x:s v="Components"/>
    <x:d v="2025-01-20T00:00:00Z"/>
    <x:n v="45707"/>
    <x:x v="0"/>
    <x:n v="10120.87"/>
    <x:s v="Historical"/>
    <x:s v="SUP08-INV-00023"/>
    <x:n v="30"/>
    <x:s v="Valencia Circuit Supply"/>
    <x:n v="1.0316"/>
    <x:n v="1.2195583297867312"/>
    <x:n v="0.006393158155676748"/>
    <x:n v="1.0316"/>
    <x:x v="22"/>
    <x:x v="3"/>
    <x:n v="1.052"/>
    <x:n v="10647.155240000002"/>
    <x:n v="-206.46574800000053"/>
    <x:n v="-0.01939163498098864"/>
  </x:r>
  <x:r>
    <x:s v="INV-00024"/>
    <x:x v="12"/>
    <x:s v="SUP17"/>
    <x:x v="1"/>
    <x:s v="Packaging"/>
    <x:d v="2025-03-27T00:00:00Z"/>
    <x:n v="45788"/>
    <x:x v="1"/>
    <x:n v="673370.32"/>
    <x:s v="Historical"/>
    <x:s v="SUP17-INV-00024"/>
    <x:n v="45"/>
    <x:s v="Kobe Industrial Packaging"/>
    <x:n v="1.0785"/>
    <x:n v="1.2944381766244988"/>
    <x:n v="0.00663488157490003"/>
    <x:n v="0.00663488157490003"/>
    <x:x v="23"/>
    <x:x v="3"/>
    <x:n v="0.00656"/>
    <x:n v="4417.309299199999"/>
    <x:n v="50.4230300525378"/>
    <x:n v="0.011414874222565694"/>
  </x:r>
  <x:r>
    <x:s v="INV-00025"/>
    <x:x v="3"/>
    <x:s v="SUP04"/>
    <x:x v="1"/>
    <x:s v="Packaging"/>
    <x:d v="2026-04-16T00:00:00Z"/>
    <x:n v="46158"/>
    <x:x v="0"/>
    <x:n v="9805.54"/>
    <x:s v="Historical"/>
    <x:s v="SUP04-INV-00025"/>
    <x:n v="30"/>
    <x:s v="Nordlicht Packaging"/>
    <x:n v="1.1782"/>
    <x:n v="1.354361845205936"/>
    <x:n v="0.006290107308739522"/>
    <x:n v="1.1782"/>
    <x:x v="24"/>
    <x:x v="0"/>
    <x:n v="1.083"/>
    <x:n v="10619.39982"/>
    <x:n v="933.487407999999"/>
    <x:n v="0.08790397045244681"/>
  </x:r>
  <x:r>
    <x:s v="INV-00026"/>
    <x:x v="5"/>
    <x:s v="SUP09"/>
    <x:x v="0"/>
    <x:s v="Components"/>
    <x:d v="2026-07-12T00:00:00Z"/>
    <x:n v="46245"/>
    <x:x v="2"/>
    <x:n v="19226.02"/>
    <x:s v="Historical"/>
    <x:s v="SUP09-INV-00026"/>
    <x:n v="30"/>
    <x:s v="Thames Electronics Ltd"/>
    <x:n v="1.143"/>
    <x:n v="1.3422582349832657"/>
    <x:n v="0.006177710517781861"/>
    <x:n v="1.3422582349832657"/>
    <x:x v="25"/>
    <x:x v="4"/>
    <x:n v="1.293"/>
    <x:n v="24859.24386"/>
    <x:n v="947.039810952967"/>
    <x:n v="0.03809608274034474"/>
  </x:r>
  <x:r>
    <x:s v="INV-00027"/>
    <x:x v="6"/>
    <x:s v="SUP16"/>
    <x:x v="0"/>
    <x:s v="Components"/>
    <x:d v="2025-02-03T00:00:00Z"/>
    <x:n v="45721"/>
    <x:x v="1"/>
    <x:n v="1421811.26"/>
    <x:s v="Historical"/>
    <x:s v="SUP16-INV-00027"/>
    <x:n v="30"/>
    <x:s v="Kyoto Optical Instruments"/>
    <x:n v="1.0274"/>
    <x:n v="1.2358063895304081"/>
    <x:n v="0.006466922641153144"/>
    <x:n v="0.006466922641153144"/>
    <x:x v="26"/>
    <x:x v="3"/>
    <x:n v="0.00656"/>
    <x:n v="9327.0818656"/>
    <x:n v="-132.3384368595198"/>
    <x:n v="-0.014188621775435293"/>
  </x:r>
  <x:r>
    <x:s v="INV-00028"/>
    <x:x v="4"/>
    <x:s v="SUP08"/>
    <x:x v="0"/>
    <x:s v="Components"/>
    <x:d v="2025-07-27T00:00:00Z"/>
    <x:n v="45895"/>
    <x:x v="0"/>
    <x:n v="14545.55"/>
    <x:s v="Historical"/>
    <x:s v="SUP08-INV-00028"/>
    <x:n v="30"/>
    <x:s v="Valencia Circuit Supply"/>
    <x:n v="1.155"/>
    <x:n v="1.312350869219407"/>
    <x:n v="0.006475304143073387"/>
    <x:n v="1.155"/>
    <x:x v="27"/>
    <x:x v="1"/>
    <x:n v="1.088"/>
    <x:n v="15825.5584"/>
    <x:n v="974.551849999998"/>
    <x:n v="0.06158088235294105"/>
  </x:r>
  <x:r>
    <x:s v="INV-00029"/>
    <x:x v="0"/>
    <x:s v="SUP01"/>
    <x:x v="0"/>
    <x:s v="Components"/>
    <x:d v="2026-08-29T00:00:00Z"/>
    <x:n v="46293"/>
    <x:x v="0"/>
    <x:n v="40466.83"/>
    <x:s v="Historical"/>
    <x:s v="SUP01-INV-00029"/>
    <x:n v="30"/>
    <x:s v="Rhein Circuit Components"/>
    <x:n v="1.1643"/>
    <x:n v="1.358259449370042"/>
    <x:n v="0.0062623709122203094"/>
    <x:n v="1.1643"/>
    <x:x v="28"/>
    <x:x v="4"/>
    <x:n v="1.101"/>
    <x:n v="44553.979830000004"/>
    <x:n v="2561.550338999994"/>
    <x:n v="0.05749318801089904"/>
  </x:r>
  <x:r>
    <x:s v="INV-00030"/>
    <x:x v="13"/>
    <x:s v="SUP11"/>
    <x:x v="2"/>
    <x:s v="Software"/>
    <x:d v="2025-10-15T00:00:00Z"/>
    <x:n v="45975"/>
    <x:x v="2"/>
    <x:n v="3512.95"/>
    <x:s v="Historical"/>
    <x:s v="SUP11-INV-00030"/>
    <x:n v="30"/>
    <x:s v="Manchester Cloud Solutions"/>
    <x:n v="1.1622"/>
    <x:n v="1.335094773118897"/>
    <x:n v="0.006598535172883665"/>
    <x:n v="1.335094773118897"/>
    <x:x v="29"/>
    <x:x v="7"/>
    <x:n v="1.304"/>
    <x:n v="4580.8868"/>
    <x:n v="109.23438322802849"/>
    <x:n v="0.023845684907129443"/>
  </x:r>
  <x:r>
    <x:s v="INV-00031"/>
    <x:x v="5"/>
    <x:s v="SUP09"/>
    <x:x v="0"/>
    <x:s v="Components"/>
    <x:d v="2025-05-15T00:00:00Z"/>
    <x:n v="45822"/>
    <x:x v="2"/>
    <x:n v="20636.83"/>
    <x:s v="Historical"/>
    <x:s v="SUP09-INV-00031"/>
    <x:n v="30"/>
    <x:s v="Thames Electronics Ltd"/>
    <x:n v="1.1185"/>
    <x:n v="1.3277540360873694"/>
    <x:n v="0.0068493570116350275"/>
    <x:n v="1.3277540360873694"/>
    <x:x v="30"/>
    <x:x v="5"/>
    <x:n v="1.26"/>
    <x:n v="26002.405800000004"/>
    <x:n v="1398.2285245489074"/>
    <x:n v="0.05377304451378523"/>
  </x:r>
  <x:r>
    <x:s v="INV-00032"/>
    <x:x v="2"/>
    <x:s v="SUP10"/>
    <x:x v="1"/>
    <x:s v="Services"/>
    <x:d v="2025-05-21T00:00:00Z"/>
    <x:n v="45843"/>
    <x:x v="2"/>
    <x:n v="8030.69"/>
    <x:s v="Historical"/>
    <x:s v="SUP10-INV-00032"/>
    <x:n v="45"/>
    <x:s v="Bristol Calibration Services"/>
    <x:n v="1.1321"/>
    <x:n v="1.3403978214539427"/>
    <x:n v="0.006955640206438929"/>
    <x:n v="1.3403978214539427"/>
    <x:x v="31"/>
    <x:x v="5"/>
    <x:n v="1.26"/>
    <x:n v="10118.669399999999"/>
    <x:n v="645.6499807719629"/>
    <x:n v="0.06380779480471642"/>
  </x:r>
  <x:r>
    <x:s v="INV-00033"/>
    <x:x v="8"/>
    <x:s v="SUP13"/>
    <x:x v="0"/>
    <x:s v="Components"/>
    <x:d v="2025-04-14T00:00:00Z"/>
    <x:n v="45806"/>
    <x:x v="1"/>
    <x:n v="991121.9"/>
    <x:s v="Historical"/>
    <x:s v="SUP13-INV-00033"/>
    <x:n v="45"/>
    <x:s v="Osaka Microdevices"/>
    <x:n v="1.1377"/>
    <x:n v="1.3170415475267123"/>
    <x:n v="0.006981039455114438"/>
    <x:n v="0.006981039455114438"/>
    <x:x v="32"/>
    <x:x v="5"/>
    <x:n v="0.0067"/>
    <x:n v="6640.51673"/>
    <x:n v="278.54435872798604"/>
    <x:n v="0.041946187330513064"/>
  </x:r>
  <x:r>
    <x:s v="INV-00034"/>
    <x:x v="2"/>
    <x:s v="SUP10"/>
    <x:x v="1"/>
    <x:s v="Services"/>
    <x:d v="2025-02-18T00:00:00Z"/>
    <x:n v="45751"/>
    <x:x v="2"/>
    <x:n v="1431.23"/>
    <x:s v="Historical"/>
    <x:s v="SUP10-INV-00034"/>
    <x:n v="45"/>
    <x:s v="Bristol Calibration Services"/>
    <x:n v="1.0447"/>
    <x:n v="1.2582956940680516"/>
    <x:n v="0.006589088615578681"/>
    <x:n v="1.2582956940680516"/>
    <x:x v="33"/>
    <x:x v="3"/>
    <x:n v="1.238"/>
    <x:n v="1771.86274"/>
    <x:n v="29.04780622101748"/>
    <x:n v="0.01639393705012245"/>
  </x:r>
  <x:r>
    <x:s v="INV-00035"/>
    <x:x v="2"/>
    <x:s v="SUP10"/>
    <x:x v="1"/>
    <x:s v="Services"/>
    <x:d v="2026-12-21T00:00:00Z"/>
    <x:n v="46422"/>
    <x:x v="2"/>
    <x:n v="7264.2"/>
    <x:s v="Planned"/>
    <x:s v="SUP10-INV-00035"/>
    <x:n v="45"/>
    <x:s v="Bristol Calibration Services"/>
    <x:n v="1.1177"/>
    <x:n v="1.320456022210408"/>
    <x:n v="0.00632004523607577"/>
    <x:n v="1.320456022210408"/>
    <x:x v="34"/>
    <x:x v="2"/>
    <x:n v="1.315"/>
    <x:n v="9552.422999999999"/>
    <x:n v="39.633636540846055"/>
    <x:n v="0.004149066319701929"/>
  </x:r>
  <x:r>
    <x:s v="INV-00036"/>
    <x:x v="6"/>
    <x:s v="SUP16"/>
    <x:x v="0"/>
    <x:s v="Components"/>
    <x:d v="2026-11-13T00:00:00Z"/>
    <x:n v="46369"/>
    <x:x v="1"/>
    <x:n v="742723.33"/>
    <x:s v="Planned"/>
    <x:s v="SUP16-INV-00036"/>
    <x:n v="30"/>
    <x:s v="Kyoto Optical Instruments"/>
    <x:n v="1.1177"/>
    <x:n v="1.320456022210408"/>
    <x:n v="0.00632004523607577"/>
    <x:n v="0.00632004523607577"/>
    <x:x v="35"/>
    <x:x v="2"/>
    <x:n v="0.00688"/>
    <x:n v="5109.9365104"/>
    <x:n v="-415.8914669111682"/>
    <x:n v="-0.08138877382619628"/>
  </x:r>
  <x:r>
    <x:s v="INV-00037"/>
    <x:x v="11"/>
    <x:s v="SUP14"/>
    <x:x v="0"/>
    <x:s v="Equipment"/>
    <x:d v="2026-10-24T00:00:00Z"/>
    <x:n v="46379"/>
    <x:x v="1"/>
    <x:n v="10974087.33"/>
    <x:s v="Planned"/>
    <x:s v="SUP14-INV-00037"/>
    <x:n v="60"/>
    <x:s v="Tokyo Automation Systems"/>
    <x:n v="1.1177"/>
    <x:n v="1.320456022210408"/>
    <x:n v="0.00632004523607577"/>
    <x:n v="0.00632004523607577"/>
    <x:x v="36"/>
    <x:x v="2"/>
    <x:n v="0.00688"/>
    <x:n v="75501.7208304"/>
    <x:n v="-6144.992480154033"/>
    <x:n v="-0.08138877382619622"/>
  </x:r>
  <x:r>
    <x:s v="INV-00038"/>
    <x:x v="14"/>
    <x:s v="SUP07"/>
    <x:x v="0"/>
    <x:s v="Equipment"/>
    <x:d v="2026-02-07T00:00:00Z"/>
    <x:n v="46120"/>
    <x:x v="0"/>
    <x:n v="56073.7"/>
    <x:s v="Historical"/>
    <x:s v="SUP07-INV-00038"/>
    <x:n v="60"/>
    <x:s v="Milan Assembly Robotics"/>
    <x:n v="1.1555"/>
    <x:n v="1.3367963164349013"/>
    <x:n v="0.006298375667720483"/>
    <x:n v="1.1555"/>
    <x:x v="37"/>
    <x:x v="6"/>
    <x:n v="1.065"/>
    <x:n v="59718.49049999999"/>
    <x:n v="5074.669850000006"/>
    <x:n v="0.08497652582159634"/>
  </x:r>
  <x:r>
    <x:s v="INV-00039"/>
    <x:x v="15"/>
    <x:s v="SUP18"/>
    <x:x v="1"/>
    <x:s v="Services"/>
    <x:d v="2026-02-21T00:00:00Z"/>
    <x:n v="46104"/>
    <x:x v="1"/>
    <x:n v="2246246.54"/>
    <x:s v="Historical"/>
    <x:s v="SUP18-INV-00039"/>
    <x:n v="30"/>
    <x:s v="Yokohama Engineering Labs"/>
    <x:n v="1.1555"/>
    <x:n v="1.3367963164349013"/>
    <x:n v="0.006298375667720483"/>
    <x:n v="0.006298375667720483"/>
    <x:x v="38"/>
    <x:x v="6"/>
    <x:n v="0.00646"/>
    <x:n v="14510.752648399999"/>
    <x:n v="-363.048097162673"/>
    <x:n v="-0.025019246482897207"/>
  </x:r>
  <x:r>
    <x:s v="INV-00040"/>
    <x:x v="2"/>
    <x:s v="SUP10"/>
    <x:x v="1"/>
    <x:s v="Services"/>
    <x:d v="2025-03-14T00:00:00Z"/>
    <x:n v="45775"/>
    <x:x v="2"/>
    <x:n v="13192.37"/>
    <x:s v="Historical"/>
    <x:s v="SUP10-INV-00040"/>
    <x:n v="45"/>
    <x:s v="Bristol Calibration Services"/>
    <x:n v="1.0889"/>
    <x:n v="1.2934915600536925"/>
    <x:n v="0.006726587595749938"/>
    <x:n v="1.2934915600536925"/>
    <x:x v="39"/>
    <x:x v="3"/>
    <x:n v="1.238"/>
    <x:n v="16332.15406"/>
    <x:n v="732.0651921055323"/>
    <x:n v="0.04482355416291807"/>
  </x:r>
  <x:r>
    <x:s v="INV-00041"/>
    <x:x v="16"/>
    <x:s v="SUP12"/>
    <x:x v="0"/>
    <x:s v="Components"/>
    <x:d v="2025-07-16T00:00:00Z"/>
    <x:n v="45914"/>
    <x:x v="2"/>
    <x:n v="15393.63"/>
    <x:s v="Historical"/>
    <x:s v="SUP12-INV-00041"/>
    <x:n v="60"/>
    <x:s v="Oxford Technical Materials"/>
    <x:n v="1.1602"/>
    <x:n v="1.33987758401663"/>
    <x:n v="0.006723458507185906"/>
    <x:n v="1.33987758401663"/>
    <x:x v="40"/>
    <x:x v="1"/>
    <x:n v="1.282"/>
    <x:n v="19734.63366"/>
    <x:n v="890.946113645914"/>
    <x:n v="0.04514632138582673"/>
  </x:r>
  <x:r>
    <x:s v="INV-00042"/>
    <x:x v="3"/>
    <x:s v="SUP04"/>
    <x:x v="1"/>
    <x:s v="Packaging"/>
    <x:d v="2025-05-23T00:00:00Z"/>
    <x:n v="45830"/>
    <x:x v="0"/>
    <x:n v="6774.46"/>
    <x:s v="Historical"/>
    <x:s v="SUP04-INV-00042"/>
    <x:n v="30"/>
    <x:s v="Nordlicht Packaging"/>
    <x:n v="1.1301"/>
    <x:n v="1.3482462419470296"/>
    <x:n v="0.007013591509960902"/>
    <x:n v="1.1301"/>
    <x:x v="41"/>
    <x:x v="5"/>
    <x:n v="1.07"/>
    <x:n v="7248.672200000001"/>
    <x:n v="407.14504599999964"/>
    <x:n v="0.056168224299065365"/>
  </x:r>
  <x:r>
    <x:s v="INV-00043"/>
    <x:x v="12"/>
    <x:s v="SUP17"/>
    <x:x v="1"/>
    <x:s v="Packaging"/>
    <x:d v="2026-06-03T00:00:00Z"/>
    <x:n v="46221"/>
    <x:x v="1"/>
    <x:n v="892030"/>
    <x:s v="Historical"/>
    <x:s v="SUP17-INV-00043"/>
    <x:n v="45"/>
    <x:s v="Kobe Industrial Packaging"/>
    <x:n v="1.1614"/>
    <x:n v="1.3446798656941068"/>
    <x:n v="0.006255520844554562"/>
    <x:n v="0.006255520844554562"/>
    <x:x v="42"/>
    <x:x v="0"/>
    <x:n v="0.0066"/>
    <x:n v="5887.398"/>
    <x:n v="-307.2857410319939"/>
    <x:n v="-0.05219381143112694"/>
  </x:r>
  <x:r>
    <x:s v="INV-00044"/>
    <x:x v="3"/>
    <x:s v="SUP04"/>
    <x:x v="1"/>
    <x:s v="Packaging"/>
    <x:d v="2026-02-06T00:00:00Z"/>
    <x:n v="46089"/>
    <x:x v="0"/>
    <x:n v="2435.43"/>
    <x:s v="Historical"/>
    <x:s v="SUP04-INV-00044"/>
    <x:n v="30"/>
    <x:s v="Nordlicht Packaging"/>
    <x:n v="1.1794"/>
    <x:n v="1.358912317087222"/>
    <x:n v="0.0063658444432449935"/>
    <x:n v="1.1794"/>
    <x:x v="43"/>
    <x:x v="6"/>
    <x:n v="1.065"/>
    <x:n v="2593.7329499999996"/>
    <x:n v="278.61319200000025"/>
    <x:n v="0.10741784037558696"/>
  </x:r>
  <x:r>
    <x:s v="INV-00045"/>
    <x:x v="6"/>
    <x:s v="SUP16"/>
    <x:x v="0"/>
    <x:s v="Components"/>
    <x:d v="2025-09-08T00:00:00Z"/>
    <x:n v="45938"/>
    <x:x v="1"/>
    <x:n v="842750.02"/>
    <x:s v="Historical"/>
    <x:s v="SUP16-INV-00045"/>
    <x:n v="30"/>
    <x:s v="Kyoto Optical Instruments"/>
    <x:n v="1.1728"/>
    <x:n v="1.3528665359326335"/>
    <x:n v="0.006763942557240903"/>
    <x:n v="0.006763942557240903"/>
    <x:x v="44"/>
    <x:x v="1"/>
    <x:n v="0.00684"/>
    <x:n v="5764.4101368"/>
    <x:n v="-64.09741140637834"/>
    <x:n v="-0.011119509175306663"/>
  </x:r>
  <x:r>
    <x:s v="INV-00046"/>
    <x:x v="6"/>
    <x:s v="SUP16"/>
    <x:x v="0"/>
    <x:s v="Components"/>
    <x:d v="2026-07-31T00:00:00Z"/>
    <x:n v="46264"/>
    <x:x v="1"/>
    <x:n v="3764835.97"/>
    <x:s v="Historical"/>
    <x:s v="SUP16-INV-00046"/>
    <x:n v="30"/>
    <x:s v="Kyoto Optical Instruments"/>
    <x:n v="1.1485"/>
    <x:n v="1.3421289425402874"/>
    <x:n v="0.006240830299407705"/>
    <x:n v="0.006240830299407705"/>
    <x:x v="45"/>
    <x:x v="4"/>
    <x:n v="0.00674"/>
    <x:n v="25374.994437800004"/>
    <x:n v="-1879.2920439240042"/>
    <x:n v="-0.07406078643802602"/>
  </x:r>
  <x:r>
    <x:s v="INV-00047"/>
    <x:x v="5"/>
    <x:s v="SUP09"/>
    <x:x v="0"/>
    <x:s v="Components"/>
    <x:d v="2025-08-08T00:00:00Z"/>
    <x:n v="45907"/>
    <x:x v="2"/>
    <x:n v="29390.73"/>
    <x:s v="Historical"/>
    <x:s v="SUP09-INV-00047"/>
    <x:n v="30"/>
    <x:s v="Thames Electronics Ltd"/>
    <x:n v="1.1648"/>
    <x:n v="1.343328335832084"/>
    <x:n v="0.006765013358113602"/>
    <x:n v="1.343328335832084"/>
    <x:x v="46"/>
    <x:x v="1"/>
    <x:n v="1.282"/>
    <x:n v="37678.91586"/>
    <x:n v="1802.4845597901076"/>
    <x:n v="0.04783801546964434"/>
  </x:r>
  <x:r>
    <x:s v="INV-00048"/>
    <x:x v="14"/>
    <x:s v="SUP07"/>
    <x:x v="0"/>
    <x:s v="Equipment"/>
    <x:d v="2026-02-21T00:00:00Z"/>
    <x:n v="46134"/>
    <x:x v="0"/>
    <x:n v="8451.47"/>
    <x:s v="Historical"/>
    <x:s v="SUP07-INV-00048"/>
    <x:n v="60"/>
    <x:s v="Milan Assembly Robotics"/>
    <x:n v="1.1555"/>
    <x:n v="1.3367963164349013"/>
    <x:n v="0.006298375667720483"/>
    <x:n v="1.1555"/>
    <x:x v="47"/>
    <x:x v="6"/>
    <x:n v="1.065"/>
    <x:n v="9000.81555"/>
    <x:n v="764.8580349999993"/>
    <x:n v="0.08497652582159618"/>
  </x:r>
  <x:r>
    <x:s v="INV-00049"/>
    <x:x v="6"/>
    <x:s v="SUP16"/>
    <x:x v="0"/>
    <x:s v="Components"/>
    <x:d v="2026-03-11T00:00:00Z"/>
    <x:n v="46122"/>
    <x:x v="1"/>
    <x:n v="1978829.95"/>
    <x:s v="Historical"/>
    <x:s v="SUP16-INV-00049"/>
    <x:n v="30"/>
    <x:s v="Kyoto Optical Instruments"/>
    <x:n v="1.1581"/>
    <x:n v="1.3409677755520302"/>
    <x:n v="0.006306703697652889"/>
    <x:n v="0.006306703697652889"/>
    <x:x v="48"/>
    <x:x v="6"/>
    <x:n v="0.00646"/>
    <x:n v="12783.241477"/>
    <x:n v="-303.34731430871943"/>
    <x:n v="-0.02373007776271075"/>
  </x:r>
  <x:r>
    <x:s v="INV-00050"/>
    <x:x v="9"/>
    <x:s v="SUP05"/>
    <x:x v="0"/>
    <x:s v="Components"/>
    <x:d v="2025-11-19T00:00:00Z"/>
    <x:n v="46025"/>
    <x:x v="0"/>
    <x:n v="16423.03"/>
    <x:s v="Historical"/>
    <x:s v="SUP05-INV-00050"/>
    <x:n v="45"/>
    <x:s v="Lyon Industrial Controls"/>
    <x:n v="1.1583"/>
    <x:n v="1.3122238586156112"/>
    <x:n v="0.00640475532209013"/>
    <x:n v="1.1583"/>
    <x:x v="49"/>
    <x:x v="7"/>
    <x:n v="1.106"/>
    <x:n v="18163.871180000002"/>
    <x:n v="858.9244689999978"/>
    <x:n v="0.04728752260397817"/>
  </x:r>
  <x:r>
    <x:s v="INV-00050"/>
    <x:x v="12"/>
    <x:s v="SUP17"/>
    <x:x v="1"/>
    <x:s v="Packaging"/>
    <x:d v="2026-12-02T00:00:00Z"/>
    <x:n v="46403"/>
    <x:x v="1"/>
    <x:n v="439426.68"/>
    <x:s v="Planned"/>
    <x:s v="SUP17-INV-00050"/>
    <x:n v="45"/>
    <x:s v="Kobe Industrial Packaging"/>
    <x:n v="1.1177"/>
    <x:n v="1.320456022210408"/>
    <x:n v="0.00632004523607577"/>
    <x:n v="0.00632004523607577"/>
    <x:x v="50"/>
    <x:x v="2"/>
    <x:n v="0.00688"/>
    <x:n v="3023.2555583999997"/>
    <x:n v="-246.05906286140817"/>
    <x:n v="-0.08138877382619623"/>
  </x:r>
  <x:r>
    <x:s v="INV-00051"/>
    <x:x v="8"/>
    <x:s v="SUP13"/>
    <x:x v="0"/>
    <x:s v="Components"/>
    <x:d v="2025-07-17T00:00:00Z"/>
    <x:n v="45900"/>
    <x:x v="1"/>
    <x:n v="3120410.18"/>
    <x:s v="Historical"/>
    <x:s v="SUP13-INV-00051"/>
    <x:n v="45"/>
    <x:s v="Osaka Microdevices"/>
    <x:n v="1.1579"/>
    <x:n v="1.3395418787598334"/>
    <x:n v="0.006721035523566287"/>
    <x:n v="0.006721035523566287"/>
    <x:x v="51"/>
    <x:x v="1"/>
    <x:n v="0.00684"/>
    <x:n v="21343.6056312"/>
    <x:n v="-371.2179633221276"/>
    <x:n v="-0.017392467314870298"/>
  </x:r>
  <x:r>
    <x:s v="INV-00052"/>
    <x:x v="8"/>
    <x:s v="SUP13"/>
    <x:x v="0"/>
    <x:s v="Components"/>
    <x:d v="2025-05-05T00:00:00Z"/>
    <x:n v="45827"/>
    <x:x v="1"/>
    <x:n v="3747462.46"/>
    <x:s v="Historical"/>
    <x:s v="SUP13-INV-00052"/>
    <x:n v="45"/>
    <x:s v="Osaka Microdevices"/>
    <x:n v="1.1343"/>
    <x:n v="1.3321197886083382"/>
    <x:n v="0.006950793553526565"/>
    <x:n v="0.006950793553526565"/>
    <x:x v="52"/>
    <x:x v="5"/>
    <x:n v="0.0067"/>
    <x:n v="25107.998482"/>
    <x:n v="939.8394270508034"/>
    <x:n v="0.03743187366068136"/>
  </x:r>
  <x:r>
    <x:s v="INV-00053"/>
    <x:x v="4"/>
    <x:s v="SUP08"/>
    <x:x v="0"/>
    <x:s v="Components"/>
    <x:d v="2025-06-08T00:00:00Z"/>
    <x:n v="45846"/>
    <x:x v="0"/>
    <x:n v="2396.32"/>
    <x:s v="Historical"/>
    <x:s v="SUP08-INV-00053"/>
    <x:n v="30"/>
    <x:s v="Valencia Circuit Supply"/>
    <x:n v="1.1608"/>
    <x:n v="1.3415000577834277"/>
    <x:n v="0.006725376593279259"/>
    <x:n v="1.1608"/>
    <x:x v="53"/>
    <x:x v="5"/>
    <x:n v="1.07"/>
    <x:n v="2564.0624000000003"/>
    <x:n v="217.58585600000015"/>
    <x:n v="0.0848598130841122"/>
  </x:r>
  <x:r>
    <x:s v="INV-00054"/>
    <x:x v="10"/>
    <x:s v="SUP02"/>
    <x:x v="0"/>
    <x:s v="Equipment"/>
    <x:d v="2025-02-08T00:00:00Z"/>
    <x:n v="45741"/>
    <x:x v="0"/>
    <x:n v="12975.04"/>
    <x:s v="Historical"/>
    <x:s v="SUP02-INV-00054"/>
    <x:n v="45"/>
    <x:s v="Alpen Precision Systems"/>
    <x:n v="1.0557"/>
    <x:n v="1.2751848093926659"/>
    <x:n v="0.0067456869009584666"/>
    <x:n v="1.0557"/>
    <x:x v="54"/>
    <x:x v="3"/>
    <x:n v="1.052"/>
    <x:n v="13649.742080000002"/>
    <x:n v="48.0076480000007"/>
    <x:n v="0.0035171102661597465"/>
  </x:r>
  <x:r>
    <x:s v="INV-00055"/>
    <x:x v="5"/>
    <x:s v="SUP09"/>
    <x:x v="0"/>
    <x:s v="Components"/>
    <x:d v="2025-08-10T00:00:00Z"/>
    <x:n v="45909"/>
    <x:x v="2"/>
    <x:n v="23323.23"/>
    <x:s v="Historical"/>
    <x:s v="SUP09-INV-00055"/>
    <x:n v="30"/>
    <x:s v="Thames Electronics Ltd"/>
    <x:n v="1.1583"/>
    <x:n v="1.3122238586156112"/>
    <x:n v="0.00640475532209013"/>
    <x:n v="1.3122238586156112"/>
    <x:x v="55"/>
    <x:x v="1"/>
    <x:n v="1.282"/>
    <x:n v="29900.38086"/>
    <x:n v="704.9180059793798"/>
    <x:n v="0.023575552742286367"/>
  </x:r>
  <x:r>
    <x:s v="INV-00056"/>
    <x:x v="16"/>
    <x:s v="SUP12"/>
    <x:x v="0"/>
    <x:s v="Components"/>
    <x:d v="2026-05-21T00:00:00Z"/>
    <x:n v="46223"/>
    <x:x v="2"/>
    <x:n v="26176.75"/>
    <x:s v="Historical"/>
    <x:s v="SUP12-INV-00056"/>
    <x:n v="60"/>
    <x:s v="Oxford Technical Materials"/>
    <x:n v="1.1599"/>
    <x:n v="1.3419642960443348"/>
    <x:n v="0.006283655669321198"/>
    <x:n v="1.3419642960443348"/>
    <x:x v="56"/>
    <x:x v="0"/>
    <x:n v="1.271"/>
    <x:n v="33270.649249999995"/>
    <x:n v="1857.6146364785454"/>
    <x:n v="0.0558334351253619"/>
  </x:r>
  <x:r>
    <x:s v="INV-00057"/>
    <x:x v="7"/>
    <x:s v="SUP03"/>
    <x:x v="0"/>
    <x:s v="Components"/>
    <x:d v="2025-12-31T00:00:00Z"/>
    <x:n v="46052"/>
    <x:x v="0"/>
    <x:n v="23049.22"/>
    <x:s v="Historical"/>
    <x:s v="SUP03-INV-00057"/>
    <x:n v="30"/>
    <x:s v="Benelux Sensor Works"/>
    <x:n v="1.175"/>
    <x:n v="1.3465505386202155"/>
    <x:n v="0.006382747569123799"/>
    <x:n v="1.175"/>
    <x:x v="57"/>
    <x:x v="7"/>
    <x:n v="1.106"/>
    <x:n v="25492.437320000005"/>
    <x:n v="1590.396179999996"/>
    <x:n v="0.062386980108498934"/>
  </x:r>
  <x:r>
    <x:s v="INV-00058"/>
    <x:x v="5"/>
    <x:s v="SUP09"/>
    <x:x v="0"/>
    <x:s v="Components"/>
    <x:d v="2025-05-24T00:00:00Z"/>
    <x:n v="45831"/>
    <x:x v="2"/>
    <x:n v="35616.09"/>
    <x:s v="Historical"/>
    <x:s v="SUP09-INV-00058"/>
    <x:n v="30"/>
    <x:s v="Thames Electronics Ltd"/>
    <x:n v="1.1404"/>
    <x:n v="1.3160992498557416"/>
    <x:n v="0.006645300390420139"/>
    <x:n v="1.3160992498557416"/>
    <x:x v="58"/>
    <x:x v="5"/>
    <x:n v="1.26"/>
    <x:n v="44876.2734"/>
    <x:n v="1998.0359317945768"/>
    <x:n v="0.04452321417122342"/>
  </x:r>
  <x:r>
    <x:s v="INV-00059"/>
    <x:x v="17"/>
    <x:s v="SUP06"/>
    <x:x v="2"/>
    <x:s v="Software"/>
    <x:d v="2026-12-01T00:00:00Z"/>
    <x:n v="46387"/>
    <x:x v="0"/>
    <x:n v="3388.43"/>
    <x:s v="Planned"/>
    <x:s v="SUP06-INV-00059"/>
    <x:n v="30"/>
    <x:s v="Dublin Systems Licensing"/>
    <x:n v="1.1177"/>
    <x:n v="1.320456022210408"/>
    <x:n v="0.00632004523607577"/>
    <x:n v="1.1177"/>
    <x:x v="59"/>
    <x:x v="2"/>
    <x:n v="1.119"/>
    <x:n v="3791.6531699999996"/>
    <x:n v="-4.4049589999999625"/>
    <x:n v="-0.0011617515638963263"/>
  </x:r>
  <x:r>
    <x:s v="INV-00060"/>
    <x:x v="9"/>
    <x:s v="SUP05"/>
    <x:x v="0"/>
    <x:s v="Components"/>
    <x:d v="2026-06-29T00:00:00Z"/>
    <x:n v="46247"/>
    <x:x v="0"/>
    <x:n v="12169.69"/>
    <x:s v="Historical"/>
    <x:s v="SUP05-INV-00060"/>
    <x:n v="45"/>
    <x:s v="Lyon Industrial Controls"/>
    <x:n v="1.1406"/>
    <x:n v="1.3229716406657774"/>
    <x:n v="0.00617809554761131"/>
    <x:n v="1.1406"/>
    <x:x v="60"/>
    <x:x v="0"/>
    <x:n v="1.083"/>
    <x:n v="13179.77427"/>
    <x:n v="700.9741440000016"/>
    <x:n v="0.05318559556786716"/>
  </x:r>
  <x:r>
    <x:s v="INV-00061"/>
    <x:x v="0"/>
    <x:s v="SUP01"/>
    <x:x v="0"/>
    <x:s v="Components"/>
    <x:d v="2026-07-22T00:00:00Z"/>
    <x:n v="46255"/>
    <x:x v="0"/>
    <x:n v="28792.69"/>
    <x:s v="Historical"/>
    <x:s v="SUP01-INV-00061"/>
    <x:n v="30"/>
    <x:s v="Rhein Circuit Components"/>
    <x:n v="1.1408"/>
    <x:n v="1.336770564799625"/>
    <x:n v="0.006132344245551793"/>
    <x:n v="1.1408"/>
    <x:x v="61"/>
    <x:x v="4"/>
    <x:n v="1.101"/>
    <x:n v="31700.751689999997"/>
    <x:n v="1145.9490619999997"/>
    <x:n v="0.036148955495004534"/>
  </x:r>
  <x:r>
    <x:s v="INV-00062"/>
    <x:x v="11"/>
    <x:s v="SUP14"/>
    <x:x v="0"/>
    <x:s v="Equipment"/>
    <x:d v="2026-02-23T00:00:00Z"/>
    <x:n v="46136"/>
    <x:x v="1"/>
    <x:n v="6170799.48"/>
    <x:s v="Historical"/>
    <x:s v="SUP14-INV-00062"/>
    <x:n v="60"/>
    <x:s v="Tokyo Automation Systems"/>
    <x:n v="1.1784"/>
    <x:n v="1.3492099839706893"/>
    <x:n v="0.006459109844332383"/>
    <x:n v="0.006459109844332383"/>
    <x:x v="62"/>
    <x:x v="6"/>
    <x:n v="0.00646"/>
    <x:n v="39863.3646408"/>
    <x:n v="-5.492972130843555"/>
    <x:n v="-0.0001377949949869891"/>
  </x:r>
  <x:r>
    <x:s v="INV-00063"/>
    <x:x v="10"/>
    <x:s v="SUP02"/>
    <x:x v="0"/>
    <x:s v="Equipment"/>
    <x:d v="2025-03-11T00:00:00Z"/>
    <x:n v="45772"/>
    <x:x v="0"/>
    <x:n v="12596.84"/>
    <x:s v="Historical"/>
    <x:s v="SUP02-INV-00063"/>
    <x:n v="45"/>
    <x:s v="Alpen Precision Systems"/>
    <x:n v="1.0912"/>
    <x:n v="1.2932894019484673"/>
    <x:n v="0.006755819712729073"/>
    <x:n v="1.0912"/>
    <x:x v="63"/>
    <x:x v="3"/>
    <x:n v="1.052"/>
    <x:n v="13251.875680000001"/>
    <x:n v="493.79612799999813"/>
    <x:n v="0.03726235741444853"/>
  </x:r>
  <x:r>
    <x:s v="INV-00064"/>
    <x:x v="10"/>
    <x:s v="SUP02"/>
    <x:x v="0"/>
    <x:s v="Equipment"/>
    <x:d v="2026-05-26T00:00:00Z"/>
    <x:n v="46213"/>
    <x:x v="0"/>
    <x:n v="40612.19"/>
    <x:s v="Historical"/>
    <x:s v="SUP02-INV-00064"/>
    <x:n v="45"/>
    <x:s v="Alpen Precision Systems"/>
    <x:n v="1.1634"/>
    <x:n v="1.346917510853835"/>
    <x:n v="0.006281179138321996"/>
    <x:n v="1.1634"/>
    <x:x v="64"/>
    <x:x v="0"/>
    <x:n v="1.083"/>
    <x:n v="43983.00177"/>
    <x:n v="3265.220075999998"/>
    <x:n v="0.07423822714681436"/>
  </x:r>
  <x:r>
    <x:s v="INV-00065"/>
    <x:x v="0"/>
    <x:s v="SUP01"/>
    <x:x v="0"/>
    <x:s v="Components"/>
    <x:d v="2026-03-30T00:00:00Z"/>
    <x:n v="46141"/>
    <x:x v="0"/>
    <x:n v="42487.9"/>
    <x:s v="Historical"/>
    <x:s v="SUP01-INV-00065"/>
    <x:n v="30"/>
    <x:s v="Rhein Circuit Components"/>
    <x:n v="1.1484"/>
    <x:n v="1.3229957489948505"/>
    <x:n v="0.00627129750982962"/>
    <x:n v="1.1484"/>
    <x:x v="65"/>
    <x:x v="6"/>
    <x:n v="1.065"/>
    <x:n v="45249.6135"/>
    <x:n v="3543.4908600000053"/>
    <x:n v="0.07830985915492969"/>
  </x:r>
  <x:r>
    <x:s v="INV-00066"/>
    <x:x v="10"/>
    <x:s v="SUP02"/>
    <x:x v="0"/>
    <x:s v="Equipment"/>
    <x:d v="2026-10-22T00:00:00Z"/>
    <x:n v="46362"/>
    <x:x v="0"/>
    <x:n v="42161"/>
    <x:s v="Planned"/>
    <x:s v="SUP02-INV-00066"/>
    <x:n v="45"/>
    <x:s v="Alpen Precision Systems"/>
    <x:n v="1.1177"/>
    <x:n v="1.320456022210408"/>
    <x:n v="0.00632004523607577"/>
    <x:n v="1.1177"/>
    <x:x v="66"/>
    <x:x v="2"/>
    <x:n v="1.119"/>
    <x:n v="47178.159"/>
    <x:n v="-54.8093000000008"/>
    <x:n v="-0.0011617515638963532"/>
  </x:r>
  <x:r>
    <x:s v="INV-00067"/>
    <x:x v="5"/>
    <x:s v="SUP09"/>
    <x:x v="0"/>
    <x:s v="Components"/>
    <x:d v="2025-06-19T00:00:00Z"/>
    <x:n v="45857"/>
    <x:x v="2"/>
    <x:n v="7210.94"/>
    <x:s v="Historical"/>
    <x:s v="SUP09-INV-00067"/>
    <x:n v="30"/>
    <x:s v="Thames Electronics Ltd"/>
    <x:n v="1.1478"/>
    <x:n v="1.3438707411310151"/>
    <x:n v="0.006864832535885167"/>
    <x:n v="1.3438707411310151"/>
    <x:x v="67"/>
    <x:x v="5"/>
    <x:n v="1.26"/>
    <x:n v="9085.7844"/>
    <x:n v="604.7868820512813"/>
    <x:n v="0.06656408026271031"/>
  </x:r>
  <x:r>
    <x:s v="INV-00068"/>
    <x:x v="10"/>
    <x:s v="SUP02"/>
    <x:x v="0"/>
    <x:s v="Equipment"/>
    <x:d v="2025-03-26T00:00:00Z"/>
    <x:n v="45787"/>
    <x:x v="0"/>
    <x:n v="27344.21"/>
    <x:s v="Historical"/>
    <x:s v="SUP02-INV-00068"/>
    <x:n v="45"/>
    <x:s v="Alpen Precision Systems"/>
    <x:n v="1.0788"/>
    <x:n v="1.2900756968776532"/>
    <x:n v="0.006651048088779285"/>
    <x:n v="1.0788"/>
    <x:x v="68"/>
    <x:x v="3"/>
    <x:n v="1.052"/>
    <x:n v="28766.10892"/>
    <x:n v="732.8248280000007"/>
    <x:n v="0.025475285171102688"/>
  </x:r>
  <x:r>
    <x:s v="INV-00069"/>
    <x:x v="12"/>
    <x:s v="SUP17"/>
    <x:x v="1"/>
    <x:s v="Packaging"/>
    <x:d v="2025-04-10T00:00:00Z"/>
    <x:n v="45802"/>
    <x:x v="1"/>
    <x:n v="772976.88"/>
    <x:s v="Historical"/>
    <x:s v="SUP17-INV-00069"/>
    <x:n v="45"/>
    <x:s v="Kobe Industrial Packaging"/>
    <x:n v="1.1082"/>
    <x:n v="1.2922861640720658"/>
    <x:n v="0.0068712797619047625"/>
    <x:n v="0.0068712797619047625"/>
    <x:x v="69"/>
    <x:x v="5"/>
    <x:n v="0.0067"/>
    <x:n v="5178.945096"/>
    <x:n v="132.39529596428565"/>
    <x:n v="0.025564143567874897"/>
  </x:r>
  <x:r>
    <x:s v="INV-00070"/>
    <x:x v="7"/>
    <x:s v="SUP03"/>
    <x:x v="0"/>
    <x:s v="Components"/>
    <x:d v="2026-08-28T00:00:00Z"/>
    <x:n v="46292"/>
    <x:x v="0"/>
    <x:n v="5473.87"/>
    <x:s v="Historical"/>
    <x:s v="SUP03-INV-00070"/>
    <x:n v="30"/>
    <x:s v="Benelux Sensor Works"/>
    <x:n v="1.1643"/>
    <x:n v="1.358259449370042"/>
    <x:n v="0.0062623709122203094"/>
    <x:n v="1.1643"/>
    <x:x v="70"/>
    <x:x v="4"/>
    <x:n v="1.101"/>
    <x:n v="6026.730869999999"/>
    <x:n v="346.4959710000003"/>
    <x:n v="0.057493188010899234"/>
  </x:r>
  <x:r>
    <x:s v="INV-00071"/>
    <x:x v="15"/>
    <x:s v="SUP18"/>
    <x:x v="1"/>
    <x:s v="Services"/>
    <x:d v="2026-07-22T00:00:00Z"/>
    <x:n v="46255"/>
    <x:x v="1"/>
    <x:n v="2265686"/>
    <x:s v="Historical"/>
    <x:s v="SUP18-INV-00071"/>
    <x:n v="30"/>
    <x:s v="Yokohama Engineering Labs"/>
    <x:n v="1.1408"/>
    <x:n v="1.336770564799625"/>
    <x:n v="0.006132344245551793"/>
    <x:n v="0.006132344245551793"/>
    <x:x v="71"/>
    <x:x v="4"/>
    <x:n v="0.00674"/>
    <x:n v="15270.72364"/>
    <x:n v="-1376.7571356727403"/>
    <x:n v="-0.09015664012584673"/>
  </x:r>
  <x:r>
    <x:s v="INV-00072"/>
    <x:x v="14"/>
    <x:s v="SUP07"/>
    <x:x v="0"/>
    <x:s v="Equipment"/>
    <x:d v="2025-08-25T00:00:00Z"/>
    <x:n v="45954"/>
    <x:x v="0"/>
    <x:n v="63941.9"/>
    <x:s v="Historical"/>
    <x:s v="SUP07-INV-00072"/>
    <x:n v="60"/>
    <x:s v="Milan Assembly Robotics"/>
    <x:n v="1.1697"/>
    <x:n v="1.350848827809216"/>
    <x:n v="0.006786377349733116"/>
    <x:n v="1.1697"/>
    <x:x v="72"/>
    <x:x v="1"/>
    <x:n v="1.088"/>
    <x:n v="69568.7872"/>
    <x:n v="5224.05322999999"/>
    <x:n v="0.07509191176470574"/>
  </x:r>
  <x:r>
    <x:s v="INV-00073"/>
    <x:x v="16"/>
    <x:s v="SUP12"/>
    <x:x v="0"/>
    <x:s v="Components"/>
    <x:d v="2026-06-15T00:00:00Z"/>
    <x:n v="46248"/>
    <x:x v="2"/>
    <x:n v="6505.32"/>
    <x:s v="Historical"/>
    <x:s v="SUP12-INV-00073"/>
    <x:n v="60"/>
    <x:s v="Oxford Technical Materials"/>
    <x:n v="1.1607"/>
    <x:n v="1.3421134789496203"/>
    <x:n v="0.0062426719733232935"/>
    <x:n v="1.3421134789496203"/>
    <x:x v="73"/>
    <x:x v="0"/>
    <x:n v="1.271"/>
    <x:n v="8268.261719999999"/>
    <x:n v="462.61593688054563"/>
    <x:n v="0.05595080955910352"/>
  </x:r>
  <x:r>
    <x:s v="INV-00074"/>
    <x:x v="8"/>
    <x:s v="SUP13"/>
    <x:x v="0"/>
    <x:s v="Components"/>
    <x:d v="2026-10-05T00:00:00Z"/>
    <x:n v="46345"/>
    <x:x v="1"/>
    <x:n v="2306408.69"/>
    <x:s v="Planned"/>
    <x:s v="SUP13-INV-00074"/>
    <x:n v="45"/>
    <x:s v="Osaka Microdevices"/>
    <x:n v="1.1204"/>
    <x:n v="1.3224740321057602"/>
    <x:n v="0.006319945848375452"/>
    <x:n v="0.006319945848375452"/>
    <x:x v="74"/>
    <x:x v="2"/>
    <x:n v="0.00688"/>
    <x:n v="15868.091787199999"/>
    <x:n v="-1291.7137621774345"/>
    <x:n v="-0.08140321971287032"/>
  </x:r>
  <x:r>
    <x:s v="INV-00075"/>
    <x:x v="9"/>
    <x:s v="SUP05"/>
    <x:x v="0"/>
    <x:s v="Components"/>
    <x:d v="2025-03-04T00:00:00Z"/>
    <x:n v="45765"/>
    <x:x v="0"/>
    <x:n v="20534.06"/>
    <x:s v="Historical"/>
    <x:s v="SUP05-INV-00075"/>
    <x:n v="45"/>
    <x:s v="Lyon Industrial Controls"/>
    <x:n v="1.0557"/>
    <x:n v="1.2751848093926659"/>
    <x:n v="0.0067456869009584666"/>
    <x:n v="1.0557"/>
    <x:x v="75"/>
    <x:x v="3"/>
    <x:n v="1.052"/>
    <x:n v="21601.831120000003"/>
    <x:n v="75.97602199999892"/>
    <x:n v="0.0035171102661596455"/>
  </x:r>
  <x:r>
    <x:s v="INV-00076"/>
    <x:x v="13"/>
    <x:s v="SUP11"/>
    <x:x v="2"/>
    <x:s v="Software"/>
    <x:d v="2026-12-07T00:00:00Z"/>
    <x:n v="46393"/>
    <x:x v="2"/>
    <x:n v="5735.54"/>
    <x:s v="Planned"/>
    <x:s v="SUP11-INV-00076"/>
    <x:n v="30"/>
    <x:s v="Manchester Cloud Solutions"/>
    <x:n v="1.1177"/>
    <x:n v="1.320456022210408"/>
    <x:n v="0.00632004523607577"/>
    <x:n v="1.320456022210408"/>
    <x:x v="76"/>
    <x:x v="2"/>
    <x:n v="1.315"/>
    <x:n v="7542.2351"/>
    <x:n v="31.293233628683993"/>
    <x:n v="0.004149066319701966"/>
  </x:r>
  <x:r>
    <x:s v="INV-00077"/>
    <x:x v="5"/>
    <x:s v="SUP09"/>
    <x:x v="0"/>
    <x:s v="Components"/>
    <x:d v="2025-04-15T00:00:00Z"/>
    <x:n v="45792"/>
    <x:x v="2"/>
    <x:n v="5628.7"/>
    <x:s v="Historical"/>
    <x:s v="SUP09-INV-00077"/>
    <x:n v="30"/>
    <x:s v="Thames Electronics Ltd"/>
    <x:n v="1.1324"/>
    <x:n v="1.3233609910015194"/>
    <x:n v="0.006996601791782515"/>
    <x:n v="1.3233609910015194"/>
    <x:x v="77"/>
    <x:x v="5"/>
    <x:n v="1.26"/>
    <x:n v="7092.162"/>
    <x:n v="356.6400100502515"/>
    <x:n v="0.05028650079485655"/>
  </x:r>
  <x:r>
    <x:s v="INV-00078"/>
    <x:x v="15"/>
    <x:s v="SUP18"/>
    <x:x v="1"/>
    <x:s v="Services"/>
    <x:d v="2025-02-08T00:00:00Z"/>
    <x:n v="45726"/>
    <x:x v="1"/>
    <x:n v="683055.42"/>
    <x:s v="Historical"/>
    <x:s v="SUP18-INV-00078"/>
    <x:n v="30"/>
    <x:s v="Yokohama Engineering Labs"/>
    <x:n v="1.0557"/>
    <x:n v="1.2751848093926659"/>
    <x:n v="0.0067456869009584666"/>
    <x:n v="0.0067456869009584666"/>
    <x:x v="78"/>
    <x:x v="3"/>
    <x:n v="0.00656"/>
    <x:n v="4480.8435552"/>
    <x:n v="126.83444412268364"/>
    <x:n v="0.028305930024156455"/>
  </x:r>
  <x:r>
    <x:s v="INV-00079"/>
    <x:x v="17"/>
    <x:s v="SUP06"/>
    <x:x v="2"/>
    <x:s v="Software"/>
    <x:d v="2026-02-08T00:00:00Z"/>
    <x:n v="46091"/>
    <x:x v="0"/>
    <x:n v="14614.88"/>
    <x:s v="Historical"/>
    <x:s v="SUP06-INV-00079"/>
    <x:n v="30"/>
    <x:s v="Dublin Systems Licensing"/>
    <x:n v="1.1555"/>
    <x:n v="1.3367963164349013"/>
    <x:n v="0.006298375667720483"/>
    <x:n v="1.1555"/>
    <x:x v="79"/>
    <x:x v="6"/>
    <x:n v="1.065"/>
    <x:n v="15564.847199999998"/>
    <x:n v="1322.6466400000008"/>
    <x:n v="0.0849765258215963"/>
  </x:r>
  <x:r>
    <x:s v="INV-00080"/>
    <x:x v="8"/>
    <x:s v="SUP13"/>
    <x:x v="0"/>
    <x:s v="Components"/>
    <x:d v="2025-11-28T00:00:00Z"/>
    <x:n v="46034"/>
    <x:x v="1"/>
    <x:n v="6281353.65"/>
    <x:s v="Historical"/>
    <x:s v="SUP13-INV-00080"/>
    <x:n v="45"/>
    <x:s v="Osaka Microdevices"/>
    <x:n v="1.1566"/>
    <x:n v="1.3215265082266912"/>
    <x:n v="0.006405272193609127"/>
    <x:n v="0.006405272193609127"/>
    <x:x v="80"/>
    <x:x v="7"/>
    <x:n v="0.00698"/>
    <x:n v="43843.84847700001"/>
    <x:n v="-3610.0686044298054"/>
    <x:n v="-0.0823392272766294"/>
  </x:r>
  <x:r>
    <x:s v="INV-00081"/>
    <x:x v="9"/>
    <x:s v="SUP05"/>
    <x:x v="0"/>
    <x:s v="Components"/>
    <x:d v="2026-11-26T00:00:00Z"/>
    <x:n v="46397"/>
    <x:x v="0"/>
    <x:n v="27551.02"/>
    <x:s v="Planned"/>
    <x:s v="SUP05-INV-00081"/>
    <x:n v="45"/>
    <x:s v="Lyon Industrial Controls"/>
    <x:n v="1.1177"/>
    <x:n v="1.320456022210408"/>
    <x:n v="0.00632004523607577"/>
    <x:n v="1.1177"/>
    <x:x v="81"/>
    <x:x v="2"/>
    <x:n v="1.119"/>
    <x:n v="30829.59138"/>
    <x:n v="-35.816326000003755"/>
    <x:n v="-0.0011617515638964577"/>
  </x:r>
  <x:r>
    <x:s v="INV-00082"/>
    <x:x v="12"/>
    <x:s v="SUP17"/>
    <x:x v="1"/>
    <x:s v="Packaging"/>
    <x:d v="2026-06-19T00:00:00Z"/>
    <x:n v="46237"/>
    <x:x v="1"/>
    <x:n v="136358.23"/>
    <x:s v="Historical"/>
    <x:s v="SUP17-INV-00082"/>
    <x:n v="45"/>
    <x:s v="Kobe Industrial Packaging"/>
    <x:n v="1.1467"/>
    <x:n v="1.3233240626406473"/>
    <x:n v="0.006202401557767201"/>
    <x:n v="0.006202401557767201"/>
    <x:x v="82"/>
    <x:x v="0"/>
    <x:n v="0.0066"/>
    <x:n v="899.964318"/>
    <x:n v="-54.21581983362171"/>
    <x:n v="-0.06024218821709074"/>
  </x:r>
  <x:r>
    <x:s v="INV-00083"/>
    <x:x v="8"/>
    <x:s v="SUP13"/>
    <x:x v="0"/>
    <x:s v="Components"/>
    <x:d v="2026-06-01T00:00:00Z"/>
    <x:n v="46219"/>
    <x:x v="1"/>
    <x:n v="1089377.96"/>
    <x:s v="Historical"/>
    <x:s v="SUP13-INV-00083"/>
    <x:n v="45"/>
    <x:s v="Osaka Microdevices"/>
    <x:n v="1.1646"/>
    <x:n v="1.3464673441781416"/>
    <x:n v="0.006270054915473242"/>
    <x:n v="0.006270054915473242"/>
    <x:x v="83"/>
    <x:x v="0"/>
    <x:n v="0.0066"/>
    <x:n v="7189.894536"/>
    <x:n v="-359.4349030937874"/>
    <x:n v="-0.049991679473751244"/>
  </x:r>
  <x:r>
    <x:s v="INV-00084"/>
    <x:x v="4"/>
    <x:s v="SUP08"/>
    <x:x v="0"/>
    <x:s v="Components"/>
    <x:d v="2026-03-27T00:00:00Z"/>
    <x:n v="46138"/>
    <x:x v="0"/>
    <x:n v="8005.78"/>
    <x:s v="Historical"/>
    <x:s v="SUP08-INV-00084"/>
    <x:n v="30"/>
    <x:s v="Valencia Circuit Supply"/>
    <x:n v="1.1517"/>
    <x:n v="1.3280673431734318"/>
    <x:n v="0.006253801042571677"/>
    <x:n v="1.1517"/>
    <x:x v="84"/>
    <x:x v="6"/>
    <x:n v="1.065"/>
    <x:n v="8526.1557"/>
    <x:n v="694.1011259999996"/>
    <x:n v="0.08140845070422531"/>
  </x:r>
  <x:r>
    <x:s v="INV-00085"/>
    <x:x v="5"/>
    <x:s v="SUP09"/>
    <x:x v="0"/>
    <x:s v="Components"/>
    <x:d v="2026-07-15T00:00:00Z"/>
    <x:n v="46248"/>
    <x:x v="2"/>
    <x:n v="8088.06"/>
    <x:s v="Historical"/>
    <x:s v="SUP09-INV-00085"/>
    <x:n v="30"/>
    <x:s v="Thames Electronics Ltd"/>
    <x:n v="1.1406"/>
    <x:n v="1.3404157803814651"/>
    <x:n v="0.00615808228053126"/>
    <x:n v="1.3404157803814651"/>
    <x:x v="85"/>
    <x:x v="4"/>
    <x:n v="1.293"/>
    <x:n v="10457.86158"/>
    <x:n v="383.5016766721128"/>
    <x:n v="0.03667113718597457"/>
  </x:r>
  <x:r>
    <x:s v="INV-00086"/>
    <x:x v="6"/>
    <x:s v="SUP16"/>
    <x:x v="0"/>
    <x:s v="Components"/>
    <x:d v="2025-09-11T00:00:00Z"/>
    <x:n v="45941"/>
    <x:x v="1"/>
    <x:n v="2274381.9"/>
    <x:s v="Historical"/>
    <x:s v="SUP16-INV-00086"/>
    <x:n v="30"/>
    <x:s v="Kyoto Optical Instruments"/>
    <x:n v="1.1685"/>
    <x:n v="1.3513357233722678"/>
    <x:n v="0.0067590236001851"/>
    <x:n v="0.0067590236001851"/>
    <x:x v="86"/>
    <x:x v="1"/>
    <x:n v="0.00684"/>
    <x:n v="15556.772195999998"/>
    <x:n v="-184.1712580661715"/>
    <x:n v="-0.011838654943698805"/>
  </x:r>
  <x:r>
    <x:s v="INV-00087"/>
    <x:x v="8"/>
    <x:s v="SUP13"/>
    <x:x v="0"/>
    <x:s v="Components"/>
    <x:d v="2026-10-17T00:00:00Z"/>
    <x:n v="46357"/>
    <x:x v="1"/>
    <x:n v="4281290.91"/>
    <x:s v="Planned"/>
    <x:s v="SUP13-INV-00087"/>
    <x:n v="45"/>
    <x:s v="Osaka Microdevices"/>
    <x:n v="1.1177"/>
    <x:n v="1.320456022210408"/>
    <x:n v="0.00632004523607577"/>
    <x:n v="0.00632004523607577"/>
    <x:x v="87"/>
    <x:x v="2"/>
    <x:n v="0.00688"/>
    <x:n v="29455.2814608"/>
    <x:n v="-2397.3292408000016"/>
    <x:n v="-0.0813887738261962"/>
  </x:r>
  <x:r>
    <x:s v="INV-00088"/>
    <x:x v="3"/>
    <x:s v="SUP04"/>
    <x:x v="1"/>
    <x:s v="Packaging"/>
    <x:d v="2025-07-11T00:00:00Z"/>
    <x:n v="45879"/>
    <x:x v="0"/>
    <x:n v="6811.12"/>
    <x:s v="Historical"/>
    <x:s v="SUP04-INV-00088"/>
    <x:n v="30"/>
    <x:s v="Nordlicht Packaging"/>
    <x:n v="1.1683"/>
    <x:n v="1.3495437218435946"/>
    <x:n v="0.00679995343693615"/>
    <x:n v="1.1683"/>
    <x:x v="88"/>
    <x:x v="1"/>
    <x:n v="1.088"/>
    <x:n v="7410.49856"/>
    <x:n v="546.9329359999992"/>
    <x:n v="0.07380514705882343"/>
  </x:r>
  <x:r>
    <x:s v="INV-00089"/>
    <x:x v="9"/>
    <x:s v="SUP05"/>
    <x:x v="0"/>
    <x:s v="Components"/>
    <x:d v="2025-02-02T00:00:00Z"/>
    <x:n v="45735"/>
    <x:x v="0"/>
    <x:n v="4251.75"/>
    <x:s v="Historical"/>
    <x:s v="SUP05-INV-00089"/>
    <x:n v="45"/>
    <x:s v="Lyon Industrial Controls"/>
    <x:n v="1.0466"/>
    <x:n v="1.2635518531932874"/>
    <x:n v="0.0066743192398443976"/>
    <x:n v="1.0466"/>
    <x:x v="89"/>
    <x:x v="3"/>
    <x:n v="1.052"/>
    <x:n v="4472.841"/>
    <x:n v="-22.959450000000288"/>
    <x:n v="-0.00513307984790881"/>
  </x:r>
  <x:r>
    <x:s v="INV-00090"/>
    <x:x v="0"/>
    <x:s v="SUP01"/>
    <x:x v="0"/>
    <x:s v="Components"/>
    <x:d v="2026-08-21T00:00:00Z"/>
    <x:n v="46285"/>
    <x:x v="0"/>
    <x:n v="25585.93"/>
    <x:s v="Historical"/>
    <x:s v="SUP01-INV-00090"/>
    <x:n v="30"/>
    <x:s v="Rhein Circuit Components"/>
    <x:n v="1.1699"/>
    <x:n v="1.3655888875919224"/>
    <x:n v="0.006301303457933858"/>
    <x:n v="1.1699"/>
    <x:x v="90"/>
    <x:x v="4"/>
    <x:n v="1.101"/>
    <x:n v="28170.10893"/>
    <x:n v="1762.8705770000015"/>
    <x:n v="0.06257947320617627"/>
  </x:r>
  <x:r>
    <x:s v="INV-00091"/>
    <x:x v="0"/>
    <x:s v="SUP01"/>
    <x:x v="0"/>
    <x:s v="Components"/>
    <x:d v="2025-07-07T00:00:00Z"/>
    <x:n v="45875"/>
    <x:x v="0"/>
    <x:n v="41553.85"/>
    <x:s v="Historical"/>
    <x:s v="SUP01-INV-00091"/>
    <x:n v="30"/>
    <x:s v="Rhein Circuit Components"/>
    <x:n v="1.1728"/>
    <x:n v="1.3619788642434096"/>
    <x:n v="0.006870130630894499"/>
    <x:n v="1.1728"/>
    <x:x v="91"/>
    <x:x v="1"/>
    <x:n v="1.088"/>
    <x:n v="45210.588800000005"/>
    <x:n v="3523.7664799999984"/>
    <x:n v="0.0779411764705882"/>
  </x:r>
  <x:r>
    <x:s v="INV-00092"/>
    <x:x v="10"/>
    <x:s v="SUP02"/>
    <x:x v="0"/>
    <x:s v="Equipment"/>
    <x:d v="2025-09-05T00:00:00Z"/>
    <x:n v="45950"/>
    <x:x v="0"/>
    <x:n v="73067.28"/>
    <x:s v="Historical"/>
    <x:s v="SUP02-INV-00092"/>
    <x:n v="45"/>
    <x:s v="Alpen Precision Systems"/>
    <x:n v="1.1697"/>
    <x:n v="1.347891219174925"/>
    <x:n v="0.006757756080651683"/>
    <x:n v="1.1697"/>
    <x:x v="92"/>
    <x:x v="1"/>
    <x:n v="1.088"/>
    <x:n v="79497.20064000001"/>
    <x:n v="5969.596775999991"/>
    <x:n v="0.07509191176470577"/>
  </x:r>
  <x:r>
    <x:s v="INV-00094"/>
    <x:x v="17"/>
    <x:s v="SUP06"/>
    <x:x v="2"/>
    <x:s v="Software"/>
    <x:d v="2025-04-23T00:00:00Z"/>
    <x:n v="45800"/>
    <x:x v="0"/>
    <x:n v="9066.69"/>
    <x:s v="Historical"/>
    <x:s v="SUP06-INV-00094"/>
    <x:n v="30"/>
    <x:s v="Dublin Systems Licensing"/>
    <x:n v="1.1415"/>
    <x:n v="1.3305281316657536"/>
    <x:n v="0.007060242454230578"/>
    <x:n v="1.1415"/>
    <x:x v="93"/>
    <x:x v="5"/>
    <x:n v="1.07"/>
    <x:n v="9701.358300000002"/>
    <x:n v="648.2683349999988"/>
    <x:n v="0.06682242990654193"/>
  </x:r>
  <x:r>
    <x:s v="INV-00095"/>
    <x:x v="12"/>
    <x:s v="SUP17"/>
    <x:x v="1"/>
    <x:s v="Packaging"/>
    <x:d v="2026-04-28T00:00:00Z"/>
    <x:n v="46185"/>
    <x:x v="1"/>
    <x:n v="337118.72"/>
    <x:s v="Historical"/>
    <x:s v="SUP17-INV-00095"/>
    <x:n v="45"/>
    <x:s v="Kobe Industrial Packaging"/>
    <x:n v="1.168"/>
    <x:n v="1.3469411289857578"/>
    <x:n v="0.006260049308607567"/>
    <x:n v="0.006260049308607567"/>
    <x:x v="94"/>
    <x:x v="0"/>
    <x:n v="0.0066"/>
    <x:n v="2224.9835519999997"/>
    <x:n v="-114.60374194533188"/>
    <x:n v="-0.051507680514004936"/>
  </x:r>
  <x:r>
    <x:s v="INV-00096"/>
    <x:x v="7"/>
    <x:s v="SUP03"/>
    <x:x v="0"/>
    <x:s v="Components"/>
    <x:d v="2026-08-21T00:00:00Z"/>
    <x:n v="46285"/>
    <x:x v="0"/>
    <x:n v="14368.85"/>
    <x:s v="Historical"/>
    <x:s v="SUP03-INV-00096"/>
    <x:n v="30"/>
    <x:s v="Benelux Sensor Works"/>
    <x:n v="1.1699"/>
    <x:n v="1.3655888875919224"/>
    <x:n v="0.006301303457933858"/>
    <x:n v="1.1699"/>
    <x:x v="95"/>
    <x:x v="4"/>
    <x:n v="1.101"/>
    <x:n v="15820.10385"/>
    <x:n v="990.0137649999997"/>
    <x:n v="0.06257947320617618"/>
  </x:r>
  <x:r>
    <x:s v="INV-00097"/>
    <x:x v="15"/>
    <x:s v="SUP18"/>
    <x:x v="1"/>
    <x:s v="Services"/>
    <x:d v="2025-04-17T00:00:00Z"/>
    <x:n v="45794"/>
    <x:x v="1"/>
    <x:n v="1621815.46"/>
    <x:s v="Historical"/>
    <x:s v="SUP18-INV-00097"/>
    <x:n v="30"/>
    <x:s v="Yokohama Engineering Labs"/>
    <x:n v="1.136"/>
    <x:n v="1.322883793509019"/>
    <x:n v="0.00701321150759353"/>
    <x:n v="0.00701321150759353"/>
    <x:x v="96"/>
    <x:x v="5"/>
    <x:n v="0.0067"/>
    <x:n v="10866.163582"/>
    <x:n v="507.9712652650942"/>
    <x:n v="0.04674798620798954"/>
  </x:r>
  <x:r>
    <x:s v="INV-00098"/>
    <x:x v="10"/>
    <x:s v="SUP02"/>
    <x:x v="0"/>
    <x:s v="Equipment"/>
    <x:d v="2025-03-12T00:00:00Z"/>
    <x:n v="45773"/>
    <x:x v="0"/>
    <x:n v="43985.74"/>
    <x:s v="Historical"/>
    <x:s v="SUP02-INV-00098"/>
    <x:n v="45"/>
    <x:s v="Alpen Precision Systems"/>
    <x:n v="1.0886"/>
    <x:n v="1.2947501129903185"/>
    <x:n v="0.006710226222030451"/>
    <x:n v="1.0886"/>
    <x:x v="97"/>
    <x:x v="3"/>
    <x:n v="1.052"/>
    <x:n v="46272.99848"/>
    <x:n v="1609.8780839999963"/>
    <x:n v="0.03479087452471475"/>
  </x:r>
  <x:r>
    <x:s v="INV-00099"/>
    <x:x v="1"/>
    <x:s v="SUP15"/>
    <x:x v="1"/>
    <x:s v="Freight"/>
    <x:d v="2025-10-22T00:00:00Z"/>
    <x:n v="45982"/>
    <x:x v="1"/>
    <x:n v="2258915.79"/>
    <x:s v="Historical"/>
    <x:s v="SUP15-INV-00099"/>
    <x:n v="30"/>
    <x:s v="Nagoya Logistics Partners"/>
    <x:n v="1.1587"/>
    <x:n v="1.333525146737254"/>
    <x:n v="0.0065865165984538435"/>
    <x:n v="0.0065865165984538435"/>
    <x:x v="98"/>
    <x:x v="7"/>
    <x:n v="0.00698"/>
    <x:n v="15767.232214200001"/>
    <x:n v="-888.8458688555238"/>
    <x:n v="-0.056372980164205826"/>
  </x:r>
  <x:r>
    <x:s v="INV-00100"/>
    <x:x v="4"/>
    <x:s v="SUP08"/>
    <x:x v="0"/>
    <x:s v="Components"/>
    <x:d v="2026-01-21T00:00:00Z"/>
    <x:n v="46073"/>
    <x:x v="0"/>
    <x:n v="7203.08"/>
    <x:s v="Historical"/>
    <x:s v="SUP08-INV-00100"/>
    <x:n v="30"/>
    <x:s v="Valencia Circuit Supply"/>
    <x:n v="1.1739"/>
    <x:n v="1.3425205855443734"/>
    <x:n v="0.006337526318630891"/>
    <x:n v="1.1739"/>
    <x:x v="99"/>
    <x:x v="6"/>
    <x:n v="1.065"/>
    <x:n v="7671.280199999999"/>
    <x:n v="784.4154120000003"/>
    <x:n v="0.10225352112676062"/>
  </x:r>
  <x:r>
    <x:s v="INV-00101"/>
    <x:x v="3"/>
    <x:s v="SUP04"/>
    <x:x v="1"/>
    <x:s v="Packaging"/>
    <x:d v="2025-06-03T00:00:00Z"/>
    <x:n v="45841"/>
    <x:x v="0"/>
    <x:n v="8093.57"/>
    <x:s v="Historical"/>
    <x:s v="SUP04-INV-00101"/>
    <x:n v="30"/>
    <x:s v="Nordlicht Packaging"/>
    <x:n v="1.1386"/>
    <x:n v="1.3496917970602182"/>
    <x:n v="0.006985276073619632"/>
    <x:n v="1.1386"/>
    <x:x v="100"/>
    <x:x v="5"/>
    <x:n v="1.07"/>
    <x:n v="8660.1199"/>
    <x:n v="555.2189020000005"/>
    <x:n v="0.06411214953271034"/>
  </x:r>
  <x:r>
    <x:s v="INV-00102"/>
    <x:x v="4"/>
    <x:s v="SUP08"/>
    <x:x v="0"/>
    <x:s v="Components"/>
    <x:d v="2025-10-09T00:00:00Z"/>
    <x:n v="45969"/>
    <x:x v="0"/>
    <x:n v="12436.83"/>
    <x:s v="Historical"/>
    <x:s v="SUP08-INV-00102"/>
    <x:n v="30"/>
    <x:s v="Valencia Circuit Supply"/>
    <x:n v="1.1611"/>
    <x:n v="1.3372106414833584"/>
    <x:n v="0.006545095828635851"/>
    <x:n v="1.1611"/>
    <x:x v="101"/>
    <x:x v="7"/>
    <x:n v="1.106"/>
    <x:n v="13755.13398"/>
    <x:n v="685.2693330000002"/>
    <x:n v="0.04981916817359856"/>
  </x:r>
  <x:r>
    <x:s v="INV-00103"/>
    <x:x v="14"/>
    <x:s v="SUP07"/>
    <x:x v="0"/>
    <x:s v="Equipment"/>
    <x:d v="2026-06-30T00:00:00Z"/>
    <x:n v="46263"/>
    <x:x v="0"/>
    <x:n v="15097.73"/>
    <x:s v="Historical"/>
    <x:s v="SUP07-INV-00103"/>
    <x:n v="60"/>
    <x:s v="Milan Assembly Robotics"/>
    <x:n v="1.1394"/>
    <x:n v="1.3221471837359884"/>
    <x:n v="0.006156256753836178"/>
    <x:n v="1.1394"/>
    <x:x v="102"/>
    <x:x v="0"/>
    <x:n v="1.083"/>
    <x:n v="16350.841589999998"/>
    <x:n v="851.5119720000021"/>
    <x:n v="0.052077562326869935"/>
  </x:r>
  <x:r>
    <x:s v="INV-00104"/>
    <x:x v="1"/>
    <x:s v="SUP15"/>
    <x:x v="1"/>
    <x:s v="Freight"/>
    <x:d v="2025-06-09T00:00:00Z"/>
    <x:n v="45847"/>
    <x:x v="1"/>
    <x:n v="1327372.2"/>
    <x:s v="Historical"/>
    <x:s v="SUP15-INV-00104"/>
    <x:n v="30"/>
    <x:s v="Nagoya Logistics Partners"/>
    <x:n v="1.141"/>
    <x:n v="1.354463437796771"/>
    <x:n v="0.006920184376516254"/>
    <x:n v="0.006920184376516254"/>
    <x:x v="103"/>
    <x:x v="5"/>
    <x:n v="0.0067"/>
    <x:n v="8893.39374"/>
    <x:n v="292.2666202620094"/>
    <x:n v="0.03286333977854548"/>
  </x:r>
  <x:r>
    <x:s v="INV-00105"/>
    <x:x v="17"/>
    <x:s v="SUP06"/>
    <x:x v="2"/>
    <x:s v="Software"/>
    <x:d v="2025-03-01T00:00:00Z"/>
    <x:n v="45747"/>
    <x:x v="0"/>
    <x:n v="12269.19"/>
    <x:s v="Historical"/>
    <x:s v="SUP06-INV-00105"/>
    <x:n v="30"/>
    <x:s v="Dublin Systems Licensing"/>
    <x:n v="1.0803"/>
    <x:n v="1.294470073692409"/>
    <x:n v="0.006700781540751768"/>
    <x:n v="1.0803"/>
    <x:x v="104"/>
    <x:x v="3"/>
    <x:n v="1.052"/>
    <x:n v="12907.187880000001"/>
    <x:n v="347.21807699999954"/>
    <x:n v="0.02690114068441061"/>
  </x:r>
  <x:r>
    <x:s v="INV-00106"/>
    <x:x v="7"/>
    <x:s v="SUP03"/>
    <x:x v="0"/>
    <x:s v="Components"/>
    <x:d v="2025-02-24T00:00:00Z"/>
    <x:n v="45742"/>
    <x:x v="0"/>
    <x:n v="4413.06"/>
    <x:s v="Historical"/>
    <x:s v="SUP03-INV-00106"/>
    <x:n v="30"/>
    <x:s v="Benelux Sensor Works"/>
    <x:n v="1.0466"/>
    <x:n v="1.2635518531932874"/>
    <x:n v="0.0066743192398443976"/>
    <x:n v="1.0466"/>
    <x:x v="105"/>
    <x:x v="3"/>
    <x:n v="1.052"/>
    <x:n v="4642.53912"/>
    <x:n v="-23.83052399999997"/>
    <x:n v="-0.0051330798479087385"/>
  </x:r>
  <x:r>
    <x:s v="INV-00107"/>
    <x:x v="7"/>
    <x:s v="SUP03"/>
    <x:x v="0"/>
    <x:s v="Components"/>
    <x:d v="2026-06-01T00:00:00Z"/>
    <x:n v="46204"/>
    <x:x v="0"/>
    <x:n v="8162.37"/>
    <x:s v="Historical"/>
    <x:s v="SUP03-INV-00107"/>
    <x:n v="30"/>
    <x:s v="Benelux Sensor Works"/>
    <x:n v="1.1646"/>
    <x:n v="1.3464673441781416"/>
    <x:n v="0.006270054915473242"/>
    <x:n v="1.1646"/>
    <x:x v="106"/>
    <x:x v="0"/>
    <x:n v="1.083"/>
    <x:n v="8839.84671"/>
    <x:n v="666.0493920000008"/>
    <x:n v="0.07534626038781173"/>
  </x:r>
  <x:r>
    <x:s v="INV-00108"/>
    <x:x v="11"/>
    <x:s v="SUP14"/>
    <x:x v="0"/>
    <x:s v="Equipment"/>
    <x:d v="2026-03-28T00:00:00Z"/>
    <x:n v="46169"/>
    <x:x v="1"/>
    <x:n v="11933164.77"/>
    <x:s v="Historical"/>
    <x:s v="SUP14-INV-00108"/>
    <x:n v="60"/>
    <x:s v="Tokyo Automation Systems"/>
    <x:n v="1.1517"/>
    <x:n v="1.3280673431734318"/>
    <x:n v="0.006253801042571677"/>
    <x:n v="0.006253801042571677"/>
    <x:x v="107"/>
    <x:x v="6"/>
    <x:n v="0.00646"/>
    <x:n v="77088.24441419999"/>
    <x:n v="-2460.6061343943875"/>
    <x:n v="-0.03191934325515828"/>
  </x:r>
  <x:r>
    <x:s v="INV-00109"/>
    <x:x v="3"/>
    <x:s v="SUP04"/>
    <x:x v="1"/>
    <x:s v="Packaging"/>
    <x:d v="2025-09-19T00:00:00Z"/>
    <x:n v="45949"/>
    <x:x v="0"/>
    <x:n v="6207.52"/>
    <x:s v="Historical"/>
    <x:s v="SUP04-INV-00109"/>
    <x:n v="30"/>
    <x:s v="Nordlicht Packaging"/>
    <x:n v="1.1736"/>
    <x:n v="1.3477262287551677"/>
    <x:n v="0.00675297773174521"/>
    <x:n v="1.1736"/>
    <x:x v="108"/>
    <x:x v="1"/>
    <x:n v="1.088"/>
    <x:n v="6753.781760000001"/>
    <x:n v="531.3637119999994"/>
    <x:n v="0.0786764705882352"/>
  </x:r>
  <x:r>
    <x:s v="INV-00110"/>
    <x:x v="1"/>
    <x:s v="SUP15"/>
    <x:x v="1"/>
    <x:s v="Freight"/>
    <x:d v="2026-03-24T00:00:00Z"/>
    <x:n v="46135"/>
    <x:x v="1"/>
    <x:n v="299126.59"/>
    <x:s v="Historical"/>
    <x:s v="SUP15-INV-00110"/>
    <x:n v="30"/>
    <x:s v="Nagoya Logistics Partners"/>
    <x:n v="1.1572"/>
    <x:n v="1.337169665245375"/>
    <x:n v="0.006292208145288456"/>
    <x:n v="0.006292208145288456"/>
    <x:x v="109"/>
    <x:x v="6"/>
    <x:n v="0.00646"/>
    <x:n v="1932.3577714"/>
    <x:n v="-50.19100532963944"/>
    <x:n v="-0.02597397131757639"/>
  </x:r>
  <x:r>
    <x:s v="INV-00111"/>
    <x:x v="4"/>
    <x:s v="SUP08"/>
    <x:x v="0"/>
    <x:s v="Components"/>
    <x:d v="2025-11-06T00:00:00Z"/>
    <x:n v="45997"/>
    <x:x v="0"/>
    <x:n v="13212.6"/>
    <x:s v="Historical"/>
    <x:s v="SUP08-INV-00111"/>
    <x:n v="30"/>
    <x:s v="Valencia Circuit Supply"/>
    <x:n v="1.1533"/>
    <x:n v="1.3095265130010219"/>
    <x:n v="0.006510302003951454"/>
    <x:n v="1.1533"/>
    <x:x v="110"/>
    <x:x v="7"/>
    <x:n v="1.106"/>
    <x:n v="14613.135600000001"/>
    <x:n v="624.9559799999988"/>
    <x:n v="0.04276672694394205"/>
  </x:r>
  <x:r>
    <x:s v="INV-00112"/>
    <x:x v="4"/>
    <x:s v="SUP08"/>
    <x:x v="0"/>
    <x:s v="Components"/>
    <x:d v="2026-08-16T00:00:00Z"/>
    <x:n v="46280"/>
    <x:x v="0"/>
    <x:n v="15829.9"/>
    <x:s v="Historical"/>
    <x:s v="SUP08-INV-00112"/>
    <x:n v="30"/>
    <x:s v="Valencia Circuit Supply"/>
    <x:n v="1.1567"/>
    <x:n v="1.353657109420714"/>
    <x:n v="0.006288805523840591"/>
    <x:n v="1.1567"/>
    <x:x v="111"/>
    <x:x v="4"/>
    <x:n v="1.101"/>
    <x:n v="17428.7199"/>
    <x:n v="881.7254300000022"/>
    <x:n v="0.05059037238873764"/>
  </x:r>
  <x:r>
    <x:s v="INV-00113"/>
    <x:x v="5"/>
    <x:s v="SUP09"/>
    <x:x v="0"/>
    <x:s v="Components"/>
    <x:d v="2026-08-06T00:00:00Z"/>
    <x:n v="46270"/>
    <x:x v="2"/>
    <x:n v="26345.61"/>
    <x:s v="Historical"/>
    <x:s v="SUP09-INV-00113"/>
    <x:n v="30"/>
    <x:s v="Thames Electronics Ltd"/>
    <x:n v="1.1542"/>
    <x:n v="1.3467125605273904"/>
    <x:n v="0.006335840149311083"/>
    <x:n v="1.3467125605273904"/>
    <x:x v="112"/>
    <x:x v="4"/>
    <x:n v="1.293"/>
    <x:n v="34064.87373"/>
    <x:n v="1415.0901717560264"/>
    <x:n v="0.041541036757455976"/>
  </x:r>
  <x:r>
    <x:s v="INV-00114"/>
    <x:x v="13"/>
    <x:s v="SUP11"/>
    <x:x v="2"/>
    <x:s v="Software"/>
    <x:d v="2026-01-03T00:00:00Z"/>
    <x:n v="46055"/>
    <x:x v="2"/>
    <x:n v="7301.56"/>
    <x:s v="Historical"/>
    <x:s v="SUP11-INV-00114"/>
    <x:n v="30"/>
    <x:s v="Manchester Cloud Solutions"/>
    <x:n v="1.1555"/>
    <x:n v="1.3367963164349013"/>
    <x:n v="0.006298375667720483"/>
    <x:n v="1.3367963164349013"/>
    <x:x v="113"/>
    <x:x v="6"/>
    <x:n v="1.249"/>
    <x:n v="9119.64844"/>
    <x:n v="641.0500722284178"/>
    <x:n v="0.07029328777814353"/>
  </x:r>
  <x:r>
    <x:s v="INV-00115"/>
    <x:x v="10"/>
    <x:s v="SUP02"/>
    <x:x v="0"/>
    <x:s v="Equipment"/>
    <x:d v="2025-04-12T00:00:00Z"/>
    <x:n v="45804"/>
    <x:x v="0"/>
    <x:n v="22106.82"/>
    <x:s v="Historical"/>
    <x:s v="SUP02-INV-00115"/>
    <x:n v="45"/>
    <x:s v="Alpen Precision Systems"/>
    <x:n v="1.1384"/>
    <x:n v="1.3518584491153072"/>
    <x:n v="0.00693512031678343"/>
    <x:n v="1.1384"/>
    <x:x v="114"/>
    <x:x v="5"/>
    <x:n v="1.07"/>
    <x:n v="23654.2974"/>
    <x:n v="1512.1064880000013"/>
    <x:n v="0.06392523364485987"/>
  </x:r>
  <x:r>
    <x:s v="INV-00116"/>
    <x:x v="10"/>
    <x:s v="SUP02"/>
    <x:x v="0"/>
    <x:s v="Equipment"/>
    <x:d v="2026-10-12T00:00:00Z"/>
    <x:n v="46352"/>
    <x:x v="0"/>
    <x:n v="66506.45"/>
    <x:s v="Planned"/>
    <x:s v="SUP02-INV-00116"/>
    <x:n v="45"/>
    <x:s v="Alpen Precision Systems"/>
    <x:n v="1.1177"/>
    <x:n v="1.320456022210408"/>
    <x:n v="0.00632004523607577"/>
    <x:n v="1.1177"/>
    <x:x v="115"/>
    <x:x v="2"/>
    <x:n v="1.119"/>
    <x:n v="74420.71755"/>
    <x:n v="-86.45838500000536"/>
    <x:n v="-0.001161751563896408"/>
  </x:r>
  <x:r>
    <x:s v="INV-00117"/>
    <x:x v="5"/>
    <x:s v="SUP09"/>
    <x:x v="0"/>
    <x:s v="Components"/>
    <x:d v="2025-05-27T00:00:00Z"/>
    <x:n v="45834"/>
    <x:x v="2"/>
    <x:n v="14805.7"/>
    <x:s v="Historical"/>
    <x:s v="SUP09-INV-00117"/>
    <x:n v="30"/>
    <x:s v="Thames Electronics Ltd"/>
    <x:n v="1.1356"/>
    <x:n v="1.354969574036511"/>
    <x:n v="0.0069362325922306374"/>
    <x:n v="1.354969574036511"/>
    <x:x v="116"/>
    <x:x v="5"/>
    <x:n v="1.26"/>
    <x:n v="18655.182"/>
    <x:n v="1406.091022312372"/>
    <x:n v="0.07537267780675481"/>
  </x:r>
  <x:r>
    <x:s v="INV-00118"/>
    <x:x v="8"/>
    <x:s v="SUP13"/>
    <x:x v="0"/>
    <x:s v="Components"/>
    <x:d v="2026-05-13T00:00:00Z"/>
    <x:n v="46200"/>
    <x:x v="1"/>
    <x:n v="1040345.3"/>
    <x:s v="Historical"/>
    <x:s v="SUP13-INV-00118"/>
    <x:n v="45"/>
    <x:s v="Osaka Microdevices"/>
    <x:n v="1.1715"/>
    <x:n v="1.3510084993022962"/>
    <x:n v="0.006338256776497322"/>
    <x:n v="0.006338256776497322"/>
    <x:x v="117"/>
    <x:x v="0"/>
    <x:n v="0.0066"/>
    <x:n v="6866.27898"/>
    <x:n v="-272.3033323778609"/>
    <x:n v="-0.03965806416707247"/>
  </x:r>
  <x:r>
    <x:s v="INV-00119"/>
    <x:x v="14"/>
    <x:s v="SUP07"/>
    <x:x v="0"/>
    <x:s v="Equipment"/>
    <x:d v="2025-07-06T00:00:00Z"/>
    <x:n v="45904"/>
    <x:x v="0"/>
    <x:n v="50847.13"/>
    <x:s v="Historical"/>
    <x:s v="SUP07-INV-00119"/>
    <x:n v="60"/>
    <x:s v="Milan Assembly Robotics"/>
    <x:n v="1.1724"/>
    <x:n v="1.346966911764706"/>
    <x:n v="0.006797703948512785"/>
    <x:n v="1.1724"/>
    <x:x v="118"/>
    <x:x v="1"/>
    <x:n v="1.088"/>
    <x:n v="55321.67744"/>
    <x:n v="4291.497772000002"/>
    <x:n v="0.07757352941176475"/>
  </x:r>
  <x:r>
    <x:s v="INV-00120"/>
    <x:x v="6"/>
    <x:s v="SUP16"/>
    <x:x v="0"/>
    <x:s v="Components"/>
    <x:d v="2026-05-03T00:00:00Z"/>
    <x:n v="46175"/>
    <x:x v="1"/>
    <x:n v="2431242.68"/>
    <x:s v="Historical"/>
    <x:s v="SUP16-INV-00120"/>
    <x:n v="30"/>
    <x:s v="Kyoto Optical Instruments"/>
    <x:n v="1.1702"/>
    <x:n v="1.3508802308802308"/>
    <x:n v="0.006387205938540472"/>
    <x:n v="0.006387205938540472"/>
    <x:x v="119"/>
    <x:x v="0"/>
    <x:n v="0.0066"/>
    <x:n v="16046.201688000001"/>
    <x:n v="-517.3540042709483"/>
    <x:n v="-0.03224152446356489"/>
  </x:r>
  <x:r>
    <x:s v="INV-00121"/>
    <x:x v="15"/>
    <x:s v="SUP18"/>
    <x:x v="1"/>
    <x:s v="Services"/>
    <x:d v="2025-05-26T00:00:00Z"/>
    <x:n v="45833"/>
    <x:x v="1"/>
    <x:n v="304795.78"/>
    <x:s v="Historical"/>
    <x:s v="SUP18-INV-00121"/>
    <x:n v="30"/>
    <x:s v="Yokohama Engineering Labs"/>
    <x:n v="1.1381"/>
    <x:n v="1.35617254528122"/>
    <x:n v="0.006998093832626206"/>
    <x:n v="0.006998093832626206"/>
    <x:x v="120"/>
    <x:x v="5"/>
    <x:n v="0.0067"/>
    <x:n v="2042.1317260000003"/>
    <x:n v="90.85774222849409"/>
    <x:n v="0.044491616809881576"/>
  </x:r>
  <x:r>
    <x:s v="INV-00122"/>
    <x:x v="6"/>
    <x:s v="SUP16"/>
    <x:x v="0"/>
    <x:s v="Components"/>
    <x:d v="2025-01-01T00:00:00Z"/>
    <x:n v="45688"/>
    <x:x v="1"/>
    <x:n v="4968613.84"/>
    <x:s v="Historical"/>
    <x:s v="SUP16-INV-00122"/>
    <x:n v="30"/>
    <x:s v="Kyoto Optical Instruments"/>
    <x:n v="1.0305"/>
    <x:n v="1.2295962199312713"/>
    <x:n v="0.006339197834645669"/>
    <x:n v="0.006339197834645669"/>
    <x:x v="121"/>
    <x:x v="3"/>
    <x:n v="0.00656"/>
    <x:n v="32594.106790399997"/>
    <x:n v="-1097.0806946814955"/>
    <x:n v="-0.03365886666986747"/>
  </x:r>
  <x:r>
    <x:s v="INV-00123"/>
    <x:x v="17"/>
    <x:s v="SUP06"/>
    <x:x v="2"/>
    <x:s v="Software"/>
    <x:d v="2026-09-25T00:00:00Z"/>
    <x:n v="46320"/>
    <x:x v="0"/>
    <x:n v="8623.28"/>
    <x:s v="Historical"/>
    <x:s v="SUP06-INV-00123"/>
    <x:n v="30"/>
    <x:s v="Dublin Systems Licensing"/>
    <x:n v="1.1403"/>
    <x:n v="1.3252367947004475"/>
    <x:n v="0.006345575959933223"/>
    <x:n v="1.1403"/>
    <x:x v="122"/>
    <x:x v="4"/>
    <x:n v="1.101"/>
    <x:n v="9494.23128"/>
    <x:n v="338.8949040000007"/>
    <x:n v="0.03569482288828345"/>
  </x:r>
  <x:r>
    <x:s v="INV-00124"/>
    <x:x v="10"/>
    <x:s v="SUP02"/>
    <x:x v="0"/>
    <x:s v="Equipment"/>
    <x:d v="2025-05-17T00:00:00Z"/>
    <x:n v="45839"/>
    <x:x v="0"/>
    <x:n v="42049.13"/>
    <x:s v="Historical"/>
    <x:s v="SUP02-INV-00124"/>
    <x:n v="45"/>
    <x:s v="Alpen Precision Systems"/>
    <x:n v="1.1726"/>
    <x:n v="1.353260242354299"/>
    <x:n v="0.006836121961172973"/>
    <x:n v="1.1726"/>
    <x:x v="123"/>
    <x:x v="5"/>
    <x:n v="1.07"/>
    <x:n v="44992.5691"/>
    <x:n v="4314.240738"/>
    <x:n v="0.09588785046728973"/>
  </x:r>
  <x:r>
    <x:s v="INV-00125"/>
    <x:x v="8"/>
    <x:s v="SUP13"/>
    <x:x v="0"/>
    <x:s v="Components"/>
    <x:d v="2025-04-28T00:00:00Z"/>
    <x:n v="45820"/>
    <x:x v="1"/>
    <x:n v="1910461.6"/>
    <x:s v="Historical"/>
    <x:s v="SUP13-INV-00125"/>
    <x:n v="45"/>
    <x:s v="Osaka Microdevices"/>
    <x:n v="1.1358"/>
    <x:n v="1.3340380549682873"/>
    <x:n v="0.006976658476658476"/>
    <x:n v="0.006976658476658476"/>
    <x:x v="124"/>
    <x:x v="5"/>
    <x:n v="0.0067"/>
    <x:n v="12800.09272"/>
    <x:n v="528.5453959705137"/>
    <x:n v="0.04129230994902619"/>
  </x:r>
  <x:r>
    <x:s v="INV-00126"/>
    <x:x v="10"/>
    <x:s v="SUP02"/>
    <x:x v="0"/>
    <x:s v="Equipment"/>
    <x:d v="2026-11-05T00:00:00Z"/>
    <x:n v="46376"/>
    <x:x v="0"/>
    <x:n v="35332.79"/>
    <x:s v="Planned"/>
    <x:s v="SUP02-INV-00126"/>
    <x:n v="45"/>
    <x:s v="Alpen Precision Systems"/>
    <x:n v="1.1177"/>
    <x:n v="1.320456022210408"/>
    <x:n v="0.00632004523607577"/>
    <x:n v="1.1177"/>
    <x:x v="125"/>
    <x:x v="2"/>
    <x:n v="1.119"/>
    <x:n v="39537.39201"/>
    <x:n v="-45.93262700000196"/>
    <x:n v="-0.0011617515638963855"/>
  </x:r>
  <x:r>
    <x:s v="INV-00127"/>
    <x:x v="7"/>
    <x:s v="SUP03"/>
    <x:x v="0"/>
    <x:s v="Components"/>
    <x:d v="2026-02-15T00:00:00Z"/>
    <x:n v="46098"/>
    <x:x v="0"/>
    <x:n v="13601.8"/>
    <x:s v="Historical"/>
    <x:s v="SUP03-INV-00127"/>
    <x:n v="30"/>
    <x:s v="Benelux Sensor Works"/>
    <x:n v="1.1555"/>
    <x:n v="1.3367963164349013"/>
    <x:n v="0.006298375667720483"/>
    <x:n v="1.1555"/>
    <x:x v="126"/>
    <x:x v="6"/>
    <x:n v="1.065"/>
    <x:n v="14485.916999999998"/>
    <x:n v="1230.9629000000004"/>
    <x:n v="0.08497652582159629"/>
  </x:r>
  <x:r>
    <x:s v="INV-00128"/>
    <x:x v="3"/>
    <x:s v="SUP04"/>
    <x:x v="1"/>
    <x:s v="Packaging"/>
    <x:d v="2026-02-14T00:00:00Z"/>
    <x:n v="46097"/>
    <x:x v="0"/>
    <x:n v="7978.19"/>
    <x:s v="Historical"/>
    <x:s v="SUP04-INV-00128"/>
    <x:n v="30"/>
    <x:s v="Nordlicht Packaging"/>
    <x:n v="1.1555"/>
    <x:n v="1.3367963164349013"/>
    <x:n v="0.006298375667720483"/>
    <x:n v="1.1555"/>
    <x:x v="127"/>
    <x:x v="6"/>
    <x:n v="1.065"/>
    <x:n v="8496.77235"/>
    <x:n v="722.0261950000004"/>
    <x:n v="0.08497652582159629"/>
  </x:r>
  <x:r>
    <x:s v="INV-00129"/>
    <x:x v="10"/>
    <x:s v="SUP02"/>
    <x:x v="0"/>
    <x:s v="Equipment"/>
    <x:d v="2026-08-21T00:00:00Z"/>
    <x:n v="46300"/>
    <x:x v="0"/>
    <x:n v="63201.35"/>
    <x:s v="Historical"/>
    <x:s v="SUP02-INV-00129"/>
    <x:n v="45"/>
    <x:s v="Alpen Precision Systems"/>
    <x:n v="1.1699"/>
    <x:n v="1.3655888875919224"/>
    <x:n v="0.006301303457933858"/>
    <x:n v="1.1699"/>
    <x:x v="128"/>
    <x:x v="4"/>
    <x:n v="1.101"/>
    <x:n v="69584.68635"/>
    <x:n v="4354.573014999987"/>
    <x:n v="0.06257947320617602"/>
  </x:r>
  <x:r>
    <x:s v="INV-00130"/>
    <x:x v="6"/>
    <x:s v="SUP16"/>
    <x:x v="0"/>
    <x:s v="Components"/>
    <x:d v="2026-08-19T00:00:00Z"/>
    <x:n v="46283"/>
    <x:x v="1"/>
    <x:n v="2220417.69"/>
    <x:s v="Historical"/>
    <x:s v="SUP16-INV-00130"/>
    <x:n v="30"/>
    <x:s v="Kyoto Optical Instruments"/>
    <x:n v="1.1605"/>
    <x:n v="1.3555976077002152"/>
    <x:n v="0.006285884519553678"/>
    <x:n v="0.006285884519553678"/>
    <x:x v="129"/>
    <x:x v="4"/>
    <x:n v="0.00674"/>
    <x:n v="14965.6152306"/>
    <x:n v="-1008.3260460858637"/>
    <x:n v="-0.0673761840424811"/>
  </x:r>
  <x:r>
    <x:s v="INV-00131"/>
    <x:x v="3"/>
    <x:s v="SUP04"/>
    <x:x v="1"/>
    <x:s v="Packaging"/>
    <x:d v="2025-07-06T00:00:00Z"/>
    <x:n v="45874"/>
    <x:x v="0"/>
    <x:n v="8667.16"/>
    <x:s v="Historical"/>
    <x:s v="SUP04-INV-00131"/>
    <x:n v="30"/>
    <x:s v="Nordlicht Packaging"/>
    <x:n v="1.1724"/>
    <x:n v="1.346966911764706"/>
    <x:n v="0.006797703948512785"/>
    <x:n v="1.1724"/>
    <x:x v="130"/>
    <x:x v="1"/>
    <x:n v="1.088"/>
    <x:n v="9429.87008"/>
    <x:n v="731.5083040000009"/>
    <x:n v="0.07757352941176479"/>
  </x:r>
  <x:r>
    <x:s v="INV-00132"/>
    <x:x v="13"/>
    <x:s v="SUP11"/>
    <x:x v="2"/>
    <x:s v="Software"/>
    <x:d v="2025-12-14T00:00:00Z"/>
    <x:n v="46035"/>
    <x:x v="2"/>
    <x:n v="4929.68"/>
    <x:s v="Historical"/>
    <x:s v="SUP11-INV-00132"/>
    <x:n v="30"/>
    <x:s v="Manchester Cloud Solutions"/>
    <x:n v="1.1555"/>
    <x:n v="1.3367963164349013"/>
    <x:n v="0.006298375667720483"/>
    <x:n v="1.3367963164349013"/>
    <x:x v="131"/>
    <x:x v="7"/>
    <x:n v="1.304"/>
    <x:n v="6428.302720000001"/>
    <x:n v="161.67534520280424"/>
    <x:n v="0.025150549413267866"/>
  </x:r>
  <x:r>
    <x:s v="INV-00133"/>
    <x:x v="11"/>
    <x:s v="SUP14"/>
    <x:x v="0"/>
    <x:s v="Equipment"/>
    <x:d v="2025-04-27T00:00:00Z"/>
    <x:n v="45834"/>
    <x:x v="1"/>
    <x:n v="13193857.47"/>
    <x:s v="Historical"/>
    <x:s v="SUP14-INV-00133"/>
    <x:n v="60"/>
    <x:s v="Tokyo Automation Systems"/>
    <x:n v="1.1598"/>
    <x:n v="1.3603096410978184"/>
    <x:n v="0.006859880522860354"/>
    <x:n v="0.006859880522860354"/>
    <x:x v="132"/>
    <x:x v="5"/>
    <x:n v="0.0067"/>
    <x:n v="88398.84504900001"/>
    <x:n v="2109.4408308485727"/>
    <x:n v="0.023862764606022817"/>
  </x:r>
  <x:r>
    <x:s v="INV-00134"/>
    <x:x v="5"/>
    <x:s v="SUP09"/>
    <x:x v="0"/>
    <x:s v="Components"/>
    <x:d v="2025-03-02T00:00:00Z"/>
    <x:n v="45748"/>
    <x:x v="2"/>
    <x:n v="15477.98"/>
    <x:s v="Historical"/>
    <x:s v="SUP09-INV-00134"/>
    <x:n v="30"/>
    <x:s v="Thames Electronics Ltd"/>
    <x:n v="1.1097"/>
    <x:n v="1.3185128857098725"/>
    <x:n v="0.006842819263735586"/>
    <x:n v="1.3185128857098725"/>
    <x:x v="133"/>
    <x:x v="3"/>
    <x:n v="1.238"/>
    <x:n v="19161.73924"/>
    <x:n v="1246.1768347596917"/>
    <x:n v="0.06503464112267565"/>
  </x:r>
  <x:r>
    <x:s v="INV-00135"/>
    <x:x v="8"/>
    <x:s v="SUP13"/>
    <x:x v="0"/>
    <x:s v="Components"/>
    <x:d v="2026-11-05T00:00:00Z"/>
    <x:n v="46376"/>
    <x:x v="1"/>
    <x:n v="3294453.19"/>
    <x:s v="Planned"/>
    <x:s v="SUP13-INV-00135"/>
    <x:n v="45"/>
    <x:s v="Osaka Microdevices"/>
    <x:n v="1.1177"/>
    <x:n v="1.320456022210408"/>
    <x:n v="0.00632004523607577"/>
    <x:n v="0.00632004523607577"/>
    <x:x v="134"/>
    <x:x v="2"/>
    <x:n v="0.00688"/>
    <x:n v="22665.837947199998"/>
    <x:n v="-1844.7447582658751"/>
    <x:n v="-0.08138877382619616"/>
  </x:r>
  <x:r>
    <x:s v="INV-00136"/>
    <x:x v="8"/>
    <x:s v="SUP13"/>
    <x:x v="0"/>
    <x:s v="Components"/>
    <x:d v="2025-01-08T00:00:00Z"/>
    <x:n v="45710"/>
    <x:x v="1"/>
    <x:n v="2192089.72"/>
    <x:s v="Historical"/>
    <x:s v="SUP13-INV-00136"/>
    <x:n v="45"/>
    <x:s v="Osaka Microdevices"/>
    <x:n v="1.0286"/>
    <x:n v="1.2332889704207282"/>
    <x:n v="0.00631275316067264"/>
    <x:n v="0.00631275316067264"/>
    <x:x v="135"/>
    <x:x v="3"/>
    <x:n v="0.00656"/>
    <x:n v="14380.108563200001"/>
    <x:n v="-541.9872547919967"/>
    <x:n v="-0.03769006697063409"/>
  </x:r>
  <x:r>
    <x:s v="INV-00137"/>
    <x:x v="17"/>
    <x:s v="SUP06"/>
    <x:x v="2"/>
    <x:s v="Software"/>
    <x:d v="2026-08-14T00:00:00Z"/>
    <x:n v="46278"/>
    <x:x v="0"/>
    <x:n v="1880.89"/>
    <x:s v="Historical"/>
    <x:s v="SUP06-INV-00137"/>
    <x:n v="30"/>
    <x:s v="Dublin Systems Licensing"/>
    <x:n v="1.1567"/>
    <x:n v="1.353657109420714"/>
    <x:n v="0.006288805523840591"/>
    <x:n v="1.1567"/>
    <x:x v="136"/>
    <x:x v="4"/>
    <x:n v="1.101"/>
    <x:n v="2070.85989"/>
    <x:n v="104.76557300000013"/>
    <x:n v="0.05059037238873757"/>
  </x:r>
  <x:r>
    <x:s v="INV-00138"/>
    <x:x v="10"/>
    <x:s v="SUP02"/>
    <x:x v="0"/>
    <x:s v="Equipment"/>
    <x:d v="2026-06-17T00:00:00Z"/>
    <x:n v="46235"/>
    <x:x v="0"/>
    <x:n v="51832.31"/>
    <x:s v="Historical"/>
    <x:s v="SUP02-INV-00138"/>
    <x:n v="45"/>
    <x:s v="Alpen Precision Systems"/>
    <x:n v="1.1591"/>
    <x:n v="1.3405734244705827"/>
    <x:n v="0.006237756969109892"/>
    <x:n v="1.1591"/>
    <x:x v="137"/>
    <x:x v="0"/>
    <x:n v="1.083"/>
    <x:n v="56134.391729999996"/>
    <x:n v="3944.4387910000005"/>
    <x:n v="0.07026777469990768"/>
  </x:r>
  <x:r>
    <x:s v="INV-00139"/>
    <x:x v="7"/>
    <x:s v="SUP03"/>
    <x:x v="0"/>
    <x:s v="Components"/>
    <x:d v="2026-04-20T00:00:00Z"/>
    <x:n v="46162"/>
    <x:x v="0"/>
    <x:n v="26339.11"/>
    <x:s v="Historical"/>
    <x:s v="SUP03-INV-00139"/>
    <x:n v="30"/>
    <x:s v="Benelux Sensor Works"/>
    <x:n v="1.176"/>
    <x:n v="1.3510253317249699"/>
    <x:n v="0.006292808219178082"/>
    <x:n v="1.176"/>
    <x:x v="138"/>
    <x:x v="0"/>
    <x:n v="1.083"/>
    <x:n v="28525.256129999998"/>
    <x:n v="2449.5372300000017"/>
    <x:n v="0.08587257617728539"/>
  </x:r>
  <x:r>
    <x:s v="INV-00140"/>
    <x:x v="4"/>
    <x:s v="SUP08"/>
    <x:x v="0"/>
    <x:s v="Components"/>
    <x:d v="2026-06-14T00:00:00Z"/>
    <x:n v="46217"/>
    <x:x v="0"/>
    <x:n v="4962.32"/>
    <x:s v="Historical"/>
    <x:s v="SUP08-INV-00140"/>
    <x:n v="30"/>
    <x:s v="Valencia Circuit Supply"/>
    <x:n v="1.1567"/>
    <x:n v="1.340246799142576"/>
    <x:n v="0.006242309767943875"/>
    <x:n v="1.1567"/>
    <x:x v="139"/>
    <x:x v="0"/>
    <x:n v="1.083"/>
    <x:n v="5374.1925599999995"/>
    <x:n v="365.7229840000009"/>
    <x:n v="0.06805170821791338"/>
  </x:r>
  <x:r>
    <x:s v="INV-00141"/>
    <x:x v="10"/>
    <x:s v="SUP02"/>
    <x:x v="0"/>
    <x:s v="Equipment"/>
    <x:d v="2026-02-02T00:00:00Z"/>
    <x:n v="46100"/>
    <x:x v="0"/>
    <x:n v="16743.65"/>
    <x:s v="Historical"/>
    <x:s v="SUP02-INV-00141"/>
    <x:n v="45"/>
    <x:s v="Alpen Precision Systems"/>
    <x:n v="1.184"/>
    <x:n v="1.3675213675213673"/>
    <x:n v="0.006449153003976251"/>
    <x:n v="1.184"/>
    <x:x v="140"/>
    <x:x v="6"/>
    <x:n v="1.065"/>
    <x:n v="17831.987250000002"/>
    <x:n v="1992.4943499999972"/>
    <x:n v="0.11173708920187776"/>
  </x:r>
  <x:r>
    <x:s v="INV-00142"/>
    <x:x v="2"/>
    <x:s v="SUP10"/>
    <x:x v="1"/>
    <x:s v="Services"/>
    <x:d v="2025-05-30T00:00:00Z"/>
    <x:n v="45852"/>
    <x:x v="2"/>
    <x:n v="11792.17"/>
    <x:s v="Historical"/>
    <x:s v="SUP10-INV-00142"/>
    <x:n v="45"/>
    <x:s v="Bristol Calibration Services"/>
    <x:n v="1.1339"/>
    <x:n v="1.3479553019495958"/>
    <x:n v="0.0069581492390770735"/>
    <x:n v="1.3479553019495958"/>
    <x:x v="141"/>
    <x:x v="5"/>
    <x:n v="1.26"/>
    <x:n v="14858.1342"/>
    <x:n v="1037.183872990965"/>
    <x:n v="0.0698057951980919"/>
  </x:r>
  <x:r>
    <x:s v="INV-00143"/>
    <x:x v="13"/>
    <x:s v="SUP11"/>
    <x:x v="2"/>
    <x:s v="Software"/>
    <x:d v="2025-07-17T00:00:00Z"/>
    <x:n v="45885"/>
    <x:x v="2"/>
    <x:n v="4549.79"/>
    <x:s v="Historical"/>
    <x:s v="SUP11-INV-00143"/>
    <x:n v="30"/>
    <x:s v="Manchester Cloud Solutions"/>
    <x:n v="1.1579"/>
    <x:n v="1.3395418787598334"/>
    <x:n v="0.006721035523566287"/>
    <x:n v="1.3395418787598334"/>
    <x:x v="142"/>
    <x:x v="1"/>
    <x:n v="1.282"/>
    <x:n v="5832.83078"/>
    <x:n v="261.8034645627022"/>
    <x:n v="0.04488446081110246"/>
  </x:r>
  <x:r>
    <x:s v="INV-00144"/>
    <x:x v="12"/>
    <x:s v="SUP17"/>
    <x:x v="1"/>
    <x:s v="Packaging"/>
    <x:d v="2025-12-16T00:00:00Z"/>
    <x:n v="46052"/>
    <x:x v="1"/>
    <x:n v="1407204.91"/>
    <x:s v="Historical"/>
    <x:s v="SUP17-INV-00144"/>
    <x:n v="45"/>
    <x:s v="Kobe Industrial Packaging"/>
    <x:n v="1.1776"/>
    <x:n v="1.3436786855317207"/>
    <x:n v="0.006467842038776295"/>
    <x:n v="0.006467842038776295"/>
    <x:x v="143"/>
    <x:x v="7"/>
    <x:n v="0.00698"/>
    <x:n v="9822.290271799999"/>
    <x:n v="-720.7111977295863"/>
    <x:n v="-0.07337506607789461"/>
  </x:r>
  <x:r>
    <x:s v="INV-00145"/>
    <x:x v="12"/>
    <x:s v="SUP17"/>
    <x:x v="1"/>
    <x:s v="Packaging"/>
    <x:d v="2026-05-22T00:00:00Z"/>
    <x:n v="46209"/>
    <x:x v="1"/>
    <x:n v="833276.54"/>
    <x:s v="Historical"/>
    <x:s v="SUP17-INV-00145"/>
    <x:n v="45"/>
    <x:s v="Kobe Industrial Packaging"/>
    <x:n v="1.1595"/>
    <x:n v="1.3417343608970353"/>
    <x:n v="0.006283531133149081"/>
    <x:n v="0.006283531133149081"/>
    <x:x v="144"/>
    <x:x v="0"/>
    <x:n v="0.0066"/>
    <x:n v="5499.625164"/>
    <x:n v="-263.70608238725436"/>
    <x:n v="-0.04794982831074528"/>
  </x:r>
  <x:r>
    <x:s v="INV-00146"/>
    <x:x v="0"/>
    <x:s v="SUP01"/>
    <x:x v="0"/>
    <x:s v="Components"/>
    <x:d v="2026-11-11T00:00:00Z"/>
    <x:n v="46367"/>
    <x:x v="0"/>
    <x:n v="22298.29"/>
    <x:s v="Planned"/>
    <x:s v="SUP01-INV-00146"/>
    <x:n v="30"/>
    <x:s v="Rhein Circuit Components"/>
    <x:n v="1.1177"/>
    <x:n v="1.320456022210408"/>
    <x:n v="0.00632004523607577"/>
    <x:n v="1.1177"/>
    <x:x v="145"/>
    <x:x v="2"/>
    <x:n v="1.119"/>
    <x:n v="24951.78651"/>
    <x:n v="-28.987777000002097"/>
    <x:n v="-0.00116175156389642"/>
  </x:r>
  <x:r>
    <x:s v="INV-00147"/>
    <x:x v="8"/>
    <x:s v="SUP13"/>
    <x:x v="0"/>
    <x:s v="Components"/>
    <x:d v="2026-11-25T00:00:00Z"/>
    <x:n v="46396"/>
    <x:x v="1"/>
    <x:n v="5356815.19"/>
    <x:s v="Planned"/>
    <x:s v="SUP13-INV-00147"/>
    <x:n v="45"/>
    <x:s v="Osaka Microdevices"/>
    <x:n v="1.1177"/>
    <x:n v="1.320456022210408"/>
    <x:n v="0.00632004523607577"/>
    <x:n v="0.00632004523607577"/>
    <x:x v="146"/>
    <x:x v="2"/>
    <x:n v="0.00688"/>
    <x:n v="36854.888507200005"/>
    <x:n v="-2999.574185102181"/>
    <x:n v="-0.08138877382619626"/>
  </x:r>
  <x:r>
    <x:s v="INV-00148"/>
    <x:x v="15"/>
    <x:s v="SUP18"/>
    <x:x v="1"/>
    <x:s v="Services"/>
    <x:d v="2026-08-18T00:00:00Z"/>
    <x:n v="46282"/>
    <x:x v="1"/>
    <x:n v="621625.68"/>
    <x:s v="Historical"/>
    <x:s v="SUP18-INV-00148"/>
    <x:n v="30"/>
    <x:s v="Yokohama Engineering Labs"/>
    <x:n v="1.1576"/>
    <x:n v="1.3525734649763392"/>
    <x:n v="0.0062616974089901006"/>
    <x:n v="0.0062616974089901006"/>
    <x:x v="147"/>
    <x:x v="4"/>
    <x:n v="0.00674"/>
    <x:n v="4189.7570832"/>
    <x:n v="-297.32517338229036"/>
    <x:n v="-0.07096477611422834"/>
  </x:r>
  <x:r>
    <x:s v="INV-00149"/>
    <x:x v="3"/>
    <x:s v="SUP04"/>
    <x:x v="1"/>
    <x:s v="Packaging"/>
    <x:d v="2026-12-02T00:00:00Z"/>
    <x:n v="46388"/>
    <x:x v="0"/>
    <x:n v="9237.74"/>
    <x:s v="Planned"/>
    <x:s v="SUP04-INV-00149"/>
    <x:n v="30"/>
    <x:s v="Nordlicht Packaging"/>
    <x:n v="1.1177"/>
    <x:n v="1.320456022210408"/>
    <x:n v="0.00632004523607577"/>
    <x:n v="1.1177"/>
    <x:x v="148"/>
    <x:x v="2"/>
    <x:n v="1.119"/>
    <x:n v="10337.03106"/>
    <x:n v="-12.009062000000995"/>
    <x:n v="-0.0011617515638964323"/>
  </x:r>
  <x:r>
    <x:s v="INV-00150"/>
    <x:x v="13"/>
    <x:s v="SUP11"/>
    <x:x v="2"/>
    <x:s v="Software"/>
    <x:d v="2025-03-05T00:00:00Z"/>
    <x:n v="45751"/>
    <x:x v="2"/>
    <x:n v="6152.68"/>
    <x:s v="Historical"/>
    <x:s v="SUP11-INV-00150"/>
    <x:n v="30"/>
    <x:s v="Manchester Cloud Solutions"/>
    <x:n v="1.0694"/>
    <x:n v="1.2807185628742515"/>
    <x:n v="0.006679992504216378"/>
    <x:n v="1.2807185628742515"/>
    <x:x v="149"/>
    <x:x v="3"/>
    <x:n v="1.238"/>
    <x:n v="7617.01784"/>
    <x:n v="262.83364742514914"/>
    <x:n v="0.03450610894527577"/>
  </x:r>
  <x:r>
    <x:s v="INV-00151"/>
    <x:x v="0"/>
    <x:s v="SUP01"/>
    <x:x v="0"/>
    <x:s v="Components"/>
    <x:d v="2025-12-26T00:00:00Z"/>
    <x:n v="46047"/>
    <x:x v="0"/>
    <x:n v="36286.94"/>
    <x:s v="Historical"/>
    <x:s v="SUP01-INV-00151"/>
    <x:n v="30"/>
    <x:s v="Rhein Circuit Components"/>
    <x:n v="1.1555"/>
    <x:n v="1.3367963164349013"/>
    <x:n v="0.006298375667720483"/>
    <x:n v="1.1555"/>
    <x:x v="150"/>
    <x:x v="7"/>
    <x:n v="1.106"/>
    <x:n v="40133.35564000001"/>
    <x:n v="1796.2035299999916"/>
    <x:n v="0.04475587703435783"/>
  </x:r>
  <x:r>
    <x:s v="INV-00152"/>
    <x:x v="17"/>
    <x:s v="SUP06"/>
    <x:x v="2"/>
    <x:s v="Software"/>
    <x:d v="2025-10-16T00:00:00Z"/>
    <x:n v="45976"/>
    <x:x v="0"/>
    <x:n v="5576.93"/>
    <x:s v="Historical"/>
    <x:s v="SUP06-INV-00152"/>
    <x:n v="30"/>
    <x:s v="Dublin Systems Licensing"/>
    <x:n v="1.1649"/>
    <x:n v="1.3426694329183955"/>
    <x:n v="0.006610111785734552"/>
    <x:n v="1.1649"/>
    <x:x v="151"/>
    <x:x v="7"/>
    <x:n v="1.106"/>
    <x:n v="6168.084580000001"/>
    <x:n v="328.48117699999966"/>
    <x:n v="0.05325497287522598"/>
  </x:r>
  <x:r>
    <x:s v="INV-00153"/>
    <x:x v="17"/>
    <x:s v="SUP06"/>
    <x:x v="2"/>
    <x:s v="Software"/>
    <x:d v="2026-06-15T00:00:00Z"/>
    <x:n v="46218"/>
    <x:x v="0"/>
    <x:n v="3602.79"/>
    <x:s v="Historical"/>
    <x:s v="SUP06-INV-00153"/>
    <x:n v="30"/>
    <x:s v="Dublin Systems Licensing"/>
    <x:n v="1.1607"/>
    <x:n v="1.3421134789496203"/>
    <x:n v="0.0062426719733232935"/>
    <x:n v="1.1607"/>
    <x:x v="152"/>
    <x:x v="0"/>
    <x:n v="1.083"/>
    <x:n v="3901.8215699999996"/>
    <x:n v="279.93678300000056"/>
    <x:n v="0.07174515235457078"/>
  </x:r>
  <x:r>
    <x:s v="INV-00154"/>
    <x:x v="2"/>
    <x:s v="SUP10"/>
    <x:x v="1"/>
    <x:s v="Services"/>
    <x:d v="2026-06-23T00:00:00Z"/>
    <x:n v="46241"/>
    <x:x v="2"/>
    <x:n v="14623.21"/>
    <x:s v="Historical"/>
    <x:s v="SUP10-INV-00154"/>
    <x:n v="45"/>
    <x:s v="Bristol Calibration Services"/>
    <x:n v="1.1392"/>
    <x:n v="1.3215777262180974"/>
    <x:n v="0.0061906314531029235"/>
    <x:n v="1.3215777262180974"/>
    <x:x v="153"/>
    <x:x v="0"/>
    <x:n v="1.271"/>
    <x:n v="18586.099909999997"/>
    <x:n v="739.6087118097457"/>
    <x:n v="0.03979364769323172"/>
  </x:r>
  <x:r>
    <x:s v="INV-00155"/>
    <x:x v="2"/>
    <x:s v="SUP10"/>
    <x:x v="1"/>
    <x:s v="Services"/>
    <x:d v="2026-05-06T00:00:00Z"/>
    <x:n v="46193"/>
    <x:x v="2"/>
    <x:n v="9159.87"/>
    <x:s v="Historical"/>
    <x:s v="SUP10-INV-00155"/>
    <x:n v="45"/>
    <x:s v="Bristol Calibration Services"/>
    <x:n v="1.1762"/>
    <x:n v="1.3618154451777236"/>
    <x:n v="0.006401436812887775"/>
    <x:n v="1.3618154451777236"/>
    <x:x v="154"/>
    <x:x v="0"/>
    <x:n v="1.271"/>
    <x:n v="11642.19477"/>
    <x:n v="831.8576718200766"/>
    <x:n v="0.07145196316107298"/>
  </x:r>
  <x:r>
    <x:s v="INV-00157"/>
    <x:x v="1"/>
    <x:s v="SUP15"/>
    <x:x v="1"/>
    <x:s v="Freight"/>
    <x:d v="2026-09-24T00:00:00Z"/>
    <x:n v="46319"/>
    <x:x v="1"/>
    <x:n v="2470445.97"/>
    <x:s v="Historical"/>
    <x:s v="SUP15-INV-00157"/>
    <x:n v="30"/>
    <x:s v="Nagoya Logistics Partners"/>
    <x:n v="1.1367"/>
    <x:n v="1.3219593887377017"/>
    <x:n v="0.00629506562551919"/>
    <x:n v="0.00629506562551919"/>
    <x:x v="155"/>
    <x:x v="4"/>
    <x:n v="0.00674"/>
    <x:n v="16650.805837800002"/>
    <x:n v="-1099.1863323505895"/>
    <x:n v="-0.06601400214848822"/>
  </x:r>
  <x:r>
    <x:s v="INV-00158"/>
    <x:x v="2"/>
    <x:s v="SUP10"/>
    <x:x v="1"/>
    <x:s v="Services"/>
    <x:d v="2025-07-12T00:00:00Z"/>
    <x:n v="45895"/>
    <x:x v="2"/>
    <x:n v="13119.31"/>
    <x:s v="Historical"/>
    <x:s v="SUP10-INV-00158"/>
    <x:n v="45"/>
    <x:s v="Bristol Calibration Services"/>
    <x:n v="1.1611"/>
    <x:n v="1.3372106414833584"/>
    <x:n v="0.006545095828635851"/>
    <x:n v="1.3372106414833584"/>
    <x:x v="156"/>
    <x:x v="1"/>
    <x:n v="1.282"/>
    <x:n v="16818.95542"/>
    <x:n v="724.3255209190393"/>
    <x:n v="0.043066022997939504"/>
  </x:r>
  <x:r>
    <x:s v="INV-00159"/>
    <x:x v="17"/>
    <x:s v="SUP06"/>
    <x:x v="2"/>
    <x:s v="Software"/>
    <x:d v="2026-07-07T00:00:00Z"/>
    <x:n v="46240"/>
    <x:x v="0"/>
    <x:n v="9227.03"/>
    <x:s v="Historical"/>
    <x:s v="SUP06-INV-00159"/>
    <x:n v="30"/>
    <x:s v="Dublin Systems Licensing"/>
    <x:n v="1.1433"/>
    <x:n v="1.3385863647539544"/>
    <x:n v="0.006176994975417364"/>
    <x:n v="1.1433"/>
    <x:x v="157"/>
    <x:x v="4"/>
    <x:n v="1.101"/>
    <x:n v="10158.96003"/>
    <x:n v="390.3033690000011"/>
    <x:n v="0.038419618528610464"/>
  </x:r>
  <x:r>
    <x:s v="INV-00160"/>
    <x:x v="9"/>
    <x:s v="SUP05"/>
    <x:x v="0"/>
    <x:s v="Components"/>
    <x:d v="2025-05-07T00:00:00Z"/>
    <x:n v="45829"/>
    <x:x v="0"/>
    <x:n v="26897.79"/>
    <x:s v="Historical"/>
    <x:s v="SUP05-INV-00160"/>
    <x:n v="45"/>
    <x:s v="Lyon Industrial Controls"/>
    <x:n v="1.136"/>
    <x:n v="1.33474327341088"/>
    <x:n v="0.006974031555037142"/>
    <x:n v="1.136"/>
    <x:x v="158"/>
    <x:x v="5"/>
    <x:n v="1.07"/>
    <x:n v="28780.6353"/>
    <x:n v="1775.2541399999973"/>
    <x:n v="0.061682242990654106"/>
  </x:r>
  <x:r>
    <x:s v="INV-00161"/>
    <x:x v="16"/>
    <x:s v="SUP12"/>
    <x:x v="0"/>
    <x:s v="Components"/>
    <x:d v="2026-05-14T00:00:00Z"/>
    <x:n v="46216"/>
    <x:x v="2"/>
    <x:n v="27303.84"/>
    <x:s v="Historical"/>
    <x:s v="SUP12-INV-00161"/>
    <x:n v="60"/>
    <x:s v="Oxford Technical Materials"/>
    <x:n v="1.1702"/>
    <x:n v="1.3509894017409776"/>
    <x:n v="0.006331223286263052"/>
    <x:n v="1.3509894017409776"/>
    <x:x v="159"/>
    <x:x v="0"/>
    <x:n v="1.271"/>
    <x:n v="34703.18064"/>
    <x:n v="2184.0178268313757"/>
    <x:n v="0.06293422638943956"/>
  </x:r>
  <x:r>
    <x:s v="INV-00162"/>
    <x:x v="17"/>
    <x:s v="SUP06"/>
    <x:x v="2"/>
    <x:s v="Software"/>
    <x:d v="2026-07-03T00:00:00Z"/>
    <x:n v="46236"/>
    <x:x v="0"/>
    <x:n v="3485.19"/>
    <x:s v="Historical"/>
    <x:s v="SUP06-INV-00162"/>
    <x:n v="30"/>
    <x:s v="Dublin Systems Licensing"/>
    <x:n v="1.1448"/>
    <x:n v="1.3355109659356044"/>
    <x:n v="0.006205550737207286"/>
    <x:n v="1.1448"/>
    <x:x v="160"/>
    <x:x v="4"/>
    <x:n v="1.101"/>
    <x:n v="3837.19419"/>
    <x:n v="152.65132200000016"/>
    <x:n v="0.03978201634877388"/>
  </x:r>
  <x:r>
    <x:s v="INV-00163"/>
    <x:x v="0"/>
    <x:s v="SUP01"/>
    <x:x v="0"/>
    <x:s v="Components"/>
    <x:d v="2026-01-06T00:00:00Z"/>
    <x:n v="46058"/>
    <x:x v="0"/>
    <x:n v="23671.44"/>
    <x:s v="Historical"/>
    <x:s v="SUP01-INV-00163"/>
    <x:n v="30"/>
    <x:s v="Rhein Circuit Components"/>
    <x:n v="1.1707"/>
    <x:n v="1.3513794297587443"/>
    <x:n v="0.006392377416184341"/>
    <x:n v="1.1707"/>
    <x:x v="161"/>
    <x:x v="6"/>
    <x:n v="1.065"/>
    <x:n v="25210.083599999998"/>
    <x:n v="2502.071208000001"/>
    <x:n v="0.09924882629107987"/>
  </x:r>
  <x:r>
    <x:s v="INV-00164"/>
    <x:x v="8"/>
    <x:s v="SUP13"/>
    <x:x v="0"/>
    <x:s v="Components"/>
    <x:d v="2025-12-28T00:00:00Z"/>
    <x:n v="46064"/>
    <x:x v="1"/>
    <x:n v="2649314.91"/>
    <x:s v="Historical"/>
    <x:s v="SUP13-INV-00164"/>
    <x:n v="45"/>
    <x:s v="Osaka Microdevices"/>
    <x:n v="1.1555"/>
    <x:n v="1.3367963164349013"/>
    <x:n v="0.006298375667720483"/>
    <x:n v="0.006298375667720483"/>
    <x:x v="162"/>
    <x:x v="7"/>
    <x:n v="0.00698"/>
    <x:n v="18492.2180718"/>
    <x:n v="-1805.8375065269174"/>
    <x:n v="-0.09765391579935766"/>
  </x:r>
  <x:r>
    <x:s v="INV-00165"/>
    <x:x v="7"/>
    <x:s v="SUP03"/>
    <x:x v="0"/>
    <x:s v="Components"/>
    <x:d v="2025-05-08T00:00:00Z"/>
    <x:n v="45815"/>
    <x:x v="0"/>
    <x:n v="3718.98"/>
    <x:s v="Historical"/>
    <x:s v="SUP03-INV-00165"/>
    <x:n v="30"/>
    <x:s v="Benelux Sensor Works"/>
    <x:n v="1.1297"/>
    <x:n v="1.3328220858895705"/>
    <x:n v="0.006911593759559498"/>
    <x:n v="1.1297"/>
    <x:x v="163"/>
    <x:x v="5"/>
    <x:n v="1.07"/>
    <x:n v="3979.3086000000003"/>
    <x:n v="222.02310599999964"/>
    <x:n v="0.05579439252336439"/>
  </x:r>
  <x:r>
    <x:s v="INV-00166"/>
    <x:x v="6"/>
    <x:s v="SUP16"/>
    <x:x v="0"/>
    <x:s v="Components"/>
    <x:d v="2025-02-01T00:00:00Z"/>
    <x:n v="45719"/>
    <x:x v="1"/>
    <x:n v="4829555.39"/>
    <x:s v="Historical"/>
    <x:s v="SUP16-INV-00166"/>
    <x:n v="30"/>
    <x:s v="Kyoto Optical Instruments"/>
    <x:n v="1.0465"/>
    <x:n v="1.264499758337361"/>
    <x:n v="0.006646132351073288"/>
    <x:n v="0.006646132351073288"/>
    <x:x v="164"/>
    <x:x v="3"/>
    <x:n v="0.00656"/>
    <x:n v="31681.8833584"/>
    <x:n v="415.98096037937285"/>
    <x:n v="0.01312993156605008"/>
  </x:r>
  <x:r>
    <x:s v="INV-00167"/>
    <x:x v="13"/>
    <x:s v="SUP11"/>
    <x:x v="2"/>
    <x:s v="Software"/>
    <x:d v="2026-08-17T00:00:00Z"/>
    <x:n v="46281"/>
    <x:x v="2"/>
    <x:n v="1606.73"/>
    <x:s v="Historical"/>
    <x:s v="SUP11-INV-00167"/>
    <x:n v="30"/>
    <x:s v="Manchester Cloud Solutions"/>
    <x:n v="1.1593"/>
    <x:n v="1.355906432748538"/>
    <x:n v="0.0062804052223847445"/>
    <x:n v="1.355906432748538"/>
    <x:x v="165"/>
    <x:x v="4"/>
    <x:n v="1.293"/>
    <x:n v="2077.50189"/>
    <x:n v="101.07365269005822"/>
    <x:n v="0.0486515334482118"/>
  </x:r>
  <x:r>
    <x:s v="INV-00168"/>
    <x:x v="8"/>
    <x:s v="SUP13"/>
    <x:x v="0"/>
    <x:s v="Components"/>
    <x:d v="2026-09-18T00:00:00Z"/>
    <x:n v="46328"/>
    <x:x v="1"/>
    <x:n v="1406493.3"/>
    <x:s v="Historical"/>
    <x:s v="SUP13-INV-00168"/>
    <x:n v="45"/>
    <x:s v="Osaka Microdevices"/>
    <x:n v="1.146"/>
    <x:n v="1.3344201210992082"/>
    <x:n v="0.006333591245716812"/>
    <x:n v="0.006333591245716812"/>
    <x:x v="166"/>
    <x:x v="4"/>
    <x:n v="0.00674"/>
    <x:n v="9479.764842"/>
    <x:n v="-571.6111899606512"/>
    <x:n v="-0.06029803476011702"/>
  </x:r>
  <x:r>
    <x:s v="INV-00169"/>
    <x:x v="3"/>
    <x:s v="SUP04"/>
    <x:x v="1"/>
    <x:s v="Packaging"/>
    <x:d v="2025-07-14T00:00:00Z"/>
    <x:n v="45882"/>
    <x:x v="0"/>
    <x:n v="5741.86"/>
    <x:s v="Historical"/>
    <x:s v="SUP04-INV-00169"/>
    <x:n v="30"/>
    <x:s v="Nordlicht Packaging"/>
    <x:n v="1.169"/>
    <x:n v="1.348794277143187"/>
    <x:n v="0.006785859406745225"/>
    <x:n v="1.169"/>
    <x:x v="167"/>
    <x:x v="1"/>
    <x:n v="1.088"/>
    <x:n v="6247.14368"/>
    <x:n v="465.09065999999984"/>
    <x:n v="0.07444852941176468"/>
  </x:r>
  <x:r>
    <x:s v="INV-00170"/>
    <x:x v="4"/>
    <x:s v="SUP08"/>
    <x:x v="0"/>
    <x:s v="Components"/>
    <x:d v="2025-06-05T00:00:00Z"/>
    <x:n v="45843"/>
    <x:x v="0"/>
    <x:n v="10845.57"/>
    <x:s v="Historical"/>
    <x:s v="SUP08-INV-00170"/>
    <x:n v="30"/>
    <x:s v="Valencia Circuit Supply"/>
    <x:n v="1.1423"/>
    <x:n v="1.356811972918399"/>
    <x:n v="0.006979714041305146"/>
    <x:n v="1.1423"/>
    <x:x v="168"/>
    <x:x v="5"/>
    <x:n v="1.07"/>
    <x:n v="11604.759900000001"/>
    <x:n v="784.1347110000006"/>
    <x:n v="0.06757009345794397"/>
  </x:r>
  <x:r>
    <x:s v="INV-00171"/>
    <x:x v="6"/>
    <x:s v="SUP16"/>
    <x:x v="0"/>
    <x:s v="Components"/>
    <x:d v="2025-12-22T00:00:00Z"/>
    <x:n v="46043"/>
    <x:x v="1"/>
    <x:n v="1055336.86"/>
    <x:s v="Historical"/>
    <x:s v="SUP16-INV-00171"/>
    <x:n v="30"/>
    <x:s v="Kyoto Optical Instruments"/>
    <x:n v="1.1745"/>
    <x:n v="1.3435140700068635"/>
    <x:n v="0.006356551388212372"/>
    <x:n v="0.006356551388212372"/>
    <x:x v="169"/>
    <x:x v="7"/>
    <x:n v="0.00698"/>
    <x:n v="7366.251282800001"/>
    <x:n v="-657.9483003353143"/>
    <x:n v="-0.08931928535639369"/>
  </x:r>
  <x:r>
    <x:s v="INV-00172"/>
    <x:x v="4"/>
    <x:s v="SUP08"/>
    <x:x v="0"/>
    <x:s v="Components"/>
    <x:d v="2026-01-22T00:00:00Z"/>
    <x:n v="46074"/>
    <x:x v="0"/>
    <x:n v="29267.05"/>
    <x:s v="Historical"/>
    <x:s v="SUP08-INV-00172"/>
    <x:n v="30"/>
    <x:s v="Valencia Circuit Supply"/>
    <x:n v="1.1706"/>
    <x:n v="1.3421233662004128"/>
    <x:n v="0.006297611362169142"/>
    <x:n v="1.1706"/>
    <x:x v="170"/>
    <x:x v="6"/>
    <x:n v="1.065"/>
    <x:n v="31169.408249999997"/>
    <x:n v="3090.6004800000046"/>
    <x:n v="0.09915492957746495"/>
  </x:r>
  <x:r>
    <x:s v="INV-00173"/>
    <x:x v="9"/>
    <x:s v="SUP05"/>
    <x:x v="0"/>
    <x:s v="Components"/>
    <x:d v="2026-05-15T00:00:00Z"/>
    <x:n v="46202"/>
    <x:x v="0"/>
    <x:n v="3256.51"/>
    <x:s v="Historical"/>
    <x:s v="SUP05-INV-00173"/>
    <x:n v="45"/>
    <x:s v="Lyon Industrial Controls"/>
    <x:n v="1.1628"/>
    <x:n v="1.3357840321654222"/>
    <x:n v="0.00630722499457583"/>
    <x:n v="1.1628"/>
    <x:x v="171"/>
    <x:x v="0"/>
    <x:n v="1.083"/>
    <x:n v="3526.80033"/>
    <x:n v="259.8694980000005"/>
    <x:n v="0.07368421052631592"/>
  </x:r>
  <x:r>
    <x:s v="INV-00174"/>
    <x:x v="17"/>
    <x:s v="SUP06"/>
    <x:x v="2"/>
    <x:s v="Software"/>
    <x:d v="2026-08-18T00:00:00Z"/>
    <x:n v="46282"/>
    <x:x v="0"/>
    <x:n v="1096.93"/>
    <x:s v="Historical"/>
    <x:s v="SUP06-INV-00174"/>
    <x:n v="30"/>
    <x:s v="Dublin Systems Licensing"/>
    <x:n v="1.1576"/>
    <x:n v="1.3525734649763392"/>
    <x:n v="0.0062616974089901006"/>
    <x:n v="1.1576"/>
    <x:x v="172"/>
    <x:x v="4"/>
    <x:n v="1.101"/>
    <x:n v="1207.71993"/>
    <x:n v="62.086238000000094"/>
    <x:n v="0.05140781108083568"/>
  </x:r>
  <x:r>
    <x:s v="INV-00175"/>
    <x:x v="6"/>
    <x:s v="SUP16"/>
    <x:x v="0"/>
    <x:s v="Components"/>
    <x:d v="2025-06-12T00:00:00Z"/>
    <x:n v="45850"/>
    <x:x v="1"/>
    <x:n v="1453590.99"/>
    <x:s v="Historical"/>
    <x:s v="SUP16-INV-00175"/>
    <x:n v="30"/>
    <x:s v="Kyoto Optical Instruments"/>
    <x:n v="1.1594"/>
    <x:n v="1.357929257437339"/>
    <x:n v="0.006957513202112338"/>
    <x:n v="0.006957513202112338"/>
    <x:x v="173"/>
    <x:x v="5"/>
    <x:n v="0.0067"/>
    <x:n v="9739.059633"/>
    <x:n v="374.3188703965425"/>
    <x:n v="0.03843480628542348"/>
  </x:r>
  <x:r>
    <x:s v="INV-00176"/>
    <x:x v="7"/>
    <x:s v="SUP03"/>
    <x:x v="0"/>
    <x:s v="Components"/>
    <x:d v="2026-05-21T00:00:00Z"/>
    <x:n v="46193"/>
    <x:x v="0"/>
    <x:n v="8185.07"/>
    <x:s v="Historical"/>
    <x:s v="SUP03-INV-00176"/>
    <x:n v="30"/>
    <x:s v="Benelux Sensor Works"/>
    <x:n v="1.1599"/>
    <x:n v="1.3419642960443348"/>
    <x:n v="0.006283655669321198"/>
    <x:n v="1.1599"/>
    <x:x v="174"/>
    <x:x v="0"/>
    <x:n v="1.083"/>
    <x:n v="8864.43081"/>
    <x:n v="629.4318829999993"/>
    <x:n v="0.07100646352723908"/>
  </x:r>
  <x:r>
    <x:s v="INV-00177"/>
    <x:x v="1"/>
    <x:s v="SUP15"/>
    <x:x v="1"/>
    <x:s v="Freight"/>
    <x:d v="2026-10-20T00:00:00Z"/>
    <x:n v="46345"/>
    <x:x v="1"/>
    <x:n v="2161423.46"/>
    <x:s v="Planned"/>
    <x:s v="SUP15-INV-00177"/>
    <x:n v="30"/>
    <x:s v="Nagoya Logistics Partners"/>
    <x:n v="1.1177"/>
    <x:n v="1.320456022210408"/>
    <x:n v="0.00632004523607577"/>
    <x:n v="0.00632004523607577"/>
    <x:x v="175"/>
    <x:x v="2"/>
    <x:n v="0.00688"/>
    <x:n v="14870.5934048"/>
    <x:n v="-1210.2993632845937"/>
    <x:n v="-0.08138877382619632"/>
  </x:r>
  <x:r>
    <x:s v="INV-00178"/>
    <x:x v="6"/>
    <x:s v="SUP16"/>
    <x:x v="0"/>
    <x:s v="Components"/>
    <x:d v="2025-02-23T00:00:00Z"/>
    <x:n v="45741"/>
    <x:x v="1"/>
    <x:n v="3195095.69"/>
    <x:s v="Historical"/>
    <x:s v="SUP16-INV-00178"/>
    <x:n v="30"/>
    <x:s v="Kyoto Optical Instruments"/>
    <x:n v="1.0825"/>
    <x:n v="1.2953987913600191"/>
    <x:n v="0.006668925579103007"/>
    <x:n v="0.006668925579103007"/>
    <x:x v="176"/>
    <x:x v="3"/>
    <x:n v="0.00656"/>
    <x:n v="20959.8277264"/>
    <x:n v="348.0276483227717"/>
    <x:n v="0.016604509009604727"/>
  </x:r>
  <x:r>
    <x:s v="INV-00179"/>
    <x:x v="10"/>
    <x:s v="SUP02"/>
    <x:x v="0"/>
    <x:s v="Equipment"/>
    <x:d v="2026-07-22T00:00:00Z"/>
    <x:n v="46270"/>
    <x:x v="0"/>
    <x:n v="27683.27"/>
    <x:s v="Historical"/>
    <x:s v="SUP02-INV-00179"/>
    <x:n v="45"/>
    <x:s v="Alpen Precision Systems"/>
    <x:n v="1.1408"/>
    <x:n v="1.336770564799625"/>
    <x:n v="0.006132344245551793"/>
    <x:n v="1.1408"/>
    <x:x v="177"/>
    <x:x v="4"/>
    <x:n v="1.101"/>
    <x:n v="30479.28027"/>
    <x:n v="1101.7941460000038"/>
    <x:n v="0.036148955495004666"/>
  </x:r>
  <x:r>
    <x:s v="INV-00180"/>
    <x:x v="16"/>
    <x:s v="SUP12"/>
    <x:x v="0"/>
    <x:s v="Components"/>
    <x:d v="2026-04-28T00:00:00Z"/>
    <x:n v="46200"/>
    <x:x v="2"/>
    <x:n v="2365.29"/>
    <x:s v="Historical"/>
    <x:s v="SUP12-INV-00180"/>
    <x:n v="60"/>
    <x:s v="Oxford Technical Materials"/>
    <x:n v="1.168"/>
    <x:n v="1.3469411289857578"/>
    <x:n v="0.006260049308607567"/>
    <x:n v="1.3469411289857578"/>
    <x:x v="178"/>
    <x:x v="0"/>
    <x:n v="1.271"/>
    <x:n v="3006.2835899999995"/>
    <x:n v="179.62279297872328"/>
    <x:n v="0.05974911800610378"/>
  </x:r>
  <x:r>
    <x:s v="INV-00181"/>
    <x:x v="1"/>
    <x:s v="SUP15"/>
    <x:x v="1"/>
    <x:s v="Freight"/>
    <x:d v="2025-06-01T00:00:00Z"/>
    <x:n v="45839"/>
    <x:x v="1"/>
    <x:n v="1834402.22"/>
    <x:s v="Historical"/>
    <x:s v="SUP15-INV-00181"/>
    <x:n v="30"/>
    <x:s v="Nagoya Logistics Partners"/>
    <x:n v="1.1711"/>
    <x:n v="1.3568532035685321"/>
    <x:n v="0.006790166405751725"/>
    <x:n v="0.006790166405751725"/>
    <x:x v="179"/>
    <x:x v="5"/>
    <x:n v="0.0067"/>
    <x:n v="12290.494874"/>
    <x:n v="165.40145488038434"/>
    <x:n v="0.0134576725002574"/>
  </x:r>
  <x:r>
    <x:s v="INV-00182"/>
    <x:x v="0"/>
    <x:s v="SUP01"/>
    <x:x v="0"/>
    <x:s v="Components"/>
    <x:d v="2025-08-15T00:00:00Z"/>
    <x:n v="45914"/>
    <x:x v="0"/>
    <x:n v="20551.94"/>
    <x:s v="Historical"/>
    <x:s v="SUP01-INV-00182"/>
    <x:n v="30"/>
    <x:s v="Rhein Circuit Components"/>
    <x:n v="1.1688"/>
    <x:n v="1.3556019485038275"/>
    <x:n v="0.006802863628426751"/>
    <x:n v="1.1688"/>
    <x:x v="180"/>
    <x:x v="1"/>
    <x:n v="1.088"/>
    <x:n v="22360.51072"/>
    <x:n v="1660.5967520000013"/>
    <x:n v="0.07426470588235301"/>
  </x:r>
  <x:r>
    <x:s v="INV-00183"/>
    <x:x v="13"/>
    <x:s v="SUP11"/>
    <x:x v="2"/>
    <x:s v="Software"/>
    <x:d v="2025-09-30T00:00:00Z"/>
    <x:n v="45960"/>
    <x:x v="2"/>
    <x:n v="4803.07"/>
    <x:s v="Historical"/>
    <x:s v="SUP11-INV-00183"/>
    <x:n v="30"/>
    <x:s v="Manchester Cloud Solutions"/>
    <x:n v="1.1741"/>
    <x:n v="1.344286695672086"/>
    <x:n v="0.006757021178637201"/>
    <x:n v="1.344286695672086"/>
    <x:x v="181"/>
    <x:x v="1"/>
    <x:n v="1.282"/>
    <x:n v="6157.535739999999"/>
    <x:n v="299.1673593817268"/>
    <x:n v="0.04858556604686907"/>
  </x:r>
  <x:r>
    <x:s v="INV-00184"/>
    <x:x v="15"/>
    <x:s v="SUP18"/>
    <x:x v="1"/>
    <x:s v="Services"/>
    <x:d v="2026-07-24T00:00:00Z"/>
    <x:n v="46257"/>
    <x:x v="1"/>
    <x:n v="1494290.56"/>
    <x:s v="Historical"/>
    <x:s v="SUP18-INV-00184"/>
    <x:n v="30"/>
    <x:s v="Yokohama Engineering Labs"/>
    <x:n v="1.1377"/>
    <x:n v="1.3323886260364455"/>
    <x:n v="0.006104195729155488"/>
    <x:n v="0.006104195729155488"/>
    <x:x v="182"/>
    <x:x v="4"/>
    <x:n v="0.00674"/>
    <x:n v="10071.5183744"/>
    <x:n v="-950.0763199306366"/>
    <x:n v="-0.09433297787010554"/>
  </x:r>
  <x:r>
    <x:s v="INV-00185"/>
    <x:x v="8"/>
    <x:s v="SUP13"/>
    <x:x v="0"/>
    <x:s v="Components"/>
    <x:d v="2025-12-13T00:00:00Z"/>
    <x:n v="46049"/>
    <x:x v="1"/>
    <x:n v="2020818.06"/>
    <x:s v="Historical"/>
    <x:s v="SUP13-INV-00185"/>
    <x:n v="45"/>
    <x:s v="Osaka Microdevices"/>
    <x:n v="1.1555"/>
    <x:n v="1.3367963164349013"/>
    <x:n v="0.006298375667720483"/>
    <x:n v="0.006298375667720483"/>
    <x:x v="183"/>
    <x:x v="7"/>
    <x:n v="0.00698"/>
    <x:n v="14105.3100588"/>
    <x:n v="-1377.4387608058878"/>
    <x:n v="-0.09765391579935766"/>
  </x:r>
  <x:r>
    <x:s v="INV-00186"/>
    <x:x v="12"/>
    <x:s v="SUP17"/>
    <x:x v="1"/>
    <x:s v="Packaging"/>
    <x:d v="2026-08-24T00:00:00Z"/>
    <x:n v="46303"/>
    <x:x v="1"/>
    <x:n v="1028798.79"/>
    <x:s v="Historical"/>
    <x:s v="SUP17-INV-00186"/>
    <x:n v="45"/>
    <x:s v="Kobe Industrial Packaging"/>
    <x:n v="1.1664"/>
    <x:n v="1.3634132086499124"/>
    <x:n v="0.006284482758620691"/>
    <x:n v="0.006284482758620691"/>
    <x:x v="184"/>
    <x:x v="4"/>
    <x:n v="0.00674"/>
    <x:n v="6934.1038446"/>
    <x:n v="-468.63558675517106"/>
    <x:n v="-0.06758416044203398"/>
  </x:r>
  <x:r>
    <x:s v="INV-00187"/>
    <x:x v="10"/>
    <x:s v="SUP02"/>
    <x:x v="0"/>
    <x:s v="Equipment"/>
    <x:d v="2026-06-01T00:00:00Z"/>
    <x:n v="46219"/>
    <x:x v="0"/>
    <x:n v="33328.5"/>
    <x:s v="Historical"/>
    <x:s v="SUP02-INV-00187"/>
    <x:n v="45"/>
    <x:s v="Alpen Precision Systems"/>
    <x:n v="1.1646"/>
    <x:n v="1.3464673441781416"/>
    <x:n v="0.006270054915473242"/>
    <x:n v="1.1646"/>
    <x:x v="185"/>
    <x:x v="0"/>
    <x:n v="1.083"/>
    <x:n v="36094.7655"/>
    <x:n v="2719.6056000000026"/>
    <x:n v="0.0753462603878117"/>
  </x:r>
  <x:r>
    <x:s v="INV-00188"/>
    <x:x v="7"/>
    <x:s v="SUP03"/>
    <x:x v="0"/>
    <x:s v="Components"/>
    <x:d v="2026-06-28T00:00:00Z"/>
    <x:n v="46231"/>
    <x:x v="0"/>
    <x:n v="20500.9"/>
    <x:s v="Historical"/>
    <x:s v="SUP03-INV-00188"/>
    <x:n v="30"/>
    <x:s v="Benelux Sensor Works"/>
    <x:n v="1.1401"/>
    <x:n v="1.3218090964951943"/>
    <x:n v="0.006186109603906673"/>
    <x:n v="1.1401"/>
    <x:x v="186"/>
    <x:x v="0"/>
    <x:n v="1.083"/>
    <x:n v="22202.474700000002"/>
    <x:n v="1170.6013899999962"/>
    <x:n v="0.05272391505078468"/>
  </x:r>
  <x:r>
    <x:s v="INV-00189"/>
    <x:x v="8"/>
    <x:s v="SUP13"/>
    <x:x v="0"/>
    <x:s v="Components"/>
    <x:d v="2026-08-04T00:00:00Z"/>
    <x:n v="46283"/>
    <x:x v="1"/>
    <x:n v="3850722.83"/>
    <x:s v="Historical"/>
    <x:s v="SUP13-INV-00189"/>
    <x:n v="45"/>
    <x:s v="Osaka Microdevices"/>
    <x:n v="1.1515"/>
    <x:n v="1.3445976716215742"/>
    <x:n v="0.006352752951561293"/>
    <x:n v="0.006352752951561293"/>
    <x:x v="187"/>
    <x:x v="4"/>
    <x:n v="0.00674"/>
    <x:n v="25953.871874200002"/>
    <x:n v="-1491.1810502730477"/>
    <x:n v="-0.05745505169713764"/>
  </x:r>
  <x:r>
    <x:s v="INV-00190"/>
    <x:x v="3"/>
    <x:s v="SUP04"/>
    <x:x v="1"/>
    <x:s v="Packaging"/>
    <x:d v="2026-08-19T00:00:00Z"/>
    <x:n v="46283"/>
    <x:x v="0"/>
    <x:n v="6438.88"/>
    <x:s v="Historical"/>
    <x:s v="SUP04-INV-00190"/>
    <x:n v="30"/>
    <x:s v="Nordlicht Packaging"/>
    <x:n v="1.1605"/>
    <x:n v="1.3555976077002152"/>
    <x:n v="0.006285884519553678"/>
    <x:n v="1.1605"/>
    <x:x v="188"/>
    <x:x v="4"/>
    <x:n v="1.101"/>
    <x:n v="7089.20688"/>
    <x:n v="383.1133600000012"/>
    <x:n v="0.05404178019981852"/>
  </x:r>
  <x:r>
    <x:s v="INV-00190"/>
    <x:x v="10"/>
    <x:s v="SUP02"/>
    <x:x v="0"/>
    <x:s v="Equipment"/>
    <x:d v="2026-01-06T00:00:00Z"/>
    <x:n v="46073"/>
    <x:x v="0"/>
    <x:n v="16852.86"/>
    <x:s v="Historical"/>
    <x:s v="SUP02-INV-00190"/>
    <x:n v="45"/>
    <x:s v="Alpen Precision Systems"/>
    <x:n v="1.1707"/>
    <x:n v="1.3513794297587443"/>
    <x:n v="0.006392377416184341"/>
    <x:n v="1.1707"/>
    <x:x v="189"/>
    <x:x v="6"/>
    <x:n v="1.065"/>
    <x:n v="17948.2959"/>
    <x:n v="1781.347302000002"/>
    <x:n v="0.09924882629107991"/>
  </x:r>
  <x:r>
    <x:s v="INV-00191"/>
    <x:x v="13"/>
    <x:s v="SUP11"/>
    <x:x v="2"/>
    <x:s v="Software"/>
    <x:d v="2025-09-16T00:00:00Z"/>
    <x:n v="45946"/>
    <x:x v="2"/>
    <x:n v="3870.29"/>
    <x:s v="Historical"/>
    <x:s v="SUP11-INV-00191"/>
    <x:n v="30"/>
    <x:s v="Manchester Cloud Solutions"/>
    <x:n v="1.1807"/>
    <x:n v="1.3640249537892792"/>
    <x:n v="0.006803226735811006"/>
    <x:n v="1.3640249537892792"/>
    <x:x v="190"/>
    <x:x v="1"/>
    <x:n v="1.282"/>
    <x:n v="4961.71178"/>
    <x:n v="317.46035840111017"/>
    <x:n v="0.0639820232365674"/>
  </x:r>
  <x:r>
    <x:s v="INV-00192"/>
    <x:x v="0"/>
    <x:s v="SUP01"/>
    <x:x v="0"/>
    <x:s v="Components"/>
    <x:d v="2025-02-19T00:00:00Z"/>
    <x:n v="45737"/>
    <x:x v="0"/>
    <x:n v="23774.24"/>
    <x:s v="Historical"/>
    <x:s v="SUP01-INV-00192"/>
    <x:n v="30"/>
    <x:s v="Rhein Circuit Components"/>
    <x:n v="1.0434"/>
    <x:n v="1.2595668654482244"/>
    <x:n v="0.006586705384761064"/>
    <x:n v="1.0434"/>
    <x:x v="191"/>
    <x:x v="3"/>
    <x:n v="1.052"/>
    <x:n v="25010.500480000002"/>
    <x:n v="-204.45846399999937"/>
    <x:n v="-0.008174904942965753"/>
  </x:r>
  <x:r>
    <x:s v="INV-00193"/>
    <x:x v="12"/>
    <x:s v="SUP17"/>
    <x:x v="1"/>
    <x:s v="Packaging"/>
    <x:d v="2025-07-05T00:00:00Z"/>
    <x:n v="45888"/>
    <x:x v="1"/>
    <x:n v="677996.53"/>
    <x:s v="Historical"/>
    <x:s v="SUP17-INV-00193"/>
    <x:n v="45"/>
    <x:s v="Kobe Industrial Packaging"/>
    <x:n v="1.1741"/>
    <x:n v="1.344286695672086"/>
    <x:n v="0.006757021178637201"/>
    <x:n v="0.006757021178637201"/>
    <x:x v="192"/>
    <x:x v="1"/>
    <x:n v="0.00684"/>
    <x:n v="4637.4962652"/>
    <x:n v="-56.25935294746796"/>
    <x:n v="-0.012131406631988235"/>
  </x:r>
  <x:r>
    <x:s v="INV-00194"/>
    <x:x v="16"/>
    <x:s v="SUP12"/>
    <x:x v="0"/>
    <x:s v="Components"/>
    <x:d v="2025-05-03T00:00:00Z"/>
    <x:n v="45840"/>
    <x:x v="2"/>
    <x:n v="13166.07"/>
    <x:s v="Historical"/>
    <x:s v="SUP12-INV-00194"/>
    <x:n v="60"/>
    <x:s v="Oxford Technical Materials"/>
    <x:n v="1.1782"/>
    <x:n v="1.3653957584888168"/>
    <x:n v="0.006947753272791602"/>
    <x:n v="1.3653957584888168"/>
    <x:x v="193"/>
    <x:x v="5"/>
    <x:n v="1.26"/>
    <x:n v="16589.248199999998"/>
    <x:n v="1387.6479339668585"/>
    <x:n v="0.08364742737207698"/>
  </x:r>
  <x:r>
    <x:s v="INV-00195"/>
    <x:x v="0"/>
    <x:s v="SUP01"/>
    <x:x v="0"/>
    <x:s v="Components"/>
    <x:d v="2025-01-09T00:00:00Z"/>
    <x:n v="45696"/>
    <x:x v="0"/>
    <x:n v="24837.32"/>
    <x:s v="Historical"/>
    <x:s v="SUP01-INV-00195"/>
    <x:n v="30"/>
    <x:s v="Rhein Circuit Components"/>
    <x:n v="1.0305"/>
    <x:n v="1.2295962199312713"/>
    <x:n v="0.006339197834645669"/>
    <x:n v="1.0305"/>
    <x:x v="194"/>
    <x:x v="3"/>
    <x:n v="1.052"/>
    <x:n v="26128.860640000003"/>
    <x:n v="-534.0023800000054"/>
    <x:n v="-0.02043726235741465"/>
  </x:r>
  <x:r>
    <x:s v="INV-00196"/>
    <x:x v="7"/>
    <x:s v="SUP03"/>
    <x:x v="0"/>
    <x:s v="Components"/>
    <x:d v="2026-01-28T00:00:00Z"/>
    <x:n v="46080"/>
    <x:x v="0"/>
    <x:n v="11789.89"/>
    <x:s v="Historical"/>
    <x:s v="SUP03-INV-00196"/>
    <x:n v="30"/>
    <x:s v="Benelux Sensor Works"/>
    <x:n v="1.1974"/>
    <x:n v="1.378698906160046"/>
    <x:n v="0.006551761873495295"/>
    <x:n v="1.1974"/>
    <x:x v="195"/>
    <x:x v="6"/>
    <x:n v="1.065"/>
    <x:n v="12556.232849999999"/>
    <x:n v="1560.9814360000018"/>
    <x:n v="0.12431924882629124"/>
  </x:r>
  <x:r>
    <x:s v="INV-00197"/>
    <x:x v="16"/>
    <x:s v="SUP12"/>
    <x:x v="0"/>
    <x:s v="Components"/>
    <x:d v="2026-05-27T00:00:00Z"/>
    <x:n v="46229"/>
    <x:x v="2"/>
    <x:n v="10731.89"/>
    <x:s v="Historical"/>
    <x:s v="SUP12-INV-00197"/>
    <x:n v="60"/>
    <x:s v="Oxford Technical Materials"/>
    <x:n v="1.1637"/>
    <x:n v="1.3434851878362466"/>
    <x:n v="0.0062726390685640355"/>
    <x:n v="1.3434851878362466"/>
    <x:x v="196"/>
    <x:x v="0"/>
    <x:n v="1.271"/>
    <x:n v="13640.232189999999"/>
    <x:n v="777.903062487936"/>
    <x:n v="0.057030045504521294"/>
  </x:r>
  <x:r>
    <x:s v="INV-00198"/>
    <x:x v="7"/>
    <x:s v="SUP03"/>
    <x:x v="0"/>
    <x:s v="Components"/>
    <x:d v="2025-11-22T00:00:00Z"/>
    <x:n v="46013"/>
    <x:x v="0"/>
    <x:n v="9337.57"/>
    <x:s v="Historical"/>
    <x:s v="SUP03-INV-00198"/>
    <x:n v="30"/>
    <x:s v="Benelux Sensor Works"/>
    <x:n v="1.1555"/>
    <x:n v="1.3367963164349013"/>
    <x:n v="0.006298375667720483"/>
    <x:n v="1.1555"/>
    <x:x v="197"/>
    <x:x v="7"/>
    <x:n v="1.106"/>
    <x:n v="10327.352420000001"/>
    <x:n v="462.20971499999905"/>
    <x:n v="0.04475587703435795"/>
  </x:r>
  <x:r>
    <x:s v="INV-00199"/>
    <x:x v="14"/>
    <x:s v="SUP07"/>
    <x:x v="0"/>
    <x:s v="Equipment"/>
    <x:d v="2026-01-25T00:00:00Z"/>
    <x:n v="46107"/>
    <x:x v="0"/>
    <x:n v="73927.63"/>
    <x:s v="Historical"/>
    <x:s v="SUP07-INV-00199"/>
    <x:n v="60"/>
    <x:s v="Milan Assembly Robotics"/>
    <x:n v="1.1555"/>
    <x:n v="1.3367963164349013"/>
    <x:n v="0.006298375667720483"/>
    <x:n v="1.1555"/>
    <x:x v="198"/>
    <x:x v="6"/>
    <x:n v="1.065"/>
    <x:n v="78732.92595"/>
    <x:n v="6690.450515000004"/>
    <x:n v="0.08497652582159629"/>
  </x:r>
  <x:r>
    <x:s v="INV-00200"/>
    <x:x v="1"/>
    <x:s v="SUP15"/>
    <x:x v="1"/>
    <x:s v="Freight"/>
    <x:d v="2025-02-19T00:00:00Z"/>
    <x:n v="45737"/>
    <x:x v="1"/>
    <x:n v="1824977.12"/>
    <x:s v="Historical"/>
    <x:s v="SUP15-INV-00200"/>
    <x:n v="30"/>
    <x:s v="Nagoya Logistics Partners"/>
    <x:n v="1.0434"/>
    <x:n v="1.2595668654482244"/>
    <x:n v="0.006586705384761064"/>
    <x:n v="0.006586705384761064"/>
    <x:x v="199"/>
    <x:x v="3"/>
    <x:n v="0.00656"/>
    <x:n v="11971.849907200001"/>
    <x:n v="48.73671616973843"/>
    <x:n v="0.0040709427989426795"/>
  </x:r>
  <x:r>
    <x:s v="INV-00201"/>
    <x:x v="10"/>
    <x:s v="SUP02"/>
    <x:x v="0"/>
    <x:s v="Equipment"/>
    <x:d v="2026-10-28T00:00:00Z"/>
    <x:n v="46368"/>
    <x:x v="0"/>
    <x:n v="48769.97"/>
    <x:s v="Planned"/>
    <x:s v="SUP02-INV-00201"/>
    <x:n v="45"/>
    <x:s v="Alpen Precision Systems"/>
    <x:n v="1.1177"/>
    <x:n v="1.320456022210408"/>
    <x:n v="0.00632004523607577"/>
    <x:n v="1.1177"/>
    <x:x v="200"/>
    <x:x v="2"/>
    <x:n v="1.119"/>
    <x:n v="54573.59643"/>
    <x:n v="-63.40096099999937"/>
    <x:n v="-0.0011617515638963245"/>
  </x:r>
  <x:r>
    <x:s v="INV-00202"/>
    <x:x v="7"/>
    <x:s v="SUP03"/>
    <x:x v="0"/>
    <x:s v="Components"/>
    <x:d v="2025-10-30T00:00:00Z"/>
    <x:n v="45990"/>
    <x:x v="0"/>
    <x:n v="8451.63"/>
    <x:s v="Historical"/>
    <x:s v="SUP03-INV-00202"/>
    <x:n v="30"/>
    <x:s v="Benelux Sensor Works"/>
    <x:n v="1.155"/>
    <x:n v="1.312350869219407"/>
    <x:n v="0.006475304143073387"/>
    <x:n v="1.155"/>
    <x:x v="201"/>
    <x:x v="7"/>
    <x:n v="1.106"/>
    <x:n v="9347.50278"/>
    <x:n v="414.12986999999885"/>
    <x:n v="0.044303797468354306"/>
  </x:r>
  <x:r>
    <x:s v="INV-00203"/>
    <x:x v="11"/>
    <x:s v="SUP14"/>
    <x:x v="0"/>
    <x:s v="Equipment"/>
    <x:d v="2025-05-14T00:00:00Z"/>
    <x:n v="45851"/>
    <x:x v="1"/>
    <x:n v="8474925.34"/>
    <x:s v="Historical"/>
    <x:s v="SUP14-INV-00203"/>
    <x:n v="60"/>
    <x:s v="Tokyo Automation Systems"/>
    <x:n v="1.1214"/>
    <x:n v="1.3326203208556149"/>
    <x:n v="0.006837387964148528"/>
    <x:n v="0.006837387964148528"/>
    <x:x v="202"/>
    <x:x v="5"/>
    <x:n v="0.0067"/>
    <x:n v="56781.999778"/>
    <x:n v="1164.3527387733702"/>
    <x:n v="0.020505666290825054"/>
  </x:r>
  <x:r>
    <x:s v="INV-00204"/>
    <x:x v="1"/>
    <x:s v="SUP15"/>
    <x:x v="1"/>
    <x:s v="Freight"/>
    <x:d v="2026-07-15T00:00:00Z"/>
    <x:n v="46248"/>
    <x:x v="1"/>
    <x:n v="1818382.37"/>
    <x:s v="Historical"/>
    <x:s v="SUP15-INV-00204"/>
    <x:n v="30"/>
    <x:s v="Nagoya Logistics Partners"/>
    <x:n v="1.1406"/>
    <x:n v="1.3404157803814651"/>
    <x:n v="0.00615808228053126"/>
    <x:n v="0.00615808228053126"/>
    <x:x v="203"/>
    <x:x v="4"/>
    <x:n v="0.00674"/>
    <x:n v="12255.897173800002"/>
    <x:n v="-1058.1489218725637"/>
    <x:n v="-0.08633794057399712"/>
  </x:r>
  <x:r>
    <x:s v="INV-00205"/>
    <x:x v="13"/>
    <x:s v="SUP11"/>
    <x:x v="2"/>
    <x:s v="Software"/>
    <x:d v="2025-11-12T00:00:00Z"/>
    <x:n v="46003"/>
    <x:x v="2"/>
    <x:n v="2391.33"/>
    <x:s v="Historical"/>
    <x:s v="SUP11-INV-00205"/>
    <x:n v="30"/>
    <x:s v="Manchester Cloud Solutions"/>
    <x:n v="1.1576"/>
    <x:n v="1.312025388189958"/>
    <x:n v="0.006460181929795189"/>
    <x:n v="1.312025388189958"/>
    <x:x v="204"/>
    <x:x v="7"/>
    <x:n v="1.304"/>
    <x:n v="3118.29432"/>
    <x:n v="19.19135154029209"/>
    <x:n v="0.006154438795980005"/>
  </x:r>
  <x:r>
    <x:s v="INV-00206"/>
    <x:x v="16"/>
    <x:s v="SUP12"/>
    <x:x v="0"/>
    <x:s v="Components"/>
    <x:d v="2025-06-07T00:00:00Z"/>
    <x:n v="45875"/>
    <x:x v="2"/>
    <x:n v="9039.24"/>
    <x:s v="Historical"/>
    <x:s v="SUP12-INV-00206"/>
    <x:n v="60"/>
    <x:s v="Oxford Technical Materials"/>
    <x:n v="1.1639"/>
    <x:n v="1.3449272012941993"/>
    <x:n v="0.006763321517810447"/>
    <x:n v="1.3449272012941993"/>
    <x:x v="205"/>
    <x:x v="5"/>
    <x:n v="1.26"/>
    <x:n v="11389.4424"/>
    <x:n v="767.6773550265771"/>
    <x:n v="0.0674025407096819"/>
  </x:r>
  <x:r>
    <x:s v="INV-00207"/>
    <x:x v="7"/>
    <x:s v="SUP03"/>
    <x:x v="0"/>
    <x:s v="Components"/>
    <x:d v="2025-02-05T00:00:00Z"/>
    <x:n v="45723"/>
    <x:x v="0"/>
    <x:n v="17678.93"/>
    <x:s v="Historical"/>
    <x:s v="SUP03-INV-00207"/>
    <x:n v="30"/>
    <x:s v="Benelux Sensor Works"/>
    <x:n v="1.0422"/>
    <x:n v="1.2543780465788048"/>
    <x:n v="0.006544427001569859"/>
    <x:n v="1.0422"/>
    <x:x v="206"/>
    <x:x v="3"/>
    <x:n v="1.052"/>
    <x:n v="18598.234360000002"/>
    <x:n v="-173.253514"/>
    <x:n v="-0.009315589353612166"/>
  </x:r>
  <x:r>
    <x:s v="INV-00208"/>
    <x:x v="8"/>
    <x:s v="SUP13"/>
    <x:x v="0"/>
    <x:s v="Components"/>
    <x:d v="2026-08-10T00:00:00Z"/>
    <x:n v="46289"/>
    <x:x v="1"/>
    <x:n v="2136672.86"/>
    <x:s v="Historical"/>
    <x:s v="SUP13-INV-00208"/>
    <x:n v="45"/>
    <x:s v="Osaka Microdevices"/>
    <x:n v="1.1555"/>
    <x:n v="1.350435341553205"/>
    <x:n v="0.0063035295401232885"/>
    <x:n v="0.0063035295401232885"/>
    <x:x v="207"/>
    <x:x v="4"/>
    <x:n v="0.00674"/>
    <x:n v="14401.175076399999"/>
    <x:n v="-932.5945858102878"/>
    <x:n v="-0.06475822846835479"/>
  </x:r>
  <x:r>
    <x:s v="INV-00209"/>
    <x:x v="5"/>
    <x:s v="SUP09"/>
    <x:x v="0"/>
    <x:s v="Components"/>
    <x:d v="2026-11-11T00:00:00Z"/>
    <x:n v="46367"/>
    <x:x v="2"/>
    <x:n v="27932.39"/>
    <x:s v="Planned"/>
    <x:s v="SUP09-INV-00209"/>
    <x:n v="30"/>
    <x:s v="Thames Electronics Ltd"/>
    <x:n v="1.1177"/>
    <x:n v="1.320456022210408"/>
    <x:n v="0.00632004523607577"/>
    <x:n v="1.320456022210408"/>
    <x:x v="208"/>
    <x:x v="2"/>
    <x:n v="1.315"/>
    <x:n v="36731.09285"/>
    <x:n v="152.3997402297755"/>
    <x:n v="0.004149066319701824"/>
  </x:r>
  <x:r>
    <x:s v="INV-00210"/>
    <x:x v="7"/>
    <x:s v="SUP03"/>
    <x:x v="0"/>
    <x:s v="Components"/>
    <x:d v="2025-04-03T00:00:00Z"/>
    <x:n v="45780"/>
    <x:x v="0"/>
    <x:n v="13265.77"/>
    <x:s v="Historical"/>
    <x:s v="SUP03-INV-00210"/>
    <x:n v="30"/>
    <x:s v="Benelux Sensor Works"/>
    <x:n v="1.1097"/>
    <x:n v="1.3185128857098725"/>
    <x:n v="0.006842819263735586"/>
    <x:n v="1.1097"/>
    <x:x v="209"/>
    <x:x v="5"/>
    <x:n v="1.07"/>
    <x:n v="14194.3739"/>
    <x:n v="526.6510689999996"/>
    <x:n v="0.03710280373831772"/>
  </x:r>
  <x:r>
    <x:s v="INV-00211"/>
    <x:x v="2"/>
    <x:s v="SUP10"/>
    <x:x v="1"/>
    <x:s v="Services"/>
    <x:d v="2026-08-03T00:00:00Z"/>
    <x:n v="46282"/>
    <x:x v="2"/>
    <x:n v="13333.54"/>
    <x:s v="Historical"/>
    <x:s v="SUP10-INV-00211"/>
    <x:n v="45"/>
    <x:s v="Bristol Calibration Services"/>
    <x:n v="1.1535"/>
    <x:n v="1.3470274310137447"/>
    <x:n v="0.006382448957007692"/>
    <x:n v="1.3470274310137447"/>
    <x:x v="210"/>
    <x:x v="4"/>
    <x:n v="1.293"/>
    <x:n v="17240.26722"/>
    <x:n v="720.3769125190047"/>
    <x:n v="0.041784556081782394"/>
  </x:r>
  <x:r>
    <x:s v="INV-00212"/>
    <x:x v="4"/>
    <x:s v="SUP08"/>
    <x:x v="0"/>
    <x:s v="Components"/>
    <x:d v="2026-07-16T00:00:00Z"/>
    <x:n v="46249"/>
    <x:x v="0"/>
    <x:n v="7285.15"/>
    <x:s v="Historical"/>
    <x:s v="SUP08-INV-00212"/>
    <x:n v="30"/>
    <x:s v="Valencia Circuit Supply"/>
    <x:n v="1.1467"/>
    <x:n v="1.3510774922531312"/>
    <x:n v="0.006165385235765364"/>
    <x:n v="1.1467"/>
    <x:x v="211"/>
    <x:x v="4"/>
    <x:n v="1.101"/>
    <x:n v="8020.95015"/>
    <x:n v="332.9313549999997"/>
    <x:n v="0.04150772025431423"/>
  </x:r>
  <x:r>
    <x:s v="INV-00213"/>
    <x:x v="3"/>
    <x:s v="SUP04"/>
    <x:x v="1"/>
    <x:s v="Packaging"/>
    <x:d v="2026-11-18T00:00:00Z"/>
    <x:n v="46374"/>
    <x:x v="0"/>
    <x:n v="6166.32"/>
    <x:s v="Planned"/>
    <x:s v="SUP04-INV-00213"/>
    <x:n v="30"/>
    <x:s v="Nordlicht Packaging"/>
    <x:n v="1.1177"/>
    <x:n v="1.320456022210408"/>
    <x:n v="0.00632004523607577"/>
    <x:n v="1.1177"/>
    <x:x v="212"/>
    <x:x v="2"/>
    <x:n v="1.119"/>
    <x:n v="6900.11208"/>
    <x:n v="-8.016216000000895"/>
    <x:n v="-0.0011617515638964657"/>
  </x:r>
  <x:r>
    <x:s v="INV-00214"/>
    <x:x v="9"/>
    <x:s v="SUP05"/>
    <x:x v="0"/>
    <x:s v="Components"/>
    <x:d v="2026-12-06T00:00:00Z"/>
    <x:n v="46407"/>
    <x:x v="0"/>
    <x:n v="9715.17"/>
    <x:s v="Planned"/>
    <x:s v="SUP05-INV-00214"/>
    <x:n v="45"/>
    <x:s v="Lyon Industrial Controls"/>
    <x:n v="1.1177"/>
    <x:n v="1.320456022210408"/>
    <x:n v="0.00632004523607577"/>
    <x:n v="1.1177"/>
    <x:x v="213"/>
    <x:x v="2"/>
    <x:n v="1.119"/>
    <x:n v="10871.27523"/>
    <x:n v="-12.629720999999336"/>
    <x:n v="-0.0011617515638962749"/>
  </x:r>
  <x:r>
    <x:s v="INV-00216"/>
    <x:x v="6"/>
    <x:s v="SUP16"/>
    <x:x v="0"/>
    <x:s v="Components"/>
    <x:d v="2025-05-03T00:00:00Z"/>
    <x:n v="45810"/>
    <x:x v="1"/>
    <x:n v="786020.85"/>
    <x:s v="Historical"/>
    <x:s v="SUP16-INV-00216"/>
    <x:n v="30"/>
    <x:s v="Kyoto Optical Instruments"/>
    <x:n v="1.1782"/>
    <x:n v="1.3653957584888168"/>
    <x:n v="0.006947753272791602"/>
    <x:n v="0.006947753272791602"/>
    <x:x v="214"/>
    <x:x v="5"/>
    <x:n v="0.0067"/>
    <x:n v="5266.339695"/>
    <x:n v="194.73923806993662"/>
    <x:n v="0.036978100416656966"/>
  </x:r>
  <x:r>
    <x:s v="INV-00217"/>
    <x:x v="12"/>
    <x:s v="SUP17"/>
    <x:x v="1"/>
    <x:s v="Packaging"/>
    <x:d v="2026-05-17T00:00:00Z"/>
    <x:n v="46204"/>
    <x:x v="1"/>
    <x:n v="491914.96"/>
    <x:s v="Historical"/>
    <x:s v="SUP17-INV-00217"/>
    <x:n v="45"/>
    <x:s v="Kobe Industrial Packaging"/>
    <x:n v="1.1628"/>
    <x:n v="1.3357840321654222"/>
    <x:n v="0.00630722499457583"/>
    <x:n v="0.00630722499457583"/>
    <x:x v="215"/>
    <x:x v="0"/>
    <x:n v="0.0066"/>
    <x:n v="3246.6387360000003"/>
    <x:n v="-144.0204050822308"/>
    <x:n v="-0.04435984930669255"/>
  </x:r>
  <x:r>
    <x:s v="INV-00218"/>
    <x:x v="0"/>
    <x:s v="SUP01"/>
    <x:x v="0"/>
    <x:s v="Components"/>
    <x:d v="2026-01-01T00:00:00Z"/>
    <x:n v="46053"/>
    <x:x v="0"/>
    <x:n v="41558.6"/>
    <x:s v="Historical"/>
    <x:s v="SUP01-INV-00218"/>
    <x:n v="30"/>
    <x:s v="Rhein Circuit Components"/>
    <x:n v="1.1555"/>
    <x:n v="1.3367963164349013"/>
    <x:n v="0.006298375667720483"/>
    <x:n v="1.1555"/>
    <x:x v="216"/>
    <x:x v="6"/>
    <x:n v="1.065"/>
    <x:n v="44259.909"/>
    <x:n v="3761.0532999999996"/>
    <x:n v="0.08497652582159623"/>
  </x:r>
  <x:r>
    <x:s v="INV-00219"/>
    <x:x v="9"/>
    <x:s v="SUP05"/>
    <x:x v="0"/>
    <x:s v="Components"/>
    <x:d v="2026-03-12T00:00:00Z"/>
    <x:n v="46138"/>
    <x:x v="0"/>
    <x:n v="16012.43"/>
    <x:s v="Historical"/>
    <x:s v="SUP05-INV-00219"/>
    <x:n v="45"/>
    <x:s v="Lyon Industrial Controls"/>
    <x:n v="1.1547"/>
    <x:n v="1.338891272335146"/>
    <x:n v="0.006295044431118138"/>
    <x:n v="1.1547"/>
    <x:x v="217"/>
    <x:x v="6"/>
    <x:n v="1.065"/>
    <x:n v="17053.23795"/>
    <x:n v="1436.3149710000034"/>
    <x:n v="0.08422535211267626"/>
  </x:r>
  <x:r>
    <x:s v="INV-00220"/>
    <x:x v="10"/>
    <x:s v="SUP02"/>
    <x:x v="0"/>
    <x:s v="Equipment"/>
    <x:d v="2025-07-20T00:00:00Z"/>
    <x:n v="45903"/>
    <x:x v="0"/>
    <x:n v="74522.15"/>
    <x:s v="Historical"/>
    <x:s v="SUP02-INV-00220"/>
    <x:n v="45"/>
    <x:s v="Alpen Precision Systems"/>
    <x:n v="1.1607"/>
    <x:n v="1.3375201659368519"/>
    <x:n v="0.006578067441201475"/>
    <x:n v="1.1607"/>
    <x:x v="218"/>
    <x:x v="1"/>
    <x:n v="1.088"/>
    <x:n v="81080.0992"/>
    <x:n v="5417.760305000003"/>
    <x:n v="0.06681985294117651"/>
  </x:r>
  <x:r>
    <x:s v="INV-00221"/>
    <x:x v="3"/>
    <x:s v="SUP04"/>
    <x:x v="1"/>
    <x:s v="Packaging"/>
    <x:d v="2026-04-21T00:00:00Z"/>
    <x:n v="46163"/>
    <x:x v="0"/>
    <x:n v="4077.56"/>
    <x:s v="Historical"/>
    <x:s v="SUP04-INV-00221"/>
    <x:n v="30"/>
    <x:s v="Nordlicht Packaging"/>
    <x:n v="1.1767"/>
    <x:n v="1.351984833687597"/>
    <x:n v="0.00628780592070108"/>
    <x:n v="1.1767"/>
    <x:x v="219"/>
    <x:x v="0"/>
    <x:n v="1.083"/>
    <x:n v="4415.99748"/>
    <x:n v="382.06737200000043"/>
    <x:n v="0.08651892890120047"/>
  </x:r>
  <x:r>
    <x:s v="INV-00222"/>
    <x:x v="14"/>
    <x:s v="SUP07"/>
    <x:x v="0"/>
    <x:s v="Equipment"/>
    <x:d v="2025-08-29T00:00:00Z"/>
    <x:n v="45958"/>
    <x:x v="0"/>
    <x:n v="37139.82"/>
    <x:s v="Historical"/>
    <x:s v="SUP07-INV-00222"/>
    <x:n v="60"/>
    <x:s v="Milan Assembly Robotics"/>
    <x:n v="1.1658"/>
    <x:n v="1.3449469312413473"/>
    <x:n v="0.006788958770090846"/>
    <x:n v="1.1658"/>
    <x:x v="220"/>
    <x:x v="1"/>
    <x:n v="1.088"/>
    <x:n v="40408.12416"/>
    <x:n v="2889.4779960000014"/>
    <x:n v="0.07150735294117651"/>
  </x:r>
  <x:r>
    <x:s v="INV-00223"/>
    <x:x v="5"/>
    <x:s v="SUP09"/>
    <x:x v="0"/>
    <x:s v="Components"/>
    <x:d v="2026-01-13T00:00:00Z"/>
    <x:n v="46065"/>
    <x:x v="2"/>
    <x:n v="8690.43"/>
    <x:s v="Historical"/>
    <x:s v="SUP09-INV-00223"/>
    <x:n v="30"/>
    <x:s v="Thames Electronics Ltd"/>
    <x:n v="1.1654"/>
    <x:n v="1.3457274826789838"/>
    <x:n v="0.006295375972342265"/>
    <x:n v="1.3457274826789838"/>
    <x:x v="221"/>
    <x:x v="6"/>
    <x:n v="1.249"/>
    <x:n v="10854.347070000002"/>
    <x:n v="840.6034172979198"/>
    <x:n v="0.07744394129622388"/>
  </x:r>
  <x:r>
    <x:s v="INV-00224"/>
    <x:x v="14"/>
    <x:s v="SUP07"/>
    <x:x v="0"/>
    <x:s v="Equipment"/>
    <x:d v="2025-09-01T00:00:00Z"/>
    <x:n v="45961"/>
    <x:x v="0"/>
    <x:n v="17057.65"/>
    <x:s v="Historical"/>
    <x:s v="SUP07-INV-00224"/>
    <x:n v="60"/>
    <x:s v="Milan Assembly Robotics"/>
    <x:n v="1.1715"/>
    <x:n v="1.3524590163934427"/>
    <x:n v="0.0067924856496782045"/>
    <x:n v="1.1715"/>
    <x:x v="222"/>
    <x:x v="1"/>
    <x:n v="1.088"/>
    <x:n v="18558.723200000004"/>
    <x:n v="1424.3137749999987"/>
    <x:n v="0.07674632352941167"/>
  </x:r>
  <x:r>
    <x:s v="INV-00225"/>
    <x:x v="8"/>
    <x:s v="SUP13"/>
    <x:x v="0"/>
    <x:s v="Components"/>
    <x:d v="2025-03-13T00:00:00Z"/>
    <x:n v="45774"/>
    <x:x v="1"/>
    <x:n v="5176259.58"/>
    <x:s v="Historical"/>
    <x:s v="SUP13-INV-00225"/>
    <x:n v="45"/>
    <x:s v="Osaka Microdevices"/>
    <x:n v="1.083"/>
    <x:n v="1.2927021413736304"/>
    <x:n v="0.006741782868525897"/>
    <x:n v="0.006741782868525897"/>
    <x:x v="223"/>
    <x:x v="3"/>
    <x:n v="0.00656"/>
    <x:n v="33956.2628448"/>
    <x:n v="940.955314687053"/>
    <x:n v="0.027710803128947657"/>
  </x:r>
  <x:r>
    <x:s v="INV-00226"/>
    <x:x v="4"/>
    <x:s v="SUP08"/>
    <x:x v="0"/>
    <x:s v="Components"/>
    <x:d v="2025-12-09T00:00:00Z"/>
    <x:n v="46030"/>
    <x:x v="0"/>
    <x:n v="12654.34"/>
    <x:s v="Historical"/>
    <x:s v="SUP08-INV-00226"/>
    <x:n v="30"/>
    <x:s v="Valencia Circuit Supply"/>
    <x:n v="1.1637"/>
    <x:n v="1.3322266742987978"/>
    <x:n v="0.006395361617938008"/>
    <x:n v="1.1637"/>
    <x:x v="224"/>
    <x:x v="7"/>
    <x:n v="1.106"/>
    <x:n v="13995.700040000002"/>
    <x:n v="730.1554179999985"/>
    <x:n v="0.052169981916817244"/>
  </x:r>
  <x:r>
    <x:s v="INV-00227"/>
    <x:x v="11"/>
    <x:s v="SUP14"/>
    <x:x v="0"/>
    <x:s v="Equipment"/>
    <x:d v="2025-05-10T00:00:00Z"/>
    <x:n v="45847"/>
    <x:x v="1"/>
    <x:n v="16507999.01"/>
    <x:s v="Historical"/>
    <x:s v="SUP14-INV-00227"/>
    <x:n v="60"/>
    <x:s v="Tokyo Automation Systems"/>
    <x:n v="1.169"/>
    <x:n v="1.348794277143187"/>
    <x:n v="0.006785859406745225"/>
    <x:n v="0.006785859406745225"/>
    <x:x v="225"/>
    <x:x v="5"/>
    <x:n v="0.0067"/>
    <x:n v="110603.59336700001"/>
    <x:n v="1417.3670015493553"/>
    <x:n v="0.012814836827645464"/>
  </x:r>
  <x:r>
    <x:s v="INV-00228"/>
    <x:x v="11"/>
    <x:s v="SUP14"/>
    <x:x v="0"/>
    <x:s v="Equipment"/>
    <x:d v="2026-06-02T00:00:00Z"/>
    <x:n v="46235"/>
    <x:x v="1"/>
    <x:n v="9766897.01"/>
    <x:s v="Historical"/>
    <x:s v="SUP14-INV-00228"/>
    <x:n v="60"/>
    <x:s v="Tokyo Automation Systems"/>
    <x:n v="1.1649"/>
    <x:n v="1.3472503325044816"/>
    <x:n v="0.006259874254393036"/>
    <x:n v="0.006259874254393036"/>
    <x:x v="226"/>
    <x:x v="0"/>
    <x:n v="0.0066"/>
    <x:n v="64461.520266"/>
    <x:n v="-3321.973127792684"/>
    <x:n v="-0.051534203879843136"/>
  </x:r>
  <x:r>
    <x:s v="INV-00229"/>
    <x:x v="4"/>
    <x:s v="SUP08"/>
    <x:x v="0"/>
    <x:s v="Components"/>
    <x:d v="2025-06-24T00:00:00Z"/>
    <x:n v="45862"/>
    <x:x v="0"/>
    <x:n v="5280.72"/>
    <x:s v="Historical"/>
    <x:s v="SUP08-INV-00229"/>
    <x:n v="30"/>
    <x:s v="Valencia Circuit Supply"/>
    <x:n v="1.1607"/>
    <x:n v="1.3612055822680897"/>
    <x:n v="0.006897842752718845"/>
    <x:n v="1.1607"/>
    <x:x v="227"/>
    <x:x v="5"/>
    <x:n v="1.07"/>
    <x:n v="5650.370400000001"/>
    <x:n v="478.9613040000004"/>
    <x:n v="0.08476635514018697"/>
  </x:r>
  <x:r>
    <x:s v="INV-00230"/>
    <x:x v="8"/>
    <x:s v="SUP13"/>
    <x:x v="0"/>
    <x:s v="Components"/>
    <x:d v="2025-10-07T00:00:00Z"/>
    <x:n v="45982"/>
    <x:x v="1"/>
    <x:n v="3427851.17"/>
    <x:s v="Historical"/>
    <x:s v="SUP13-INV-00230"/>
    <x:n v="45"/>
    <x:s v="Osaka Microdevices"/>
    <x:n v="1.1666"/>
    <x:n v="1.3404573135700335"/>
    <x:n v="0.0066265265549559785"/>
    <x:n v="0.0066265265549559785"/>
    <x:x v="228"/>
    <x:x v="7"/>
    <x:n v="0.00698"/>
    <x:n v="23926.4011666"/>
    <x:n v="-1211.6543621580822"/>
    <x:n v="-0.050640894705447304"/>
  </x:r>
  <x:r>
    <x:s v="INV-00231"/>
    <x:x v="17"/>
    <x:s v="SUP06"/>
    <x:x v="2"/>
    <x:s v="Software"/>
    <x:d v="2026-12-31T00:00:00Z"/>
    <x:n v="46417"/>
    <x:x v="0"/>
    <x:n v="6825.07"/>
    <x:s v="Planned"/>
    <x:s v="SUP06-INV-00231"/>
    <x:n v="30"/>
    <x:s v="Dublin Systems Licensing"/>
    <x:n v="1.1177"/>
    <x:n v="1.320456022210408"/>
    <x:n v="0.00632004523607577"/>
    <x:n v="1.1177"/>
    <x:x v="229"/>
    <x:x v="2"/>
    <x:n v="1.119"/>
    <x:n v="7637.25333"/>
    <x:n v="-8.872591000000284"/>
    <x:n v="-0.0011617515638963733"/>
  </x:r>
  <x:r>
    <x:s v="INV-00232"/>
    <x:x v="8"/>
    <x:s v="SUP13"/>
    <x:x v="0"/>
    <x:s v="Components"/>
    <x:d v="2025-06-22T00:00:00Z"/>
    <x:n v="45875"/>
    <x:x v="1"/>
    <x:n v="667468.22"/>
    <x:s v="Historical"/>
    <x:s v="SUP13-INV-00232"/>
    <x:n v="45"/>
    <x:s v="Osaka Microdevices"/>
    <x:n v="1.1685"/>
    <x:n v="1.3513357233722678"/>
    <x:n v="0.0067590236001851"/>
    <x:n v="0.0067590236001851"/>
    <x:x v="230"/>
    <x:x v="5"/>
    <x:n v="0.0067"/>
    <x:n v="4472.037074"/>
    <x:n v="39.39637735354063"/>
    <x:n v="0.008809492564940357"/>
  </x:r>
  <x:r>
    <x:s v="INV-00233"/>
    <x:x v="0"/>
    <x:s v="SUP01"/>
    <x:x v="0"/>
    <x:s v="Components"/>
    <x:d v="2026-07-31T00:00:00Z"/>
    <x:n v="46264"/>
    <x:x v="0"/>
    <x:n v="34319.64"/>
    <x:s v="Historical"/>
    <x:s v="SUP01-INV-00233"/>
    <x:n v="30"/>
    <x:s v="Rhein Circuit Components"/>
    <x:n v="1.1485"/>
    <x:n v="1.3421289425402874"/>
    <x:n v="0.006240830299407705"/>
    <x:n v="1.1485"/>
    <x:x v="231"/>
    <x:x v="4"/>
    <x:n v="1.101"/>
    <x:n v="37785.92364"/>
    <x:n v="1630.1828999999998"/>
    <x:n v="0.04314259763851044"/>
  </x:r>
  <x:r>
    <x:s v="INV-00234"/>
    <x:x v="1"/>
    <x:s v="SUP15"/>
    <x:x v="1"/>
    <x:s v="Freight"/>
    <x:d v="2025-10-23T00:00:00Z"/>
    <x:n v="45983"/>
    <x:x v="1"/>
    <x:n v="1441004.29"/>
    <x:s v="Historical"/>
    <x:s v="SUP15-INV-00234"/>
    <x:n v="30"/>
    <x:s v="Nagoya Logistics Partners"/>
    <x:n v="1.1593"/>
    <x:n v="1.3339086411230008"/>
    <x:n v="0.006551938510229456"/>
    <x:n v="0.006551938510229456"/>
    <x:x v="232"/>
    <x:x v="7"/>
    <x:n v="0.00698"/>
    <x:n v="10058.2099442"/>
    <x:n v="-616.8384431431441"/>
    <x:n v="-0.061326860998645184"/>
  </x:r>
  <x:r>
    <x:s v="INV-00235"/>
    <x:x v="6"/>
    <x:s v="SUP16"/>
    <x:x v="0"/>
    <x:s v="Components"/>
    <x:d v="2025-05-06T00:00:00Z"/>
    <x:n v="45813"/>
    <x:x v="1"/>
    <x:n v="635264.03"/>
    <x:s v="Historical"/>
    <x:s v="SUP16-INV-00235"/>
    <x:n v="30"/>
    <x:s v="Kyoto Optical Instruments"/>
    <x:n v="1.1325"/>
    <x:n v="1.3372298972724053"/>
    <x:n v="0.007006310319227915"/>
    <x:n v="0.007006310319227915"/>
    <x:x v="233"/>
    <x:x v="5"/>
    <x:n v="0.0067"/>
    <x:n v="4256.269001000001"/>
    <x:n v="194.58792782331147"/>
    <x:n v="0.04571795809371858"/>
  </x:r>
  <x:r>
    <x:s v="INV-00236"/>
    <x:x v="1"/>
    <x:s v="SUP15"/>
    <x:x v="1"/>
    <x:s v="Freight"/>
    <x:d v="2025-03-01T00:00:00Z"/>
    <x:n v="45747"/>
    <x:x v="1"/>
    <x:n v="2744034.26"/>
    <x:s v="Historical"/>
    <x:s v="SUP15-INV-00236"/>
    <x:n v="30"/>
    <x:s v="Nagoya Logistics Partners"/>
    <x:n v="1.0803"/>
    <x:n v="1.294470073692409"/>
    <x:n v="0.006700781540751768"/>
    <x:n v="0.006700781540751768"/>
    <x:x v="234"/>
    <x:x v="3"/>
    <x:n v="0.00656"/>
    <x:n v="18000.8647456"/>
    <x:n v="386.3093709984387"/>
    <x:n v="0.02146060072435494"/>
  </x:r>
  <x:r>
    <x:s v="INV-00237"/>
    <x:x v="12"/>
    <x:s v="SUP17"/>
    <x:x v="1"/>
    <x:s v="Packaging"/>
    <x:d v="2025-07-12T00:00:00Z"/>
    <x:n v="45895"/>
    <x:x v="1"/>
    <x:n v="128042.27"/>
    <x:s v="Historical"/>
    <x:s v="SUP17-INV-00237"/>
    <x:n v="45"/>
    <x:s v="Kobe Industrial Packaging"/>
    <x:n v="1.1611"/>
    <x:n v="1.3372106414833584"/>
    <x:n v="0.006545095828635851"/>
    <x:n v="0.006545095828635851"/>
    <x:x v="235"/>
    <x:x v="1"/>
    <x:n v="0.00684"/>
    <x:n v="875.8091268"/>
    <x:n v="-37.76019953393461"/>
    <x:n v="-0.04311464493627907"/>
  </x:r>
  <x:r>
    <x:s v="INV-00238"/>
    <x:x v="12"/>
    <x:s v="SUP17"/>
    <x:x v="1"/>
    <x:s v="Packaging"/>
    <x:d v="2026-02-11T00:00:00Z"/>
    <x:n v="46109"/>
    <x:x v="1"/>
    <x:n v="519155.84"/>
    <x:s v="Historical"/>
    <x:s v="SUP17-INV-00238"/>
    <x:n v="45"/>
    <x:s v="Kobe Industrial Packaging"/>
    <x:n v="1.19"/>
    <x:n v="1.3679733302678467"/>
    <x:n v="0.006510202965151267"/>
    <x:n v="0.006510202965151267"/>
    <x:x v="236"/>
    <x:x v="6"/>
    <x:n v="0.00646"/>
    <x:n v="3353.7467264"/>
    <x:n v="26.063162543596718"/>
    <x:n v="0.007771356834561446"/>
  </x:r>
  <x:r>
    <x:s v="INV-00239"/>
    <x:x v="3"/>
    <x:s v="SUP04"/>
    <x:x v="1"/>
    <x:s v="Packaging"/>
    <x:d v="2026-05-29T00:00:00Z"/>
    <x:n v="46201"/>
    <x:x v="0"/>
    <x:n v="4417.85"/>
    <x:s v="Historical"/>
    <x:s v="SUP04-INV-00239"/>
    <x:n v="30"/>
    <x:s v="Nordlicht Packaging"/>
    <x:n v="1.1644"/>
    <x:n v="1.3426657288147321"/>
    <x:n v="0.006278781342679968"/>
    <x:n v="1.1644"/>
    <x:x v="237"/>
    <x:x v="0"/>
    <x:n v="1.083"/>
    <x:n v="4784.531550000001"/>
    <x:n v="359.61299000000054"/>
    <x:n v="0.07516158818097887"/>
  </x:r>
  <x:r>
    <x:s v="INV-00240"/>
    <x:x v="6"/>
    <x:s v="SUP16"/>
    <x:x v="0"/>
    <x:s v="Components"/>
    <x:d v="2025-05-18T00:00:00Z"/>
    <x:n v="45825"/>
    <x:x v="1"/>
    <x:n v="1027781.15"/>
    <x:s v="Historical"/>
    <x:s v="SUP16-INV-00240"/>
    <x:n v="30"/>
    <x:s v="Kyoto Optical Instruments"/>
    <x:n v="1.1756"/>
    <x:n v="1.355158501440922"/>
    <x:n v="0.006826152595517361"/>
    <x:n v="0.006826152595517361"/>
    <x:x v="238"/>
    <x:x v="5"/>
    <x:n v="0.0067"/>
    <x:n v="6886.133705"/>
    <x:n v="129.65725969631876"/>
    <x:n v="0.01882874559960621"/>
  </x:r>
  <x:r>
    <x:s v="INV-00241"/>
    <x:x v="17"/>
    <x:s v="SUP06"/>
    <x:x v="2"/>
    <x:s v="Software"/>
    <x:d v="2026-04-26T00:00:00Z"/>
    <x:n v="46168"/>
    <x:x v="0"/>
    <x:n v="4221.06"/>
    <x:s v="Historical"/>
    <x:s v="SUP06-INV-00241"/>
    <x:n v="30"/>
    <x:s v="Dublin Systems Licensing"/>
    <x:n v="1.1712"/>
    <x:n v="1.34926212227688"/>
    <x:n v="0.006272829521718173"/>
    <x:n v="1.1712"/>
    <x:x v="239"/>
    <x:x v="0"/>
    <x:n v="1.083"/>
    <x:n v="4571.40798"/>
    <x:n v="372.2974920000006"/>
    <x:n v="0.08144044321329653"/>
  </x:r>
  <x:r>
    <x:s v="INV-00242"/>
    <x:x v="4"/>
    <x:s v="SUP08"/>
    <x:x v="0"/>
    <x:s v="Components"/>
    <x:d v="2025-05-07T00:00:00Z"/>
    <x:n v="45814"/>
    <x:x v="0"/>
    <x:n v="4133.15"/>
    <x:s v="Historical"/>
    <x:s v="SUP08-INV-00242"/>
    <x:n v="30"/>
    <x:s v="Valencia Circuit Supply"/>
    <x:n v="1.136"/>
    <x:n v="1.33474327341088"/>
    <x:n v="0.006974031555037142"/>
    <x:n v="1.136"/>
    <x:x v="240"/>
    <x:x v="5"/>
    <x:n v="1.07"/>
    <x:n v="4422.470499999999"/>
    <x:n v="272.78789999999935"/>
    <x:n v="0.061682242990654064"/>
  </x:r>
  <x:r>
    <x:s v="INV-00243"/>
    <x:x v="10"/>
    <x:s v="SUP02"/>
    <x:x v="0"/>
    <x:s v="Equipment"/>
    <x:d v="2025-03-20T00:00:00Z"/>
    <x:n v="45781"/>
    <x:x v="0"/>
    <x:n v="29191.33"/>
    <x:s v="Historical"/>
    <x:s v="SUP02-INV-00243"/>
    <x:n v="45"/>
    <x:s v="Alpen Precision Systems"/>
    <x:n v="1.0833"/>
    <x:n v="1.2944198829011828"/>
    <x:n v="0.006734846129934722"/>
    <x:n v="1.0833"/>
    <x:x v="241"/>
    <x:x v="3"/>
    <x:n v="1.052"/>
    <x:n v="30709.279160000002"/>
    <x:n v="913.6886289999966"/>
    <x:n v="0.029752851711026502"/>
  </x:r>
  <x:r>
    <x:s v="INV-00244"/>
    <x:x v="8"/>
    <x:s v="SUP13"/>
    <x:x v="0"/>
    <x:s v="Components"/>
    <x:d v="2026-10-30T00:00:00Z"/>
    <x:n v="46370"/>
    <x:x v="1"/>
    <x:n v="1828174.94"/>
    <x:s v="Planned"/>
    <x:s v="SUP13-INV-00244"/>
    <x:n v="45"/>
    <x:s v="Osaka Microdevices"/>
    <x:n v="1.1177"/>
    <x:n v="1.320456022210408"/>
    <x:n v="0.00632004523607577"/>
    <x:n v="0.00632004523607577"/>
    <x:x v="242"/>
    <x:x v="2"/>
    <x:n v="0.00688"/>
    <x:n v="12577.8435872"/>
    <x:n v="-1023.6952669398925"/>
    <x:n v="-0.08138877382619615"/>
  </x:r>
  <x:r>
    <x:s v="INV-00245"/>
    <x:x v="0"/>
    <x:s v="SUP01"/>
    <x:x v="0"/>
    <x:s v="Components"/>
    <x:d v="2025-07-14T00:00:00Z"/>
    <x:n v="45882"/>
    <x:x v="0"/>
    <x:n v="46085.52"/>
    <x:s v="Historical"/>
    <x:s v="SUP01-INV-00245"/>
    <x:n v="30"/>
    <x:s v="Rhein Circuit Components"/>
    <x:n v="1.169"/>
    <x:n v="1.348794277143187"/>
    <x:n v="0.006785859406745225"/>
    <x:n v="1.169"/>
    <x:x v="243"/>
    <x:x v="1"/>
    <x:n v="1.088"/>
    <x:n v="50141.04576"/>
    <x:n v="3732.9271200000003"/>
    <x:n v="0.0744485294117647"/>
  </x:r>
  <x:r>
    <x:s v="INV-00246"/>
    <x:x v="5"/>
    <x:s v="SUP09"/>
    <x:x v="0"/>
    <x:s v="Components"/>
    <x:d v="2025-08-19T00:00:00Z"/>
    <x:n v="45918"/>
    <x:x v="2"/>
    <x:n v="21002.83"/>
    <x:s v="Historical"/>
    <x:s v="SUP09-INV-00246"/>
    <x:n v="30"/>
    <x:s v="Thames Electronics Ltd"/>
    <x:n v="1.1682"/>
    <x:n v="1.3520833333333333"/>
    <x:n v="0.006765506457404297"/>
    <x:n v="1.3520833333333333"/>
    <x:x v="244"/>
    <x:x v="1"/>
    <x:n v="1.282"/>
    <x:n v="26925.628060000003"/>
    <x:n v="1471.948335833331"/>
    <x:n v="0.0546671866874674"/>
  </x:r>
  <x:r>
    <x:s v="INV-00247"/>
    <x:x v="7"/>
    <x:s v="SUP03"/>
    <x:x v="0"/>
    <x:s v="Components"/>
    <x:d v="2026-05-25T00:00:00Z"/>
    <x:n v="46197"/>
    <x:x v="0"/>
    <x:n v="16031.59"/>
    <x:s v="Historical"/>
    <x:s v="SUP03-INV-00247"/>
    <x:n v="30"/>
    <x:s v="Benelux Sensor Works"/>
    <x:n v="1.1643"/>
    <x:n v="1.3498347921859601"/>
    <x:n v="0.0062921530479896235"/>
    <x:n v="1.1643"/>
    <x:x v="245"/>
    <x:x v="0"/>
    <x:n v="1.083"/>
    <x:n v="17362.21197"/>
    <x:n v="1303.368266999998"/>
    <x:n v="0.07506925207756221"/>
  </x:r>
  <x:r>
    <x:s v="INV-00248"/>
    <x:x v="13"/>
    <x:s v="SUP11"/>
    <x:x v="2"/>
    <x:s v="Software"/>
    <x:d v="2026-03-12T00:00:00Z"/>
    <x:n v="46123"/>
    <x:x v="2"/>
    <x:n v="3556.08"/>
    <x:s v="Historical"/>
    <x:s v="SUP11-INV-00248"/>
    <x:n v="30"/>
    <x:s v="Manchester Cloud Solutions"/>
    <x:n v="1.1547"/>
    <x:n v="1.338891272335146"/>
    <x:n v="0.006295044431118138"/>
    <x:n v="1.338891272335146"/>
    <x:x v="246"/>
    <x:x v="6"/>
    <x:n v="1.249"/>
    <x:n v="4441.54392"/>
    <x:n v="319.66055572556616"/>
    <x:n v="0.07197059434359171"/>
  </x:r>
  <x:r>
    <x:s v="INV-00249"/>
    <x:x v="12"/>
    <x:s v="SUP17"/>
    <x:x v="1"/>
    <x:s v="Packaging"/>
    <x:d v="2025-04-02T00:00:00Z"/>
    <x:n v="45794"/>
    <x:x v="1"/>
    <x:n v="277381.72"/>
    <x:s v="Historical"/>
    <x:s v="SUP17-INV-00249"/>
    <x:n v="45"/>
    <x:s v="Kobe Industrial Packaging"/>
    <x:n v="1.0803"/>
    <x:n v="1.294470073692409"/>
    <x:n v="0.006700781540751768"/>
    <x:n v="0.006700781540751768"/>
    <x:x v="247"/>
    <x:x v="5"/>
    <x:n v="0.0067"/>
    <x:n v="1858.457524"/>
    <x:n v="0.21678511797540523"/>
    <x:n v="0.00011664787339815749"/>
  </x:r>
  <x:r>
    <x:s v="INV-00250"/>
    <x:x v="6"/>
    <x:s v="SUP16"/>
    <x:x v="0"/>
    <x:s v="Components"/>
    <x:d v="2025-07-19T00:00:00Z"/>
    <x:n v="45887"/>
    <x:x v="1"/>
    <x:n v="669495.13"/>
    <x:s v="Historical"/>
    <x:s v="SUP16-INV-00250"/>
    <x:n v="30"/>
    <x:s v="Kyoto Optical Instruments"/>
    <x:n v="1.1655"/>
    <x:n v="1.3410424577148774"/>
    <x:n v="0.006633088611917364"/>
    <x:n v="0.006633088611917364"/>
    <x:x v="248"/>
    <x:x v="1"/>
    <x:n v="0.00684"/>
    <x:n v="4579.3466892"/>
    <x:n v="-138.52616666286485"/>
    <x:n v="-0.030250202936057898"/>
  </x:r>
  <x:r>
    <x:s v="INV-00251"/>
    <x:x v="3"/>
    <x:s v="SUP04"/>
    <x:x v="1"/>
    <x:s v="Packaging"/>
    <x:d v="2025-06-09T00:00:00Z"/>
    <x:n v="45847"/>
    <x:x v="0"/>
    <x:n v="6761.92"/>
    <x:s v="Historical"/>
    <x:s v="SUP04-INV-00251"/>
    <x:n v="30"/>
    <x:s v="Nordlicht Packaging"/>
    <x:n v="1.141"/>
    <x:n v="1.354463437796771"/>
    <x:n v="0.006920184376516254"/>
    <x:n v="1.141"/>
    <x:x v="249"/>
    <x:x v="5"/>
    <x:n v="1.07"/>
    <x:n v="7235.254400000001"/>
    <x:n v="480.09631999999965"/>
    <x:n v="0.06635514018691584"/>
  </x:r>
  <x:r>
    <x:s v="INV-00252"/>
    <x:x v="6"/>
    <x:s v="SUP16"/>
    <x:x v="0"/>
    <x:s v="Components"/>
    <x:d v="2025-11-22T00:00:00Z"/>
    <x:n v="46013"/>
    <x:x v="1"/>
    <x:n v="4771842.43"/>
    <x:s v="Historical"/>
    <x:s v="SUP16-INV-00252"/>
    <x:n v="30"/>
    <x:s v="Kyoto Optical Instruments"/>
    <x:n v="1.1555"/>
    <x:n v="1.3367963164349013"/>
    <x:n v="0.006298375667720483"/>
    <x:n v="0.006298375667720483"/>
    <x:x v="250"/>
    <x:x v="7"/>
    <x:n v="0.00698"/>
    <x:n v="33307.4601614"/>
    <x:n v="-3252.603910091817"/>
    <x:n v="-0.09765391579935771"/>
  </x:r>
  <x:r>
    <x:s v="INV-00253"/>
    <x:x v="0"/>
    <x:s v="SUP01"/>
    <x:x v="0"/>
    <x:s v="Components"/>
    <x:d v="2026-08-11T00:00:00Z"/>
    <x:n v="46275"/>
    <x:x v="0"/>
    <x:n v="21253.33"/>
    <x:s v="Historical"/>
    <x:s v="SUP01-INV-00253"/>
    <x:n v="30"/>
    <x:s v="Rhein Circuit Components"/>
    <x:n v="1.154"/>
    <x:n v="1.3499760186235858"/>
    <x:n v="0.006281297626823426"/>
    <x:n v="1.154"/>
    <x:x v="251"/>
    <x:x v="4"/>
    <x:n v="1.101"/>
    <x:n v="23399.91633"/>
    <x:n v="1126.4264900000016"/>
    <x:n v="0.048138056312443306"/>
  </x:r>
  <x:r>
    <x:s v="INV-00253"/>
    <x:x v="5"/>
    <x:s v="SUP09"/>
    <x:x v="0"/>
    <x:s v="Components"/>
    <x:d v="2025-04-22T00:00:00Z"/>
    <x:n v="45799"/>
    <x:x v="2"/>
    <x:n v="12125.7"/>
    <x:s v="Historical"/>
    <x:s v="SUP09-INV-00253"/>
    <x:n v="30"/>
    <x:s v="Thames Electronics Ltd"/>
    <x:n v="1.1476"/>
    <x:n v="1.3366255910922686"/>
    <x:n v="0.007125737348649487"/>
    <x:n v="1.3366255910922686"/>
    <x:x v="252"/>
    <x:x v="5"/>
    <x:n v="1.26"/>
    <x:n v="15278.382000000001"/>
    <x:n v="929.1389299075217"/>
    <x:n v="0.060813961184340175"/>
  </x:r>
  <x:r>
    <x:s v="INV-00254"/>
    <x:x v="10"/>
    <x:s v="SUP02"/>
    <x:x v="0"/>
    <x:s v="Equipment"/>
    <x:d v="2026-10-23T00:00:00Z"/>
    <x:n v="46363"/>
    <x:x v="0"/>
    <x:n v="24189.27"/>
    <x:s v="Planned"/>
    <x:s v="SUP02-INV-00254"/>
    <x:n v="45"/>
    <x:s v="Alpen Precision Systems"/>
    <x:n v="1.1177"/>
    <x:n v="1.320456022210408"/>
    <x:n v="0.00632004523607577"/>
    <x:n v="1.1177"/>
    <x:x v="253"/>
    <x:x v="2"/>
    <x:n v="1.119"/>
    <x:n v="27067.793130000002"/>
    <x:n v="-31.446051000002626"/>
    <x:n v="-0.001161751563896433"/>
  </x:r>
  <x:r>
    <x:s v="INV-00255"/>
    <x:x v="9"/>
    <x:s v="SUP05"/>
    <x:x v="0"/>
    <x:s v="Components"/>
    <x:d v="2025-02-06T00:00:00Z"/>
    <x:n v="45739"/>
    <x:x v="0"/>
    <x:n v="31031.44"/>
    <x:s v="Historical"/>
    <x:s v="SUP05-INV-00255"/>
    <x:n v="45"/>
    <x:s v="Lyon Industrial Controls"/>
    <x:n v="1.036"/>
    <x:n v="1.2379313641143295"/>
    <x:n v="0.006559037670148782"/>
    <x:n v="1.036"/>
    <x:x v="254"/>
    <x:x v="3"/>
    <x:n v="1.052"/>
    <x:n v="32645.07488"/>
    <x:n v="-496.5030399999996"/>
    <x:n v="-0.015209125475285159"/>
  </x:r>
  <x:r>
    <x:s v="INV-00256"/>
    <x:x v="5"/>
    <x:s v="SUP09"/>
    <x:x v="0"/>
    <x:s v="Components"/>
    <x:d v="2025-05-19T00:00:00Z"/>
    <x:n v="45826"/>
    <x:x v="2"/>
    <x:n v="10140.66"/>
    <x:s v="Historical"/>
    <x:s v="SUP09-INV-00256"/>
    <x:n v="30"/>
    <x:s v="Thames Electronics Ltd"/>
    <x:n v="1.1262"/>
    <x:n v="1.337688561586887"/>
    <x:n v="0.006898199191473724"/>
    <x:n v="1.337688561586887"/>
    <x:x v="255"/>
    <x:x v="5"/>
    <x:n v="1.26"/>
    <x:n v="12777.2316"/>
    <x:n v="787.8132889416811"/>
    <x:n v="0.0616575885610214"/>
  </x:r>
  <x:r>
    <x:s v="INV-00257"/>
    <x:x v="17"/>
    <x:s v="SUP06"/>
    <x:x v="2"/>
    <x:s v="Software"/>
    <x:d v="2025-10-21T00:00:00Z"/>
    <x:n v="45981"/>
    <x:x v="0"/>
    <x:n v="7269.7"/>
    <x:s v="Historical"/>
    <x:s v="SUP06-INV-00257"/>
    <x:n v="30"/>
    <x:s v="Dublin Systems Licensing"/>
    <x:n v="1.1607"/>
    <x:n v="1.3375201659368519"/>
    <x:n v="0.006578067441201475"/>
    <x:n v="1.1607"/>
    <x:x v="256"/>
    <x:x v="7"/>
    <x:n v="1.106"/>
    <x:n v="8040.288200000001"/>
    <x:n v="397.6525899999997"/>
    <x:n v="0.049457504520795614"/>
  </x:r>
  <x:r>
    <x:s v="INV-00258"/>
    <x:x v="15"/>
    <x:s v="SUP18"/>
    <x:x v="1"/>
    <x:s v="Services"/>
    <x:d v="2026-05-21T00:00:00Z"/>
    <x:n v="46193"/>
    <x:x v="1"/>
    <x:n v="968246.57"/>
    <x:s v="Historical"/>
    <x:s v="SUP18-INV-00258"/>
    <x:n v="30"/>
    <x:s v="Yokohama Engineering Labs"/>
    <x:n v="1.1599"/>
    <x:n v="1.3419642960443348"/>
    <x:n v="0.006283655669321198"/>
    <x:n v="0.006283655669321198"/>
    <x:x v="257"/>
    <x:x v="0"/>
    <x:n v="0.0066"/>
    <x:n v="6390.427361999999"/>
    <x:n v="-306.29931311869495"/>
    <x:n v="-0.04793095919375775"/>
  </x:r>
  <x:r>
    <x:s v="INV-00259"/>
    <x:x v="3"/>
    <x:s v="SUP04"/>
    <x:x v="1"/>
    <x:s v="Packaging"/>
    <x:d v="2025-07-31T00:00:00Z"/>
    <x:n v="45899"/>
    <x:x v="0"/>
    <x:n v="11988.67"/>
    <x:s v="Historical"/>
    <x:s v="SUP04-INV-00259"/>
    <x:n v="30"/>
    <x:s v="Nordlicht Packaging"/>
    <x:n v="1.1446"/>
    <x:n v="1.3233899872817667"/>
    <x:n v="0.006673274253731343"/>
    <x:n v="1.1446"/>
    <x:x v="258"/>
    <x:x v="1"/>
    <x:n v="1.088"/>
    <x:n v="13043.672960000002"/>
    <x:n v="678.5587219999998"/>
    <x:n v="0.05202205882352939"/>
  </x:r>
  <x:r>
    <x:s v="INV-00260"/>
    <x:x v="7"/>
    <x:s v="SUP03"/>
    <x:x v="0"/>
    <x:s v="Components"/>
    <x:d v="2025-07-12T00:00:00Z"/>
    <x:n v="45880"/>
    <x:x v="0"/>
    <x:n v="6614.98"/>
    <x:s v="Historical"/>
    <x:s v="SUP03-INV-00260"/>
    <x:n v="30"/>
    <x:s v="Benelux Sensor Works"/>
    <x:n v="1.1611"/>
    <x:n v="1.3372106414833584"/>
    <x:n v="0.006545095828635851"/>
    <x:n v="1.1611"/>
    <x:x v="259"/>
    <x:x v="1"/>
    <x:n v="1.088"/>
    <x:n v="7197.09824"/>
    <x:n v="483.5550379999995"/>
    <x:n v="0.06718749999999993"/>
  </x:r>
  <x:r>
    <x:s v="INV-00261"/>
    <x:x v="1"/>
    <x:s v="SUP15"/>
    <x:x v="1"/>
    <x:s v="Freight"/>
    <x:d v="2025-02-20T00:00:00Z"/>
    <x:n v="45738"/>
    <x:x v="1"/>
    <x:n v="1824412.16"/>
    <x:s v="Historical"/>
    <x:s v="SUP15-INV-00261"/>
    <x:n v="30"/>
    <x:s v="Nagoya Logistics Partners"/>
    <x:n v="1.0443"/>
    <x:n v="1.2608816391582047"/>
    <x:n v="0.006668582375478928"/>
    <x:n v="0.006668582375478928"/>
    <x:x v="260"/>
    <x:x v="3"/>
    <x:n v="0.00656"/>
    <x:n v="11968.1437696"/>
    <x:n v="198.09900618544089"/>
    <x:n v="0.01655219138398283"/>
  </x:r>
  <x:r>
    <x:s v="INV-00262"/>
    <x:x v="4"/>
    <x:s v="SUP08"/>
    <x:x v="0"/>
    <x:s v="Components"/>
    <x:d v="2026-03-18T00:00:00Z"/>
    <x:n v="46129"/>
    <x:x v="0"/>
    <x:n v="8523.14"/>
    <x:s v="Historical"/>
    <x:s v="SUP08-INV-00262"/>
    <x:n v="30"/>
    <x:s v="Valencia Circuit Supply"/>
    <x:n v="1.15"/>
    <x:n v="1.3311263644045235"/>
    <x:n v="0.006267371518883862"/>
    <x:n v="1.15"/>
    <x:x v="261"/>
    <x:x v="6"/>
    <x:n v="1.065"/>
    <x:n v="9077.1441"/>
    <x:n v="724.4668999999994"/>
    <x:n v="0.0798122065727699"/>
  </x:r>
  <x:r>
    <x:s v="INV-00263"/>
    <x:x v="5"/>
    <x:s v="SUP09"/>
    <x:x v="0"/>
    <x:s v="Components"/>
    <x:d v="2026-05-09T00:00:00Z"/>
    <x:n v="46181"/>
    <x:x v="2"/>
    <x:n v="23468.77"/>
    <x:s v="Historical"/>
    <x:s v="SUP09-INV-00263"/>
    <x:n v="30"/>
    <x:s v="Thames Electronics Ltd"/>
    <x:n v="1.1761"/>
    <x:n v="1.3610693206804767"/>
    <x:n v="0.006379020448012149"/>
    <x:n v="1.3610693206804767"/>
    <x:x v="262"/>
    <x:x v="0"/>
    <x:n v="1.271"/>
    <x:n v="29828.806669999998"/>
    <x:n v="2113.816171106355"/>
    <x:n v="0.07086492579109116"/>
  </x:r>
  <x:r>
    <x:s v="INV-00264"/>
    <x:x v="16"/>
    <x:s v="SUP12"/>
    <x:x v="0"/>
    <x:s v="Components"/>
    <x:d v="2026-10-29T00:00:00Z"/>
    <x:n v="46384"/>
    <x:x v="2"/>
    <x:n v="7943.55"/>
    <x:s v="Planned"/>
    <x:s v="SUP12-INV-00264"/>
    <x:n v="60"/>
    <x:s v="Oxford Technical Materials"/>
    <x:n v="1.1177"/>
    <x:n v="1.320456022210408"/>
    <x:n v="0.00632004523607577"/>
    <x:n v="1.320456022210408"/>
    <x:x v="263"/>
    <x:x v="2"/>
    <x:n v="1.315"/>
    <x:n v="10445.76825"/>
    <x:n v="43.34018522948827"/>
    <x:n v="0.004149066319702074"/>
  </x:r>
  <x:r>
    <x:s v="INV-00265"/>
    <x:x v="16"/>
    <x:s v="SUP12"/>
    <x:x v="0"/>
    <x:s v="Components"/>
    <x:d v="2025-06-02T00:00:00Z"/>
    <x:n v="45870"/>
    <x:x v="2"/>
    <x:n v="2732.74"/>
    <x:s v="Historical"/>
    <x:s v="SUP12-INV-00265"/>
    <x:n v="60"/>
    <x:s v="Oxford Technical Materials"/>
    <x:n v="1.1419"/>
    <x:n v="1.3539245909414275"/>
    <x:n v="0.00700638115106148"/>
    <x:n v="1.3539245909414275"/>
    <x:x v="264"/>
    <x:x v="5"/>
    <x:n v="1.26"/>
    <x:n v="3443.2524"/>
    <x:n v="256.6714866492762"/>
    <x:n v="0.07454332614398997"/>
  </x:r>
  <x:r>
    <x:s v="INV-00266"/>
    <x:x v="4"/>
    <x:s v="SUP08"/>
    <x:x v="0"/>
    <x:s v="Components"/>
    <x:d v="2025-08-23T00:00:00Z"/>
    <x:n v="45922"/>
    <x:x v="0"/>
    <x:n v="3306.26"/>
    <x:s v="Historical"/>
    <x:s v="SUP08-INV-00266"/>
    <x:n v="30"/>
    <x:s v="Valencia Circuit Supply"/>
    <x:n v="1.1655"/>
    <x:n v="1.3326091927738395"/>
    <x:n v="0.006428926030117492"/>
    <x:n v="1.1655"/>
    <x:x v="265"/>
    <x:x v="1"/>
    <x:n v="1.088"/>
    <x:n v="3597.2108800000005"/>
    <x:n v="256.2351499999995"/>
    <x:n v="0.07123161764705868"/>
  </x:r>
  <x:r>
    <x:s v="INV-00267"/>
    <x:x v="9"/>
    <x:s v="SUP05"/>
    <x:x v="0"/>
    <x:s v="Components"/>
    <x:d v="2026-07-17T00:00:00Z"/>
    <x:n v="46265"/>
    <x:x v="0"/>
    <x:n v="17065.99"/>
    <x:s v="Historical"/>
    <x:s v="SUP05-INV-00267"/>
    <x:n v="45"/>
    <x:s v="Lyon Industrial Controls"/>
    <x:n v="1.1435"/>
    <x:n v="1.3437448588685985"/>
    <x:n v="0.006159439806086722"/>
    <x:n v="1.1435"/>
    <x:x v="266"/>
    <x:x v="4"/>
    <x:n v="1.101"/>
    <x:n v="18789.654990000003"/>
    <x:n v="725.3045749999983"/>
    <x:n v="0.03860127157129872"/>
  </x:r>
  <x:r>
    <x:s v="INV-00268"/>
    <x:x v="6"/>
    <x:s v="SUP16"/>
    <x:x v="0"/>
    <x:s v="Components"/>
    <x:d v="2025-11-17T00:00:00Z"/>
    <x:n v="46008"/>
    <x:x v="1"/>
    <x:n v="2653155.1"/>
    <x:s v="Historical"/>
    <x:s v="SUP16-INV-00268"/>
    <x:n v="30"/>
    <x:s v="Kyoto Optical Instruments"/>
    <x:n v="1.1593"/>
    <x:n v="1.3181353041500854"/>
    <x:n v="0.0064559781700729525"/>
    <x:n v="0.0064559781700729525"/>
    <x:x v="267"/>
    <x:x v="7"/>
    <x:n v="0.00698"/>
    <x:n v="18519.022598"/>
    <x:n v="-1390.311190582277"/>
    <x:n v="-0.07507476073453394"/>
  </x:r>
  <x:r>
    <x:s v="INV-00269"/>
    <x:x v="12"/>
    <x:s v="SUP17"/>
    <x:x v="1"/>
    <x:s v="Packaging"/>
    <x:d v="2026-04-11T00:00:00Z"/>
    <x:n v="46168"/>
    <x:x v="1"/>
    <x:n v="1147404.61"/>
    <x:s v="Historical"/>
    <x:s v="SUP17-INV-00269"/>
    <x:n v="45"/>
    <x:s v="Kobe Industrial Packaging"/>
    <x:n v="1.1711"/>
    <x:n v="1.344469318638425"/>
    <x:n v="0.006281714316365392"/>
    <x:n v="0.006281714316365392"/>
    <x:x v="268"/>
    <x:x v="0"/>
    <x:n v="0.0066"/>
    <x:n v="7572.870426"/>
    <x:n v="-365.20246069935"/>
    <x:n v="-0.04822510358100111"/>
  </x:r>
  <x:r>
    <x:s v="INV-00270"/>
    <x:x v="5"/>
    <x:s v="SUP09"/>
    <x:x v="0"/>
    <x:s v="Components"/>
    <x:d v="2026-10-20T00:00:00Z"/>
    <x:n v="46345"/>
    <x:x v="2"/>
    <x:n v="17386.09"/>
    <x:s v="Planned"/>
    <x:s v="SUP09-INV-00270"/>
    <x:n v="30"/>
    <x:s v="Thames Electronics Ltd"/>
    <x:n v="1.1177"/>
    <x:n v="1.320456022210408"/>
    <x:n v="0.00632004523607577"/>
    <x:n v="1.320456022210408"/>
    <x:x v="269"/>
    <x:x v="2"/>
    <x:n v="1.315"/>
    <x:n v="22862.70835"/>
    <x:n v="94.8588931921513"/>
    <x:n v="0.004149066319701852"/>
  </x:r>
  <x:r>
    <x:s v="INV-00271"/>
    <x:x v="0"/>
    <x:s v="SUP01"/>
    <x:x v="0"/>
    <x:s v="Components"/>
    <x:d v="2025-03-09T00:00:00Z"/>
    <x:n v="45755"/>
    <x:x v="0"/>
    <x:n v="17516.01"/>
    <x:s v="Historical"/>
    <x:s v="SUP01-INV-00271"/>
    <x:n v="30"/>
    <x:s v="Rhein Circuit Components"/>
    <x:n v="1.1377"/>
    <x:n v="1.3170415475267123"/>
    <x:n v="0.006981039455114438"/>
    <x:n v="1.1377"/>
    <x:x v="270"/>
    <x:x v="3"/>
    <x:n v="1.052"/>
    <x:n v="18426.84252"/>
    <x:n v="1501.1220570000005"/>
    <x:n v="0.08146387832699623"/>
  </x:r>
  <x:r>
    <x:s v="INV-00272"/>
    <x:x v="11"/>
    <x:s v="SUP14"/>
    <x:x v="0"/>
    <x:s v="Equipment"/>
    <x:d v="2025-06-07T00:00:00Z"/>
    <x:n v="45875"/>
    <x:x v="1"/>
    <x:n v="4780895.83"/>
    <x:s v="Historical"/>
    <x:s v="SUP14-INV-00272"/>
    <x:n v="60"/>
    <x:s v="Tokyo Automation Systems"/>
    <x:n v="1.1639"/>
    <x:n v="1.3449272012941993"/>
    <x:n v="0.006763321517810447"/>
    <x:n v="0.006763321517810447"/>
    <x:x v="271"/>
    <x:x v="5"/>
    <x:n v="0.0067"/>
    <x:n v="32032.002061000003"/>
    <x:n v="302.7335804492359"/>
    <x:n v="0.009450972807529373"/>
  </x:r>
  <x:r>
    <x:s v="INV-00273"/>
    <x:x v="4"/>
    <x:s v="SUP08"/>
    <x:x v="0"/>
    <x:s v="Components"/>
    <x:d v="2025-10-17T00:00:00Z"/>
    <x:n v="45977"/>
    <x:x v="0"/>
    <x:n v="8458.95"/>
    <x:s v="Historical"/>
    <x:s v="SUP08-INV-00273"/>
    <x:n v="30"/>
    <x:s v="Valencia Circuit Supply"/>
    <x:n v="1.1681"/>
    <x:n v="1.3434157561817135"/>
    <x:n v="0.006648264086511099"/>
    <x:n v="1.1681"/>
    <x:x v="272"/>
    <x:x v="7"/>
    <x:n v="1.106"/>
    <x:n v="9355.598700000002"/>
    <x:n v="525.3007949999974"/>
    <x:n v="0.05614828209764889"/>
  </x:r>
  <x:r>
    <x:s v="INV-00274"/>
    <x:x v="3"/>
    <x:s v="SUP04"/>
    <x:x v="1"/>
    <x:s v="Packaging"/>
    <x:d v="2026-03-28T00:00:00Z"/>
    <x:n v="46139"/>
    <x:x v="0"/>
    <x:n v="11001.74"/>
    <x:s v="Historical"/>
    <x:s v="SUP04-INV-00274"/>
    <x:n v="30"/>
    <x:s v="Nordlicht Packaging"/>
    <x:n v="1.1517"/>
    <x:n v="1.3280673431734318"/>
    <x:n v="0.006253801042571677"/>
    <x:n v="1.1517"/>
    <x:x v="273"/>
    <x:x v="6"/>
    <x:n v="1.065"/>
    <x:n v="11716.853099999998"/>
    <x:n v="953.8508580000016"/>
    <x:n v="0.0814084507042255"/>
  </x:r>
  <x:r>
    <x:s v="INV-00275"/>
    <x:x v="4"/>
    <x:s v="SUP08"/>
    <x:x v="0"/>
    <x:s v="Components"/>
    <x:d v="2026-09-07T00:00:00Z"/>
    <x:n v="46302"/>
    <x:x v="0"/>
    <x:n v="16921.79"/>
    <x:s v="Historical"/>
    <x:s v="SUP08-INV-00275"/>
    <x:n v="30"/>
    <x:s v="Valencia Circuit Supply"/>
    <x:n v="1.1622"/>
    <x:n v="1.3530630777469903"/>
    <x:n v="0.0064620517097581315"/>
    <x:n v="1.1622"/>
    <x:x v="274"/>
    <x:x v="4"/>
    <x:n v="1.101"/>
    <x:n v="18630.89079"/>
    <x:n v="1035.6135479999975"/>
    <x:n v="0.05558583106267016"/>
  </x:r>
  <x:r>
    <x:s v="INV-00276"/>
    <x:x v="5"/>
    <x:s v="SUP09"/>
    <x:x v="0"/>
    <x:s v="Components"/>
    <x:d v="2025-04-14T00:00:00Z"/>
    <x:n v="45791"/>
    <x:x v="2"/>
    <x:n v="4096.48"/>
    <x:s v="Historical"/>
    <x:s v="SUP09-INV-00276"/>
    <x:n v="30"/>
    <x:s v="Thames Electronics Ltd"/>
    <x:n v="1.1377"/>
    <x:n v="1.3170415475267123"/>
    <x:n v="0.006981039455114438"/>
    <x:n v="1.3170415475267123"/>
    <x:x v="275"/>
    <x:x v="5"/>
    <x:n v="1.26"/>
    <x:n v="5161.564799999999"/>
    <x:n v="233.66955861222687"/>
    <x:n v="0.04527106946564478"/>
  </x:r>
  <x:r>
    <x:s v="INV-00277"/>
    <x:x v="13"/>
    <x:s v="SUP11"/>
    <x:x v="2"/>
    <x:s v="Software"/>
    <x:d v="2025-04-17T00:00:00Z"/>
    <x:n v="45794"/>
    <x:x v="2"/>
    <x:n v="6487.03"/>
    <x:s v="Historical"/>
    <x:s v="SUP11-INV-00277"/>
    <x:n v="30"/>
    <x:s v="Manchester Cloud Solutions"/>
    <x:n v="1.136"/>
    <x:n v="1.322883793509019"/>
    <x:n v="0.00701321150759353"/>
    <x:n v="1.322883793509019"/>
    <x:x v="276"/>
    <x:x v="5"/>
    <x:n v="1.26"/>
    <x:n v="8173.6578"/>
    <x:n v="407.9290550068117"/>
    <x:n v="0.04990777262620558"/>
  </x:r>
  <x:r>
    <x:s v="INV-00278"/>
    <x:x v="0"/>
    <x:s v="SUP01"/>
    <x:x v="0"/>
    <x:s v="Components"/>
    <x:d v="2025-10-08T00:00:00Z"/>
    <x:n v="45968"/>
    <x:x v="0"/>
    <x:n v="41501.9"/>
    <x:s v="Historical"/>
    <x:s v="SUP01-INV-00278"/>
    <x:n v="30"/>
    <x:s v="Rhein Circuit Components"/>
    <x:n v="1.1627"/>
    <x:n v="1.3409064698420021"/>
    <x:n v="0.006549315608629528"/>
    <x:n v="1.1627"/>
    <x:x v="277"/>
    <x:x v="7"/>
    <x:n v="1.106"/>
    <x:n v="45901.10140000001"/>
    <x:n v="2353.157729999999"/>
    <x:n v="0.051265822784810094"/>
  </x:r>
  <x:r>
    <x:s v="INV-00279"/>
    <x:x v="16"/>
    <x:s v="SUP12"/>
    <x:x v="0"/>
    <x:s v="Components"/>
    <x:d v="2026-01-14T00:00:00Z"/>
    <x:n v="46096"/>
    <x:x v="2"/>
    <x:n v="6408.87"/>
    <x:s v="Historical"/>
    <x:s v="SUP12-INV-00279"/>
    <x:n v="60"/>
    <x:s v="Oxford Technical Materials"/>
    <x:n v="1.1651"/>
    <x:n v="1.3441393631748961"/>
    <x:n v="0.00630397143166324"/>
    <x:n v="1.3441393631748961"/>
    <x:x v="278"/>
    <x:x v="6"/>
    <x:n v="1.249"/>
    <x:n v="8004.67863"/>
    <x:n v="609.7358104706964"/>
    <x:n v="0.07617242848270304"/>
  </x:r>
  <x:r>
    <x:s v="INV-00280"/>
    <x:x v="5"/>
    <x:s v="SUP09"/>
    <x:x v="0"/>
    <x:s v="Components"/>
    <x:d v="2026-05-24T00:00:00Z"/>
    <x:n v="46196"/>
    <x:x v="2"/>
    <x:n v="30359.47"/>
    <x:s v="Historical"/>
    <x:s v="SUP09-INV-00280"/>
    <x:n v="30"/>
    <x:s v="Thames Electronics Ltd"/>
    <x:n v="1.1595"/>
    <x:n v="1.3417343608970353"/>
    <x:n v="0.006283531133149081"/>
    <x:n v="1.3417343608970353"/>
    <x:x v="279"/>
    <x:x v="0"/>
    <x:n v="1.271"/>
    <x:n v="38586.88637"/>
    <x:n v="2147.4577076227215"/>
    <x:n v="0.05565252627618841"/>
  </x:r>
  <x:r>
    <x:s v="INV-00281"/>
    <x:x v="14"/>
    <x:s v="SUP07"/>
    <x:x v="0"/>
    <x:s v="Equipment"/>
    <x:d v="2026-11-09T00:00:00Z"/>
    <x:n v="46395"/>
    <x:x v="0"/>
    <x:n v="72033.21"/>
    <x:s v="Planned"/>
    <x:s v="SUP07-INV-00281"/>
    <x:n v="60"/>
    <x:s v="Milan Assembly Robotics"/>
    <x:n v="1.1177"/>
    <x:n v="1.320456022210408"/>
    <x:n v="0.00632004523607577"/>
    <x:n v="1.1177"/>
    <x:x v="280"/>
    <x:x v="2"/>
    <x:n v="1.119"/>
    <x:n v="80605.16199000001"/>
    <x:n v="-93.64317300000403"/>
    <x:n v="-0.001161751563896386"/>
  </x:r>
  <x:r>
    <x:s v="INV-00282"/>
    <x:x v="5"/>
    <x:s v="SUP09"/>
    <x:x v="0"/>
    <x:s v="Components"/>
    <x:d v="2026-03-08T00:00:00Z"/>
    <x:n v="46119"/>
    <x:x v="2"/>
    <x:n v="22175.29"/>
    <x:s v="Historical"/>
    <x:s v="SUP09-INV-00282"/>
    <x:n v="30"/>
    <x:s v="Thames Electronics Ltd"/>
    <x:n v="1.1555"/>
    <x:n v="1.3367963164349013"/>
    <x:n v="0.006298375667720483"/>
    <x:n v="1.3367963164349013"/>
    <x:x v="281"/>
    <x:x v="6"/>
    <x:n v="1.249"/>
    <x:n v="27696.937210000004"/>
    <x:n v="1946.9087778756984"/>
    <x:n v="0.0702932877781434"/>
  </x:r>
  <x:r>
    <x:s v="INV-00283"/>
    <x:x v="14"/>
    <x:s v="SUP07"/>
    <x:x v="0"/>
    <x:s v="Equipment"/>
    <x:d v="2026-07-14T00:00:00Z"/>
    <x:n v="46277"/>
    <x:x v="0"/>
    <x:n v="37820.66"/>
    <x:s v="Historical"/>
    <x:s v="SUP07-INV-00283"/>
    <x:n v="60"/>
    <x:s v="Milan Assembly Robotics"/>
    <x:n v="1.1405"/>
    <x:n v="1.338379393299302"/>
    <x:n v="0.006164531646938004"/>
    <x:n v="1.1405"/>
    <x:x v="282"/>
    <x:x v="4"/>
    <x:n v="1.101"/>
    <x:n v="41640.54666"/>
    <x:n v="1493.9160700000066"/>
    <x:n v="0.035876475930972"/>
  </x:r>
  <x:r>
    <x:s v="INV-00284"/>
    <x:x v="17"/>
    <x:s v="SUP06"/>
    <x:x v="2"/>
    <x:s v="Software"/>
    <x:d v="2025-09-24T00:00:00Z"/>
    <x:n v="45954"/>
    <x:x v="0"/>
    <x:n v="9777.81"/>
    <x:s v="Historical"/>
    <x:s v="SUP06-INV-00284"/>
    <x:n v="30"/>
    <x:s v="Dublin Systems Licensing"/>
    <x:n v="1.1756"/>
    <x:n v="1.3464666132172718"/>
    <x:n v="0.006736576700475618"/>
    <x:n v="1.1756"/>
    <x:x v="283"/>
    <x:x v="1"/>
    <x:n v="1.088"/>
    <x:n v="10638.25728"/>
    <x:n v="856.5361560000001"/>
    <x:n v="0.08051470588235296"/>
  </x:r>
  <x:r>
    <x:s v="INV-00285"/>
    <x:x v="5"/>
    <x:s v="SUP09"/>
    <x:x v="0"/>
    <x:s v="Components"/>
    <x:d v="2026-01-24T00:00:00Z"/>
    <x:n v="46076"/>
    <x:x v="2"/>
    <x:n v="31609.21"/>
    <x:s v="Historical"/>
    <x:s v="SUP09-INV-00285"/>
    <x:n v="30"/>
    <x:s v="Thames Electronics Ltd"/>
    <x:n v="1.1555"/>
    <x:n v="1.3367963164349013"/>
    <x:n v="0.006298375667720483"/>
    <x:n v="1.3367963164349013"/>
    <x:x v="284"/>
    <x:x v="6"/>
    <x:n v="1.249"/>
    <x:n v="39479.90329"/>
    <x:n v="2775.1722034172417"/>
    <x:n v="0.07029328777814343"/>
  </x:r>
  <x:r>
    <x:s v="INV-00286"/>
    <x:x v="6"/>
    <x:s v="SUP16"/>
    <x:x v="0"/>
    <x:s v="Components"/>
    <x:d v="2026-09-18T00:00:00Z"/>
    <x:n v="46313"/>
    <x:x v="1"/>
    <x:n v="3839562.82"/>
    <x:s v="Historical"/>
    <x:s v="SUP16-INV-00286"/>
    <x:n v="30"/>
    <x:s v="Kyoto Optical Instruments"/>
    <x:n v="1.146"/>
    <x:n v="1.3344201210992082"/>
    <x:n v="0.006333591245716812"/>
    <x:n v="0.006333591245716812"/>
    <x:x v="285"/>
    <x:x v="4"/>
    <x:n v="0.00674"/>
    <x:n v="25878.6534068"/>
    <x:n v="-1560.431942668245"/>
    <x:n v="-0.060298034760116935"/>
  </x:r>
  <x:r>
    <x:s v="INV-00287"/>
    <x:x v="6"/>
    <x:s v="SUP16"/>
    <x:x v="0"/>
    <x:s v="Components"/>
    <x:d v="2025-07-09T00:00:00Z"/>
    <x:n v="45877"/>
    <x:x v="1"/>
    <x:n v="2452158.31"/>
    <x:s v="Historical"/>
    <x:s v="SUP16-INV-00287"/>
    <x:n v="30"/>
    <x:s v="Kyoto Optical Instruments"/>
    <x:n v="1.1698"/>
    <x:n v="1.3581794961105307"/>
    <x:n v="0.006815824739264697"/>
    <x:n v="0.006815824739264697"/>
    <x:x v="286"/>
    <x:x v="1"/>
    <x:n v="0.00684"/>
    <x:n v="16772.7628404"/>
    <x:n v="-59.28156650848905"/>
    <x:n v="-0.0035343948443424898"/>
  </x:r>
  <x:r>
    <x:s v="INV-00288"/>
    <x:x v="11"/>
    <x:s v="SUP14"/>
    <x:x v="0"/>
    <x:s v="Equipment"/>
    <x:d v="2025-12-24T00:00:00Z"/>
    <x:n v="46075"/>
    <x:x v="1"/>
    <x:n v="3610222.04"/>
    <x:s v="Historical"/>
    <x:s v="SUP14-INV-00288"/>
    <x:n v="60"/>
    <x:s v="Tokyo Automation Systems"/>
    <x:n v="1.1787"/>
    <x:n v="1.350326497880628"/>
    <x:n v="0.006411902301039003"/>
    <x:n v="0.006411902301039003"/>
    <x:x v="287"/>
    <x:x v="7"/>
    <x:n v="0.00698"/>
    <x:n v="25199.3498392"/>
    <x:n v="-2050.9588336622764"/>
    <x:n v="-0.0813893551520053"/>
  </x:r>
  <x:r>
    <x:s v="INV-00289"/>
    <x:x v="5"/>
    <x:s v="SUP09"/>
    <x:x v="0"/>
    <x:s v="Components"/>
    <x:d v="2026-12-15T00:00:00Z"/>
    <x:n v="46401"/>
    <x:x v="2"/>
    <x:n v="36123.78"/>
    <x:s v="Planned"/>
    <x:s v="SUP09-INV-00289"/>
    <x:n v="30"/>
    <x:s v="Thames Electronics Ltd"/>
    <x:n v="1.1177"/>
    <x:n v="1.320456022210408"/>
    <x:n v="0.00632004523607577"/>
    <x:n v="1.320456022210408"/>
    <x:x v="288"/>
    <x:x v="2"/>
    <x:n v="1.315"/>
    <x:n v="47502.770699999994"/>
    <x:n v="197.09214600389532"/>
    <x:n v="0.004149066319701965"/>
  </x:r>
  <x:r>
    <x:s v="INV-00290"/>
    <x:x v="3"/>
    <x:s v="SUP04"/>
    <x:x v="1"/>
    <x:s v="Packaging"/>
    <x:d v="2026-04-05T00:00:00Z"/>
    <x:n v="46147"/>
    <x:x v="0"/>
    <x:n v="2124.56"/>
    <x:s v="Historical"/>
    <x:s v="SUP04-INV-00290"/>
    <x:n v="30"/>
    <x:s v="Nordlicht Packaging"/>
    <x:n v="1.1525"/>
    <x:n v="1.3208714886594157"/>
    <x:n v="0.006265630096770686"/>
    <x:n v="1.1525"/>
    <x:x v="289"/>
    <x:x v="0"/>
    <x:n v="1.083"/>
    <x:n v="2300.89848"/>
    <x:n v="147.65692000000035"/>
    <x:n v="0.06417359187442306"/>
  </x:r>
  <x:r>
    <x:s v="INV-00291"/>
    <x:x v="6"/>
    <x:s v="SUP16"/>
    <x:x v="0"/>
    <x:s v="Components"/>
    <x:d v="2026-10-26T00:00:00Z"/>
    <x:n v="46351"/>
    <x:x v="1"/>
    <x:n v="2173261.19"/>
    <x:s v="Planned"/>
    <x:s v="SUP16-INV-00291"/>
    <x:n v="30"/>
    <x:s v="Kyoto Optical Instruments"/>
    <x:n v="1.1177"/>
    <x:n v="1.320456022210408"/>
    <x:n v="0.00632004523607577"/>
    <x:n v="0.00632004523607577"/>
    <x:x v="290"/>
    <x:x v="2"/>
    <x:n v="0.00688"/>
    <x:n v="14952.0369872"/>
    <x:n v="-1216.9279565921406"/>
    <x:n v="-0.08138877382619619"/>
  </x:r>
  <x:r>
    <x:s v="INV-00292"/>
    <x:x v="6"/>
    <x:s v="SUP16"/>
    <x:x v="0"/>
    <x:s v="Components"/>
    <x:d v="2026-12-09T00:00:00Z"/>
    <x:n v="46395"/>
    <x:x v="1"/>
    <x:n v="4242148.76"/>
    <x:s v="Planned"/>
    <x:s v="SUP16-INV-00292"/>
    <x:n v="30"/>
    <x:s v="Kyoto Optical Instruments"/>
    <x:n v="1.1177"/>
    <x:n v="1.320456022210408"/>
    <x:n v="0.00632004523607577"/>
    <x:n v="0.00632004523607577"/>
    <x:x v="291"/>
    <x:x v="2"/>
    <x:n v="0.00688"/>
    <x:n v="29185.983468799997"/>
    <x:n v="-2375.411407437263"/>
    <x:n v="-0.08138877382619615"/>
  </x:r>
  <x:r>
    <x:s v="INV-00293"/>
    <x:x v="4"/>
    <x:s v="SUP08"/>
    <x:x v="0"/>
    <x:s v="Components"/>
    <x:d v="2025-04-30T00:00:00Z"/>
    <x:n v="45807"/>
    <x:x v="0"/>
    <x:n v="14071.68"/>
    <x:s v="Historical"/>
    <x:s v="SUP08-INV-00293"/>
    <x:n v="30"/>
    <x:s v="Valencia Circuit Supply"/>
    <x:n v="1.1373"/>
    <x:n v="1.3351725757220005"/>
    <x:n v="0.006991025325792967"/>
    <x:n v="1.1373"/>
    <x:x v="292"/>
    <x:x v="5"/>
    <x:n v="1.07"/>
    <x:n v="15056.697600000001"/>
    <x:n v="947.0240639999993"/>
    <x:n v="0.06289719626168219"/>
  </x:r>
  <x:r>
    <x:s v="INV-00294"/>
    <x:x v="3"/>
    <x:s v="SUP04"/>
    <x:x v="1"/>
    <x:s v="Packaging"/>
    <x:d v="2025-05-29T00:00:00Z"/>
    <x:n v="45836"/>
    <x:x v="0"/>
    <x:n v="2488.75"/>
    <x:s v="Historical"/>
    <x:s v="SUP04-INV-00294"/>
    <x:n v="30"/>
    <x:s v="Nordlicht Packaging"/>
    <x:n v="1.1281"/>
    <x:n v="1.3466634833472604"/>
    <x:n v="0.006900960420872332"/>
    <x:n v="1.1281"/>
    <x:x v="293"/>
    <x:x v="5"/>
    <x:n v="1.07"/>
    <x:n v="2662.9625"/>
    <x:n v="144.59637500000008"/>
    <x:n v="0.054299065420560774"/>
  </x:r>
  <x:r>
    <x:s v="INV-00295"/>
    <x:x v="11"/>
    <x:s v="SUP14"/>
    <x:x v="0"/>
    <x:s v="Equipment"/>
    <x:d v="2026-09-24T00:00:00Z"/>
    <x:n v="46349"/>
    <x:x v="1"/>
    <x:n v="8932739.9"/>
    <x:s v="Historical"/>
    <x:s v="SUP14-INV-00295"/>
    <x:n v="60"/>
    <x:s v="Tokyo Automation Systems"/>
    <x:n v="1.1367"/>
    <x:n v="1.3219593887377017"/>
    <x:n v="0.00629506562551919"/>
    <x:n v="0.00629506562551919"/>
    <x:x v="294"/>
    <x:x v="4"/>
    <x:n v="0.00674"/>
    <x:n v="60206.666926000005"/>
    <x:n v="-3974.483039806277"/>
    <x:n v="-0.06601400214848818"/>
  </x:r>
  <x:r>
    <x:s v="INV-00296"/>
    <x:x v="13"/>
    <x:s v="SUP11"/>
    <x:x v="2"/>
    <x:s v="Software"/>
    <x:d v="2026-05-20T00:00:00Z"/>
    <x:n v="46192"/>
    <x:x v="2"/>
    <x:n v="4457.61"/>
    <x:s v="Historical"/>
    <x:s v="SUP11-INV-00296"/>
    <x:n v="30"/>
    <x:s v="Manchester Cloud Solutions"/>
    <x:n v="1.16"/>
    <x:n v="1.340188319565594"/>
    <x:n v="0.006287944492627927"/>
    <x:n v="1.340188319565594"/>
    <x:x v="295"/>
    <x:x v="0"/>
    <x:n v="1.271"/>
    <x:n v="5665.622309999999"/>
    <x:n v="308.4145451787881"/>
    <x:n v="0.05443612869047534"/>
  </x:r>
  <x:r>
    <x:s v="INV-00297"/>
    <x:x v="4"/>
    <x:s v="SUP08"/>
    <x:x v="0"/>
    <x:s v="Components"/>
    <x:d v="2026-10-04T00:00:00Z"/>
    <x:n v="46329"/>
    <x:x v="0"/>
    <x:n v="9372.51"/>
    <x:s v="Planned"/>
    <x:s v="SUP08-INV-00297"/>
    <x:n v="30"/>
    <x:s v="Valencia Circuit Supply"/>
    <x:n v="1.1225"/>
    <x:n v="1.3200757353027648"/>
    <x:n v="0.006342166224080456"/>
    <x:n v="1.1225"/>
    <x:x v="296"/>
    <x:x v="2"/>
    <x:n v="1.119"/>
    <x:n v="10487.83869"/>
    <x:n v="32.80378500000006"/>
    <x:n v="0.003127792672028603"/>
  </x:r>
  <x:r>
    <x:s v="INV-00298"/>
    <x:x v="5"/>
    <x:s v="SUP09"/>
    <x:x v="0"/>
    <x:s v="Components"/>
    <x:d v="2025-03-27T00:00:00Z"/>
    <x:n v="45773"/>
    <x:x v="2"/>
    <x:n v="42311.57"/>
    <x:s v="Historical"/>
    <x:s v="SUP09-INV-00298"/>
    <x:n v="30"/>
    <x:s v="Thames Electronics Ltd"/>
    <x:n v="1.0785"/>
    <x:n v="1.2944381766244988"/>
    <x:n v="0.00663488157490003"/>
    <x:n v="1.2944381766244988"/>
    <x:x v="297"/>
    <x:x v="3"/>
    <x:n v="1.238"/>
    <x:n v="52381.723659999996"/>
    <x:n v="2387.9878609198495"/>
    <x:n v="0.04558818790347247"/>
  </x:r>
  <x:r>
    <x:s v="INV-00299"/>
    <x:x v="1"/>
    <x:s v="SUP15"/>
    <x:x v="1"/>
    <x:s v="Freight"/>
    <x:d v="2026-02-12T00:00:00Z"/>
    <x:n v="46095"/>
    <x:x v="1"/>
    <x:n v="1738652.36"/>
    <x:s v="Historical"/>
    <x:s v="SUP15-INV-00299"/>
    <x:n v="30"/>
    <x:s v="Nagoya Logistics Partners"/>
    <x:n v="1.1874"/>
    <x:n v="1.3631041212260362"/>
    <x:n v="0.006505588428665351"/>
    <x:n v="0.006505588428665351"/>
    <x:x v="298"/>
    <x:x v="6"/>
    <x:n v="0.00646"/>
    <x:n v="11231.6942456"/>
    <x:n v="79.26242908770473"/>
    <x:n v="0.007057032301137976"/>
  </x:r>
  <x:r>
    <x:s v="INV-00300"/>
    <x:x v="7"/>
    <x:s v="SUP03"/>
    <x:x v="0"/>
    <x:s v="Components"/>
    <x:d v="2025-11-12T00:00:00Z"/>
    <x:n v="46003"/>
    <x:x v="0"/>
    <x:n v="22309.34"/>
    <x:s v="Historical"/>
    <x:s v="SUP03-INV-00300"/>
    <x:n v="30"/>
    <x:s v="Benelux Sensor Works"/>
    <x:n v="1.1576"/>
    <x:n v="1.312025388189958"/>
    <x:n v="0.006460181929795189"/>
    <x:n v="1.1576"/>
    <x:x v="299"/>
    <x:x v="7"/>
    <x:n v="1.106"/>
    <x:n v="24674.130040000004"/>
    <x:n v="1151.1619439999959"/>
    <x:n v="0.04665461121157306"/>
  </x:r>
  <x:r>
    <x:s v="INV-00301"/>
    <x:x v="11"/>
    <x:s v="SUP14"/>
    <x:x v="0"/>
    <x:s v="Equipment"/>
    <x:d v="2025-03-10T00:00:00Z"/>
    <x:n v="45786"/>
    <x:x v="1"/>
    <x:n v="14253941.93"/>
    <x:s v="Historical"/>
    <x:s v="SUP14-INV-00301"/>
    <x:n v="60"/>
    <x:s v="Tokyo Automation Systems"/>
    <x:n v="1.0845"/>
    <x:n v="1.2933964626888812"/>
    <x:n v="0.006804065499717674"/>
    <x:n v="0.006804065499717674"/>
    <x:x v="300"/>
    <x:x v="3"/>
    <x:n v="0.00656"/>
    <x:n v="93505.8590608"/>
    <x:n v="3478.895460092157"/>
    <x:n v="0.03720510666427958"/>
  </x:r>
  <x:r>
    <x:s v="INV-00302"/>
    <x:x v="5"/>
    <x:s v="SUP09"/>
    <x:x v="0"/>
    <x:s v="Components"/>
    <x:d v="2025-02-03T00:00:00Z"/>
    <x:n v="45721"/>
    <x:x v="2"/>
    <x:n v="14280.91"/>
    <x:s v="Historical"/>
    <x:s v="SUP09-INV-00302"/>
    <x:n v="30"/>
    <x:s v="Thames Electronics Ltd"/>
    <x:n v="1.0274"/>
    <x:n v="1.2358063895304081"/>
    <x:n v="0.006466922641153144"/>
    <x:n v="1.2358063895304081"/>
    <x:x v="301"/>
    <x:x v="3"/>
    <x:n v="1.238"/>
    <x:n v="17679.76658"/>
    <x:n v="-31.326753691300837"/>
    <x:n v="-0.0017718986022552362"/>
  </x:r>
  <x:r>
    <x:s v="INV-00303"/>
    <x:x v="9"/>
    <x:s v="SUP05"/>
    <x:x v="0"/>
    <x:s v="Components"/>
    <x:d v="2025-02-11T00:00:00Z"/>
    <x:n v="45744"/>
    <x:x v="0"/>
    <x:n v="7880.56"/>
    <x:s v="Historical"/>
    <x:s v="SUP05-INV-00303"/>
    <x:n v="45"/>
    <x:s v="Lyon Industrial Controls"/>
    <x:n v="1.0324"/>
    <x:n v="1.238557974926519"/>
    <x:n v="0.0065640895218718204"/>
    <x:n v="1.0324"/>
    <x:x v="302"/>
    <x:x v="3"/>
    <x:n v="1.052"/>
    <x:n v="8290.34912"/>
    <x:n v="-154.4589760000008"/>
    <x:n v="-0.01863117870722443"/>
  </x:r>
  <x:r>
    <x:s v="INV-00304"/>
    <x:x v="13"/>
    <x:s v="SUP11"/>
    <x:x v="2"/>
    <x:s v="Software"/>
    <x:d v="2025-06-30T00:00:00Z"/>
    <x:n v="45868"/>
    <x:x v="2"/>
    <x:n v="5095.06"/>
    <x:s v="Historical"/>
    <x:s v="SUP11-INV-00304"/>
    <x:n v="30"/>
    <x:s v="Manchester Cloud Solutions"/>
    <x:n v="1.172"/>
    <x:n v="1.3699590882524837"/>
    <x:n v="0.006927942306555536"/>
    <x:n v="1.3699590882524837"/>
    <x:x v="303"/>
    <x:x v="5"/>
    <x:n v="1.26"/>
    <x:n v="6419.775600000001"/>
    <x:n v="560.2481521916989"/>
    <x:n v="0.08726911766070122"/>
  </x:r>
  <x:r>
    <x:s v="INV-00305"/>
    <x:x v="15"/>
    <x:s v="SUP18"/>
    <x:x v="1"/>
    <x:s v="Services"/>
    <x:d v="2025-07-19T00:00:00Z"/>
    <x:n v="45887"/>
    <x:x v="1"/>
    <x:n v="1635368.43"/>
    <x:s v="Historical"/>
    <x:s v="SUP18-INV-00305"/>
    <x:n v="30"/>
    <x:s v="Yokohama Engineering Labs"/>
    <x:n v="1.1655"/>
    <x:n v="1.3410424577148774"/>
    <x:n v="0.006633088611917364"/>
    <x:n v="0.006633088611917364"/>
    <x:x v="304"/>
    <x:x v="1"/>
    <x:n v="0.00684"/>
    <x:n v="11185.920061199999"/>
    <x:n v="-338.37635187782143"/>
    <x:n v="-0.030250202936057926"/>
  </x:r>
  <x:r>
    <x:s v="INV-00306"/>
    <x:x v="3"/>
    <x:s v="SUP04"/>
    <x:x v="1"/>
    <x:s v="Packaging"/>
    <x:d v="2026-09-03T00:00:00Z"/>
    <x:n v="46298"/>
    <x:x v="0"/>
    <x:n v="2088.75"/>
    <x:s v="Historical"/>
    <x:s v="SUP04-INV-00306"/>
    <x:n v="30"/>
    <x:s v="Nordlicht Packaging"/>
    <x:n v="1.1615"/>
    <x:n v="1.349718203474522"/>
    <x:n v="0.006409690414436289"/>
    <x:n v="1.1615"/>
    <x:x v="305"/>
    <x:x v="4"/>
    <x:n v="1.101"/>
    <x:n v="2299.71375"/>
    <x:n v="126.36937500000022"/>
    <x:n v="0.05495004541326077"/>
  </x:r>
  <x:r>
    <x:s v="INV-00307"/>
    <x:x v="3"/>
    <x:s v="SUP04"/>
    <x:x v="1"/>
    <x:s v="Packaging"/>
    <x:d v="2026-09-19T00:00:00Z"/>
    <x:n v="46314"/>
    <x:x v="0"/>
    <x:n v="7658.05"/>
    <x:s v="Historical"/>
    <x:s v="SUP04-INV-00307"/>
    <x:n v="30"/>
    <x:s v="Nordlicht Packaging"/>
    <x:n v="1.146"/>
    <x:n v="1.3344201210992082"/>
    <x:n v="0.006333591245716812"/>
    <x:n v="1.146"/>
    <x:x v="306"/>
    <x:x v="4"/>
    <x:n v="1.101"/>
    <x:n v="8431.51305"/>
    <x:n v="344.61225000000013"/>
    <x:n v="0.04087193460490465"/>
  </x:r>
  <x:r>
    <x:s v="INV-00308"/>
    <x:x v="16"/>
    <x:s v="SUP12"/>
    <x:x v="0"/>
    <x:s v="Components"/>
    <x:d v="2025-10-22T00:00:00Z"/>
    <x:n v="46012"/>
    <x:x v="2"/>
    <x:n v="25439.48"/>
    <x:s v="Historical"/>
    <x:s v="SUP12-INV-00308"/>
    <x:n v="60"/>
    <x:s v="Oxford Technical Materials"/>
    <x:n v="1.1587"/>
    <x:n v="1.333525146737254"/>
    <x:n v="0.0065865165984538435"/>
    <x:n v="1.333525146737254"/>
    <x:x v="307"/>
    <x:x v="7"/>
    <x:n v="1.304"/>
    <x:n v="33173.081920000004"/>
    <x:n v="751.1043799194304"/>
    <x:n v="0.022641983694212945"/>
  </x:r>
  <x:r>
    <x:s v="INV-00309"/>
    <x:x v="14"/>
    <x:s v="SUP07"/>
    <x:x v="0"/>
    <x:s v="Equipment"/>
    <x:d v="2026-02-06T00:00:00Z"/>
    <x:n v="46119"/>
    <x:x v="0"/>
    <x:n v="56816.59"/>
    <x:s v="Historical"/>
    <x:s v="SUP07-INV-00309"/>
    <x:n v="60"/>
    <x:s v="Milan Assembly Robotics"/>
    <x:n v="1.1794"/>
    <x:n v="1.358912317087222"/>
    <x:n v="0.0063658444432449935"/>
    <x:n v="1.1794"/>
    <x:x v="308"/>
    <x:x v="6"/>
    <x:n v="1.065"/>
    <x:n v="60509.66834999999"/>
    <x:n v="6499.817896000008"/>
    <x:n v="0.10741784037558699"/>
  </x:r>
  <x:r>
    <x:s v="INV-00310"/>
    <x:x v="6"/>
    <x:s v="SUP16"/>
    <x:x v="0"/>
    <x:s v="Components"/>
    <x:d v="2026-07-04T00:00:00Z"/>
    <x:n v="46237"/>
    <x:x v="1"/>
    <x:n v="1169908.44"/>
    <x:s v="Historical"/>
    <x:s v="SUP16-INV-00310"/>
    <x:n v="30"/>
    <x:s v="Kyoto Optical Instruments"/>
    <x:n v="1.1448"/>
    <x:n v="1.3355109659356044"/>
    <x:n v="0.006205550737207286"/>
    <x:n v="0.006205550737207286"/>
    <x:x v="309"/>
    <x:x v="4"/>
    <x:n v="0.00674"/>
    <x:n v="7885.1828856"/>
    <x:n v="-625.2567032929746"/>
    <x:n v="-0.07929514284758375"/>
  </x:r>
  <x:r>
    <x:s v="INV-00311"/>
    <x:x v="9"/>
    <x:s v="SUP05"/>
    <x:x v="0"/>
    <x:s v="Components"/>
    <x:d v="2026-12-13T00:00:00Z"/>
    <x:n v="46414"/>
    <x:x v="0"/>
    <x:n v="9516.27"/>
    <x:s v="Planned"/>
    <x:s v="SUP05-INV-00311"/>
    <x:n v="45"/>
    <x:s v="Lyon Industrial Controls"/>
    <x:n v="1.1177"/>
    <x:n v="1.320456022210408"/>
    <x:n v="0.00632004523607577"/>
    <x:n v="1.1177"/>
    <x:x v="310"/>
    <x:x v="2"/>
    <x:n v="1.119"/>
    <x:n v="10648.70613"/>
    <x:n v="-12.371151000001191"/>
    <x:n v="-0.001161751563896448"/>
  </x:r>
  <x:r>
    <x:s v="INV-00312"/>
    <x:x v="1"/>
    <x:s v="SUP15"/>
    <x:x v="1"/>
    <x:s v="Freight"/>
    <x:d v="2026-12-25T00:00:00Z"/>
    <x:n v="46411"/>
    <x:x v="1"/>
    <x:n v="486839.99"/>
    <x:s v="Planned"/>
    <x:s v="SUP15-INV-00312"/>
    <x:n v="30"/>
    <x:s v="Nagoya Logistics Partners"/>
    <x:n v="1.1177"/>
    <x:n v="1.320456022210408"/>
    <x:n v="0.00632004523607577"/>
    <x:n v="0.00632004523607577"/>
    <x:x v="311"/>
    <x:x v="2"/>
    <x:n v="0.00688"/>
    <x:n v="3349.4591312"/>
    <x:n v="-272.60837166932424"/>
    <x:n v="-0.08138877382619615"/>
  </x:r>
  <x:r>
    <x:s v="INV-00312"/>
    <x:x v="11"/>
    <x:s v="SUP14"/>
    <x:x v="0"/>
    <x:s v="Equipment"/>
    <x:d v="2025-06-28T00:00:00Z"/>
    <x:n v="45896"/>
    <x:x v="1"/>
    <x:n v="11211875.68"/>
    <x:s v="Historical"/>
    <x:s v="SUP14-INV-00312"/>
    <x:n v="60"/>
    <x:s v="Tokyo Automation Systems"/>
    <x:n v="1.1736"/>
    <x:n v="1.3477262287551677"/>
    <x:n v="0.00675297773174521"/>
    <x:n v="0.00675297773174521"/>
    <x:x v="312"/>
    <x:x v="5"/>
    <x:n v="0.0067"/>
    <x:n v="75119.567056"/>
    <x:n v="593.979742135678"/>
    <x:n v="0.00790712414107604"/>
  </x:r>
  <x:r>
    <x:s v="INV-00313"/>
    <x:x v="2"/>
    <x:s v="SUP10"/>
    <x:x v="1"/>
    <x:s v="Services"/>
    <x:d v="2025-05-22T00:00:00Z"/>
    <x:n v="45844"/>
    <x:x v="2"/>
    <x:n v="1893.21"/>
    <x:s v="Historical"/>
    <x:s v="SUP10-INV-00313"/>
    <x:n v="45"/>
    <x:s v="Bristol Calibration Services"/>
    <x:n v="1.1309"/>
    <x:n v="1.341995965349472"/>
    <x:n v="0.006972686355508971"/>
    <x:n v="1.341995965349472"/>
    <x:x v="313"/>
    <x:x v="5"/>
    <x:n v="1.26"/>
    <x:n v="2385.4446000000003"/>
    <x:n v="155.23558155927367"/>
    <x:n v="0.06507616297577133"/>
  </x:r>
  <x:r>
    <x:s v="INV-00314"/>
    <x:x v="13"/>
    <x:s v="SUP11"/>
    <x:x v="2"/>
    <x:s v="Software"/>
    <x:d v="2025-08-07T00:00:00Z"/>
    <x:n v="45906"/>
    <x:x v="2"/>
    <x:n v="5439.22"/>
    <x:s v="Historical"/>
    <x:s v="SUP11-INV-00314"/>
    <x:n v="30"/>
    <x:s v="Manchester Cloud Solutions"/>
    <x:n v="1.1643"/>
    <x:n v="1.3424420615703907"/>
    <x:n v="0.006784965034965035"/>
    <x:n v="1.3424420615703907"/>
    <x:x v="314"/>
    <x:x v="1"/>
    <x:n v="1.282"/>
    <x:n v="6973.080040000001"/>
    <x:n v="328.75767013489985"/>
    <x:n v="0.04714669389266035"/>
  </x:r>
  <x:r>
    <x:s v="INV-00315"/>
    <x:x v="0"/>
    <x:s v="SUP01"/>
    <x:x v="0"/>
    <x:s v="Components"/>
    <x:d v="2026-11-27T00:00:00Z"/>
    <x:n v="46383"/>
    <x:x v="0"/>
    <x:n v="22998.89"/>
    <x:s v="Planned"/>
    <x:s v="SUP01-INV-00315"/>
    <x:n v="30"/>
    <x:s v="Rhein Circuit Components"/>
    <x:n v="1.1177"/>
    <x:n v="1.320456022210408"/>
    <x:n v="0.00632004523607577"/>
    <x:n v="1.1177"/>
    <x:x v="315"/>
    <x:x v="2"/>
    <x:n v="1.119"/>
    <x:n v="25735.75791"/>
    <x:n v="-29.898557000004075"/>
    <x:n v="-0.0011617515638964943"/>
  </x:r>
  <x:r>
    <x:s v="INV-00316"/>
    <x:x v="7"/>
    <x:s v="SUP03"/>
    <x:x v="0"/>
    <x:s v="Components"/>
    <x:d v="2025-05-31T00:00:00Z"/>
    <x:n v="45838"/>
    <x:x v="0"/>
    <x:n v="12455.41"/>
    <x:s v="Historical"/>
    <x:s v="SUP03-INV-00316"/>
    <x:n v="30"/>
    <x:s v="Benelux Sensor Works"/>
    <x:n v="1.1606"/>
    <x:n v="1.3462475350887368"/>
    <x:n v="0.0067359257109692395"/>
    <x:n v="1.1606"/>
    <x:x v="316"/>
    <x:x v="5"/>
    <x:n v="1.07"/>
    <x:n v="13327.288700000001"/>
    <x:n v="1128.4601459999994"/>
    <x:n v="0.08467289719626163"/>
  </x:r>
  <x:r>
    <x:s v="INV-00317"/>
    <x:x v="9"/>
    <x:s v="SUP05"/>
    <x:x v="0"/>
    <x:s v="Components"/>
    <x:d v="2026-10-18T00:00:00Z"/>
    <x:n v="46358"/>
    <x:x v="0"/>
    <x:n v="15123.34"/>
    <x:s v="Planned"/>
    <x:s v="SUP05-INV-00317"/>
    <x:n v="45"/>
    <x:s v="Lyon Industrial Controls"/>
    <x:n v="1.1177"/>
    <x:n v="1.320456022210408"/>
    <x:n v="0.00632004523607577"/>
    <x:n v="1.1177"/>
    <x:x v="317"/>
    <x:x v="2"/>
    <x:n v="1.119"/>
    <x:n v="16923.01746"/>
    <x:n v="-19.66034199999922"/>
    <x:n v="-0.0011617515638962898"/>
  </x:r>
  <x:r>
    <x:s v="INV-00318"/>
    <x:x v="13"/>
    <x:s v="SUP11"/>
    <x:x v="2"/>
    <x:s v="Software"/>
    <x:d v="2026-09-25T00:00:00Z"/>
    <x:n v="46320"/>
    <x:x v="2"/>
    <x:n v="6013.83"/>
    <x:s v="Historical"/>
    <x:s v="SUP11-INV-00318"/>
    <x:n v="30"/>
    <x:s v="Manchester Cloud Solutions"/>
    <x:n v="1.1403"/>
    <x:n v="1.3252367947004475"/>
    <x:n v="0.006345575959933223"/>
    <x:n v="1.3252367947004475"/>
    <x:x v="318"/>
    <x:x v="4"/>
    <x:n v="1.293"/>
    <x:n v="7775.882189999999"/>
    <x:n v="193.86660307339298"/>
    <x:n v="0.024931782444275047"/>
  </x:r>
  <x:r>
    <x:s v="INV-00319"/>
    <x:x v="11"/>
    <x:s v="SUP14"/>
    <x:x v="0"/>
    <x:s v="Equipment"/>
    <x:d v="2025-05-16T00:00:00Z"/>
    <x:n v="45853"/>
    <x:x v="1"/>
    <x:n v="9515858.37"/>
    <x:s v="Historical"/>
    <x:s v="SUP14-INV-00319"/>
    <x:n v="60"/>
    <x:s v="Tokyo Automation Systems"/>
    <x:n v="1.1194"/>
    <x:n v="1.3283493532692536"/>
    <x:n v="0.006865378718184605"/>
    <x:n v="0.006865378718184605"/>
    <x:x v="319"/>
    <x:x v="5"/>
    <x:n v="0.0067"/>
    <x:n v="63756.251078999994"/>
    <x:n v="1573.7204596568408"/>
    <x:n v="0.024683390773821583"/>
  </x:r>
  <x:r>
    <x:s v="INV-00320"/>
    <x:x v="7"/>
    <x:s v="SUP03"/>
    <x:x v="0"/>
    <x:s v="Components"/>
    <x:d v="2025-09-21T00:00:00Z"/>
    <x:n v="45951"/>
    <x:x v="0"/>
    <x:n v="17936.4"/>
    <x:s v="Historical"/>
    <x:s v="SUP03-INV-00320"/>
    <x:n v="30"/>
    <x:s v="Benelux Sensor Works"/>
    <x:n v="1.1739"/>
    <x:n v="1.3425205855443734"/>
    <x:n v="0.006337526318630891"/>
    <x:n v="1.1739"/>
    <x:x v="320"/>
    <x:x v="1"/>
    <x:n v="1.088"/>
    <x:n v="19514.803200000002"/>
    <x:n v="1540.7367599999998"/>
    <x:n v="0.07895220588235292"/>
  </x:r>
  <x:r>
    <x:s v="INV-00321"/>
    <x:x v="0"/>
    <x:s v="SUP01"/>
    <x:x v="0"/>
    <x:s v="Components"/>
    <x:d v="2026-11-04T00:00:00Z"/>
    <x:n v="46360"/>
    <x:x v="0"/>
    <x:n v="21596.38"/>
    <x:s v="Planned"/>
    <x:s v="SUP01-INV-00321"/>
    <x:n v="30"/>
    <x:s v="Rhein Circuit Components"/>
    <x:n v="1.1177"/>
    <x:n v="1.320456022210408"/>
    <x:n v="0.00632004523607577"/>
    <x:n v="1.1177"/>
    <x:x v="321"/>
    <x:x v="2"/>
    <x:n v="1.119"/>
    <x:n v="24166.34922"/>
    <x:n v="-28.07529400000203"/>
    <x:n v="-0.0011617515638964202"/>
  </x:r>
  <x:r>
    <x:s v="INV-00322"/>
    <x:x v="2"/>
    <x:s v="SUP10"/>
    <x:x v="1"/>
    <x:s v="Services"/>
    <x:d v="2025-09-13T00:00:00Z"/>
    <x:n v="45958"/>
    <x:x v="2"/>
    <x:n v="12551.28"/>
    <x:s v="Historical"/>
    <x:s v="SUP10-INV-00322"/>
    <x:n v="45"/>
    <x:s v="Bristol Calibration Services"/>
    <x:n v="1.1642"/>
    <x:n v="1.341707963581883"/>
    <x:n v="0.006343722755013077"/>
    <x:n v="1.341707963581883"/>
    <x:x v="322"/>
    <x:x v="1"/>
    <x:n v="1.282"/>
    <x:n v="16090.740960000001"/>
    <x:n v="749.411369146017"/>
    <x:n v="0.046574074556851044"/>
  </x:r>
  <x:r>
    <x:s v="INV-00323"/>
    <x:x v="3"/>
    <x:s v="SUP04"/>
    <x:x v="1"/>
    <x:s v="Packaging"/>
    <x:d v="2026-06-21T00:00:00Z"/>
    <x:n v="46224"/>
    <x:x v="0"/>
    <x:n v="6919.61"/>
    <x:s v="Historical"/>
    <x:s v="SUP04-INV-00323"/>
    <x:n v="30"/>
    <x:s v="Nordlicht Packaging"/>
    <x:n v="1.1467"/>
    <x:n v="1.3233240626406473"/>
    <x:n v="0.006202401557767201"/>
    <x:n v="1.1467"/>
    <x:x v="323"/>
    <x:x v="0"/>
    <x:n v="1.083"/>
    <x:n v="7493.937629999999"/>
    <x:n v="440.77915700000085"/>
    <x:n v="0.05881809787626974"/>
  </x:r>
  <x:r>
    <x:s v="INV-00324"/>
    <x:x v="2"/>
    <x:s v="SUP10"/>
    <x:x v="1"/>
    <x:s v="Services"/>
    <x:d v="2025-01-24T00:00:00Z"/>
    <x:n v="45726"/>
    <x:x v="2"/>
    <x:n v="1994.53"/>
    <x:s v="Historical"/>
    <x:s v="SUP10-INV-00324"/>
    <x:n v="45"/>
    <x:s v="Bristol Calibration Services"/>
    <x:n v="1.0472"/>
    <x:n v="1.2405672112115431"/>
    <x:n v="0.006389261744966442"/>
    <x:n v="1.2405672112115431"/>
    <x:x v="324"/>
    <x:x v="3"/>
    <x:n v="1.238"/>
    <x:n v="2469.22814"/>
    <x:n v="5.120379777758899"/>
    <x:n v="0.002073676261343311"/>
  </x:r>
  <x:r>
    <x:s v="INV-00325"/>
    <x:x v="7"/>
    <x:s v="SUP03"/>
    <x:x v="0"/>
    <x:s v="Components"/>
    <x:d v="2025-05-21T00:00:00Z"/>
    <x:n v="45828"/>
    <x:x v="0"/>
    <x:n v="22717.78"/>
    <x:s v="Historical"/>
    <x:s v="SUP03-INV-00325"/>
    <x:n v="30"/>
    <x:s v="Benelux Sensor Works"/>
    <x:n v="1.1321"/>
    <x:n v="1.3403978214539427"/>
    <x:n v="0.006955640206438929"/>
    <x:n v="1.1321"/>
    <x:x v="325"/>
    <x:x v="5"/>
    <x:n v="1.07"/>
    <x:n v="24308.0246"/>
    <x:n v="1410.7741380000007"/>
    <x:n v="0.058037383177570116"/>
  </x:r>
  <x:r>
    <x:s v="INV-00326"/>
    <x:x v="1"/>
    <x:s v="SUP15"/>
    <x:x v="1"/>
    <x:s v="Freight"/>
    <x:d v="2025-05-01T00:00:00Z"/>
    <x:n v="45808"/>
    <x:x v="1"/>
    <x:n v="1494091.52"/>
    <x:s v="Historical"/>
    <x:s v="SUP15-INV-00326"/>
    <x:n v="30"/>
    <x:s v="Nagoya Logistics Partners"/>
    <x:n v="1.181"/>
    <x:n v="1.3751746623195156"/>
    <x:n v="0.007000592768227624"/>
    <x:n v="0.007000592768227624"/>
    <x:x v="326"/>
    <x:x v="5"/>
    <x:n v="0.0067"/>
    <x:n v="10010.413184000001"/>
    <x:n v="449.11310598221826"/>
    <x:n v="0.044864592272779676"/>
  </x:r>
  <x:r>
    <x:s v="INV-00327"/>
    <x:x v="14"/>
    <x:s v="SUP07"/>
    <x:x v="0"/>
    <x:s v="Equipment"/>
    <x:d v="2026-06-03T00:00:00Z"/>
    <x:n v="46236"/>
    <x:x v="0"/>
    <x:n v="80405.05"/>
    <x:s v="Historical"/>
    <x:s v="SUP07-INV-00327"/>
    <x:n v="60"/>
    <x:s v="Milan Assembly Robotics"/>
    <x:n v="1.1614"/>
    <x:n v="1.3446798656941068"/>
    <x:n v="0.006255520844554562"/>
    <x:n v="1.1614"/>
    <x:x v="327"/>
    <x:x v="0"/>
    <x:n v="1.083"/>
    <x:n v="87078.66915"/>
    <x:n v="6303.755919999996"/>
    <x:n v="0.07239150507848564"/>
  </x:r>
  <x:r>
    <x:s v="INV-00328"/>
    <x:x v="6"/>
    <x:s v="SUP16"/>
    <x:x v="0"/>
    <x:s v="Components"/>
    <x:d v="2026-11-15T00:00:00Z"/>
    <x:n v="46371"/>
    <x:x v="1"/>
    <x:n v="2531601.56"/>
    <x:s v="Planned"/>
    <x:s v="SUP16-INV-00328"/>
    <x:n v="30"/>
    <x:s v="Kyoto Optical Instruments"/>
    <x:n v="1.1177"/>
    <x:n v="1.320456022210408"/>
    <x:n v="0.00632004523607577"/>
    <x:n v="0.00632004523607577"/>
    <x:x v="328"/>
    <x:x v="2"/>
    <x:n v="0.00688"/>
    <x:n v="17417.4187328"/>
    <x:n v="-1417.5823538800123"/>
    <x:n v="-0.0813887738261962"/>
  </x:r>
  <x:r>
    <x:s v="INV-00329"/>
    <x:x v="12"/>
    <x:s v="SUP17"/>
    <x:x v="1"/>
    <x:s v="Packaging"/>
    <x:d v="2026-03-12T00:00:00Z"/>
    <x:n v="46138"/>
    <x:x v="1"/>
    <x:n v="446201.94"/>
    <x:s v="Historical"/>
    <x:s v="SUP17-INV-00329"/>
    <x:n v="45"/>
    <x:s v="Kobe Industrial Packaging"/>
    <x:n v="1.1547"/>
    <x:n v="1.338891272335146"/>
    <x:n v="0.006295044431118138"/>
    <x:n v="0.006295044431118138"/>
    <x:x v="329"/>
    <x:x v="6"/>
    <x:n v="0.00646"/>
    <x:n v="2882.4645324"/>
    <x:n v="-73.60349484889002"/>
    <x:n v="-0.02553491778356982"/>
  </x:r>
  <x:r>
    <x:s v="INV-00330"/>
    <x:x v="13"/>
    <x:s v="SUP11"/>
    <x:x v="2"/>
    <x:s v="Software"/>
    <x:d v="2025-08-13T00:00:00Z"/>
    <x:n v="45912"/>
    <x:x v="2"/>
    <x:n v="6984.04"/>
    <x:s v="Historical"/>
    <x:s v="SUP11-INV-00330"/>
    <x:n v="30"/>
    <x:s v="Manchester Cloud Solutions"/>
    <x:n v="1.1711"/>
    <x:n v="1.3568532035685321"/>
    <x:n v="0.006790166405751725"/>
    <x:n v="1.3568532035685321"/>
    <x:x v="330"/>
    <x:x v="1"/>
    <x:n v="1.282"/>
    <x:n v="8953.53928"/>
    <x:n v="522.77776785077"/>
    <x:n v="0.058387834296826806"/>
  </x:r>
  <x:r>
    <x:s v="INV-00331"/>
    <x:x v="17"/>
    <x:s v="SUP06"/>
    <x:x v="2"/>
    <x:s v="Software"/>
    <x:d v="2025-10-30T00:00:00Z"/>
    <x:n v="45990"/>
    <x:x v="0"/>
    <x:n v="3457.05"/>
    <x:s v="Historical"/>
    <x:s v="SUP06-INV-00331"/>
    <x:n v="30"/>
    <x:s v="Dublin Systems Licensing"/>
    <x:n v="1.155"/>
    <x:n v="1.312350869219407"/>
    <x:n v="0.006475304143073387"/>
    <x:n v="1.155"/>
    <x:x v="331"/>
    <x:x v="7"/>
    <x:n v="1.106"/>
    <x:n v="3823.4973000000005"/>
    <x:n v="169.39544999999998"/>
    <x:n v="0.044303797468354424"/>
  </x:r>
  <x:r>
    <x:s v="INV-00332"/>
    <x:x v="3"/>
    <x:s v="SUP04"/>
    <x:x v="1"/>
    <x:s v="Packaging"/>
    <x:d v="2026-10-11T00:00:00Z"/>
    <x:n v="46336"/>
    <x:x v="0"/>
    <x:n v="7229.56"/>
    <x:s v="Planned"/>
    <x:s v="SUP04-INV-00332"/>
    <x:n v="30"/>
    <x:s v="Nordlicht Packaging"/>
    <x:n v="1.1177"/>
    <x:n v="1.320456022210408"/>
    <x:n v="0.00632004523607577"/>
    <x:n v="1.1177"/>
    <x:x v="332"/>
    <x:x v="2"/>
    <x:n v="1.119"/>
    <x:n v="8089.877640000001"/>
    <x:n v="-9.398428000000422"/>
    <x:n v="-0.001161751563896388"/>
  </x:r>
  <x:r>
    <x:s v="INV-00333"/>
    <x:x v="13"/>
    <x:s v="SUP11"/>
    <x:x v="2"/>
    <x:s v="Software"/>
    <x:d v="2026-12-08T00:00:00Z"/>
    <x:n v="46394"/>
    <x:x v="2"/>
    <x:n v="7624.72"/>
    <x:s v="Planned"/>
    <x:s v="SUP11-INV-00333"/>
    <x:n v="30"/>
    <x:s v="Manchester Cloud Solutions"/>
    <x:n v="1.1177"/>
    <x:n v="1.320456022210408"/>
    <x:n v="0.00632004523607577"/>
    <x:n v="1.320456022210408"/>
    <x:x v="333"/>
    <x:x v="2"/>
    <x:n v="1.315"/>
    <x:n v="10026.5068"/>
    <x:n v="41.600641668143"/>
    <x:n v="0.004149066319701992"/>
  </x:r>
  <x:r>
    <x:s v="INV-00334"/>
    <x:x v="1"/>
    <x:s v="SUP15"/>
    <x:x v="1"/>
    <x:s v="Freight"/>
    <x:d v="2026-12-09T00:00:00Z"/>
    <x:n v="46395"/>
    <x:x v="1"/>
    <x:n v="2166248.81"/>
    <x:s v="Planned"/>
    <x:s v="SUP15-INV-00334"/>
    <x:n v="30"/>
    <x:s v="Nagoya Logistics Partners"/>
    <x:n v="1.1177"/>
    <x:n v="1.320456022210408"/>
    <x:n v="0.00632004523607577"/>
    <x:n v="0.00632004523607577"/>
    <x:x v="334"/>
    <x:x v="2"/>
    <x:n v="0.00688"/>
    <x:n v="14903.7918128"/>
    <x:n v="-1213.001341004694"/>
    <x:n v="-0.0813887738261962"/>
  </x:r>
  <x:r>
    <x:s v="INV-00335"/>
    <x:x v="9"/>
    <x:s v="SUP05"/>
    <x:x v="0"/>
    <x:s v="Components"/>
    <x:d v="2026-04-13T00:00:00Z"/>
    <x:n v="46170"/>
    <x:x v="0"/>
    <x:n v="5008.63"/>
    <x:s v="Historical"/>
    <x:s v="SUP05-INV-00335"/>
    <x:n v="45"/>
    <x:s v="Lyon Industrial Controls"/>
    <x:n v="1.1684"/>
    <x:n v="1.3420937765627514"/>
    <x:n v="0.006256492637215529"/>
    <x:n v="1.1684"/>
    <x:x v="335"/>
    <x:x v="0"/>
    <x:n v="1.083"/>
    <x:n v="5424.3462899999995"/>
    <x:n v="427.73700200000076"/>
    <x:n v="0.07885503231763634"/>
  </x:r>
  <x:r>
    <x:s v="INV-00336"/>
    <x:x v="14"/>
    <x:s v="SUP07"/>
    <x:x v="0"/>
    <x:s v="Equipment"/>
    <x:d v="2025-04-16T00:00:00Z"/>
    <x:n v="45823"/>
    <x:x v="0"/>
    <x:n v="46110.88"/>
    <x:s v="Historical"/>
    <x:s v="SUP07-INV-00336"/>
    <x:n v="60"/>
    <x:s v="Milan Assembly Robotics"/>
    <x:n v="1.1355"/>
    <x:n v="1.3262398093858767"/>
    <x:n v="0.007005367388487877"/>
    <x:n v="1.1355"/>
    <x:x v="336"/>
    <x:x v="5"/>
    <x:n v="1.07"/>
    <x:n v="49338.6416"/>
    <x:n v="3020.2626399999936"/>
    <x:n v="0.061214953271027904"/>
  </x:r>
  <x:r>
    <x:s v="INV-00337"/>
    <x:x v="1"/>
    <x:s v="SUP15"/>
    <x:x v="1"/>
    <x:s v="Freight"/>
    <x:d v="2026-03-09T00:00:00Z"/>
    <x:n v="46120"/>
    <x:x v="1"/>
    <x:n v="559195.89"/>
    <x:s v="Historical"/>
    <x:s v="SUP15-INV-00337"/>
    <x:n v="30"/>
    <x:s v="Nagoya Logistics Partners"/>
    <x:n v="1.1555"/>
    <x:n v="1.335375014445857"/>
    <x:n v="0.006309036309036308"/>
    <x:n v="0.006309036309036308"/>
    <x:x v="337"/>
    <x:x v="6"/>
    <x:n v="0.00646"/>
    <x:n v="3612.4054493999997"/>
    <x:n v="-84.41827552612631"/>
    <x:n v="-0.02336899240924014"/>
  </x:r>
  <x:r>
    <x:s v="INV-00338"/>
    <x:x v="11"/>
    <x:s v="SUP14"/>
    <x:x v="0"/>
    <x:s v="Equipment"/>
    <x:d v="2026-07-10T00:00:00Z"/>
    <x:n v="46273"/>
    <x:x v="1"/>
    <x:n v="11647487.4"/>
    <x:s v="Historical"/>
    <x:s v="SUP14-INV-00338"/>
    <x:n v="60"/>
    <x:s v="Tokyo Automation Systems"/>
    <x:n v="1.143"/>
    <x:n v="1.3422582349832657"/>
    <x:n v="0.006177710517781861"/>
    <x:n v="0.006177710517781861"/>
    <x:x v="338"/>
    <x:x v="4"/>
    <x:n v="0.00674"/>
    <x:n v="78504.06507600001"/>
    <x:n v="-6549.259659288306"/>
    <x:n v="-0.08342573920150438"/>
  </x:r>
  <x:r>
    <x:s v="INV-00339"/>
    <x:x v="3"/>
    <x:s v="SUP04"/>
    <x:x v="1"/>
    <x:s v="Packaging"/>
    <x:d v="2026-07-26T00:00:00Z"/>
    <x:n v="46259"/>
    <x:x v="0"/>
    <x:n v="3777.9"/>
    <x:s v="Historical"/>
    <x:s v="SUP04-INV-00339"/>
    <x:n v="30"/>
    <x:s v="Nordlicht Packaging"/>
    <x:n v="1.1377"/>
    <x:n v="1.3323886260364455"/>
    <x:n v="0.006104195729155488"/>
    <x:n v="1.1377"/>
    <x:x v="339"/>
    <x:x v="4"/>
    <x:n v="1.101"/>
    <x:n v="4159.4679"/>
    <x:n v="138.6489300000003"/>
    <x:n v="0.03333333333333341"/>
  </x:r>
  <x:r>
    <x:s v="INV-00340"/>
    <x:x v="10"/>
    <x:s v="SUP02"/>
    <x:x v="0"/>
    <x:s v="Equipment"/>
    <x:d v="2025-11-21T00:00:00Z"/>
    <x:n v="46027"/>
    <x:x v="0"/>
    <x:n v="40141.48"/>
    <x:s v="Historical"/>
    <x:s v="SUP02-INV-00340"/>
    <x:n v="45"/>
    <x:s v="Alpen Precision Systems"/>
    <x:n v="1.152"/>
    <x:n v="1.308644780188572"/>
    <x:n v="0.006380150642445724"/>
    <x:n v="1.152"/>
    <x:x v="340"/>
    <x:x v="7"/>
    <x:n v="1.106"/>
    <x:n v="44396.47688000001"/>
    <x:n v="1846.5080799999923"/>
    <x:n v="0.04159132007233255"/>
  </x:r>
  <x:r>
    <x:s v="INV-00341"/>
    <x:x v="15"/>
    <x:s v="SUP18"/>
    <x:x v="1"/>
    <x:s v="Services"/>
    <x:d v="2025-04-26T00:00:00Z"/>
    <x:n v="45803"/>
    <x:x v="1"/>
    <x:n v="1099282.06"/>
    <x:s v="Historical"/>
    <x:s v="SUP18-INV-00341"/>
    <x:n v="30"/>
    <x:s v="Yokohama Engineering Labs"/>
    <x:n v="1.1607"/>
    <x:n v="1.3612055822680897"/>
    <x:n v="0.006897842752718845"/>
    <x:n v="0.006897842752718845"/>
    <x:x v="341"/>
    <x:x v="5"/>
    <x:n v="0.0067"/>
    <x:n v="7365.189802000001"/>
    <x:n v="217.48498876484246"/>
    <x:n v="0.029528769062514164"/>
  </x:r>
  <x:r>
    <x:s v="INV-00342"/>
    <x:x v="1"/>
    <x:s v="SUP15"/>
    <x:x v="1"/>
    <x:s v="Shipping"/>
    <x:d v="2025-09-11T00:00:00Z"/>
    <x:n v="45941"/>
    <x:x v="1"/>
    <x:n v="606340.79"/>
    <x:s v="Historical"/>
    <x:s v="SUP15-INV-00342"/>
    <x:n v="30"/>
    <x:s v="Nagoya Logistics Partners"/>
    <x:n v="1.1685"/>
    <x:n v="1.3513357233722678"/>
    <x:n v="0.0067590236001851"/>
    <x:n v="0.0067590236001851"/>
    <x:x v="342"/>
    <x:x v="1"/>
    <x:n v="0.00684"/>
    <x:n v="4147.3710036"/>
    <x:n v="-49.099294235122215"/>
    <x:n v="-0.011838654943698805"/>
  </x:r>
  <x:r>
    <x:s v="INV-00343"/>
    <x:x v="3"/>
    <x:s v="SUP04"/>
    <x:x v="1"/>
    <x:s v="Packaging"/>
    <x:d v="2026-10-28T00:00:00Z"/>
    <x:n v="46353"/>
    <x:x v="0"/>
    <x:n v="10621.11"/>
    <x:s v="Planned"/>
    <x:s v="SUP04-INV-00343"/>
    <x:n v="30"/>
    <x:s v="Nordlicht Packaging"/>
    <x:n v="1.1177"/>
    <x:n v="1.320456022210408"/>
    <x:n v="0.00632004523607577"/>
    <x:n v="1.1177"/>
    <x:x v="343"/>
    <x:x v="2"/>
    <x:n v="1.119"/>
    <x:n v="11885.02209"/>
    <x:n v="-13.807443000001513"/>
    <x:n v="-0.0011617515638964633"/>
  </x:r>
  <x:r>
    <x:s v="INV-00344"/>
    <x:x v="6"/>
    <x:s v="SUP16"/>
    <x:x v="0"/>
    <x:s v="Components"/>
    <x:d v="2026-05-26T00:00:00Z"/>
    <x:n v="46198"/>
    <x:x v="1"/>
    <x:n v="2005781.24"/>
    <x:s v="Historical"/>
    <x:s v="SUP16-INV-00344"/>
    <x:n v="30"/>
    <x:s v="Kyoto Optical Instruments"/>
    <x:n v="1.1634"/>
    <x:n v="1.346917510853835"/>
    <x:n v="0.006281179138321996"/>
    <x:n v="0.006281179138321996"/>
    <x:x v="344"/>
    <x:x v="0"/>
    <x:n v="0.0066"/>
    <x:n v="13238.156184"/>
    <x:n v="-639.484903274375"/>
    <x:n v="-0.048306191163333914"/>
  </x:r>
  <x:r>
    <x:s v="INV-00345"/>
    <x:x v="12"/>
    <x:s v="SUP17"/>
    <x:x v="1"/>
    <x:s v="Packaging"/>
    <x:d v="2026-09-06T00:00:00Z"/>
    <x:n v="46316"/>
    <x:x v="1"/>
    <x:n v="914723.61"/>
    <x:s v="Historical"/>
    <x:s v="SUP17-INV-00345"/>
    <x:n v="45"/>
    <x:s v="Kobe Industrial Packaging"/>
    <x:n v="1.1622"/>
    <x:n v="1.3530000698502875"/>
    <x:n v="0.006400132165868164"/>
    <x:n v="0.006400132165868164"/>
    <x:x v="345"/>
    <x:x v="4"/>
    <x:n v="0.00674"/>
    <x:n v="6165.2371314"/>
    <x:n v="-310.8851321599541"/>
    <x:n v="-0.05042549467831392"/>
  </x:r>
  <x:r>
    <x:s v="INV-00346"/>
    <x:x v="3"/>
    <x:s v="SUP04"/>
    <x:x v="1"/>
    <x:s v="Packaging"/>
    <x:d v="2026-03-27T00:00:00Z"/>
    <x:n v="46138"/>
    <x:x v="0"/>
    <x:n v="5066.67"/>
    <x:s v="Historical"/>
    <x:s v="SUP04-INV-00346"/>
    <x:n v="30"/>
    <x:s v="Nordlicht Packaging"/>
    <x:n v="1.1517"/>
    <x:n v="1.3280673431734318"/>
    <x:n v="0.006253801042571677"/>
    <x:n v="1.1517"/>
    <x:x v="346"/>
    <x:x v="6"/>
    <x:n v="1.065"/>
    <x:n v="5396.003549999999"/>
    <x:n v="439.28028900000027"/>
    <x:n v="0.08140845070422541"/>
  </x:r>
  <x:r>
    <x:s v="INV-00347"/>
    <x:x v="10"/>
    <x:s v="SUP02"/>
    <x:x v="0"/>
    <x:s v="Equipment"/>
    <x:d v="2026-12-19T00:00:00Z"/>
    <x:n v="46420"/>
    <x:x v="0"/>
    <x:n v="50589.7"/>
    <x:s v="Planned"/>
    <x:s v="SUP02-INV-00347"/>
    <x:n v="45"/>
    <x:s v="Alpen Precision Systems"/>
    <x:n v="1.1177"/>
    <x:n v="1.320456022210408"/>
    <x:n v="0.00632004523607577"/>
    <x:n v="1.1177"/>
    <x:x v="347"/>
    <x:x v="2"/>
    <x:n v="1.119"/>
    <x:n v="56609.874299999996"/>
    <x:n v="-65.76661000000604"/>
    <x:n v="-0.0011617515638964427"/>
  </x:r>
  <x:r>
    <x:s v="INV-00348"/>
    <x:x v="9"/>
    <x:s v="SUP05"/>
    <x:x v="0"/>
    <x:s v="Components"/>
    <x:d v="2026-09-29T00:00:00Z"/>
    <x:n v="46339"/>
    <x:x v="0"/>
    <x:n v="34631.61"/>
    <x:s v="Historical"/>
    <x:s v="SUP05-INV-00348"/>
    <x:n v="45"/>
    <x:s v="Lyon Industrial Controls"/>
    <x:n v="1.1355"/>
    <x:n v="1.324692596654145"/>
    <x:n v="0.006364553556414999"/>
    <x:n v="1.1355"/>
    <x:x v="348"/>
    <x:x v="4"/>
    <x:n v="1.101"/>
    <x:n v="38129.40261"/>
    <x:n v="1194.7905450000035"/>
    <x:n v="0.03133514986376031"/>
  </x:r>
  <x:r>
    <x:s v="INV-00349"/>
    <x:x v="10"/>
    <x:s v="SUP02"/>
    <x:x v="0"/>
    <x:s v="Equipment"/>
    <x:d v="2025-06-06T00:00:00Z"/>
    <x:n v="45859"/>
    <x:x v="0"/>
    <x:n v="58073.81"/>
    <x:s v="Historical"/>
    <x:s v="SUP02-INV-00349"/>
    <x:n v="45"/>
    <x:s v="Alpen Precision Systems"/>
    <x:n v="1.1411"/>
    <x:n v="1.3542606218846427"/>
    <x:n v="0.006931721540517555"/>
    <x:n v="1.1411"/>
    <x:x v="349"/>
    <x:x v="5"/>
    <x:n v="1.07"/>
    <x:n v="62138.9767"/>
    <x:n v="4129.047890999995"/>
    <x:n v="0.06644859813084104"/>
  </x:r>
  <x:r>
    <x:s v="INV-00350"/>
    <x:x v="16"/>
    <x:s v="SUP12"/>
    <x:x v="0"/>
    <x:s v="Components"/>
    <x:d v="2026-10-24T00:00:00Z"/>
    <x:n v="46379"/>
    <x:x v="2"/>
    <x:n v="16554.74"/>
    <x:s v="Planned"/>
    <x:s v="SUP12-INV-00350"/>
    <x:n v="60"/>
    <x:s v="Oxford Technical Materials"/>
    <x:n v="1.1177"/>
    <x:n v="1.320456022210408"/>
    <x:n v="0.00632004523607577"/>
    <x:n v="1.320456022210408"/>
    <x:x v="350"/>
    <x:x v="2"/>
    <x:n v="1.315"/>
    <x:n v="21769.4831"/>
    <x:n v="90.32302912753221"/>
    <x:n v="0.004149066319702015"/>
  </x:r>
  <x:r>
    <x:s v="INV-00351"/>
    <x:x v="8"/>
    <x:s v="SUP13"/>
    <x:x v="0"/>
    <x:s v="Components"/>
    <x:d v="2026-01-20T00:00:00Z"/>
    <x:n v="46087"/>
    <x:x v="1"/>
    <x:n v="2341537.13"/>
    <x:s v="Historical"/>
    <x:s v="SUP13-INV-00351"/>
    <x:n v="45"/>
    <x:s v="Osaka Microdevices"/>
    <x:n v="1.1728"/>
    <x:n v="1.3446457234579225"/>
    <x:n v="0.006333297332325305"/>
    <x:n v="0.006333297332325305"/>
    <x:x v="351"/>
    <x:x v="6"/>
    <x:n v="0.00646"/>
    <x:n v="15126.329859799998"/>
    <x:n v="-296.6790008303469"/>
    <x:n v="-0.019613416048714253"/>
  </x:r>
  <x:r>
    <x:s v="INV-00352"/>
    <x:x v="3"/>
    <x:s v="SUP04"/>
    <x:x v="1"/>
    <x:s v="Packaging"/>
    <x:d v="2025-11-06T00:00:00Z"/>
    <x:n v="45997"/>
    <x:x v="0"/>
    <x:n v="11397.89"/>
    <x:s v="Historical"/>
    <x:s v="SUP04-INV-00352"/>
    <x:n v="30"/>
    <x:s v="Nordlicht Packaging"/>
    <x:n v="1.1533"/>
    <x:n v="1.3095265130010219"/>
    <x:n v="0.006510302003951454"/>
    <x:n v="1.1533"/>
    <x:x v="352"/>
    <x:x v="7"/>
    <x:n v="1.106"/>
    <x:n v="12606.066340000001"/>
    <x:n v="539.1201969999984"/>
    <x:n v="0.042766726943942"/>
  </x:r>
  <x:r>
    <x:s v="INV-00353"/>
    <x:x v="0"/>
    <x:s v="SUP01"/>
    <x:x v="0"/>
    <x:s v="Components"/>
    <x:d v="2025-10-11T00:00:00Z"/>
    <x:n v="45971"/>
    <x:x v="0"/>
    <x:n v="7954.69"/>
    <x:s v="Historical"/>
    <x:s v="SUP01-INV-00353"/>
    <x:n v="30"/>
    <x:s v="Rhein Circuit Components"/>
    <x:n v="1.1845"/>
    <x:n v="1.3577487391104999"/>
    <x:n v="0.0065085993735919554"/>
    <x:n v="1.1845"/>
    <x:x v="353"/>
    <x:x v="7"/>
    <x:n v="1.106"/>
    <x:n v="8797.88714"/>
    <x:n v="624.4431649999988"/>
    <x:n v="0.07097649186256767"/>
  </x:r>
  <x:r>
    <x:s v="INV-00354"/>
    <x:x v="16"/>
    <x:s v="SUP12"/>
    <x:x v="0"/>
    <x:s v="Components"/>
    <x:d v="2026-07-21T00:00:00Z"/>
    <x:n v="46284"/>
    <x:x v="2"/>
    <x:n v="22397.54"/>
    <x:s v="Historical"/>
    <x:s v="SUP12-INV-00354"/>
    <x:n v="60"/>
    <x:s v="Oxford Technical Materials"/>
    <x:n v="1.1418"/>
    <x:n v="1.3400622029223637"/>
    <x:n v="0.006144656118824669"/>
    <x:n v="1.3400622029223637"/>
    <x:x v="354"/>
    <x:x v="4"/>
    <x:n v="1.293"/>
    <x:n v="28960.01922"/>
    <x:n v="1054.0775724417617"/>
    <x:n v="0.03639768207452736"/>
  </x:r>
  <x:r>
    <x:s v="INV-00355"/>
    <x:x v="7"/>
    <x:s v="SUP03"/>
    <x:x v="0"/>
    <x:s v="Parts"/>
    <x:d v="2025-02-25T00:00:00Z"/>
    <x:n v="45743"/>
    <x:x v="0"/>
    <x:n v="17142.56"/>
    <x:s v="Historical"/>
    <x:s v="SUP03-INV-00355"/>
    <x:n v="30"/>
    <x:s v="Benelux Sensor Works"/>
    <x:n v="1.0497"/>
    <x:n v="1.2661021855550731"/>
    <x:n v="0.006677905719193334"/>
    <x:n v="1.0497"/>
    <x:x v="355"/>
    <x:x v="3"/>
    <x:n v="1.052"/>
    <x:n v="18033.973120000002"/>
    <x:n v="-39.42788799999835"/>
    <x:n v="-0.0021863117870721516"/>
  </x:r>
  <x:r>
    <x:s v="INV-00356"/>
    <x:x v="13"/>
    <x:s v="SUP11"/>
    <x:x v="2"/>
    <x:s v="Software"/>
    <x:d v="2026-04-02T00:00:00Z"/>
    <x:n v="46144"/>
    <x:x v="2"/>
    <x:n v="2999.05"/>
    <x:s v="Historical"/>
    <x:s v="SUP11-INV-00356"/>
    <x:n v="30"/>
    <x:s v="Manchester Cloud Solutions"/>
    <x:n v="1.1525"/>
    <x:n v="1.3208714886594157"/>
    <x:n v="0.006265630096770686"/>
    <x:n v="1.3208714886594157"/>
    <x:x v="356"/>
    <x:x v="0"/>
    <x:n v="1.271"/>
    <x:n v="3811.79255"/>
    <x:n v="149.56708806402094"/>
    <x:n v="0.0392379926509959"/>
  </x:r>
  <x:r>
    <x:s v="INV-00357"/>
    <x:x v="15"/>
    <x:s v="SUP18"/>
    <x:x v="1"/>
    <x:s v="Services"/>
    <x:d v="2025-08-27T00:00:00Z"/>
    <x:n v="45926"/>
    <x:x v="1"/>
    <x:n v="1482865.61"/>
    <x:s v="Historical"/>
    <x:s v="SUP18-INV-00357"/>
    <x:n v="30"/>
    <x:s v="Yokohama Engineering Labs"/>
    <x:n v="1.1593"/>
    <x:n v="1.3439601205657314"/>
    <x:n v="0.006754646623550661"/>
    <x:n v="0.006754646623550661"/>
    <x:x v="357"/>
    <x:x v="1"/>
    <x:n v="0.00684"/>
    <x:n v="10142.8007724"/>
    <x:n v="-126.56758663410801"/>
    <x:n v="-0.012478563808382826"/>
  </x:r>
  <x:r>
    <x:s v="INV-00358"/>
    <x:x v="7"/>
    <x:s v="SUP03"/>
    <x:x v="0"/>
    <x:s v="Components"/>
    <x:d v="2025-05-22T00:00:00Z"/>
    <x:n v="45829"/>
    <x:x v="0"/>
    <x:n v="10974.45"/>
    <x:s v="Historical"/>
    <x:s v="SUP03-INV-00358"/>
    <x:n v="30"/>
    <x:s v="Benelux Sensor Works"/>
    <x:n v="1.1309"/>
    <x:n v="1.341995965349472"/>
    <x:n v="0.006972686355508971"/>
    <x:n v="1.1309"/>
    <x:x v="358"/>
    <x:x v="5"/>
    <x:n v="1.07"/>
    <x:n v="11742.661500000002"/>
    <x:n v="668.344004999999"/>
    <x:n v="0.056915887850467195"/>
  </x:r>
  <x:r>
    <x:s v="INV-00359"/>
    <x:x v="0"/>
    <x:s v="SUP01"/>
    <x:x v="0"/>
    <x:s v="Components"/>
    <x:d v="2026-11-19T00:00:00Z"/>
    <x:n v="46375"/>
    <x:x v="0"/>
    <x:n v="30863.76"/>
    <x:s v="Planned"/>
    <x:s v="SUP01-INV-00359"/>
    <x:n v="30"/>
    <x:s v="Rhein Circuit Components"/>
    <x:n v="1.1177"/>
    <x:n v="1.320456022210408"/>
    <x:n v="0.00632004523607577"/>
    <x:n v="1.1177"/>
    <x:x v="359"/>
    <x:x v="2"/>
    <x:n v="1.119"/>
    <x:n v="34536.547439999995"/>
    <x:n v="-40.122887999998056"/>
    <x:n v="-0.0011617515638962799"/>
  </x:r>
  <x:r>
    <x:s v="INV-00360"/>
    <x:x v="13"/>
    <x:s v="SUP11"/>
    <x:x v="2"/>
    <x:s v="Software"/>
    <x:d v="2025-10-16T00:00:00Z"/>
    <x:n v="45976"/>
    <x:x v="2"/>
    <x:n v="7392.15"/>
    <x:s v="Historical"/>
    <x:s v="SUP11-INV-00360"/>
    <x:n v="30"/>
    <x:s v="Manchester Cloud Solutions"/>
    <x:n v="1.1649"/>
    <x:n v="1.3426694329183955"/>
    <x:n v="0.006610111785734552"/>
    <x:n v="1.3426694329183955"/>
    <x:x v="360"/>
    <x:x v="7"/>
    <x:n v="1.304"/>
    <x:n v="9639.3636"/>
    <x:n v="285.85024854771655"/>
    <x:n v="0.029654473096928986"/>
  </x:r>
  <x:r>
    <x:s v="INV-00361"/>
    <x:x v="9"/>
    <x:s v="SUP05"/>
    <x:x v="0"/>
    <x:s v="Components"/>
    <x:d v="2026-02-13T00:00:00Z"/>
    <x:n v="46111"/>
    <x:x v="0"/>
    <x:n v="17074.34"/>
    <x:s v="Historical"/>
    <x:s v="SUP05-INV-00361"/>
    <x:n v="45"/>
    <x:s v="Lyon Industrial Controls"/>
    <x:n v="1.1862"/>
    <x:n v="1.3609453877925652"/>
    <x:n v="0.00652367596106253"/>
    <x:n v="1.1862"/>
    <x:x v="361"/>
    <x:x v="6"/>
    <x:n v="1.065"/>
    <x:n v="18184.1721"/>
    <x:n v="2069.410007999999"/>
    <x:n v="0.1138028169014084"/>
  </x:r>
  <x:r>
    <x:s v="INV-00362"/>
    <x:x v="16"/>
    <x:s v="SUP12"/>
    <x:x v="0"/>
    <x:s v="Components"/>
    <x:d v="2025-05-02T00:00:00Z"/>
    <x:n v="45839"/>
    <x:x v="2"/>
    <x:n v="23245.11"/>
    <x:s v="Historical"/>
    <x:s v="SUP12-INV-00362"/>
    <x:n v="60"/>
    <x:s v="Oxford Technical Materials"/>
    <x:n v="1.1343"/>
    <x:n v="1.3293097386616666"/>
    <x:n v="0.006919416824254255"/>
    <x:n v="1.3293097386616666"/>
    <x:x v="362"/>
    <x:x v="5"/>
    <x:n v="1.26"/>
    <x:n v="29288.8386"/>
    <x:n v="1611.1124992616933"/>
    <x:n v="0.055007729096560806"/>
  </x:r>
  <x:r>
    <x:s v="INV-00363"/>
    <x:x v="3"/>
    <x:s v="SUP04"/>
    <x:x v="1"/>
    <x:s v="Packaging"/>
    <x:d v="2025-01-27T00:00:00Z"/>
    <x:n v="45714"/>
    <x:x v="0"/>
    <x:n v="6119.57"/>
    <x:s v="Historical"/>
    <x:s v="SUP04-INV-00363"/>
    <x:n v="30"/>
    <x:s v="Nordlicht Packaging"/>
    <x:n v="1.053"/>
    <x:n v="1.2519915344921884"/>
    <x:n v="0.006491584982430182"/>
    <x:n v="1.053"/>
    <x:x v="363"/>
    <x:x v="3"/>
    <x:n v="1.052"/>
    <x:n v="6437.78764"/>
    <x:n v="6.11956999999984"/>
    <x:n v="0.0009505703422052984"/>
  </x:r>
  <x:r>
    <x:s v="INV-00364"/>
    <x:x v="11"/>
    <x:s v="SUP14"/>
    <x:x v="0"/>
    <x:s v="Equipment"/>
    <x:d v="2025-05-29T00:00:00Z"/>
    <x:n v="45866"/>
    <x:x v="1"/>
    <x:n v="4236793.69"/>
    <x:s v="Historical"/>
    <x:s v="SUP14-INV-00364"/>
    <x:n v="60"/>
    <x:s v="Tokyo Automation Systems"/>
    <x:n v="1.1281"/>
    <x:n v="1.3466634833472604"/>
    <x:n v="0.006900960420872332"/>
    <x:n v="0.006900960420872332"/>
    <x:x v="364"/>
    <x:x v="5"/>
    <x:n v="0.0067"/>
    <x:n v="28386.517723000004"/>
    <x:n v="851.4278430916384"/>
    <x:n v="0.029994092667512157"/>
  </x:r>
  <x:r>
    <x:s v="INV-00365"/>
    <x:x v="8"/>
    <x:s v="SUP13"/>
    <x:x v="0"/>
    <x:s v="Components"/>
    <x:d v="2025-09-04T00:00:00Z"/>
    <x:n v="45949"/>
    <x:x v="1"/>
    <x:n v="797002.33"/>
    <x:s v="Historical"/>
    <x:s v="SUP13-INV-00365"/>
    <x:n v="45"/>
    <x:s v="Osaka Microdevices"/>
    <x:n v="1.1647"/>
    <x:n v="1.34445342260187"/>
    <x:n v="0.006741722620977079"/>
    <x:n v="0.006741722620977079"/>
    <x:x v="365"/>
    <x:x v="1"/>
    <x:n v="0.00684"/>
    <x:n v="5451.495937199999"/>
    <x:n v="-78.32730006756083"/>
    <x:n v="-0.01436803786884804"/>
  </x:r>
  <x:r>
    <x:s v="INV-00366"/>
    <x:x v="10"/>
    <x:s v="SUP02"/>
    <x:x v="0"/>
    <x:s v="Equipment"/>
    <x:d v="2026-08-13T00:00:00Z"/>
    <x:n v="46292"/>
    <x:x v="0"/>
    <x:n v="38229.73"/>
    <x:s v="Historical"/>
    <x:s v="SUP02-INV-00366"/>
    <x:n v="45"/>
    <x:s v="Alpen Precision Systems"/>
    <x:n v="1.1534"/>
    <x:n v="1.3491636448707451"/>
    <x:n v="0.006276323665451379"/>
    <x:n v="1.1534"/>
    <x:x v="366"/>
    <x:x v="4"/>
    <x:n v="1.101"/>
    <x:n v="42090.93273"/>
    <x:n v="2003.2378520000057"/>
    <x:n v="0.04759309718437797"/>
  </x:r>
  <x:r>
    <x:s v="INV-00367"/>
    <x:x v="14"/>
    <x:s v="SUP07"/>
    <x:x v="0"/>
    <x:s v="Equipment"/>
    <x:d v="2026-11-14T00:00:00Z"/>
    <x:n v="46400"/>
    <x:x v="0"/>
    <x:n v="80286.52"/>
    <x:s v="Planned"/>
    <x:s v="SUP07-INV-00367"/>
    <x:n v="60"/>
    <x:s v="Milan Assembly Robotics"/>
    <x:n v="1.1177"/>
    <x:n v="1.320456022210408"/>
    <x:n v="0.00632004523607577"/>
    <x:n v="1.1177"/>
    <x:x v="367"/>
    <x:x v="2"/>
    <x:n v="1.119"/>
    <x:n v="89840.61588"/>
    <x:n v="-104.3724760000041"/>
    <x:n v="-0.0011617515638963818"/>
  </x:r>
  <x:r>
    <x:s v="INV-00368"/>
    <x:x v="14"/>
    <x:s v="SUP07"/>
    <x:x v="0"/>
    <x:s v="Equipment"/>
    <x:d v="2026-08-27T00:00:00Z"/>
    <x:n v="46321"/>
    <x:x v="0"/>
    <x:n v="50175.6"/>
    <x:s v="Historical"/>
    <x:s v="SUP07-INV-00368"/>
    <x:n v="60"/>
    <x:s v="Milan Assembly Robotics"/>
    <x:n v="1.1645"/>
    <x:n v="1.3581758805691626"/>
    <x:n v="0.006273907655837509"/>
    <x:n v="1.1645"/>
    <x:x v="368"/>
    <x:x v="4"/>
    <x:n v="1.101"/>
    <x:n v="55243.3356"/>
    <x:n v="3186.150600000001"/>
    <x:n v="0.05767484105358767"/>
  </x:r>
  <x:r>
    <x:s v="INV-00369"/>
    <x:x v="8"/>
    <x:s v="SUP13"/>
    <x:x v="0"/>
    <x:s v="Components"/>
    <x:d v="2025-03-19T00:00:00Z"/>
    <x:n v="45780"/>
    <x:x v="1"/>
    <x:n v="779978.55"/>
    <x:s v="Historical"/>
    <x:s v="SUP13-INV-00369"/>
    <x:n v="45"/>
    <x:s v="Osaka Microdevices"/>
    <x:n v="1.0897"/>
    <x:n v="1.2960584219415303"/>
    <x:n v="0.006674220616157285"/>
    <x:n v="0.006674220616157285"/>
    <x:x v="369"/>
    <x:x v="3"/>
    <x:n v="0.00656"/>
    <x:n v="5116.659288"/>
    <x:n v="89.0896305704664"/>
    <x:n v="0.017411679292269187"/>
  </x:r>
  <x:r>
    <x:s v="INV-00370"/>
    <x:x v="7"/>
    <x:s v="SUP03"/>
    <x:x v="0"/>
    <x:s v="Components"/>
    <x:d v="2026-09-12T00:00:00Z"/>
    <x:n v="46307"/>
    <x:x v="0"/>
    <x:n v="19877.47"/>
    <x:s v="Historical"/>
    <x:s v="SUP03-INV-00370"/>
    <x:n v="30"/>
    <x:s v="Benelux Sensor Works"/>
    <x:n v="1.1592"/>
    <x:n v="1.3508127949659152"/>
    <x:n v="0.0064919354838709675"/>
    <x:n v="1.1592"/>
    <x:x v="370"/>
    <x:x v="4"/>
    <x:n v="1.101"/>
    <x:n v="21885.09447"/>
    <x:n v="1156.8687540000028"/>
    <x:n v="0.05286103542234345"/>
  </x:r>
  <x:r>
    <x:s v="INV-00371"/>
    <x:x v="9"/>
    <x:s v="SUP05"/>
    <x:x v="0"/>
    <x:s v="Components"/>
    <x:d v="2025-09-18T00:00:00Z"/>
    <x:n v="45963"/>
    <x:x v="0"/>
    <x:n v="10559.75"/>
    <x:s v="Historical"/>
    <x:s v="SUP05-INV-00371"/>
    <x:n v="45"/>
    <x:s v="Lyon Industrial Controls"/>
    <x:n v="1.1818"/>
    <x:n v="1.361520737327189"/>
    <x:n v="0.006782598714416895"/>
    <x:n v="1.1818"/>
    <x:x v="371"/>
    <x:x v="1"/>
    <x:n v="1.088"/>
    <x:n v="11489.008000000002"/>
    <x:n v="990.5045499999978"/>
    <x:n v="0.08621323529411745"/>
  </x:r>
  <x:r>
    <x:s v="INV-00372"/>
    <x:x v="6"/>
    <x:s v="SUP16"/>
    <x:x v="0"/>
    <x:s v="Components"/>
    <x:d v="2025-12-20T00:00:00Z"/>
    <x:n v="46041"/>
    <x:x v="1"/>
    <x:n v="3033036.62"/>
    <x:s v="Historical"/>
    <x:s v="SUP16-INV-00372"/>
    <x:n v="30"/>
    <x:s v="Kyoto Optical Instruments"/>
    <x:n v="1.1555"/>
    <x:n v="1.3367963164349013"/>
    <x:n v="0.006298375667720483"/>
    <x:n v="0.006298375667720483"/>
    <x:x v="372"/>
    <x:x v="7"/>
    <x:n v="0.00698"/>
    <x:n v="21170.5956076"/>
    <x:n v="-2067.391560886823"/>
    <x:n v="-0.09765391579935773"/>
  </x:r>
  <x:r>
    <x:s v="INV-00373"/>
    <x:x v="0"/>
    <x:s v="SUP01"/>
    <x:x v="0"/>
    <x:s v="Components"/>
    <x:d v="2026-12-18T00:00:00Z"/>
    <x:n v="46404"/>
    <x:x v="0"/>
    <x:n v="7542.09"/>
    <x:s v="Planned"/>
    <x:s v="SUP01-INV-00373"/>
    <x:n v="30"/>
    <x:s v="Rhein Circuit Components"/>
    <x:n v="1.1177"/>
    <x:n v="1.320456022210408"/>
    <x:n v="0.00632004523607577"/>
    <x:n v="1.1177"/>
    <x:x v="373"/>
    <x:x v="2"/>
    <x:n v="1.119"/>
    <x:n v="8439.59871"/>
    <x:n v="-9.804717000000892"/>
    <x:n v="-0.0011617515638964416"/>
  </x:r>
  <x:r>
    <x:s v="INV-00374"/>
    <x:x v="5"/>
    <x:s v="SUP09"/>
    <x:x v="0"/>
    <x:s v="Components"/>
    <x:d v="2026-11-14T00:00:00Z"/>
    <x:n v="46370"/>
    <x:x v="2"/>
    <x:n v="23839.25"/>
    <x:s v="Planned"/>
    <x:s v="SUP09-INV-00374"/>
    <x:n v="30"/>
    <x:s v="Thames Electronics Ltd"/>
    <x:n v="1.1177"/>
    <x:n v="1.320456022210408"/>
    <x:n v="0.00632004523607577"/>
    <x:n v="1.320456022210408"/>
    <x:x v="374"/>
    <x:x v="2"/>
    <x:n v="1.315"/>
    <x:n v="31348.61375"/>
    <x:n v="130.06747747946793"/>
    <x:n v="0.00414906631970187"/>
  </x:r>
  <x:r>
    <x:s v="INV-00375"/>
    <x:x v="16"/>
    <x:s v="SUP12"/>
    <x:x v="0"/>
    <x:s v="Components"/>
    <x:d v="2026-12-30T00:00:00Z"/>
    <x:n v="46446"/>
    <x:x v="2"/>
    <x:n v="18376.82"/>
    <x:s v="Planned"/>
    <x:s v="SUP12-INV-00375"/>
    <x:n v="60"/>
    <x:s v="Oxford Technical Materials"/>
    <x:n v="1.1177"/>
    <x:n v="1.320456022210408"/>
    <x:n v="0.00632004523607577"/>
    <x:n v="1.320456022210408"/>
    <x:x v="375"/>
    <x:x v="2"/>
    <x:n v="1.315"/>
    <x:n v="24165.5183"/>
    <x:n v="100.26433807667127"/>
    <x:n v="0.004149066319701956"/>
  </x:r>
  <x:r>
    <x:s v="INV-00376"/>
    <x:x v="5"/>
    <x:s v="SUP09"/>
    <x:x v="0"/>
    <x:s v="Components"/>
    <x:d v="2026-12-20T00:00:00Z"/>
    <x:n v="46406"/>
    <x:x v="2"/>
    <x:n v="19486.42"/>
    <x:s v="Planned"/>
    <x:s v="SUP09-INV-00376"/>
    <x:n v="30"/>
    <x:s v="Thames Electronics Ltd"/>
    <x:n v="1.1177"/>
    <x:n v="1.320456022210408"/>
    <x:n v="0.00632004523607577"/>
    <x:n v="1.320456022210408"/>
    <x:x v="376"/>
    <x:x v="2"/>
    <x:n v="1.315"/>
    <x:n v="25624.642299999996"/>
    <x:n v="106.31834032134066"/>
    <x:n v="0.00414906631970198"/>
  </x:r>
  <x:r>
    <x:s v="INV-00377"/>
    <x:x v="3"/>
    <x:s v="SUP04"/>
    <x:x v="1"/>
    <x:s v="Packaging"/>
    <x:d v="2025-02-14T00:00:00Z"/>
    <x:n v="45732"/>
    <x:x v="0"/>
    <x:n v="16085.93"/>
    <x:s v="Historical"/>
    <x:s v="SUP04-INV-00377"/>
    <x:n v="30"/>
    <x:s v="Nordlicht Packaging"/>
    <x:n v="1.0478"/>
    <x:n v="1.2591479901460074"/>
    <x:n v="0.006545068399025548"/>
    <x:n v="1.0478"/>
    <x:x v="377"/>
    <x:x v="3"/>
    <x:n v="1.052"/>
    <x:n v="16922.398360000003"/>
    <x:n v="-67.56090600000243"/>
    <x:n v="-0.003992395437262501"/>
  </x:r>
  <x:r>
    <x:s v="INV-00378"/>
    <x:x v="7"/>
    <x:s v="SUP03"/>
    <x:x v="0"/>
    <x:s v="Components"/>
    <x:d v="2025-12-27T00:00:00Z"/>
    <x:n v="46048"/>
    <x:x v="0"/>
    <x:n v="18633.19"/>
    <x:s v="Historical"/>
    <x:s v="SUP03-INV-00378"/>
    <x:n v="30"/>
    <x:s v="Benelux Sensor Works"/>
    <x:n v="1.1555"/>
    <x:n v="1.3367963164349013"/>
    <x:n v="0.006298375667720483"/>
    <x:n v="1.1555"/>
    <x:x v="378"/>
    <x:x v="7"/>
    <x:n v="1.106"/>
    <x:n v="20608.30814"/>
    <x:n v="922.3429049999977"/>
    <x:n v="0.04475587703435793"/>
  </x:r>
  <x:r>
    <x:s v="INV-00379"/>
    <x:x v="13"/>
    <x:s v="SUP11"/>
    <x:x v="2"/>
    <x:s v="Software"/>
    <x:d v="2025-10-07T00:00:00Z"/>
    <x:n v="45967"/>
    <x:x v="2"/>
    <x:n v="4586.33"/>
    <x:s v="Historical"/>
    <x:s v="SUP11-INV-00379"/>
    <x:n v="30"/>
    <x:s v="Manchester Cloud Solutions"/>
    <x:n v="1.1666"/>
    <x:n v="1.3404573135700335"/>
    <x:n v="0.0066265265549559785"/>
    <x:n v="1.3404573135700335"/>
    <x:x v="379"/>
    <x:x v="7"/>
    <x:n v="1.304"/>
    <x:n v="5980.57432"/>
    <x:n v="167.20527094565205"/>
    <x:n v="0.027958062553706725"/>
  </x:r>
  <x:r>
    <x:s v="INV-00380"/>
    <x:x v="4"/>
    <x:s v="SUP08"/>
    <x:x v="0"/>
    <x:s v="Components"/>
    <x:d v="2026-01-07T00:00:00Z"/>
    <x:n v="46059"/>
    <x:x v="0"/>
    <x:n v="12604.5"/>
    <x:s v="Historical"/>
    <x:s v="SUP08-INV-00380"/>
    <x:n v="30"/>
    <x:s v="Valencia Circuit Supply"/>
    <x:n v="1.1684"/>
    <x:n v="1.3485687903970454"/>
    <x:n v="0.006387841014706687"/>
    <x:n v="1.1684"/>
    <x:x v="380"/>
    <x:x v="6"/>
    <x:n v="1.065"/>
    <x:n v="13423.7925"/>
    <x:n v="1303.3053000000018"/>
    <x:n v="0.0970892018779344"/>
  </x:r>
  <x:r>
    <x:s v="INV-00381"/>
    <x:x v="7"/>
    <x:s v="SUP03"/>
    <x:x v="0"/>
    <x:s v="Components"/>
    <x:d v="2026-09-10T00:00:00Z"/>
    <x:n v="46305"/>
    <x:x v="0"/>
    <x:n v="10536.62"/>
    <x:s v="Historical"/>
    <x:s v="SUP03-INV-00381"/>
    <x:n v="30"/>
    <x:s v="Benelux Sensor Works"/>
    <x:n v="1.1616"/>
    <x:n v="1.3520339870802538"/>
    <x:n v="0.006486124295047183"/>
    <x:n v="1.1616"/>
    <x:x v="381"/>
    <x:x v="4"/>
    <x:n v="1.101"/>
    <x:n v="11600.81862"/>
    <x:n v="638.5191720000003"/>
    <x:n v="0.055040871934604926"/>
  </x:r>
  <x:r>
    <x:s v="INV-00382"/>
    <x:x v="13"/>
    <x:s v="SUP11"/>
    <x:x v="2"/>
    <x:s v="Software"/>
    <x:d v="2025-11-05T00:00:00Z"/>
    <x:n v="45996"/>
    <x:x v="2"/>
    <x:n v="11020.35"/>
    <x:s v="Historical"/>
    <x:s v="SUP11-INV-00382"/>
    <x:n v="30"/>
    <x:s v="Manchester Cloud Solutions"/>
    <x:n v="1.1492"/>
    <x:n v="1.3044267877412032"/>
    <x:n v="0.006504782928623989"/>
    <x:n v="1.3044267877412032"/>
    <x:x v="382"/>
    <x:x v="7"/>
    <x:n v="1.304"/>
    <x:n v="14370.5364"/>
    <x:n v="4.703350283769396"/>
    <x:n v="0.00032729121257919053"/>
  </x:r>
  <x:r>
    <x:s v="INV-00383"/>
    <x:x v="3"/>
    <x:s v="SUP04"/>
    <x:x v="1"/>
    <x:s v="Packaging"/>
    <x:d v="2025-11-19T00:00:00Z"/>
    <x:n v="46010"/>
    <x:x v="0"/>
    <x:n v="6030.59"/>
    <x:s v="Historical"/>
    <x:s v="SUP04-INV-00383"/>
    <x:n v="30"/>
    <x:s v="Nordlicht Packaging"/>
    <x:n v="1.1583"/>
    <x:n v="1.3122238586156112"/>
    <x:n v="0.00640475532209013"/>
    <x:n v="1.1583"/>
    <x:x v="383"/>
    <x:x v="7"/>
    <x:n v="1.106"/>
    <x:n v="6669.83254"/>
    <x:n v="315.39985700000034"/>
    <x:n v="0.04728752260397835"/>
  </x:r>
  <x:r>
    <x:s v="INV-00384"/>
    <x:x v="0"/>
    <x:s v="SUP01"/>
    <x:x v="0"/>
    <x:s v="Components"/>
    <x:d v="2026-02-15T00:00:00Z"/>
    <x:n v="46098"/>
    <x:x v="0"/>
    <x:n v="14363.5"/>
    <x:s v="Historical"/>
    <x:s v="SUP01-INV-00384"/>
    <x:n v="30"/>
    <x:s v="Rhein Circuit Components"/>
    <x:n v="1.1555"/>
    <x:n v="1.3367963164349013"/>
    <x:n v="0.006298375667720483"/>
    <x:n v="1.1555"/>
    <x:x v="384"/>
    <x:x v="6"/>
    <x:n v="1.065"/>
    <x:n v="15297.127499999999"/>
    <x:n v="1299.8967499999999"/>
    <x:n v="0.08497652582159625"/>
  </x:r>
  <x:r>
    <x:s v="INV-00385"/>
    <x:x v="15"/>
    <x:s v="SUP18"/>
    <x:x v="1"/>
    <x:s v="Services"/>
    <x:d v="2025-10-30T00:00:00Z"/>
    <x:n v="45990"/>
    <x:x v="1"/>
    <x:n v="2118844.07"/>
    <x:s v="Historical"/>
    <x:s v="SUP18-INV-00385"/>
    <x:n v="30"/>
    <x:s v="Yokohama Engineering Labs"/>
    <x:n v="1.155"/>
    <x:n v="1.312350869219407"/>
    <x:n v="0.006475304143073387"/>
    <x:n v="0.006475304143073387"/>
    <x:x v="385"/>
    <x:x v="7"/>
    <x:n v="0.00698"/>
    <x:n v="14789.531608599998"/>
    <x:n v="-1069.3718236025215"/>
    <x:n v="-0.07230599669435711"/>
  </x:r>
  <x:r>
    <x:s v="INV-00386"/>
    <x:x v="2"/>
    <x:s v="SUP10"/>
    <x:x v="1"/>
    <x:s v="Services"/>
    <x:d v="2025-12-23T00:00:00Z"/>
    <x:n v="46059"/>
    <x:x v="2"/>
    <x:n v="6690.84"/>
    <x:s v="Historical"/>
    <x:s v="SUP10-INV-00386"/>
    <x:n v="45"/>
    <x:s v="Bristol Calibration Services"/>
    <x:n v="1.1786"/>
    <x:n v="1.3502119372207584"/>
    <x:n v="0.00640926640926641"/>
    <x:n v="1.3502119372207584"/>
    <x:x v="386"/>
    <x:x v="7"/>
    <x:n v="1.304"/>
    <x:n v="8724.855360000001"/>
    <x:n v="309.1966780341372"/>
    <x:n v="0.035438602163158056"/>
  </x:r>
  <x:r>
    <x:s v="INV-00387"/>
    <x:x v="16"/>
    <x:s v="SUP12"/>
    <x:x v="0"/>
    <x:s v="Components"/>
    <x:d v="2026-01-12T00:00:00Z"/>
    <x:n v="46094"/>
    <x:x v="2"/>
    <x:n v="13038.32"/>
    <x:s v="Historical"/>
    <x:s v="SUP12-INV-00387"/>
    <x:n v="60"/>
    <x:s v="Oxford Technical Materials"/>
    <x:n v="1.1692"/>
    <x:n v="1.3479363615402353"/>
    <x:n v="0.006339876369157359"/>
    <x:n v="1.3479363615402353"/>
    <x:x v="387"/>
    <x:x v="6"/>
    <x:n v="1.249"/>
    <x:n v="16284.861680000002"/>
    <x:n v="1289.96394139728"/>
    <x:n v="0.07921245919954782"/>
  </x:r>
  <x:r>
    <x:s v="INV-00388"/>
    <x:x v="4"/>
    <x:s v="SUP08"/>
    <x:x v="0"/>
    <x:s v="Components"/>
    <x:d v="2025-11-02T00:00:00Z"/>
    <x:n v="45993"/>
    <x:x v="0"/>
    <x:n v="16016.59"/>
    <x:s v="Historical"/>
    <x:s v="SUP08-INV-00388"/>
    <x:n v="30"/>
    <x:s v="Valencia Circuit Supply"/>
    <x:n v="1.1555"/>
    <x:n v="1.3367963164349013"/>
    <x:n v="0.006298375667720483"/>
    <x:n v="1.1555"/>
    <x:x v="388"/>
    <x:x v="7"/>
    <x:n v="1.106"/>
    <x:n v="17714.348540000003"/>
    <x:n v="792.8212049999966"/>
    <x:n v="0.04475587703435784"/>
  </x:r>
  <x:r>
    <x:s v="INV-00389"/>
    <x:x v="15"/>
    <x:s v="SUP18"/>
    <x:x v="1"/>
    <x:s v="Services"/>
    <x:d v="2025-03-01T00:00:00Z"/>
    <x:n v="45747"/>
    <x:x v="1"/>
    <x:n v="943932.82"/>
    <x:s v="Historical"/>
    <x:s v="SUP18-INV-00389"/>
    <x:n v="30"/>
    <x:s v="Yokohama Engineering Labs"/>
    <x:n v="1.0803"/>
    <x:n v="1.294470073692409"/>
    <x:n v="0.006700781540751768"/>
    <x:n v="0.006700781540751768"/>
    <x:x v="389"/>
    <x:x v="3"/>
    <x:n v="0.00656"/>
    <x:n v="6192.1992992"/>
    <x:n v="132.88831676576137"/>
    <x:n v="0.021460600724354892"/>
  </x:r>
  <x:r>
    <x:s v="INV-00390"/>
    <x:x v="11"/>
    <x:s v="SUP14"/>
    <x:x v="0"/>
    <x:s v="Equipment"/>
    <x:d v="2026-04-27T00:00:00Z"/>
    <x:n v="46199"/>
    <x:x v="1"/>
    <x:n v="14461886.48"/>
    <x:s v="Historical"/>
    <x:s v="SUP14-INV-00390"/>
    <x:n v="60"/>
    <x:s v="Tokyo Automation Systems"/>
    <x:n v="1.1749"/>
    <x:n v="1.357010857010857"/>
    <x:n v="0.006280872447343099"/>
    <x:n v="0.006280872447343099"/>
    <x:x v="390"/>
    <x:x v="0"/>
    <x:n v="0.0066"/>
    <x:n v="95448.45076800001"/>
    <x:n v="-4615.186439164332"/>
    <x:n v="-0.048352659493469924"/>
  </x:r>
  <x:r>
    <x:s v="INV-00391"/>
    <x:x v="6"/>
    <x:s v="SUP16"/>
    <x:x v="0"/>
    <x:s v="Components"/>
    <x:d v="2025-05-12T00:00:00Z"/>
    <x:n v="45819"/>
    <x:x v="1"/>
    <x:n v="904763.11"/>
    <x:s v="Historical"/>
    <x:s v="SUP16-INV-00391"/>
    <x:n v="30"/>
    <x:s v="Kyoto Optical Instruments"/>
    <x:n v="1.1106"/>
    <x:n v="1.3175940206430181"/>
    <x:n v="0.006753009850419555"/>
    <x:n v="0.006753009850419555"/>
    <x:x v="391"/>
    <x:x v="5"/>
    <x:n v="0.0067"/>
    <x:n v="6061.912837"/>
    <x:n v="47.96135712623163"/>
    <x:n v="0.007911917973067952"/>
  </x:r>
  <x:r>
    <x:s v="INV-00392"/>
    <x:x v="13"/>
    <x:s v="SUP11"/>
    <x:x v="2"/>
    <x:s v="Software"/>
    <x:d v="2026-10-04T00:00:00Z"/>
    <x:n v="46329"/>
    <x:x v="2"/>
    <x:n v="2609.84"/>
    <x:s v="Planned"/>
    <x:s v="SUP11-INV-00392"/>
    <x:n v="30"/>
    <x:s v="Manchester Cloud Solutions"/>
    <x:n v="1.1225"/>
    <x:n v="1.3200757353027648"/>
    <x:n v="0.006342166224080456"/>
    <x:n v="1.3200757353027648"/>
    <x:x v="392"/>
    <x:x v="2"/>
    <x:n v="1.315"/>
    <x:n v="3431.9396"/>
    <x:n v="13.246857022567838"/>
    <x:n v="0.0038598747549542646"/>
  </x:r>
  <x:r>
    <x:s v="INV-00393"/>
    <x:x v="17"/>
    <x:s v="SUP06"/>
    <x:x v="2"/>
    <x:s v="Software"/>
    <x:d v="2026-02-11T00:00:00Z"/>
    <x:n v="46094"/>
    <x:x v="0"/>
    <x:n v="1677.18"/>
    <x:s v="Historical"/>
    <x:s v="SUP06-INV-00393"/>
    <x:n v="30"/>
    <x:s v="Dublin Systems Licensing"/>
    <x:n v="1.19"/>
    <x:n v="1.3679733302678467"/>
    <x:n v="0.006510202965151267"/>
    <x:n v="1.19"/>
    <x:x v="393"/>
    <x:x v="6"/>
    <x:n v="1.065"/>
    <x:n v="1786.1967"/>
    <x:n v="209.64750000000004"/>
    <x:n v="0.11737089201877937"/>
  </x:r>
  <x:r>
    <x:s v="INV-00394"/>
    <x:x v="11"/>
    <x:s v="SUP14"/>
    <x:x v="0"/>
    <x:s v="Equipment"/>
    <x:d v="2026-11-01T00:00:00Z"/>
    <x:n v="46387"/>
    <x:x v="1"/>
    <x:n v="6317107.77"/>
    <x:s v="Planned"/>
    <x:s v="SUP14-INV-00394"/>
    <x:n v="60"/>
    <x:s v="Tokyo Automation Systems"/>
    <x:n v="1.1177"/>
    <x:n v="1.320456022210408"/>
    <x:n v="0.00632004523607577"/>
    <x:n v="0.00632004523607577"/>
    <x:x v="394"/>
    <x:x v="2"/>
    <x:n v="0.00688"/>
    <x:n v="43461.70145759999"/>
    <x:n v="-3537.2945900342675"/>
    <x:n v="-0.08138877382619619"/>
  </x:r>
  <x:r>
    <x:s v="INV-00395"/>
    <x:x v="4"/>
    <x:s v="SUP08"/>
    <x:x v="0"/>
    <x:s v="Components"/>
    <x:d v="2025-10-23T00:00:00Z"/>
    <x:n v="45983"/>
    <x:x v="0"/>
    <x:n v="11169.29"/>
    <x:s v="Historical"/>
    <x:s v="SUP08-INV-00395"/>
    <x:n v="30"/>
    <x:s v="Valencia Circuit Supply"/>
    <x:n v="1.1593"/>
    <x:n v="1.3339086411230008"/>
    <x:n v="0.006551938510229456"/>
    <x:n v="1.1593"/>
    <x:x v="395"/>
    <x:x v="7"/>
    <x:n v="1.106"/>
    <x:n v="12353.234740000002"/>
    <x:n v="595.3231569999989"/>
    <x:n v="0.04819168173598544"/>
  </x:r>
  <x:r>
    <x:s v="INV-00396"/>
    <x:x v="4"/>
    <x:s v="SUP08"/>
    <x:x v="0"/>
    <x:s v="Components"/>
    <x:d v="2025-11-18T00:00:00Z"/>
    <x:n v="46009"/>
    <x:x v="0"/>
    <x:n v="2524.76"/>
    <x:s v="Historical"/>
    <x:s v="SUP08-INV-00396"/>
    <x:n v="30"/>
    <x:s v="Valencia Circuit Supply"/>
    <x:n v="1.159"/>
    <x:n v="1.3139099875297586"/>
    <x:n v="0.006441035900855841"/>
    <x:n v="1.159"/>
    <x:x v="396"/>
    <x:x v="7"/>
    <x:n v="1.106"/>
    <x:n v="2792.3845600000004"/>
    <x:n v="133.8122800000001"/>
    <x:n v="0.04792043399638339"/>
  </x:r>
  <x:r>
    <x:s v="INV-00397"/>
    <x:x v="3"/>
    <x:s v="SUP04"/>
    <x:x v="1"/>
    <x:s v="Packaging"/>
    <x:d v="2025-08-17T00:00:00Z"/>
    <x:n v="45916"/>
    <x:x v="0"/>
    <x:n v="3444.4"/>
    <x:s v="Historical"/>
    <x:s v="SUP04-INV-00397"/>
    <x:n v="30"/>
    <x:s v="Nordlicht Packaging"/>
    <x:n v="1.1566"/>
    <x:n v="1.3215265082266912"/>
    <x:n v="0.006405272193609127"/>
    <x:n v="1.1566"/>
    <x:x v="397"/>
    <x:x v="1"/>
    <x:n v="1.088"/>
    <x:n v="3747.5072000000005"/>
    <x:n v="236.28584"/>
    <x:n v="0.06305147058823529"/>
  </x:r>
  <x:r>
    <x:s v="INV-00398"/>
    <x:x v="9"/>
    <x:s v="SUP05"/>
    <x:x v="0"/>
    <x:s v="Components"/>
    <x:d v="2026-10-07T00:00:00Z"/>
    <x:n v="46347"/>
    <x:x v="0"/>
    <x:n v="32264.83"/>
    <x:s v="Planned"/>
    <x:s v="SUP05-INV-00398"/>
    <x:n v="45"/>
    <x:s v="Lyon Industrial Controls"/>
    <x:n v="1.1177"/>
    <x:n v="1.320456022210408"/>
    <x:n v="0.00632004523607577"/>
    <x:n v="1.1177"/>
    <x:x v="398"/>
    <x:x v="2"/>
    <x:n v="1.119"/>
    <x:n v="36104.34477"/>
    <x:n v="-41.94427900000301"/>
    <x:n v="-0.0011617515638964193"/>
  </x:r>
  <x:r>
    <x:s v="INV-00399"/>
    <x:x v="4"/>
    <x:s v="SUP08"/>
    <x:x v="0"/>
    <x:s v="Components"/>
    <x:d v="2026-08-30T00:00:00Z"/>
    <x:n v="46294"/>
    <x:x v="0"/>
    <x:n v="7199.64"/>
    <x:s v="Historical"/>
    <x:s v="SUP08-INV-00399"/>
    <x:n v="30"/>
    <x:s v="Valencia Circuit Supply"/>
    <x:n v="1.1643"/>
    <x:n v="1.358259449370042"/>
    <x:n v="0.0062623709122203094"/>
    <x:n v="1.1643"/>
    <x:x v="399"/>
    <x:x v="4"/>
    <x:n v="1.101"/>
    <x:n v="7926.80364"/>
    <x:n v="455.737212"/>
    <x:n v="0.057493188010899185"/>
  </x:r>
  <x:r>
    <x:s v="INV-00400"/>
    <x:x v="11"/>
    <x:s v="SUP14"/>
    <x:x v="0"/>
    <x:s v="Equipment"/>
    <x:d v="2026-02-08T00:00:00Z"/>
    <x:n v="46121"/>
    <x:x v="1"/>
    <x:n v="14074579.98"/>
    <x:s v="Historical"/>
    <x:s v="SUP14-INV-00400"/>
    <x:n v="60"/>
    <x:s v="Tokyo Automation Systems"/>
    <x:n v="1.1555"/>
    <x:n v="1.3367963164349013"/>
    <x:n v="0.006298375667720483"/>
    <x:n v="0.006298375667720483"/>
    <x:x v="400"/>
    <x:x v="6"/>
    <x:n v="0.00646"/>
    <x:n v="90921.7866708"/>
    <x:n v="-2274.794591382146"/>
    <x:n v="-0.02501924648289724"/>
  </x:r>
  <x:r>
    <x:s v="INV-00401"/>
    <x:x v="2"/>
    <x:s v="SUP10"/>
    <x:x v="1"/>
    <x:s v="Services"/>
    <x:d v="2026-11-03T00:00:00Z"/>
    <x:n v="46374"/>
    <x:x v="2"/>
    <x:n v="8521.2"/>
    <x:s v="Planned"/>
    <x:s v="SUP10-INV-00401"/>
    <x:n v="45"/>
    <x:s v="Bristol Calibration Services"/>
    <x:n v="1.1177"/>
    <x:n v="1.320456022210408"/>
    <x:n v="0.00632004523607577"/>
    <x:n v="1.320456022210408"/>
    <x:x v="401"/>
    <x:x v="2"/>
    <x:n v="1.315"/>
    <x:n v="11205.378"/>
    <x:n v="46.49185645932994"/>
    <x:n v="0.004149066319702016"/>
  </x:r>
  <x:r>
    <x:s v="INV-00402"/>
    <x:x v="16"/>
    <x:s v="SUP12"/>
    <x:x v="0"/>
    <x:s v="Components"/>
    <x:d v="2026-02-10T00:00:00Z"/>
    <x:n v="46123"/>
    <x:x v="2"/>
    <x:n v="9985.31"/>
    <x:s v="Historical"/>
    <x:s v="SUP12-INV-00402"/>
    <x:n v="60"/>
    <x:s v="Oxford Technical Materials"/>
    <x:n v="1.1894"/>
    <x:n v="1.3679125934445082"/>
    <x:n v="0.006446263075172078"/>
    <x:n v="1.3679125934445082"/>
    <x:x v="402"/>
    <x:x v="6"/>
    <x:n v="1.249"/>
    <x:n v="12471.65219"/>
    <x:n v="1187.3791084473814"/>
    <x:n v="0.09520623974740441"/>
  </x:r>
  <x:r>
    <x:s v="INV-00403"/>
    <x:x v="5"/>
    <x:s v="SUP09"/>
    <x:x v="0"/>
    <x:s v="Components"/>
    <x:d v="2026-07-06T00:00:00Z"/>
    <x:n v="46239"/>
    <x:x v="2"/>
    <x:n v="12335.28"/>
    <x:s v="Historical"/>
    <x:s v="SUP09-INV-00403"/>
    <x:n v="30"/>
    <x:s v="Thames Electronics Ltd"/>
    <x:n v="1.1415"/>
    <x:n v="1.3344946105824311"/>
    <x:n v="0.0061599481949166255"/>
    <x:n v="1.3344946105824311"/>
    <x:x v="403"/>
    <x:x v="4"/>
    <x:n v="1.293"/>
    <x:n v="15949.51704"/>
    <x:n v="511.847640025253"/>
    <x:n v="0.03209173285570865"/>
  </x:r>
  <x:r>
    <x:s v="INV-00404"/>
    <x:x v="1"/>
    <x:s v="SUP15"/>
    <x:x v="1"/>
    <x:s v="Freight"/>
    <x:d v="2025-07-25T00:00:00Z"/>
    <x:n v="45893"/>
    <x:x v="1"/>
    <x:n v="1342483.58"/>
    <x:s v="Historical"/>
    <x:s v="SUP15-INV-00404"/>
    <x:n v="30"/>
    <x:s v="Nagoya Logistics Partners"/>
    <x:n v="1.1724"/>
    <x:n v="1.3452667814113597"/>
    <x:n v="0.006772572352839235"/>
    <x:n v="0.006772572352839235"/>
    <x:x v="404"/>
    <x:x v="1"/>
    <x:n v="0.00684"/>
    <x:n v="9182.5876872"/>
    <x:n v="-90.52050915135987"/>
    <x:n v="-0.009857843152158543"/>
  </x:r>
  <x:r>
    <x:s v="INV-00405"/>
    <x:x v="9"/>
    <x:s v="SUP05"/>
    <x:x v="0"/>
    <x:s v="Components"/>
    <x:d v="2026-12-13T00:00:00Z"/>
    <x:n v="46414"/>
    <x:x v="0"/>
    <x:n v="24663.65"/>
    <x:s v="Planned"/>
    <x:s v="SUP05-INV-00405"/>
    <x:n v="45"/>
    <x:s v="Lyon Industrial Controls"/>
    <x:n v="1.1177"/>
    <x:n v="1.320456022210408"/>
    <x:n v="0.00632004523607577"/>
    <x:n v="1.1177"/>
    <x:x v="405"/>
    <x:x v="2"/>
    <x:n v="1.119"/>
    <x:n v="27598.624350000002"/>
    <x:n v="-32.062745000002906"/>
    <x:n v="-0.0011617515638964412"/>
  </x:r>
  <x:r>
    <x:s v="INV-00406"/>
    <x:x v="16"/>
    <x:s v="SUP12"/>
    <x:x v="0"/>
    <x:s v="Components"/>
    <x:d v="2026-06-01T00:00:00Z"/>
    <x:n v="46234"/>
    <x:x v="2"/>
    <x:n v="20951.06"/>
    <x:s v="Historical"/>
    <x:s v="SUP12-INV-00406"/>
    <x:n v="60"/>
    <x:s v="Oxford Technical Materials"/>
    <x:n v="1.1646"/>
    <x:n v="1.3464673441781416"/>
    <x:n v="0.006270054915473242"/>
    <x:n v="1.3464673441781416"/>
    <x:x v="406"/>
    <x:x v="0"/>
    <x:n v="1.271"/>
    <x:n v="26628.79726"/>
    <x:n v="1581.120855916899"/>
    <x:n v="0.05937635261852225"/>
  </x:r>
  <x:r>
    <x:s v="INV-00407"/>
    <x:x v="0"/>
    <x:s v="SUP01"/>
    <x:x v="0"/>
    <x:s v="Components"/>
    <x:d v="2025-06-27T00:00:00Z"/>
    <x:n v="45865"/>
    <x:x v="0"/>
    <x:n v="24054.72"/>
    <x:s v="Historical"/>
    <x:s v="SUP01-INV-00407"/>
    <x:n v="30"/>
    <x:s v="Rhein Circuit Components"/>
    <x:n v="1.1704"/>
    <x:n v="1.3722593504514013"/>
    <x:n v="0.006915622784211771"/>
    <x:n v="1.1704"/>
    <x:x v="407"/>
    <x:x v="5"/>
    <x:n v="1.07"/>
    <x:n v="25738.550400000004"/>
    <x:n v="2415.0938879999994"/>
    <x:n v="0.09383177570093454"/>
  </x:r>
  <x:r>
    <x:s v="INV-00408"/>
    <x:x v="5"/>
    <x:s v="SUP09"/>
    <x:x v="0"/>
    <x:s v="Components"/>
    <x:d v="2025-04-26T00:00:00Z"/>
    <x:n v="45803"/>
    <x:x v="2"/>
    <x:n v="17704.11"/>
    <x:s v="Historical"/>
    <x:s v="SUP09-INV-00408"/>
    <x:n v="30"/>
    <x:s v="Thames Electronics Ltd"/>
    <x:n v="1.1607"/>
    <x:n v="1.3612055822680897"/>
    <x:n v="0.006897842752718845"/>
    <x:n v="1.3612055822680897"/>
    <x:x v="408"/>
    <x:x v="5"/>
    <x:n v="1.26"/>
    <x:n v="22307.1786"/>
    <x:n v="1791.754761088312"/>
    <x:n v="0.0803218906889602"/>
  </x:r>
  <x:r>
    <x:s v="INV-00409"/>
    <x:x v="2"/>
    <x:s v="SUP10"/>
    <x:x v="1"/>
    <x:s v="Services"/>
    <x:d v="2026-08-01T00:00:00Z"/>
    <x:n v="46280"/>
    <x:x v="2"/>
    <x:n v="11814.48"/>
    <x:s v="Historical"/>
    <x:s v="SUP10-INV-00409"/>
    <x:n v="45"/>
    <x:s v="Bristol Calibration Services"/>
    <x:n v="1.1485"/>
    <x:n v="1.3421289425402874"/>
    <x:n v="0.006240830299407705"/>
    <x:n v="1.3421289425402874"/>
    <x:x v="409"/>
    <x:x v="4"/>
    <x:n v="1.293"/>
    <x:n v="15276.122639999998"/>
    <x:n v="580.4329090633764"/>
    <x:n v="0.03799608858490917"/>
  </x:r>
  <x:r>
    <x:s v="INV-00410"/>
    <x:x v="8"/>
    <x:s v="SUP13"/>
    <x:x v="0"/>
    <x:s v="Components"/>
    <x:d v="2026-04-14T00:00:00Z"/>
    <x:n v="46171"/>
    <x:x v="1"/>
    <x:n v="4614848.28"/>
    <x:s v="Historical"/>
    <x:s v="SUP13-INV-00410"/>
    <x:n v="45"/>
    <x:s v="Osaka Microdevices"/>
    <x:n v="1.1793"/>
    <x:n v="1.3568741154948052"/>
    <x:n v="0.006295307745689425"/>
    <x:n v="0.006295307745689425"/>
    <x:x v="410"/>
    <x:x v="0"/>
    <x:n v="0.0066"/>
    <x:n v="30457.998648"/>
    <x:n v="-1406.1085257344785"/>
    <x:n v="-0.04616549307735981"/>
  </x:r>
  <x:r>
    <x:s v="INV-00411"/>
    <x:x v="11"/>
    <x:s v="SUP14"/>
    <x:x v="0"/>
    <x:s v="Equipment"/>
    <x:d v="2025-04-23T00:00:00Z"/>
    <x:n v="45830"/>
    <x:x v="1"/>
    <x:n v="1601519.28"/>
    <x:s v="Historical"/>
    <x:s v="SUP14-INV-00411"/>
    <x:n v="60"/>
    <x:s v="Tokyo Automation Systems"/>
    <x:n v="1.1415"/>
    <x:n v="1.3305281316657536"/>
    <x:n v="0.007060242454230578"/>
    <x:n v="0.007060242454230578"/>
    <x:x v="411"/>
    <x:x v="5"/>
    <x:n v="0.0067"/>
    <x:n v="10730.179176"/>
    <x:n v="576.9352359247896"/>
    <x:n v="0.05376753048217595"/>
  </x:r>
  <x:r>
    <x:s v="INV-00412"/>
    <x:x v="15"/>
    <x:s v="SUP18"/>
    <x:x v="1"/>
    <x:s v="Services"/>
    <x:d v="2026-05-25T00:00:00Z"/>
    <x:n v="46197"/>
    <x:x v="1"/>
    <x:n v="1544418.48"/>
    <x:s v="Historical"/>
    <x:s v="SUP18-INV-00412"/>
    <x:n v="30"/>
    <x:s v="Yokohama Engineering Labs"/>
    <x:n v="1.1643"/>
    <x:n v="1.3498347921859601"/>
    <x:n v="0.0062921530479896235"/>
    <x:n v="0.0062921530479896235"/>
    <x:x v="412"/>
    <x:x v="0"/>
    <x:n v="0.0066"/>
    <x:n v="10193.161968"/>
    <x:n v="-475.4445216964996"/>
    <x:n v="-0.04664347757732987"/>
  </x:r>
  <x:r>
    <x:s v="INV-00413"/>
    <x:x v="12"/>
    <x:s v="SUP17"/>
    <x:x v="1"/>
    <x:s v="Packaging"/>
    <x:d v="2026-10-27T00:00:00Z"/>
    <x:n v="46367"/>
    <x:x v="1"/>
    <x:n v="222564.51"/>
    <x:s v="Planned"/>
    <x:s v="SUP17-INV-00413"/>
    <x:n v="45"/>
    <x:s v="Kobe Industrial Packaging"/>
    <x:n v="1.1177"/>
    <x:n v="1.320456022210408"/>
    <x:n v="0.00632004523607577"/>
    <x:n v="0.00632004523607577"/>
    <x:x v="413"/>
    <x:x v="2"/>
    <x:n v="0.00688"/>
    <x:n v="1531.2438288"/>
    <x:n v="-124.62605765496187"/>
    <x:n v="-0.08138877382619618"/>
  </x:r>
  <x:r>
    <x:s v="INV-00414"/>
    <x:x v="8"/>
    <x:s v="SUP13"/>
    <x:x v="0"/>
    <x:s v="Components"/>
    <x:d v="2026-08-29T00:00:00Z"/>
    <x:n v="46308"/>
    <x:x v="1"/>
    <x:n v="1382932.53"/>
    <x:s v="Historical"/>
    <x:s v="SUP13-INV-00414"/>
    <x:n v="45"/>
    <x:s v="Osaka Microdevices"/>
    <x:n v="1.1643"/>
    <x:n v="1.358259449370042"/>
    <x:n v="0.0062623709122203094"/>
    <x:n v="0.0062623709122203094"/>
    <x:x v="414"/>
    <x:x v="4"/>
    <x:n v="0.00674"/>
    <x:n v="9320.965252200001"/>
    <x:n v="-660.5288027647603"/>
    <x:n v="-0.07086484981894525"/>
  </x:r>
  <x:r>
    <x:s v="INV-00415"/>
    <x:x v="11"/>
    <x:s v="SUP14"/>
    <x:x v="0"/>
    <x:s v="Equipment"/>
    <x:d v="2026-11-24T00:00:00Z"/>
    <x:n v="46410"/>
    <x:x v="1"/>
    <x:n v="5876418.21"/>
    <x:s v="Planned"/>
    <x:s v="SUP14-INV-00415"/>
    <x:n v="60"/>
    <x:s v="Tokyo Automation Systems"/>
    <x:n v="1.1177"/>
    <x:n v="1.320456022210408"/>
    <x:n v="0.00632004523607577"/>
    <x:n v="0.00632004523607577"/>
    <x:x v="415"/>
    <x:x v="2"/>
    <x:n v="0.00688"/>
    <x:n v="40429.7572848"/>
    <x:n v="-3290.5283715005935"/>
    <x:n v="-0.08138877382619615"/>
  </x:r>
  <x:r>
    <x:s v="INV-00416"/>
    <x:x v="10"/>
    <x:s v="SUP02"/>
    <x:x v="0"/>
    <x:s v="Equipment"/>
    <x:d v="2026-01-29T00:00:00Z"/>
    <x:n v="46096"/>
    <x:x v="0"/>
    <x:n v="23959.06"/>
    <x:s v="Historical"/>
    <x:s v="SUP02-INV-00416"/>
    <x:n v="45"/>
    <x:s v="Alpen Precision Systems"/>
    <x:n v="1.1968"/>
    <x:n v="1.3816670514892635"/>
    <x:n v="0.006522781774580337"/>
    <x:n v="1.1968"/>
    <x:x v="416"/>
    <x:x v="6"/>
    <x:n v="1.065"/>
    <x:n v="25516.3989"/>
    <x:n v="3157.804108000004"/>
    <x:n v="0.12375586854460109"/>
  </x:r>
  <x:r>
    <x:s v="INV-00417"/>
    <x:x v="3"/>
    <x:s v="SUP04"/>
    <x:x v="1"/>
    <x:s v="Packaging"/>
    <x:d v="2026-09-24T00:00:00Z"/>
    <x:n v="46319"/>
    <x:x v="0"/>
    <x:n v="2289.62"/>
    <x:s v="Historical"/>
    <x:s v="SUP04-INV-00417"/>
    <x:n v="30"/>
    <x:s v="Nordlicht Packaging"/>
    <x:n v="1.1367"/>
    <x:n v="1.3219593887377017"/>
    <x:n v="0.00629506562551919"/>
    <x:n v="1.1367"/>
    <x:x v="417"/>
    <x:x v="4"/>
    <x:n v="1.101"/>
    <x:n v="2520.87162"/>
    <x:n v="81.73943400000007"/>
    <x:n v="0.032425068119891036"/>
  </x:r>
  <x:r>
    <x:s v="INV-00419"/>
    <x:x v="6"/>
    <x:s v="SUP16"/>
    <x:x v="0"/>
    <x:s v="Components"/>
    <x:d v="2026-04-10T00:00:00Z"/>
    <x:n v="46152"/>
    <x:x v="1"/>
    <x:n v="2206851.42"/>
    <x:s v="Historical"/>
    <x:s v="SUP16-INV-00419"/>
    <x:n v="30"/>
    <x:s v="Kyoto Optical Instruments"/>
    <x:n v="1.1711"/>
    <x:n v="1.344469318638425"/>
    <x:n v="0.006281714316365392"/>
    <x:n v="0.006281714316365392"/>
    <x:x v="418"/>
    <x:x v="0"/>
    <x:n v="0.0066"/>
    <x:n v="14565.219372"/>
    <x:n v="-702.409212894705"/>
    <x:n v="-0.04822510358100118"/>
  </x:r>
  <x:r>
    <x:s v="INV-00420"/>
    <x:x v="0"/>
    <x:s v="SUP01"/>
    <x:x v="0"/>
    <x:s v="Components"/>
    <x:d v="2025-11-05T00:00:00Z"/>
    <x:n v="45996"/>
    <x:x v="0"/>
    <x:n v="15931.61"/>
    <x:s v="Historical"/>
    <x:s v="SUP01-INV-00420"/>
    <x:n v="30"/>
    <x:s v="Rhein Circuit Components"/>
    <x:n v="1.1492"/>
    <x:n v="1.3044267877412032"/>
    <x:n v="0.006504782928623989"/>
    <x:n v="1.1492"/>
    <x:x v="419"/>
    <x:x v="7"/>
    <x:n v="1.106"/>
    <x:n v="17620.360660000002"/>
    <x:n v="688.2455520000003"/>
    <x:n v="0.03905967450271249"/>
  </x:r>
  <x:r>
    <x:s v="INV-00421"/>
    <x:x v="0"/>
    <x:s v="SUP01"/>
    <x:x v="0"/>
    <x:s v="Components"/>
    <x:d v="2026-05-13T00:00:00Z"/>
    <x:n v="46185"/>
    <x:x v="0"/>
    <x:n v="17105.92"/>
    <x:s v="Historical"/>
    <x:s v="SUP01-INV-00421"/>
    <x:n v="30"/>
    <x:s v="Rhein Circuit Components"/>
    <x:n v="1.1715"/>
    <x:n v="1.3510084993022962"/>
    <x:n v="0.006338256776497322"/>
    <x:n v="1.1715"/>
    <x:x v="420"/>
    <x:x v="0"/>
    <x:n v="1.083"/>
    <x:n v="18525.711359999998"/>
    <x:n v="1513.8739200000018"/>
    <x:n v="0.08171745152354581"/>
  </x:r>
  <x:r>
    <x:s v="INV-00422"/>
    <x:x v="14"/>
    <x:s v="SUP07"/>
    <x:x v="0"/>
    <x:s v="Equipment"/>
    <x:d v="2026-08-23T00:00:00Z"/>
    <x:n v="46317"/>
    <x:x v="0"/>
    <x:n v="55645.09"/>
    <x:s v="Historical"/>
    <x:s v="SUP07-INV-00422"/>
    <x:n v="60"/>
    <x:s v="Milan Assembly Robotics"/>
    <x:n v="1.1699"/>
    <x:n v="1.3655888875919224"/>
    <x:n v="0.006301303457933858"/>
    <x:n v="1.1699"/>
    <x:x v="421"/>
    <x:x v="4"/>
    <x:n v="1.101"/>
    <x:n v="61265.24408999999"/>
    <x:n v="3833.9467010000008"/>
    <x:n v="0.06257947320617623"/>
  </x:r>
  <x:r>
    <x:s v="INV-00423"/>
    <x:x v="15"/>
    <x:s v="SUP18"/>
    <x:x v="1"/>
    <x:s v="Services"/>
    <x:d v="2025-03-13T00:00:00Z"/>
    <x:n v="45759"/>
    <x:x v="1"/>
    <x:n v="1298860.86"/>
    <x:s v="Historical"/>
    <x:s v="SUP18-INV-00423"/>
    <x:n v="30"/>
    <x:s v="Yokohama Engineering Labs"/>
    <x:n v="1.083"/>
    <x:n v="1.2927021413736304"/>
    <x:n v="0.006741782868525897"/>
    <x:n v="0.006741782868525897"/>
    <x:x v="422"/>
    <x:x v="3"/>
    <x:n v="0.00656"/>
    <x:n v="8520.5272416"/>
    <x:n v="236.1106529468143"/>
    <x:n v="0.027710803128947803"/>
  </x:r>
  <x:r>
    <x:s v="INV-00424"/>
    <x:x v="5"/>
    <x:s v="SUP09"/>
    <x:x v="0"/>
    <x:s v="Components"/>
    <x:d v="2026-09-08T00:00:00Z"/>
    <x:n v="46303"/>
    <x:x v="2"/>
    <x:n v="6605.87"/>
    <x:s v="Historical"/>
    <x:s v="SUP09-INV-00424"/>
    <x:n v="30"/>
    <x:s v="Thames Electronics Ltd"/>
    <x:n v="1.1614"/>
    <x:n v="1.3545602985770935"/>
    <x:n v="0.006481026785714286"/>
    <x:n v="1.3545602985770935"/>
    <x:x v="423"/>
    <x:x v="4"/>
    <x:n v="1.293"/>
    <x:n v="8541.38991"/>
    <x:n v="406.6593295614639"/>
    <x:n v="0.04761043973479767"/>
  </x:r>
  <x:r>
    <x:s v="INV-00425"/>
    <x:x v="2"/>
    <x:s v="SUP10"/>
    <x:x v="1"/>
    <x:s v="Services"/>
    <x:d v="2026-03-31T00:00:00Z"/>
    <x:n v="46157"/>
    <x:x v="2"/>
    <x:n v="15333.64"/>
    <x:s v="Historical"/>
    <x:s v="SUP10-INV-00425"/>
    <x:n v="45"/>
    <x:s v="Bristol Calibration Services"/>
    <x:n v="1.1498"/>
    <x:n v="1.3241509564336138"/>
    <x:n v="0.006269698456840613"/>
    <x:n v="1.3241509564336138"/>
    <x:x v="424"/>
    <x:x v="6"/>
    <x:n v="1.249"/>
    <x:n v="19151.716360000002"/>
    <x:n v="1152.337711608714"/>
    <x:n v="0.060168900267104516"/>
  </x:r>
  <x:r>
    <x:s v="INV-00426"/>
    <x:x v="8"/>
    <x:s v="SUP13"/>
    <x:x v="0"/>
    <x:s v="Components"/>
    <x:d v="2026-03-01T00:00:00Z"/>
    <x:n v="46127"/>
    <x:x v="1"/>
    <x:n v="3527847.49"/>
    <x:s v="Historical"/>
    <x:s v="SUP13-INV-00426"/>
    <x:n v="45"/>
    <x:s v="Osaka Microdevices"/>
    <x:n v="1.1555"/>
    <x:n v="1.3367963164349013"/>
    <x:n v="0.006298375667720483"/>
    <x:n v="0.006298375667720483"/>
    <x:x v="425"/>
    <x:x v="6"/>
    <x:n v="0.00646"/>
    <x:n v="22789.8947854"/>
    <x:n v="-570.1859949552163"/>
    <x:n v="-0.025019246482897207"/>
  </x:r>
  <x:r>
    <x:s v="INV-00427"/>
    <x:x v="1"/>
    <x:s v="SUP15"/>
    <x:x v="1"/>
    <x:s v="Freight"/>
    <x:d v="2026-07-18T00:00:00Z"/>
    <x:n v="46251"/>
    <x:x v="1"/>
    <x:n v="1775109.42"/>
    <x:s v="Historical"/>
    <x:s v="SUP15-INV-00427"/>
    <x:n v="30"/>
    <x:s v="Nagoya Logistics Partners"/>
    <x:n v="1.1435"/>
    <x:n v="1.3437448588685985"/>
    <x:n v="0.006159439806086722"/>
    <x:n v="0.006159439806086722"/>
    <x:x v="426"/>
    <x:x v="4"/>
    <x:n v="0.00674"/>
    <x:n v="11964.2374908"/>
    <x:n v="-1030.5578690924867"/>
    <x:n v="-0.08613652728683652"/>
  </x:r>
  <x:r>
    <x:s v="INV-00428"/>
    <x:x v="0"/>
    <x:s v="SUP01"/>
    <x:x v="0"/>
    <x:s v="Components"/>
    <x:d v="2025-04-14T00:00:00Z"/>
    <x:n v="45791"/>
    <x:x v="0"/>
    <x:n v="26271.23"/>
    <x:s v="Historical"/>
    <x:s v="SUP01-INV-00428"/>
    <x:n v="30"/>
    <x:s v="Rhein Circuit Components"/>
    <x:n v="1.1377"/>
    <x:n v="1.3170415475267123"/>
    <x:n v="0.006981039455114438"/>
    <x:n v="1.1377"/>
    <x:x v="427"/>
    <x:x v="5"/>
    <x:n v="1.07"/>
    <x:n v="28110.2161"/>
    <x:n v="1778.5622709999952"/>
    <x:n v="0.063271028037383"/>
  </x:r>
  <x:r>
    <x:s v="INV-00429"/>
    <x:x v="2"/>
    <x:s v="SUP10"/>
    <x:x v="1"/>
    <x:s v="Services"/>
    <x:d v="2026-11-18T00:00:00Z"/>
    <x:n v="46389"/>
    <x:x v="2"/>
    <x:n v="11797.3"/>
    <x:s v="Planned"/>
    <x:s v="SUP10-INV-00429"/>
    <x:n v="45"/>
    <x:s v="Bristol Calibration Services"/>
    <x:n v="1.1177"/>
    <x:n v="1.320456022210408"/>
    <x:n v="0.00632004523607577"/>
    <x:n v="1.320456022210408"/>
    <x:x v="428"/>
    <x:x v="2"/>
    <x:n v="1.315"/>
    <x:n v="15513.449499999999"/>
    <x:n v="64.36633082284607"/>
    <x:n v="0.004149066319701886"/>
  </x:r>
  <x:r>
    <x:s v="INV-00430"/>
    <x:x v="4"/>
    <x:s v="SUP08"/>
    <x:x v="0"/>
    <x:s v="Components"/>
    <x:d v="2025-02-14T00:00:00Z"/>
    <x:n v="45732"/>
    <x:x v="0"/>
    <x:n v="8495.74"/>
    <x:s v="Historical"/>
    <x:s v="SUP08-INV-00430"/>
    <x:n v="30"/>
    <x:s v="Valencia Circuit Supply"/>
    <x:n v="1.0478"/>
    <x:n v="1.2591479901460074"/>
    <x:n v="0.006545068399025548"/>
    <x:n v="1.0478"/>
    <x:x v="429"/>
    <x:x v="3"/>
    <x:n v="1.052"/>
    <x:n v="8937.51848"/>
    <x:n v="-35.68210800000088"/>
    <x:n v="-0.0039923954372624556"/>
  </x:r>
  <x:r>
    <x:s v="INV-00431"/>
    <x:x v="10"/>
    <x:s v="SUP02"/>
    <x:x v="0"/>
    <x:s v="Equipment"/>
    <x:d v="2025-02-02T00:00:00Z"/>
    <x:n v="45735"/>
    <x:x v="0"/>
    <x:n v="33195.43"/>
    <x:s v="Historical"/>
    <x:s v="SUP02-INV-00431"/>
    <x:n v="45"/>
    <x:s v="Alpen Precision Systems"/>
    <x:n v="1.0466"/>
    <x:n v="1.2635518531932874"/>
    <x:n v="0.0066743192398443976"/>
    <x:n v="1.0466"/>
    <x:x v="430"/>
    <x:x v="3"/>
    <x:n v="1.052"/>
    <x:n v="34921.59236"/>
    <x:n v="-179.25532200000453"/>
    <x:n v="-0.005133079847908875"/>
  </x:r>
  <x:r>
    <x:s v="INV-00432"/>
    <x:x v="8"/>
    <x:s v="SUP13"/>
    <x:x v="0"/>
    <x:s v="Components"/>
    <x:d v="2026-05-18T00:00:00Z"/>
    <x:n v="46205"/>
    <x:x v="1"/>
    <x:n v="3798582.64"/>
    <x:s v="Historical"/>
    <x:s v="SUP13-INV-00432"/>
    <x:n v="45"/>
    <x:s v="Osaka Microdevices"/>
    <x:n v="1.1648"/>
    <x:n v="1.3385428637094923"/>
    <x:n v="0.006298599470069756"/>
    <x:n v="0.006298599470069756"/>
    <x:x v="431"/>
    <x:x v="0"/>
    <x:n v="0.0066"/>
    <x:n v="25070.645424000002"/>
    <x:n v="-1144.8948206798268"/>
    <x:n v="-0.04566674695912794"/>
  </x:r>
  <x:r>
    <x:s v="INV-00433"/>
    <x:x v="9"/>
    <x:s v="SUP05"/>
    <x:x v="0"/>
    <x:s v="Components"/>
    <x:d v="2026-02-27T00:00:00Z"/>
    <x:n v="46125"/>
    <x:x v="0"/>
    <x:n v="17319.96"/>
    <x:s v="Historical"/>
    <x:s v="SUP05-INV-00433"/>
    <x:n v="45"/>
    <x:s v="Lyon Industrial Controls"/>
    <x:n v="1.1805"/>
    <x:n v="1.347141389934954"/>
    <x:n v="0.006411231195351111"/>
    <x:n v="1.1805"/>
    <x:x v="432"/>
    <x:x v="6"/>
    <x:n v="1.065"/>
    <x:n v="18445.7574"/>
    <x:n v="2000.455380000003"/>
    <x:n v="0.10845070422535229"/>
  </x:r>
  <x:r>
    <x:s v="INV-00434"/>
    <x:x v="13"/>
    <x:s v="SUP11"/>
    <x:x v="2"/>
    <x:s v="Software"/>
    <x:d v="2026-04-06T00:00:00Z"/>
    <x:n v="46148"/>
    <x:x v="2"/>
    <x:n v="2725.09"/>
    <x:s v="Historical"/>
    <x:s v="SUP11-INV-00434"/>
    <x:n v="30"/>
    <x:s v="Manchester Cloud Solutions"/>
    <x:n v="1.1525"/>
    <x:n v="1.3208714886594157"/>
    <x:n v="0.006265630096770686"/>
    <x:n v="1.3208714886594157"/>
    <x:x v="433"/>
    <x:x v="0"/>
    <x:n v="1.271"/>
    <x:n v="3463.58939"/>
    <x:n v="135.90429503088717"/>
    <x:n v="0.03923799265099584"/>
  </x:r>
  <x:r>
    <x:s v="INV-00435"/>
    <x:x v="11"/>
    <x:s v="SUP14"/>
    <x:x v="0"/>
    <x:s v="Equipment"/>
    <x:d v="2025-01-03T00:00:00Z"/>
    <x:n v="45720"/>
    <x:x v="1"/>
    <x:n v="5771798.98"/>
    <x:s v="Historical"/>
    <x:s v="SUP14-INV-00435"/>
    <x:n v="60"/>
    <x:s v="Tokyo Automation Systems"/>
    <x:n v="1.0299"/>
    <x:n v="1.240948031761715"/>
    <x:n v="0.006366446189033813"/>
    <x:n v="0.006366446189033813"/>
    <x:x v="434"/>
    <x:x v="3"/>
    <x:n v="0.00656"/>
    <x:n v="37863.001308800005"/>
    <x:n v="-1117.1536887097536"/>
    <x:n v="-0.029505154110699306"/>
  </x:r>
  <x:r>
    <x:s v="INV-00436"/>
    <x:x v="3"/>
    <x:s v="SUP04"/>
    <x:x v="1"/>
    <x:s v="Packaging"/>
    <x:d v="2026-12-01T00:00:00Z"/>
    <x:n v="46387"/>
    <x:x v="0"/>
    <x:n v="6881.54"/>
    <x:s v="Planned"/>
    <x:s v="SUP04-INV-00436"/>
    <x:n v="30"/>
    <x:s v="Nordlicht Packaging"/>
    <x:n v="1.1177"/>
    <x:n v="1.320456022210408"/>
    <x:n v="0.00632004523607577"/>
    <x:n v="1.1177"/>
    <x:x v="435"/>
    <x:x v="2"/>
    <x:n v="1.119"/>
    <x:n v="7700.44326"/>
    <x:n v="-8.94600200000059"/>
    <x:n v="-0.0011617515638964126"/>
  </x:r>
  <x:r>
    <x:s v="INV-00437"/>
    <x:x v="17"/>
    <x:s v="SUP06"/>
    <x:x v="2"/>
    <x:s v="Software"/>
    <x:d v="2025-03-17T00:00:00Z"/>
    <x:n v="45763"/>
    <x:x v="0"/>
    <x:n v="4758.94"/>
    <x:s v="Historical"/>
    <x:s v="SUP06-INV-00437"/>
    <x:n v="30"/>
    <x:s v="Dublin Systems Licensing"/>
    <x:n v="1.0903"/>
    <x:n v="1.2975745602551592"/>
    <x:n v="0.006719462590903489"/>
    <x:n v="1.0903"/>
    <x:x v="436"/>
    <x:x v="3"/>
    <x:n v="1.052"/>
    <x:n v="5006.40488"/>
    <x:n v="182.2674019999995"/>
    <x:n v="0.036406844106463776"/>
  </x:r>
  <x:r>
    <x:s v="INV-00438"/>
    <x:x v="15"/>
    <x:s v="SUP18"/>
    <x:x v="1"/>
    <x:s v="Services"/>
    <x:d v="2026-11-23T00:00:00Z"/>
    <x:n v="46379"/>
    <x:x v="1"/>
    <x:n v="335301.29"/>
    <x:s v="Planned"/>
    <x:s v="SUP18-INV-00438"/>
    <x:n v="30"/>
    <x:s v="Yokohama Engineering Labs"/>
    <x:n v="1.1177"/>
    <x:n v="1.320456022210408"/>
    <x:n v="0.00632004523607577"/>
    <x:n v="0.00632004523607577"/>
    <x:x v="437"/>
    <x:x v="2"/>
    <x:n v="0.00688"/>
    <x:n v="2306.8728751999997"/>
    <x:n v="-187.75355468543967"/>
    <x:n v="-0.08138877382619618"/>
  </x:r>
  <x:r>
    <x:s v="INV-00439"/>
    <x:x v="12"/>
    <x:s v="SUP17"/>
    <x:x v="1"/>
    <x:s v="Packaging"/>
    <x:d v="2025-12-08T00:00:00Z"/>
    <x:n v="46044"/>
    <x:x v="1"/>
    <x:n v="548768.64"/>
    <x:s v="Historical"/>
    <x:s v="SUP17-INV-00439"/>
    <x:n v="45"/>
    <x:s v="Kobe Industrial Packaging"/>
    <x:n v="1.1655"/>
    <x:n v="1.3326091927738395"/>
    <x:n v="0.006428926030117492"/>
    <x:n v="0.006428926030117492"/>
    <x:x v="438"/>
    <x:x v="7"/>
    <x:n v="0.00698"/>
    <x:n v="3830.4051072"/>
    <x:n v="-302.4121129918253"/>
    <x:n v="-0.07895042548460011"/>
  </x:r>
  <x:r>
    <x:s v="INV-00440"/>
    <x:x v="15"/>
    <x:s v="SUP18"/>
    <x:x v="1"/>
    <x:s v="Services"/>
    <x:d v="2025-09-25T00:00:00Z"/>
    <x:n v="45955"/>
    <x:x v="1"/>
    <x:n v="1183740.54"/>
    <x:s v="Historical"/>
    <x:s v="SUP18-INV-00440"/>
    <x:n v="30"/>
    <x:s v="Yokohama Engineering Labs"/>
    <x:n v="1.1739"/>
    <x:n v="1.3419067215363512"/>
    <x:n v="0.006719519175729822"/>
    <x:n v="0.006719519175729822"/>
    <x:x v="439"/>
    <x:x v="1"/>
    <x:n v="0.00684"/>
    <x:n v="8096.7852936"/>
    <x:n v="-142.61803598122515"/>
    <x:n v="-0.017614155595055206"/>
  </x:r>
  <x:r>
    <x:s v="INV-00441"/>
    <x:x v="12"/>
    <x:s v="SUP17"/>
    <x:x v="1"/>
    <x:s v="Packaging"/>
    <x:d v="2025-09-09T00:00:00Z"/>
    <x:n v="45954"/>
    <x:x v="1"/>
    <x:n v="124114.15"/>
    <x:s v="Historical"/>
    <x:s v="SUP17-INV-00441"/>
    <x:n v="45"/>
    <x:s v="Kobe Industrial Packaging"/>
    <x:n v="1.1744"/>
    <x:n v="1.3556504675054832"/>
    <x:n v="0.0068136458575075425"/>
    <x:n v="0.0068136458575075425"/>
    <x:x v="440"/>
    <x:x v="1"/>
    <x:n v="0.00684"/>
    <x:n v="848.9407859999999"/>
    <x:n v="-3.270921994430182"/>
    <x:n v="-0.0038529448088387435"/>
  </x:r>
  <x:r>
    <x:s v="INV-00442"/>
    <x:x v="2"/>
    <x:s v="SUP10"/>
    <x:x v="1"/>
    <x:s v="Services"/>
    <x:d v="2025-06-15T00:00:00Z"/>
    <x:n v="45868"/>
    <x:x v="2"/>
    <x:n v="14825.62"/>
    <x:s v="Historical"/>
    <x:s v="SUP10-INV-00442"/>
    <x:n v="45"/>
    <x:s v="Bristol Calibration Services"/>
    <x:n v="1.1646"/>
    <x:n v="1.3383130314870146"/>
    <x:n v="0.006727902946273831"/>
    <x:n v="1.3383130314870146"/>
    <x:x v="441"/>
    <x:x v="5"/>
    <x:n v="1.26"/>
    <x:n v="18680.2812"/>
    <x:n v="1161.0392458745155"/>
    <x:n v="0.06215319959286884"/>
  </x:r>
  <x:r>
    <x:s v="INV-00443"/>
    <x:x v="0"/>
    <x:s v="SUP01"/>
    <x:x v="0"/>
    <x:s v="Components"/>
    <x:d v="2025-07-16T00:00:00Z"/>
    <x:n v="45884"/>
    <x:x v="0"/>
    <x:n v="10381.53"/>
    <x:s v="Historical"/>
    <x:s v="SUP01-INV-00443"/>
    <x:n v="30"/>
    <x:s v="Rhein Circuit Components"/>
    <x:n v="1.1602"/>
    <x:n v="1.33987758401663"/>
    <x:n v="0.006723458507185906"/>
    <x:n v="1.1602"/>
    <x:x v="442"/>
    <x:x v="1"/>
    <x:n v="1.088"/>
    <x:n v="11295.104640000001"/>
    <x:n v="749.546465999998"/>
    <x:n v="0.06636029411764686"/>
  </x:r>
  <x:r>
    <x:s v="INV-00444"/>
    <x:x v="11"/>
    <x:s v="SUP14"/>
    <x:x v="0"/>
    <x:s v="Equipment"/>
    <x:d v="2026-07-15T00:00:00Z"/>
    <x:n v="46278"/>
    <x:x v="1"/>
    <x:n v="7609707.59"/>
    <x:s v="Historical"/>
    <x:s v="SUP14-INV-00444"/>
    <x:n v="60"/>
    <x:s v="Tokyo Automation Systems"/>
    <x:n v="1.1406"/>
    <x:n v="1.3404157803814651"/>
    <x:n v="0.00615808228053126"/>
    <x:n v="0.00615808228053126"/>
    <x:x v="443"/>
    <x:x v="4"/>
    <x:n v="0.00674"/>
    <x:n v="51289.4291566"/>
    <x:n v="-4428.223686596764"/>
    <x:n v="-0.08633794057399709"/>
  </x:r>
  <x:r>
    <x:s v="INV-00445"/>
    <x:x v="6"/>
    <x:s v="SUP16"/>
    <x:x v="0"/>
    <x:s v="Components"/>
    <x:d v="2026-09-16T00:00:00Z"/>
    <x:n v="46311"/>
    <x:x v="1"/>
    <x:n v="3403951.41"/>
    <x:s v="Historical"/>
    <x:s v="SUP16-INV-00445"/>
    <x:n v="30"/>
    <x:s v="Kyoto Optical Instruments"/>
    <x:n v="1.1537"/>
    <x:n v="1.3455796594355025"/>
    <x:n v="0.006449575134168157"/>
    <x:n v="0.006449575134168157"/>
    <x:x v="444"/>
    <x:x v="4"/>
    <x:n v="0.00674"/>
    <x:n v="22942.632503400004"/>
    <x:n v="-988.5921315473643"/>
    <x:n v="-0.04308974270502127"/>
  </x:r>
  <x:r>
    <x:s v="INV-00446"/>
    <x:x v="13"/>
    <x:s v="SUP11"/>
    <x:x v="2"/>
    <x:s v="Software"/>
    <x:d v="2025-07-26T00:00:00Z"/>
    <x:n v="45894"/>
    <x:x v="2"/>
    <x:n v="8573.1"/>
    <x:s v="Historical"/>
    <x:s v="SUP11-INV-00446"/>
    <x:n v="30"/>
    <x:s v="Manchester Cloud Solutions"/>
    <x:n v="1.1636"/>
    <x:n v="1.3212217554218235"/>
    <x:n v="0.006571412435759869"/>
    <x:n v="1.3212217554218235"/>
    <x:x v="445"/>
    <x:x v="1"/>
    <x:n v="1.282"/>
    <x:n v="10990.7142"/>
    <x:n v="336.25203140683516"/>
    <x:n v="0.03059419299674221"/>
  </x:r>
  <x:r>
    <x:s v="INV-00447"/>
    <x:x v="17"/>
    <x:s v="SUP06"/>
    <x:x v="2"/>
    <x:s v="Software"/>
    <x:d v="2026-02-17T00:00:00Z"/>
    <x:n v="46100"/>
    <x:x v="0"/>
    <x:n v="1249.79"/>
    <x:s v="Historical"/>
    <x:s v="SUP06-INV-00447"/>
    <x:n v="30"/>
    <x:s v="Dublin Systems Licensing"/>
    <x:n v="1.1826"/>
    <x:n v="1.3541738234283753"/>
    <x:n v="0.0065315365072351715"/>
    <x:n v="1.1826"/>
    <x:x v="446"/>
    <x:x v="6"/>
    <x:n v="1.065"/>
    <x:n v="1331.0263499999999"/>
    <x:n v="146.97530400000028"/>
    <x:n v="0.11042253521126782"/>
  </x:r>
  <x:r>
    <x:s v="INV-00448"/>
    <x:x v="10"/>
    <x:s v="SUP02"/>
    <x:x v="0"/>
    <x:s v="Equipment"/>
    <x:d v="2026-02-09T00:00:00Z"/>
    <x:n v="46107"/>
    <x:x v="0"/>
    <x:n v="52130.13"/>
    <x:s v="Historical"/>
    <x:s v="SUP02-INV-00448"/>
    <x:n v="45"/>
    <x:s v="Alpen Precision Systems"/>
    <x:n v="1.1886"/>
    <x:n v="1.3660498793242157"/>
    <x:n v="0.00640237005117156"/>
    <x:n v="1.1886"/>
    <x:x v="447"/>
    <x:x v="6"/>
    <x:n v="1.065"/>
    <x:n v="55518.588449999996"/>
    <x:n v="6443.284068000008"/>
    <x:n v="0.11605633802816917"/>
  </x:r>
  <x:r>
    <x:s v="INV-00449"/>
    <x:x v="2"/>
    <x:s v="SUP10"/>
    <x:x v="1"/>
    <x:s v="Services"/>
    <x:d v="2025-04-27T00:00:00Z"/>
    <x:n v="45819"/>
    <x:x v="2"/>
    <x:n v="14760.26"/>
    <x:s v="Historical"/>
    <x:s v="SUP10-INV-00449"/>
    <x:n v="45"/>
    <x:s v="Bristol Calibration Services"/>
    <x:n v="1.1598"/>
    <x:n v="1.3603096410978184"/>
    <x:n v="0.006859880522860354"/>
    <x:n v="1.3603096410978184"/>
    <x:x v="448"/>
    <x:x v="5"/>
    <x:n v="1.26"/>
    <x:n v="18597.9276"/>
    <x:n v="1480.5963831104855"/>
    <x:n v="0.07961082626810986"/>
  </x:r>
  <x:r>
    <x:s v="INV-00450"/>
    <x:x v="7"/>
    <x:s v="SUP03"/>
    <x:x v="0"/>
    <x:s v="Components"/>
    <x:d v="2025-06-22T00:00:00Z"/>
    <x:n v="45860"/>
    <x:x v="0"/>
    <x:n v="12715.49"/>
    <x:s v="Historical"/>
    <x:s v="SUP03-INV-00450"/>
    <x:n v="30"/>
    <x:s v="Benelux Sensor Works"/>
    <x:n v="1.1685"/>
    <x:n v="1.3513357233722678"/>
    <x:n v="0.0067590236001851"/>
    <x:n v="1.1685"/>
    <x:x v="449"/>
    <x:x v="5"/>
    <x:n v="1.07"/>
    <x:n v="13605.5743"/>
    <x:n v="1252.475765000001"/>
    <x:n v="0.09205607476635522"/>
  </x:r>
  <x:r>
    <x:s v="INV-00451"/>
    <x:x v="11"/>
    <x:s v="SUP14"/>
    <x:x v="0"/>
    <x:s v="Equipment"/>
    <x:d v="2026-02-28T00:00:00Z"/>
    <x:n v="46141"/>
    <x:x v="1"/>
    <x:n v="4325939.62"/>
    <x:s v="Historical"/>
    <x:s v="SUP14-INV-00451"/>
    <x:n v="60"/>
    <x:s v="Tokyo Automation Systems"/>
    <x:n v="1.1555"/>
    <x:n v="1.3367963164349013"/>
    <x:n v="0.006298375667720483"/>
    <x:n v="0.006298375667720483"/>
    <x:x v="450"/>
    <x:x v="6"/>
    <x:n v="0.00646"/>
    <x:n v="27945.569945199997"/>
    <x:n v="-699.1771025640046"/>
    <x:n v="-0.025019246482897266"/>
  </x:r>
  <x:r>
    <x:s v="INV-00452"/>
    <x:x v="0"/>
    <x:s v="SUP01"/>
    <x:x v="0"/>
    <x:s v="Components"/>
    <x:d v="2026-07-08T00:00:00Z"/>
    <x:n v="46241"/>
    <x:x v="0"/>
    <x:n v="22184.18"/>
    <x:s v="Historical"/>
    <x:s v="SUP01-INV-00452"/>
    <x:n v="30"/>
    <x:s v="Rhein Circuit Components"/>
    <x:n v="1.1404"/>
    <x:n v="1.334815941944168"/>
    <x:n v="0.0061543443065299516"/>
    <x:n v="1.1404"/>
    <x:x v="451"/>
    <x:x v="4"/>
    <x:n v="1.101"/>
    <x:n v="24424.78218"/>
    <x:n v="874.0566920000056"/>
    <x:n v="0.03578564940962784"/>
  </x:r>
  <x:r>
    <x:s v="INV-00453"/>
    <x:x v="4"/>
    <x:s v="SUP08"/>
    <x:x v="0"/>
    <x:s v="Components"/>
    <x:d v="2026-07-07T00:00:00Z"/>
    <x:n v="46240"/>
    <x:x v="0"/>
    <x:n v="8071.13"/>
    <x:s v="Historical"/>
    <x:s v="SUP08-INV-00453"/>
    <x:n v="30"/>
    <x:s v="Valencia Circuit Supply"/>
    <x:n v="1.1433"/>
    <x:n v="1.3385863647539544"/>
    <x:n v="0.006176994975417364"/>
    <x:n v="1.1433"/>
    <x:x v="452"/>
    <x:x v="4"/>
    <x:n v="1.101"/>
    <x:n v="8886.31413"/>
    <x:n v="341.4087989999989"/>
    <x:n v="0.03841961852861023"/>
  </x:r>
  <x:r>
    <x:s v="INV-00454"/>
    <x:x v="0"/>
    <x:s v="SUP01"/>
    <x:x v="0"/>
    <x:s v="Components"/>
    <x:d v="2025-11-04T00:00:00Z"/>
    <x:n v="45995"/>
    <x:x v="0"/>
    <x:n v="32899.67"/>
    <x:s v="Historical"/>
    <x:s v="SUP01-INV-00454"/>
    <x:n v="30"/>
    <x:s v="Rhein Circuit Components"/>
    <x:n v="1.1491"/>
    <x:n v="1.3065378055713475"/>
    <x:n v="0.006514541640682579"/>
    <x:n v="1.1491"/>
    <x:x v="453"/>
    <x:x v="7"/>
    <x:n v="1.106"/>
    <x:n v="36387.03502"/>
    <x:n v="1417.9757769999924"/>
    <x:n v="0.03896925858951154"/>
  </x:r>
  <x:r>
    <x:s v="INV-00455"/>
    <x:x v="12"/>
    <x:s v="SUP17"/>
    <x:x v="1"/>
    <x:s v="Packaging"/>
    <x:d v="2026-04-19T00:00:00Z"/>
    <x:n v="46176"/>
    <x:x v="1"/>
    <x:n v="361154.64"/>
    <x:s v="Historical"/>
    <x:s v="SUP17-INV-00455"/>
    <x:n v="45"/>
    <x:s v="Kobe Industrial Packaging"/>
    <x:n v="1.1797"/>
    <x:n v="1.3533636196769456"/>
    <x:n v="0.006284359684636693"/>
    <x:n v="0.006284359684636693"/>
    <x:x v="454"/>
    <x:x v="0"/>
    <x:n v="0.0066"/>
    <x:n v="2383.620624"/>
    <x:n v="-113.99496446452167"/>
    <x:n v="-0.04782429020656169"/>
  </x:r>
  <x:r>
    <x:s v="INV-00456"/>
    <x:x v="11"/>
    <x:s v="SUP14"/>
    <x:x v="0"/>
    <x:s v="Equipment"/>
    <x:d v="2025-10-27T00:00:00Z"/>
    <x:n v="46017"/>
    <x:x v="1"/>
    <x:n v="4970092.14"/>
    <x:s v="Historical"/>
    <x:s v="SUP14-INV-00456"/>
    <x:n v="60"/>
    <x:s v="Tokyo Automation Systems"/>
    <x:n v="1.164"/>
    <x:n v="1.3347093223254214"/>
    <x:n v="0.00654189849940988"/>
    <x:n v="0.00654189849940988"/>
    <x:x v="455"/>
    <x:x v="7"/>
    <x:n v="0.00698"/>
    <x:n v="34691.2431372"/>
    <x:n v="-2177.4048246051643"/>
    <x:n v="-0.06276525796420068"/>
  </x:r>
  <x:r>
    <x:s v="INV-00457"/>
    <x:x v="9"/>
    <x:s v="SUP05"/>
    <x:x v="0"/>
    <x:s v="Components"/>
    <x:d v="2026-06-12T00:00:00Z"/>
    <x:n v="46230"/>
    <x:x v="0"/>
    <x:n v="22940.06"/>
    <x:s v="Historical"/>
    <x:s v="SUP05-INV-00457"/>
    <x:n v="45"/>
    <x:s v="Lyon Industrial Controls"/>
    <x:n v="1.1567"/>
    <x:n v="1.340246799142576"/>
    <x:n v="0.006242309767943875"/>
    <x:n v="1.1567"/>
    <x:x v="456"/>
    <x:x v="0"/>
    <x:n v="1.083"/>
    <x:n v="24844.08498"/>
    <x:n v="1690.6824220000017"/>
    <x:n v="0.06805170821791327"/>
  </x:r>
  <x:r>
    <x:s v="INV-00458"/>
    <x:x v="0"/>
    <x:s v="SUP01"/>
    <x:x v="0"/>
    <x:s v="Components"/>
    <x:d v="2025-05-27T00:00:00Z"/>
    <x:n v="45834"/>
    <x:x v="0"/>
    <x:n v="13627.17"/>
    <x:s v="Historical"/>
    <x:s v="SUP01-INV-00458"/>
    <x:n v="30"/>
    <x:s v="Rhein Circuit Components"/>
    <x:n v="1.1356"/>
    <x:n v="1.354969574036511"/>
    <x:n v="0.0069362325922306374"/>
    <x:n v="1.1356"/>
    <x:x v="457"/>
    <x:x v="5"/>
    <x:n v="1.07"/>
    <x:n v="14581.0719"/>
    <x:n v="893.9423519999982"/>
    <x:n v="0.061308411214953146"/>
  </x:r>
  <x:r>
    <x:s v="INV-00459"/>
    <x:x v="10"/>
    <x:s v="SUP02"/>
    <x:x v="0"/>
    <x:s v="Equipment"/>
    <x:d v="2026-01-25T00:00:00Z"/>
    <x:n v="46092"/>
    <x:x v="0"/>
    <x:n v="21273.14"/>
    <x:s v="Historical"/>
    <x:s v="SUP02-INV-00459"/>
    <x:n v="45"/>
    <x:s v="Alpen Precision Systems"/>
    <x:n v="1.1555"/>
    <x:n v="1.3367963164349013"/>
    <x:n v="0.006298375667720483"/>
    <x:n v="1.1555"/>
    <x:x v="458"/>
    <x:x v="6"/>
    <x:n v="1.065"/>
    <x:n v="22655.894099999998"/>
    <x:n v="1925.2191700000003"/>
    <x:n v="0.08497652582159626"/>
  </x:r>
  <x:r>
    <x:s v="INV-00460"/>
    <x:x v="2"/>
    <x:s v="SUP10"/>
    <x:x v="1"/>
    <x:s v="Services"/>
    <x:d v="2026-11-06T00:00:00Z"/>
    <x:n v="46377"/>
    <x:x v="2"/>
    <x:n v="8052.15"/>
    <x:s v="Planned"/>
    <x:s v="SUP10-INV-00460"/>
    <x:n v="45"/>
    <x:s v="Bristol Calibration Services"/>
    <x:n v="1.1177"/>
    <x:n v="1.320456022210408"/>
    <x:n v="0.00632004523607577"/>
    <x:n v="1.320456022210408"/>
    <x:x v="459"/>
    <x:x v="2"/>
    <x:n v="1.315"/>
    <x:n v="10588.577249999998"/>
    <x:n v="43.93270924153876"/>
    <x:n v="0.004149066319702089"/>
  </x:r>
  <x:r>
    <x:s v="INV-00461"/>
    <x:x v="2"/>
    <x:s v="SUP10"/>
    <x:x v="1"/>
    <x:s v="Services"/>
    <x:d v="2026-05-21T00:00:00Z"/>
    <x:n v="46208"/>
    <x:x v="2"/>
    <x:n v="17152.77"/>
    <x:s v="Historical"/>
    <x:s v="SUP10-INV-00461"/>
    <x:n v="45"/>
    <x:s v="Bristol Calibration Services"/>
    <x:n v="1.1599"/>
    <x:n v="1.3419642960443348"/>
    <x:n v="0.006283655669321198"/>
    <x:n v="1.3419642960443348"/>
    <x:x v="460"/>
    <x:x v="0"/>
    <x:n v="1.271"/>
    <x:n v="21801.17067"/>
    <x:n v="1217.2342482603854"/>
    <x:n v="0.0558334351253618"/>
  </x:r>
  <x:r>
    <x:s v="INV-00462"/>
    <x:x v="7"/>
    <x:s v="SUP03"/>
    <x:x v="0"/>
    <x:s v="Components"/>
    <x:d v="2026-09-10T00:00:00Z"/>
    <x:n v="46305"/>
    <x:x v="0"/>
    <x:n v="23512.23"/>
    <x:s v="Historical"/>
    <x:s v="SUP03-INV-00462"/>
    <x:n v="30"/>
    <x:s v="Benelux Sensor Works"/>
    <x:n v="1.1616"/>
    <x:n v="1.3520339870802538"/>
    <x:n v="0.006486124295047183"/>
    <x:n v="1.1616"/>
    <x:x v="461"/>
    <x:x v="4"/>
    <x:n v="1.101"/>
    <x:n v="25886.965229999998"/>
    <x:n v="1424.8411379999998"/>
    <x:n v="0.0550408719346049"/>
  </x:r>
  <x:r>
    <x:s v="INV-00463"/>
    <x:x v="16"/>
    <x:s v="SUP12"/>
    <x:x v="0"/>
    <x:s v="Components"/>
    <x:d v="2025-06-10T00:00:00Z"/>
    <x:n v="45878"/>
    <x:x v="2"/>
    <x:n v="10756.72"/>
    <x:s v="Historical"/>
    <x:s v="SUP12-INV-00463"/>
    <x:n v="60"/>
    <x:s v="Oxford Technical Materials"/>
    <x:n v="1.1429"/>
    <x:n v="1.3503071833648392"/>
    <x:n v="0.006917024753374085"/>
    <x:n v="1.3503071833648392"/>
    <x:x v="462"/>
    <x:x v="5"/>
    <x:n v="1.26"/>
    <x:n v="13553.4672"/>
    <x:n v="971.4090854442329"/>
    <x:n v="0.07167236774987237"/>
  </x:r>
  <x:r>
    <x:s v="INV-00464"/>
    <x:x v="13"/>
    <x:s v="SUP11"/>
    <x:x v="2"/>
    <x:s v="Software"/>
    <x:d v="2026-03-15T00:00:00Z"/>
    <x:n v="46126"/>
    <x:x v="2"/>
    <x:n v="9182.63"/>
    <x:s v="Historical"/>
    <x:s v="SUP11-INV-00464"/>
    <x:n v="30"/>
    <x:s v="Manchester Cloud Solutions"/>
    <x:n v="1.1555"/>
    <x:n v="1.3367963164349013"/>
    <x:n v="0.006298375667720483"/>
    <x:n v="1.3367963164349013"/>
    <x:x v="463"/>
    <x:x v="6"/>
    <x:n v="1.249"/>
    <x:n v="11469.10487"/>
    <x:n v="806.2010891846166"/>
    <x:n v="0.07029328777814346"/>
  </x:r>
  <x:r>
    <x:s v="INV-00465"/>
    <x:x v="15"/>
    <x:s v="SUP18"/>
    <x:x v="1"/>
    <x:s v="Services"/>
    <x:d v="2025-09-02T00:00:00Z"/>
    <x:n v="45932"/>
    <x:x v="1"/>
    <x:n v="1843919.43"/>
    <x:s v="Historical"/>
    <x:s v="SUP18-INV-00465"/>
    <x:n v="30"/>
    <x:s v="Yokohama Engineering Labs"/>
    <x:n v="1.1646"/>
    <x:n v="1.3383130314870146"/>
    <x:n v="0.006727902946273831"/>
    <x:n v="0.006727902946273831"/>
    <x:x v="464"/>
    <x:x v="1"/>
    <x:n v="0.00684"/>
    <x:n v="12612.408901199999"/>
    <x:n v="-206.69793541143554"/>
    <x:n v="-0.016388458147100625"/>
  </x:r>
  <x:r>
    <x:s v="INV-00466"/>
    <x:x v="1"/>
    <x:s v="SUP15"/>
    <x:x v="1"/>
    <x:s v="Freight"/>
    <x:d v="2025-09-26T00:00:00Z"/>
    <x:n v="45956"/>
    <x:x v="1"/>
    <x:n v="2717558.4"/>
    <x:s v="Historical"/>
    <x:s v="SUP15-INV-00466"/>
    <x:n v="30"/>
    <x:s v="Nagoya Logistics Partners"/>
    <x:n v="1.1672"/>
    <x:n v="1.3354691075514875"/>
    <x:n v="0.006677727558784828"/>
    <x:n v="0.006677727558784828"/>
    <x:x v="465"/>
    <x:x v="1"/>
    <x:n v="0.00684"/>
    <x:n v="18588.099456"/>
    <x:n v="-440.9848357127994"/>
    <x:n v="-0.023724041113329375"/>
  </x:r>
  <x:r>
    <x:s v="INV-00467"/>
    <x:x v="6"/>
    <x:s v="SUP16"/>
    <x:x v="0"/>
    <x:s v="Components"/>
    <x:d v="2025-11-25T00:00:00Z"/>
    <x:n v="46016"/>
    <x:x v="1"/>
    <x:n v="907803.97"/>
    <x:s v="Historical"/>
    <x:s v="SUP16-INV-00467"/>
    <x:n v="30"/>
    <x:s v="Kyoto Optical Instruments"/>
    <x:n v="1.1551"/>
    <x:n v="1.3144060081929905"/>
    <x:n v="0.006402283560580867"/>
    <x:n v="0.006402283560580867"/>
    <x:x v="466"/>
    <x:x v="7"/>
    <x:n v="0.00698"/>
    <x:n v="6336.4717106"/>
    <x:n v="-524.453277238953"/>
    <x:n v="-0.08276739819758346"/>
  </x:r>
  <x:r>
    <x:s v="INV-00468"/>
    <x:x v="7"/>
    <x:s v="SUP03"/>
    <x:x v="0"/>
    <x:s v="Components"/>
    <x:d v="2026-03-24T00:00:00Z"/>
    <x:n v="46135"/>
    <x:x v="0"/>
    <x:n v="25810.69"/>
    <x:s v="Historical"/>
    <x:s v="SUP03-INV-00468"/>
    <x:n v="30"/>
    <x:s v="Benelux Sensor Works"/>
    <x:n v="1.1572"/>
    <x:n v="1.337169665245375"/>
    <x:n v="0.006292208145288456"/>
    <x:n v="1.1572"/>
    <x:x v="467"/>
    <x:x v="6"/>
    <x:n v="1.065"/>
    <x:n v="27488.38485"/>
    <x:n v="2379.745618000001"/>
    <x:n v="0.08657276995305167"/>
  </x:r>
  <x:r>
    <x:s v="INV-00469"/>
    <x:x v="8"/>
    <x:s v="SUP13"/>
    <x:x v="0"/>
    <x:s v="Components"/>
    <x:d v="2026-10-30T00:00:00Z"/>
    <x:n v="46370"/>
    <x:x v="1"/>
    <x:n v="3926248.44"/>
    <x:s v="Planned"/>
    <x:s v="SUP13-INV-00469"/>
    <x:n v="45"/>
    <x:s v="Osaka Microdevices"/>
    <x:n v="1.1177"/>
    <x:n v="1.320456022210408"/>
    <x:n v="0.00632004523607577"/>
    <x:n v="0.00632004523607577"/>
    <x:x v="468"/>
    <x:x v="2"/>
    <x:n v="0.00688"/>
    <x:n v="27012.589267199997"/>
    <x:n v="-2198.5215183280743"/>
    <x:n v="-0.08138877382619615"/>
  </x:r>
  <x:r>
    <x:s v="INV-00470"/>
    <x:x v="3"/>
    <x:s v="SUP04"/>
    <x:x v="1"/>
    <x:s v="Packaging"/>
    <x:d v="2025-09-27T00:00:00Z"/>
    <x:n v="45957"/>
    <x:x v="0"/>
    <x:n v="2870.28"/>
    <x:s v="Historical"/>
    <x:s v="SUP04-INV-00470"/>
    <x:n v="30"/>
    <x:s v="Nordlicht Packaging"/>
    <x:n v="1.1968"/>
    <x:n v="1.3816670514892635"/>
    <x:n v="0.006522781774580337"/>
    <x:n v="1.1968"/>
    <x:x v="469"/>
    <x:x v="1"/>
    <x:n v="1.088"/>
    <x:n v="3122.8646400000002"/>
    <x:n v="312.28646400000025"/>
    <x:n v="0.10000000000000007"/>
  </x:r>
  <x:r>
    <x:s v="INV-00471"/>
    <x:x v="3"/>
    <x:s v="SUP04"/>
    <x:x v="1"/>
    <x:s v="Packaging"/>
    <x:d v="2025-08-13T00:00:00Z"/>
    <x:n v="45912"/>
    <x:x v="0"/>
    <x:n v="2442.62"/>
    <x:s v="Historical"/>
    <x:s v="SUP04-INV-00471"/>
    <x:n v="30"/>
    <x:s v="Nordlicht Packaging"/>
    <x:n v="1.1711"/>
    <x:n v="1.3568532035685321"/>
    <x:n v="0.006790166405751725"/>
    <x:n v="1.1711"/>
    <x:x v="470"/>
    <x:x v="1"/>
    <x:n v="1.088"/>
    <x:n v="2657.57056"/>
    <x:n v="202.981722"/>
    <x:n v="0.07637867647058823"/>
  </x:r>
  <x:r>
    <x:s v="INV-00472"/>
    <x:x v="15"/>
    <x:s v="SUP18"/>
    <x:x v="1"/>
    <x:s v="Services"/>
    <x:d v="2026-02-24T00:00:00Z"/>
    <x:n v="46107"/>
    <x:x v="1"/>
    <x:n v="2071217.35"/>
    <x:s v="Historical"/>
    <x:s v="SUP18-INV-00472"/>
    <x:n v="30"/>
    <x:s v="Yokohama Engineering Labs"/>
    <x:n v="1.1777"/>
    <x:n v="1.348871835986714"/>
    <x:n v="0.0064169345611071755"/>
    <x:n v="0.0064169345611071755"/>
    <x:x v="471"/>
    <x:x v="6"/>
    <x:n v="0.00646"/>
    <x:n v="13380.064081"/>
    <x:n v="-89.19788422018246"/>
    <x:n v="-0.0066664766087963295"/>
  </x:r>
  <x:r>
    <x:s v="INV-00473"/>
    <x:x v="17"/>
    <x:s v="SUP06"/>
    <x:x v="2"/>
    <x:s v="Software"/>
    <x:d v="2025-10-29T00:00:00Z"/>
    <x:n v="45989"/>
    <x:x v="0"/>
    <x:n v="11611.93"/>
    <x:s v="Historical"/>
    <x:s v="SUP06-INV-00473"/>
    <x:n v="30"/>
    <x:s v="Dublin Systems Licensing"/>
    <x:n v="1.1636"/>
    <x:n v="1.3212217554218235"/>
    <x:n v="0.006571412435759869"/>
    <x:n v="1.1636"/>
    <x:x v="472"/>
    <x:x v="7"/>
    <x:n v="1.106"/>
    <x:n v="12842.794580000002"/>
    <x:n v="668.8471679999984"/>
    <x:n v="0.052079566003616504"/>
  </x:r>
  <x:r>
    <x:s v="INV-00474"/>
    <x:x v="6"/>
    <x:s v="SUP16"/>
    <x:x v="0"/>
    <x:s v="Components"/>
    <x:d v="2025-05-22T00:00:00Z"/>
    <x:n v="45829"/>
    <x:x v="1"/>
    <x:n v="3332763.63"/>
    <x:s v="Historical"/>
    <x:s v="SUP16-INV-00474"/>
    <x:n v="30"/>
    <x:s v="Kyoto Optical Instruments"/>
    <x:n v="1.1309"/>
    <x:n v="1.341995965349472"/>
    <x:n v="0.006972686355508971"/>
    <x:n v="0.006972686355508971"/>
    <x:x v="473"/>
    <x:x v="5"/>
    <x:n v="0.0067"/>
    <x:n v="22329.516321"/>
    <x:n v="908.799168037549"/>
    <x:n v="0.040699456046115086"/>
  </x:r>
  <x:r>
    <x:s v="INV-00475"/>
    <x:x v="1"/>
    <x:s v="SUP15"/>
    <x:x v="1"/>
    <x:s v="Freight"/>
    <x:d v="2025-09-07T00:00:00Z"/>
    <x:n v="45937"/>
    <x:x v="1"/>
    <x:n v="1011876.56"/>
    <x:s v="Historical"/>
    <x:s v="SUP15-INV-00475"/>
    <x:n v="30"/>
    <x:s v="Nagoya Logistics Partners"/>
    <x:n v="1.175"/>
    <x:n v="1.3465505386202155"/>
    <x:n v="0.006382747569123799"/>
    <x:n v="0.006382747569123799"/>
    <x:x v="474"/>
    <x:x v="1"/>
    <x:n v="0.00684"/>
    <x:n v="6921.2356704"/>
    <x:n v="-462.6830168066481"/>
    <x:n v="-0.06684977059593582"/>
  </x:r>
  <x:r>
    <x:s v="INV-00476"/>
    <x:x v="11"/>
    <x:s v="SUP14"/>
    <x:x v="0"/>
    <x:s v="Equipment"/>
    <x:d v="2025-01-11T00:00:00Z"/>
    <x:n v="45728"/>
    <x:x v="1"/>
    <x:n v="8221799.39"/>
    <x:s v="Historical"/>
    <x:s v="SUP14-INV-00476"/>
    <x:n v="60"/>
    <x:s v="Tokyo Automation Systems"/>
    <x:n v="1.0404"/>
    <x:n v="1.2317090495809064"/>
    <x:n v="0.006399311108377413"/>
    <x:n v="0.006399311108377413"/>
    <x:x v="475"/>
    <x:x v="3"/>
    <x:n v="0.00656"/>
    <x:n v="53935.003998399996"/>
    <x:n v="-1321.1518311223554"/>
    <x:n v="-0.02449525786929668"/>
  </x:r>
  <x:r>
    <x:s v="INV-00477"/>
    <x:x v="17"/>
    <x:s v="SUP06"/>
    <x:x v="2"/>
    <x:s v="Software"/>
    <x:d v="2025-02-17T00:00:00Z"/>
    <x:n v="45735"/>
    <x:x v="0"/>
    <x:n v="2983.24"/>
    <x:s v="Historical"/>
    <x:s v="SUP06-INV-00477"/>
    <x:n v="30"/>
    <x:s v="Dublin Systems Licensing"/>
    <x:n v="1.0473"/>
    <x:n v="1.2597885316300386"/>
    <x:n v="0.006600491586311212"/>
    <x:n v="1.0473"/>
    <x:x v="476"/>
    <x:x v="3"/>
    <x:n v="1.052"/>
    <x:n v="3138.36848"/>
    <x:n v="-14.02122800000052"/>
    <x:n v="-0.0044676806083651845"/>
  </x:r>
  <x:r>
    <x:s v="INV-00478"/>
    <x:x v="6"/>
    <x:s v="SUP16"/>
    <x:x v="0"/>
    <x:s v="Components"/>
    <x:d v="2026-06-25T00:00:00Z"/>
    <x:n v="46228"/>
    <x:x v="1"/>
    <x:n v="1358603.24"/>
    <x:s v="Historical"/>
    <x:s v="SUP16-INV-00478"/>
    <x:n v="30"/>
    <x:s v="Kyoto Optical Instruments"/>
    <x:n v="1.1342"/>
    <x:n v="1.3160368054024576"/>
    <x:n v="0.006178569483030997"/>
    <x:n v="0.006178569483030997"/>
    <x:x v="477"/>
    <x:x v="0"/>
    <x:n v="0.0066"/>
    <x:n v="8966.781384"/>
    <x:n v="-572.5568657889617"/>
    <x:n v="-0.06385310863166703"/>
  </x:r>
  <x:r>
    <x:s v="INV-00479"/>
    <x:x v="1"/>
    <x:s v="SUP15"/>
    <x:x v="1"/>
    <x:s v="Freight"/>
    <x:d v="2025-09-14T00:00:00Z"/>
    <x:n v="45944"/>
    <x:x v="1"/>
    <x:n v="2104873.54"/>
    <x:s v="Historical"/>
    <x:s v="SUP15-INV-00479"/>
    <x:n v="30"/>
    <x:s v="Nagoya Logistics Partners"/>
    <x:n v="1.1692"/>
    <x:n v="1.3479363615402353"/>
    <x:n v="0.006339876369157359"/>
    <x:n v="0.006339876369157359"/>
    <x:x v="478"/>
    <x:x v="1"/>
    <x:n v="0.00684"/>
    <x:n v="14397.335013599999"/>
    <x:n v="-1052.6969972894021"/>
    <x:n v="-0.07311748988927495"/>
  </x:r>
  <x:r>
    <x:s v="INV-00480"/>
    <x:x v="7"/>
    <x:s v="SUP03"/>
    <x:x v="0"/>
    <x:s v="Components"/>
    <x:d v="2025-09-24T00:00:00Z"/>
    <x:n v="45954"/>
    <x:x v="0"/>
    <x:n v="11792.09"/>
    <x:s v="Historical"/>
    <x:s v="SUP03-INV-00480"/>
    <x:n v="30"/>
    <x:s v="Benelux Sensor Works"/>
    <x:n v="1.1756"/>
    <x:n v="1.3464666132172718"/>
    <x:n v="0.006736576700475618"/>
    <x:n v="1.1756"/>
    <x:x v="479"/>
    <x:x v="1"/>
    <x:n v="1.088"/>
    <x:n v="12829.793920000002"/>
    <x:n v="1032.9870839999985"/>
    <x:n v="0.08051470588235281"/>
  </x:r>
  <x:r>
    <x:s v="INV-00481"/>
    <x:x v="9"/>
    <x:s v="SUP05"/>
    <x:x v="0"/>
    <x:s v="Components"/>
    <x:d v="2025-06-05T00:00:00Z"/>
    <x:n v="45858"/>
    <x:x v="0"/>
    <x:n v="14319.57"/>
    <x:s v="Historical"/>
    <x:s v="SUP05-INV-00481"/>
    <x:n v="45"/>
    <x:s v="Lyon Industrial Controls"/>
    <x:n v="1.1423"/>
    <x:n v="1.356811972918399"/>
    <x:n v="0.006979714041305146"/>
    <x:n v="1.1423"/>
    <x:x v="480"/>
    <x:x v="5"/>
    <x:n v="1.07"/>
    <x:n v="15321.939900000001"/>
    <x:n v="1035.3049109999993"/>
    <x:n v="0.06757009345794388"/>
  </x:r>
  <x:r>
    <x:s v="INV-00482"/>
    <x:x v="2"/>
    <x:s v="SUP10"/>
    <x:x v="1"/>
    <x:s v="Services"/>
    <x:d v="2025-03-02T00:00:00Z"/>
    <x:n v="45763"/>
    <x:x v="2"/>
    <x:n v="10883.39"/>
    <x:s v="Historical"/>
    <x:s v="SUP10-INV-00482"/>
    <x:n v="45"/>
    <x:s v="Bristol Calibration Services"/>
    <x:n v="1.1097"/>
    <x:n v="1.3185128857098725"/>
    <x:n v="0.006842819263735586"/>
    <x:n v="1.3185128857098725"/>
    <x:x v="481"/>
    <x:x v="3"/>
    <x:n v="1.238"/>
    <x:n v="13473.63682"/>
    <x:n v="876.2531352059686"/>
    <x:n v="0.06503464112267564"/>
  </x:r>
  <x:r>
    <x:s v="INV-00483"/>
    <x:x v="3"/>
    <x:s v="SUP04"/>
    <x:x v="1"/>
    <x:s v="Packaging"/>
    <x:d v="2025-10-03T00:00:00Z"/>
    <x:n v="45963"/>
    <x:x v="0"/>
    <x:n v="7254.22"/>
    <x:s v="Historical"/>
    <x:s v="SUP04-INV-00483"/>
    <x:n v="30"/>
    <x:s v="Nordlicht Packaging"/>
    <x:n v="1.1734"/>
    <x:n v="1.3447169378867752"/>
    <x:n v="0.006786581839213418"/>
    <x:n v="1.1734"/>
    <x:x v="482"/>
    <x:x v="7"/>
    <x:n v="1.106"/>
    <x:n v="8023.167320000001"/>
    <x:n v="488.93442799999957"/>
    <x:n v="0.06094032549728746"/>
  </x:r>
  <x:r>
    <x:s v="INV-00484"/>
    <x:x v="9"/>
    <x:s v="SUP05"/>
    <x:x v="0"/>
    <x:s v="Components"/>
    <x:d v="2025-07-21T00:00:00Z"/>
    <x:n v="45904"/>
    <x:x v="0"/>
    <x:n v="8480.21"/>
    <x:s v="Historical"/>
    <x:s v="SUP05-INV-00484"/>
    <x:n v="45"/>
    <x:s v="Lyon Industrial Controls"/>
    <x:n v="1.1667"/>
    <x:n v="1.3478512014787432"/>
    <x:n v="0.006782350889431461"/>
    <x:n v="1.1667"/>
    <x:x v="483"/>
    <x:x v="1"/>
    <x:n v="1.088"/>
    <x:n v="9226.46848"/>
    <x:n v="667.392527"/>
    <x:n v="0.07233455882352942"/>
  </x:r>
  <x:r>
    <x:s v="INV-00485"/>
    <x:x v="5"/>
    <x:s v="SUP09"/>
    <x:x v="0"/>
    <x:s v="Parts"/>
    <x:d v="2026-04-14T00:00:00Z"/>
    <x:n v="46156"/>
    <x:x v="2"/>
    <x:n v="6837.34"/>
    <x:s v="Historical"/>
    <x:s v="SUP09-INV-00485"/>
    <x:n v="30"/>
    <x:s v="Thames Electronics Ltd"/>
    <x:n v="1.1793"/>
    <x:n v="1.3568741154948052"/>
    <x:n v="0.006295307745689425"/>
    <x:n v="1.3568741154948052"/>
    <x:x v="484"/>
    <x:x v="0"/>
    <x:n v="1.271"/>
    <x:n v="8690.25914"/>
    <x:n v="587.1505248372505"/>
    <x:n v="0.06756421360724238"/>
  </x:r>
  <x:r>
    <x:s v="INV-00486"/>
    <x:x v="11"/>
    <x:s v="SUP14"/>
    <x:x v="0"/>
    <x:s v="Equipment"/>
    <x:d v="2026-04-25T00:00:00Z"/>
    <x:n v="46197"/>
    <x:x v="1"/>
    <x:n v="3311226.63"/>
    <x:s v="Historical"/>
    <x:s v="SUP14-INV-00486"/>
    <x:n v="60"/>
    <x:s v="Tokyo Automation Systems"/>
    <x:n v="1.1712"/>
    <x:n v="1.34926212227688"/>
    <x:n v="0.006272829521718173"/>
    <x:n v="0.006272829521718173"/>
    <x:x v="485"/>
    <x:x v="0"/>
    <x:n v="0.0066"/>
    <x:n v="21854.095758"/>
    <x:n v="-1083.3356002366236"/>
    <x:n v="-0.04957128458815567"/>
  </x:r>
  <x:r>
    <x:s v="INV-00487"/>
    <x:x v="16"/>
    <x:s v="SUP12"/>
    <x:x v="0"/>
    <x:s v="Components"/>
    <x:d v="2025-08-17T00:00:00Z"/>
    <x:n v="45946"/>
    <x:x v="2"/>
    <x:n v="5089.27"/>
    <x:s v="Historical"/>
    <x:s v="SUP12-INV-00487"/>
    <x:n v="60"/>
    <x:s v="Oxford Technical Materials"/>
    <x:n v="1.1566"/>
    <x:n v="1.3215265082266912"/>
    <x:n v="0.006405272193609127"/>
    <x:n v="1.3215265082266912"/>
    <x:x v="486"/>
    <x:x v="1"/>
    <x:n v="1.282"/>
    <x:n v="6524.4441400000005"/>
    <x:n v="201.16107252285292"/>
    <x:n v="0.030831909693206892"/>
  </x:r>
  <x:r>
    <x:s v="INV-00488"/>
    <x:x v="13"/>
    <x:s v="SUP11"/>
    <x:x v="2"/>
    <x:s v="Software"/>
    <x:d v="2025-02-17T00:00:00Z"/>
    <x:n v="45735"/>
    <x:x v="2"/>
    <x:n v="3502.1"/>
    <x:s v="Historical"/>
    <x:s v="SUP11-INV-00488"/>
    <x:n v="30"/>
    <x:s v="Manchester Cloud Solutions"/>
    <x:n v="1.0473"/>
    <x:n v="1.2597885316300386"/>
    <x:n v="0.006600491586311212"/>
    <x:n v="1.2597885316300386"/>
    <x:x v="487"/>
    <x:x v="3"/>
    <x:n v="1.238"/>
    <x:n v="4335.5998"/>
    <x:n v="76.30561662155833"/>
    <x:n v="0.01759978322297144"/>
  </x:r>
  <x:r>
    <x:s v="INV-00489"/>
    <x:x v="6"/>
    <x:s v="SUP16"/>
    <x:x v="0"/>
    <x:s v="Components"/>
    <x:d v="2026-09-16T00:00:00Z"/>
    <x:n v="46311"/>
    <x:x v="1"/>
    <x:n v="3081125.88"/>
    <x:s v="Historical"/>
    <x:s v="SUP16-INV-00489"/>
    <x:n v="30"/>
    <x:s v="Kyoto Optical Instruments"/>
    <x:n v="1.1537"/>
    <x:n v="1.3455796594355025"/>
    <x:n v="0.006449575134168157"/>
    <x:n v="0.006449575134168157"/>
    <x:x v="488"/>
    <x:x v="4"/>
    <x:n v="0.00674"/>
    <x:n v="20766.7884312"/>
    <x:n v="-894.8355703100169"/>
    <x:n v="-0.04308974270502111"/>
  </x:r>
  <x:r>
    <x:s v="INV-00490"/>
    <x:x v="0"/>
    <x:s v="SUP01"/>
    <x:x v="0"/>
    <x:s v="Components"/>
    <x:d v="2026-11-29T00:00:00Z"/>
    <x:n v="46385"/>
    <x:x v="0"/>
    <x:n v="16005.38"/>
    <x:s v="Planned"/>
    <x:s v="SUP01-INV-00490"/>
    <x:n v="30"/>
    <x:s v="Rhein Circuit Components"/>
    <x:n v="1.1177"/>
    <x:n v="1.320456022210408"/>
    <x:n v="0.00632004523607577"/>
    <x:n v="1.1177"/>
    <x:x v="489"/>
    <x:x v="2"/>
    <x:n v="1.119"/>
    <x:n v="17910.02022"/>
    <x:n v="-20.806994000002305"/>
    <x:n v="-0.0011617515638964648"/>
  </x:r>
  <x:r>
    <x:s v="INV-00491"/>
    <x:x v="10"/>
    <x:s v="SUP02"/>
    <x:x v="0"/>
    <x:s v="Equipment"/>
    <x:d v="2026-12-09T00:00:00Z"/>
    <x:n v="46410"/>
    <x:x v="0"/>
    <x:n v="55080.52"/>
    <x:s v="Planned"/>
    <x:s v="SUP02-INV-00491"/>
    <x:n v="45"/>
    <x:s v="Alpen Precision Systems"/>
    <x:n v="1.1177"/>
    <x:n v="1.320456022210408"/>
    <x:n v="0.00632004523607577"/>
    <x:n v="1.1177"/>
    <x:x v="490"/>
    <x:x v="2"/>
    <x:n v="1.119"/>
    <x:n v="61635.101879999995"/>
    <x:n v="-71.60467600000266"/>
    <x:n v="-0.0011617515638963792"/>
  </x:r>
  <x:r>
    <x:s v="INV-00492"/>
    <x:x v="7"/>
    <x:s v="SUP03"/>
    <x:x v="0"/>
    <x:s v="Components"/>
    <x:d v="2025-06-03T00:00:00Z"/>
    <x:n v="45841"/>
    <x:x v="0"/>
    <x:n v="14680.47"/>
    <x:s v="Historical"/>
    <x:s v="SUP03-INV-00492"/>
    <x:n v="30"/>
    <x:s v="Benelux Sensor Works"/>
    <x:n v="1.1386"/>
    <x:n v="1.3496917970602182"/>
    <x:n v="0.006985276073619632"/>
    <x:n v="1.1386"/>
    <x:x v="491"/>
    <x:x v="5"/>
    <x:n v="1.07"/>
    <x:n v="15708.1029"/>
    <x:n v="1007.0802420000018"/>
    <x:n v="0.0641121495327104"/>
  </x:r>
  <x:r>
    <x:s v="INV-00493"/>
    <x:x v="0"/>
    <x:s v="SUP01"/>
    <x:x v="0"/>
    <x:s v="Components"/>
    <x:d v="2026-01-04T00:00:00Z"/>
    <x:n v="46056"/>
    <x:x v="0"/>
    <x:n v="33266.65"/>
    <x:s v="Historical"/>
    <x:s v="SUP01-INV-00493"/>
    <x:n v="30"/>
    <x:s v="Rhein Circuit Components"/>
    <x:n v="1.1555"/>
    <x:n v="1.3367963164349013"/>
    <x:n v="0.006298375667720483"/>
    <x:n v="1.1555"/>
    <x:x v="492"/>
    <x:x v="6"/>
    <x:n v="1.065"/>
    <x:n v="35428.98225"/>
    <x:n v="3010.6318249999968"/>
    <x:n v="0.08497652582159615"/>
  </x:r>
  <x:r>
    <x:s v="INV-00494"/>
    <x:x v="12"/>
    <x:s v="SUP17"/>
    <x:x v="1"/>
    <x:s v="Packaging"/>
    <x:d v="2026-12-04T00:00:00Z"/>
    <x:n v="46405"/>
    <x:x v="1"/>
    <x:n v="1412060.43"/>
    <x:s v="Planned"/>
    <x:s v="SUP17-INV-00494"/>
    <x:n v="45"/>
    <x:s v="Kobe Industrial Packaging"/>
    <x:n v="1.1177"/>
    <x:n v="1.320456022210408"/>
    <x:n v="0.00632004523607577"/>
    <x:n v="0.00632004523607577"/>
    <x:x v="493"/>
    <x:x v="2"/>
    <x:n v="0.00688"/>
    <x:n v="9714.9757584"/>
    <x:n v="-790.6899647273967"/>
    <x:n v="-0.08138877382619622"/>
  </x:r>
  <x:r>
    <x:s v="INV-00495"/>
    <x:x v="2"/>
    <x:s v="SUP10"/>
    <x:x v="1"/>
    <x:s v="Services"/>
    <x:d v="2026-07-17T00:00:00Z"/>
    <x:n v="46265"/>
    <x:x v="2"/>
    <x:n v="5776.5"/>
    <x:s v="Historical"/>
    <x:s v="SUP10-INV-00495"/>
    <x:n v="45"/>
    <x:s v="Bristol Calibration Services"/>
    <x:n v="1.1435"/>
    <x:n v="1.3437448588685985"/>
    <x:n v="0.006159439806086722"/>
    <x:n v="1.3437448588685985"/>
    <x:x v="494"/>
    <x:x v="4"/>
    <x:n v="1.293"/>
    <x:n v="7469.014499999999"/>
    <x:n v="293.12767725445974"/>
    <x:n v="0.039245830524824894"/>
  </x:r>
  <x:r>
    <x:s v="INV-00496"/>
    <x:x v="5"/>
    <x:s v="SUP09"/>
    <x:x v="0"/>
    <x:s v="Components"/>
    <x:d v="2026-11-16T00:00:00Z"/>
    <x:n v="46372"/>
    <x:x v="2"/>
    <x:n v="13039.69"/>
    <x:s v="Planned"/>
    <x:s v="SUP09-INV-00496"/>
    <x:n v="30"/>
    <x:s v="Thames Electronics Ltd"/>
    <x:n v="1.1177"/>
    <x:n v="1.320456022210408"/>
    <x:n v="0.00632004523607577"/>
    <x:n v="1.320456022210408"/>
    <x:x v="495"/>
    <x:x v="2"/>
    <x:n v="1.315"/>
    <x:n v="17147.19235"/>
    <x:n v="71.14483825683419"/>
    <x:n v="0.004149066319701848"/>
  </x:r>
  <x:r>
    <x:s v="INV-00497"/>
    <x:x v="10"/>
    <x:s v="SUP02"/>
    <x:x v="0"/>
    <x:s v="Equipment"/>
    <x:d v="2025-02-04T00:00:00Z"/>
    <x:n v="45737"/>
    <x:x v="0"/>
    <x:n v="43177.02"/>
    <x:s v="Historical"/>
    <x:s v="SUP02-INV-00497"/>
    <x:n v="45"/>
    <x:s v="Alpen Precision Systems"/>
    <x:n v="1.0335"/>
    <x:n v="1.2423666875030055"/>
    <x:n v="0.00643845003737852"/>
    <x:n v="1.0335"/>
    <x:x v="496"/>
    <x:x v="3"/>
    <x:n v="1.052"/>
    <x:n v="45422.22504"/>
    <x:n v="-798.7748699999938"/>
    <x:n v="-0.017585551330798345"/>
  </x:r>
  <x:r>
    <x:s v="INV-00498"/>
    <x:x v="5"/>
    <x:s v="SUP09"/>
    <x:x v="0"/>
    <x:s v="Components"/>
    <x:d v="2025-09-26T00:00:00Z"/>
    <x:n v="45956"/>
    <x:x v="2"/>
    <x:n v="14140.66"/>
    <x:s v="Historical"/>
    <x:s v="SUP09-INV-00498"/>
    <x:n v="30"/>
    <x:s v="Thames Electronics Ltd"/>
    <x:n v="1.1672"/>
    <x:n v="1.3354691075514875"/>
    <x:n v="0.006677727558784828"/>
    <x:n v="1.3354691075514875"/>
    <x:x v="497"/>
    <x:x v="1"/>
    <x:n v="1.282"/>
    <x:n v="18128.32612"/>
    <x:n v="756.0884703890151"/>
    <x:n v="0.041707572193047854"/>
  </x:r>
  <x:r>
    <x:s v="INV-00499"/>
    <x:x v="6"/>
    <x:s v="SUP16"/>
    <x:x v="0"/>
    <x:s v="Components"/>
    <x:d v="2025-10-27T00:00:00Z"/>
    <x:n v="45987"/>
    <x:x v="1"/>
    <x:n v="2786393.19"/>
    <x:s v="Historical"/>
    <x:s v="SUP16-INV-00499"/>
    <x:n v="30"/>
    <x:s v="Kyoto Optical Instruments"/>
    <x:n v="1.164"/>
    <x:n v="1.3347093223254214"/>
    <x:n v="0.00654189849940988"/>
    <x:n v="0.00654189849940988"/>
    <x:x v="498"/>
    <x:x v="7"/>
    <x:n v="0.00698"/>
    <x:n v="19449.0244662"/>
    <x:n v="-1220.723037773092"/>
    <x:n v="-0.06276525796420061"/>
  </x:r>
  <x:r>
    <x:s v="INV-00500"/>
    <x:x v="5"/>
    <x:s v="SUP09"/>
    <x:x v="0"/>
    <x:s v="Components"/>
    <x:d v="2025-07-28T00:00:00Z"/>
    <x:n v="45896"/>
    <x:x v="2"/>
    <x:n v="27837.76"/>
    <x:s v="Historical"/>
    <x:s v="SUP09-INV-00500"/>
    <x:n v="30"/>
    <x:s v="Thames Electronics Ltd"/>
    <x:n v="1.1654"/>
    <x:n v="1.3427814264316165"/>
    <x:n v="0.006750072400810889"/>
    <x:n v="1.3427814264316165"/>
    <x:x v="499"/>
    <x:x v="1"/>
    <x:n v="1.282"/>
    <x:n v="35688.00832"/>
    <x:n v="1692.0187614609895"/>
    <x:n v="0.04741140907302359"/>
  </x:r>
  <x:r>
    <x:s v="INV-00501"/>
    <x:x v="8"/>
    <x:s v="SUP13"/>
    <x:x v="0"/>
    <x:s v="Components"/>
    <x:d v="2026-06-18T00:00:00Z"/>
    <x:n v="46236"/>
    <x:x v="1"/>
    <x:n v="2864437.02"/>
    <x:s v="Historical"/>
    <x:s v="SUP13-INV-00501"/>
    <x:n v="45"/>
    <x:s v="Osaka Microdevices"/>
    <x:n v="1.1461"/>
    <x:n v="1.3228606385188946"/>
    <x:n v="0.0062139449143352845"/>
    <x:n v="0.0062139449143352845"/>
    <x:x v="500"/>
    <x:x v="0"/>
    <x:n v="0.0066"/>
    <x:n v="18905.284332"/>
    <x:n v="-1105.830479137283"/>
    <x:n v="-0.0584931947976842"/>
  </x:r>
  <x:r>
    <x:s v="INV-00502"/>
    <x:x v="6"/>
    <x:s v="SUP16"/>
    <x:x v="0"/>
    <x:s v="Components"/>
    <x:d v="2025-02-12T00:00:00Z"/>
    <x:n v="45730"/>
    <x:x v="1"/>
    <x:n v="1306463.22"/>
    <x:s v="Historical"/>
    <x:s v="SUP16-INV-00502"/>
    <x:n v="30"/>
    <x:s v="Kyoto Optical Instruments"/>
    <x:n v="1.037"/>
    <x:n v="1.2443303175022198"/>
    <x:n v="0.006513000879286522"/>
    <x:n v="0.006513000879286522"/>
    <x:x v="501"/>
    <x:x v="3"/>
    <x:n v="0.00656"/>
    <x:n v="8570.3987232"/>
    <x:n v="-61.40262258449911"/>
    <x:n v="-0.007164500108761884"/>
  </x:r>
  <x:r>
    <x:s v="INV-00503"/>
    <x:x v="2"/>
    <x:s v="SUP10"/>
    <x:x v="1"/>
    <x:s v="Services"/>
    <x:d v="2026-12-12T00:00:00Z"/>
    <x:n v="46413"/>
    <x:x v="2"/>
    <x:n v="11190.25"/>
    <x:s v="Planned"/>
    <x:s v="SUP10-INV-00503"/>
    <x:n v="45"/>
    <x:s v="Bristol Calibration Services"/>
    <x:n v="1.1177"/>
    <x:n v="1.320456022210408"/>
    <x:n v="0.00632004523607577"/>
    <x:n v="1.320456022210408"/>
    <x:x v="502"/>
    <x:x v="2"/>
    <x:n v="1.315"/>
    <x:n v="14715.17875"/>
    <x:n v="61.05425254001966"/>
    <x:n v="0.004149066319702006"/>
  </x:r>
  <x:r>
    <x:s v="INV-00504"/>
    <x:x v="13"/>
    <x:s v="SUP11"/>
    <x:x v="2"/>
    <x:s v="Software"/>
    <x:d v="2025-01-19T00:00:00Z"/>
    <x:n v="45706"/>
    <x:x v="2"/>
    <x:n v="4068.04"/>
    <x:s v="Historical"/>
    <x:s v="SUP11-INV-00504"/>
    <x:n v="30"/>
    <x:s v="Manchester Cloud Solutions"/>
    <x:n v="1.0335"/>
    <x:n v="1.2423666875030055"/>
    <x:n v="0.00643845003737852"/>
    <x:n v="1.2423666875030055"/>
    <x:x v="503"/>
    <x:x v="3"/>
    <x:n v="1.238"/>
    <x:n v="5036.23352"/>
    <x:n v="17.763859429726836"/>
    <x:n v="0.003527211230214527"/>
  </x:r>
  <x:r>
    <x:s v="INV-00505"/>
    <x:x v="5"/>
    <x:s v="SUP09"/>
    <x:x v="0"/>
    <x:s v="Components"/>
    <x:d v="2025-05-09T00:00:00Z"/>
    <x:n v="45816"/>
    <x:x v="2"/>
    <x:n v="18689.85"/>
    <x:s v="Historical"/>
    <x:s v="SUP09-INV-00505"/>
    <x:n v="30"/>
    <x:s v="Thames Electronics Ltd"/>
    <x:n v="1.1252"/>
    <x:n v="1.3273563760764422"/>
    <x:n v="0.006887855044074436"/>
    <x:n v="1.3273563760764422"/>
    <x:x v="504"/>
    <x:x v="5"/>
    <x:n v="1.26"/>
    <x:n v="23549.211"/>
    <x:n v="1258.8805654122916"/>
    <x:n v="0.053457441330509614"/>
  </x:r>
  <x:r>
    <x:s v="INV-00506"/>
    <x:x v="14"/>
    <x:s v="SUP07"/>
    <x:x v="0"/>
    <x:s v="Equipment"/>
    <x:d v="2025-06-24T00:00:00Z"/>
    <x:n v="45892"/>
    <x:x v="0"/>
    <x:n v="19106.69"/>
    <x:s v="Historical"/>
    <x:s v="SUP07-INV-00506"/>
    <x:n v="60"/>
    <x:s v="Milan Assembly Robotics"/>
    <x:n v="1.1607"/>
    <x:n v="1.3612055822680897"/>
    <x:n v="0.006897842752718845"/>
    <x:n v="1.1607"/>
    <x:x v="505"/>
    <x:x v="5"/>
    <x:n v="1.07"/>
    <x:n v="20444.1583"/>
    <x:n v="1732.976783000002"/>
    <x:n v="0.08476635514018702"/>
  </x:r>
  <x:r>
    <x:s v="INV-00507"/>
    <x:x v="4"/>
    <x:s v="SUP08"/>
    <x:x v="0"/>
    <x:s v="Components"/>
    <x:d v="2026-01-06T00:00:00Z"/>
    <x:n v="46058"/>
    <x:x v="0"/>
    <x:n v="24415.67"/>
    <x:s v="Historical"/>
    <x:s v="SUP08-INV-00507"/>
    <x:n v="30"/>
    <x:s v="Valencia Circuit Supply"/>
    <x:n v="1.1707"/>
    <x:n v="1.3513794297587443"/>
    <x:n v="0.006392377416184341"/>
    <x:n v="1.1707"/>
    <x:x v="506"/>
    <x:x v="6"/>
    <x:n v="1.065"/>
    <x:n v="26002.688549999995"/>
    <x:n v="2580.7363190000033"/>
    <x:n v="0.09924882629107995"/>
  </x:r>
  <x:r>
    <x:s v="INV-00508"/>
    <x:x v="16"/>
    <x:s v="SUP12"/>
    <x:x v="0"/>
    <x:s v="Components"/>
    <x:d v="2026-05-11T00:00:00Z"/>
    <x:n v="46213"/>
    <x:x v="2"/>
    <x:n v="27423.68"/>
    <x:s v="Historical"/>
    <x:s v="SUP12-INV-00508"/>
    <x:n v="60"/>
    <x:s v="Oxford Technical Materials"/>
    <x:n v="1.1765"/>
    <x:n v="1.3603043196744058"/>
    <x:n v="0.006363931411261969"/>
    <x:n v="1.3603043196744058"/>
    <x:x v="507"/>
    <x:x v="0"/>
    <x:n v="1.271"/>
    <x:n v="34855.497279999996"/>
    <x:n v="2449.053085368614"/>
    <x:n v="0.07026303672258537"/>
  </x:r>
  <x:r>
    <x:s v="INV-00509"/>
    <x:x v="1"/>
    <x:s v="SUP15"/>
    <x:x v="1"/>
    <x:s v="Freight"/>
    <x:d v="2025-07-13T00:00:00Z"/>
    <x:n v="45881"/>
    <x:x v="1"/>
    <x:n v="1959938.74"/>
    <x:s v="Historical"/>
    <x:s v="SUP15-INV-00509"/>
    <x:n v="30"/>
    <x:s v="Nagoya Logistics Partners"/>
    <x:n v="1.1568"/>
    <x:n v="1.3282810885291079"/>
    <x:n v="0.006555593335600136"/>
    <x:n v="0.006555593335600136"/>
    <x:x v="508"/>
    <x:x v="1"/>
    <x:n v="0.00684"/>
    <x:n v="13405.9809816"/>
    <x:n v="-557.4196394714709"/>
    <x:n v="-0.041579921695886445"/>
  </x:r>
  <x:r>
    <x:s v="INV-00510"/>
    <x:x v="9"/>
    <x:s v="SUP05"/>
    <x:x v="0"/>
    <x:s v="Components"/>
    <x:d v="2026-05-22T00:00:00Z"/>
    <x:n v="46209"/>
    <x:x v="0"/>
    <x:n v="10993.58"/>
    <x:s v="Historical"/>
    <x:s v="SUP05-INV-00510"/>
    <x:n v="45"/>
    <x:s v="Lyon Industrial Controls"/>
    <x:n v="1.1595"/>
    <x:n v="1.3417343608970353"/>
    <x:n v="0.006283531133149081"/>
    <x:n v="1.1595"/>
    <x:x v="509"/>
    <x:x v="0"/>
    <x:n v="1.083"/>
    <x:n v="11906.047139999999"/>
    <x:n v="841.0088700000015"/>
    <x:n v="0.07063711911357354"/>
  </x:r>
  <x:r>
    <x:s v="INV-00511"/>
    <x:x v="0"/>
    <x:s v="SUP01"/>
    <x:x v="0"/>
    <x:s v="Components"/>
    <x:d v="2025-06-07T00:00:00Z"/>
    <x:n v="45845"/>
    <x:x v="0"/>
    <x:n v="24969.22"/>
    <x:s v="Historical"/>
    <x:s v="SUP01-INV-00511"/>
    <x:n v="30"/>
    <x:s v="Rhein Circuit Components"/>
    <x:n v="1.1639"/>
    <x:n v="1.3449272012941993"/>
    <x:n v="0.006763321517810447"/>
    <x:n v="1.1639"/>
    <x:x v="510"/>
    <x:x v="5"/>
    <x:n v="1.07"/>
    <x:n v="26717.065400000003"/>
    <x:n v="2344.609757999995"/>
    <x:n v="0.0877570093457942"/>
  </x:r>
  <x:r>
    <x:s v="INV-00512"/>
    <x:x v="16"/>
    <x:s v="SUP12"/>
    <x:x v="0"/>
    <x:s v="Components"/>
    <x:d v="2026-11-16T00:00:00Z"/>
    <x:n v="46402"/>
    <x:x v="2"/>
    <x:n v="17165.09"/>
    <x:s v="Planned"/>
    <x:s v="SUP12-INV-00512"/>
    <x:n v="60"/>
    <x:s v="Oxford Technical Materials"/>
    <x:n v="1.1177"/>
    <x:n v="1.320456022210408"/>
    <x:n v="0.00632004523607577"/>
    <x:n v="1.320456022210408"/>
    <x:x v="511"/>
    <x:x v="2"/>
    <x:n v="1.315"/>
    <x:n v="22572.09335"/>
    <x:n v="93.65311228365317"/>
    <x:n v="0.004149066319701942"/>
  </x:r>
  <x:r>
    <x:s v="INV-00513"/>
    <x:x v="8"/>
    <x:s v="SUP13"/>
    <x:x v="0"/>
    <x:s v="Components"/>
    <x:d v="2025-03-10T00:00:00Z"/>
    <x:n v="45771"/>
    <x:x v="1"/>
    <x:n v="668431.43"/>
    <x:s v="Historical"/>
    <x:s v="SUP13-INV-00513"/>
    <x:n v="45"/>
    <x:s v="Osaka Microdevices"/>
    <x:n v="1.0845"/>
    <x:n v="1.2933964626888812"/>
    <x:n v="0.006804065499717674"/>
    <x:n v="0.006804065499717674"/>
    <x:x v="512"/>
    <x:x v="3"/>
    <x:n v="0.00656"/>
    <x:n v="4384.9101808000005"/>
    <x:n v="163.1410509899497"/>
    <x:n v="0.037205106664279626"/>
  </x:r>
  <x:r>
    <x:s v="INV-00515"/>
    <x:x v="9"/>
    <x:s v="SUP05"/>
    <x:x v="0"/>
    <x:s v="Components"/>
    <x:d v="2025-07-25T00:00:00Z"/>
    <x:n v="45908"/>
    <x:x v="0"/>
    <x:n v="14092.13"/>
    <x:s v="Historical"/>
    <x:s v="SUP05-INV-00515"/>
    <x:n v="45"/>
    <x:s v="Lyon Industrial Controls"/>
    <x:n v="1.1724"/>
    <x:n v="1.3452667814113597"/>
    <x:n v="0.006772572352839235"/>
    <x:n v="1.1724"/>
    <x:x v="513"/>
    <x:x v="1"/>
    <x:n v="1.088"/>
    <x:n v="15332.23744"/>
    <x:n v="1189.3757719999994"/>
    <x:n v="0.07757352941176467"/>
  </x:r>
  <x:r>
    <x:s v="INV-00515"/>
    <x:x v="6"/>
    <x:s v="SUP16"/>
    <x:x v="0"/>
    <x:s v="Components"/>
    <x:d v="2025-02-13T00:00:00Z"/>
    <x:n v="45731"/>
    <x:x v="1"/>
    <x:n v="483596.31"/>
    <x:s v="Historical"/>
    <x:s v="SUP16-INV-00515"/>
    <x:n v="30"/>
    <x:s v="Kyoto Optical Instruments"/>
    <x:n v="1.039"/>
    <x:n v="1.247104293447601"/>
    <x:n v="0.006502284248075599"/>
    <x:n v="0.006502284248075599"/>
    <x:x v="514"/>
    <x:x v="3"/>
    <x:n v="0.00656"/>
    <x:n v="3172.3917936"/>
    <x:n v="-27.911124659515735"/>
    <x:n v="-0.008798132915305035"/>
  </x:r>
  <x:r>
    <x:s v="INV-00516"/>
    <x:x v="14"/>
    <x:s v="SUP07"/>
    <x:x v="0"/>
    <x:s v="Equipment"/>
    <x:d v="2026-02-02T00:00:00Z"/>
    <x:n v="46115"/>
    <x:x v="0"/>
    <x:n v="16297.62"/>
    <x:s v="Historical"/>
    <x:s v="SUP07-INV-00516"/>
    <x:n v="60"/>
    <x:s v="Milan Assembly Robotics"/>
    <x:n v="1.184"/>
    <x:n v="1.3675213675213673"/>
    <x:n v="0.006449153003976251"/>
    <x:n v="1.184"/>
    <x:x v="515"/>
    <x:x v="6"/>
    <x:n v="1.065"/>
    <x:n v="17356.9653"/>
    <x:n v="1939.4167799999996"/>
    <x:n v="0.11173708920187791"/>
  </x:r>
  <x:r>
    <x:s v="INV-00517"/>
    <x:x v="3"/>
    <x:s v="SUP04"/>
    <x:x v="1"/>
    <x:s v="Packaging"/>
    <x:d v="2025-05-25T00:00:00Z"/>
    <x:n v="45832"/>
    <x:x v="0"/>
    <x:n v="4892.52"/>
    <x:s v="Historical"/>
    <x:s v="SUP04-INV-00517"/>
    <x:n v="30"/>
    <x:s v="Nordlicht Packaging"/>
    <x:n v="1.1565"/>
    <x:n v="1.328699448529412"/>
    <x:n v="0.006784980932824876"/>
    <x:n v="1.1565"/>
    <x:x v="516"/>
    <x:x v="5"/>
    <x:n v="1.07"/>
    <x:n v="5234.996400000001"/>
    <x:n v="423.20298"/>
    <x:n v="0.08084112149532709"/>
  </x:r>
  <x:r>
    <x:s v="INV-00518"/>
    <x:x v="6"/>
    <x:s v="SUP16"/>
    <x:x v="0"/>
    <x:s v="Components"/>
    <x:d v="2026-06-25T00:00:00Z"/>
    <x:n v="46228"/>
    <x:x v="1"/>
    <x:n v="903090.89"/>
    <x:s v="Historical"/>
    <x:s v="SUP16-INV-00518"/>
    <x:n v="30"/>
    <x:s v="Kyoto Optical Instruments"/>
    <x:n v="1.1342"/>
    <x:n v="1.3160368054024576"/>
    <x:n v="0.006178569483030997"/>
    <x:n v="0.006178569483030997"/>
    <x:x v="517"/>
    <x:x v="0"/>
    <x:n v="0.0066"/>
    <x:n v="5960.399874"/>
    <x:n v="-380.5900606426967"/>
    <x:n v="-0.06385310863166707"/>
  </x:r>
  <x:r>
    <x:s v="INV-00519"/>
    <x:x v="9"/>
    <x:s v="SUP05"/>
    <x:x v="0"/>
    <x:s v="Components"/>
    <x:d v="2025-02-21T00:00:00Z"/>
    <x:n v="45754"/>
    <x:x v="0"/>
    <x:n v="24811.78"/>
    <x:s v="Historical"/>
    <x:s v="SUP05-INV-00519"/>
    <x:n v="45"/>
    <x:s v="Lyon Industrial Controls"/>
    <x:n v="1.0465"/>
    <x:n v="1.264499758337361"/>
    <x:n v="0.006646132351073288"/>
    <x:n v="1.0465"/>
    <x:x v="518"/>
    <x:x v="3"/>
    <x:n v="1.052"/>
    <x:n v="26101.99256"/>
    <x:n v="-136.4647900000018"/>
    <x:n v="-0.005228136882129347"/>
  </x:r>
  <x:r>
    <x:s v="INV-00520"/>
    <x:x v="17"/>
    <x:s v="SUP06"/>
    <x:x v="2"/>
    <x:s v="Software"/>
    <x:d v="2026-06-21T00:00:00Z"/>
    <x:n v="46224"/>
    <x:x v="0"/>
    <x:n v="1749.78"/>
    <x:s v="Historical"/>
    <x:s v="SUP06-INV-00520"/>
    <x:n v="30"/>
    <x:s v="Dublin Systems Licensing"/>
    <x:n v="1.1467"/>
    <x:n v="1.3233240626406473"/>
    <x:n v="0.006202401557767201"/>
    <x:n v="1.1467"/>
    <x:x v="519"/>
    <x:x v="0"/>
    <x:n v="1.083"/>
    <x:n v="1895.01174"/>
    <x:n v="111.46098600000005"/>
    <x:n v="0.05881809787626965"/>
  </x:r>
  <x:r>
    <x:s v="INV-00521"/>
    <x:x v="15"/>
    <x:s v="SUP18"/>
    <x:x v="1"/>
    <x:s v="Services"/>
    <x:d v="2026-08-05T00:00:00Z"/>
    <x:n v="46269"/>
    <x:x v="1"/>
    <x:n v="908716.73"/>
    <x:s v="Historical"/>
    <x:s v="SUP18-INV-00521"/>
    <x:n v="30"/>
    <x:s v="Yokohama Engineering Labs"/>
    <x:n v="1.1554"/>
    <x:n v="1.3478768082127859"/>
    <x:n v="0.006345562390158171"/>
    <x:n v="0.006345562390158171"/>
    <x:x v="520"/>
    <x:x v="4"/>
    <x:n v="0.00674"/>
    <x:n v="6124.7507602000005"/>
    <x:n v="-358.4320550044831"/>
    <x:n v="-0.05852190057000437"/>
  </x:r>
  <x:r>
    <x:s v="INV-00522"/>
    <x:x v="12"/>
    <x:s v="SUP17"/>
    <x:x v="1"/>
    <x:s v="Packaging"/>
    <x:d v="2026-11-27T00:00:00Z"/>
    <x:n v="46398"/>
    <x:x v="1"/>
    <x:n v="654315.17"/>
    <x:s v="Planned"/>
    <x:s v="SUP17-INV-00522"/>
    <x:n v="45"/>
    <x:s v="Kobe Industrial Packaging"/>
    <x:n v="1.1177"/>
    <x:n v="1.320456022210408"/>
    <x:n v="0.00632004523607577"/>
    <x:n v="0.00632004523607577"/>
    <x:x v="521"/>
    <x:x v="2"/>
    <x:n v="0.00688"/>
    <x:n v="4501.6883696"/>
    <x:n v="-366.386896549393"/>
    <x:n v="-0.08138877382619635"/>
  </x:r>
  <x:r>
    <x:s v="INV-00523"/>
    <x:x v="6"/>
    <x:s v="SUP16"/>
    <x:x v="0"/>
    <x:s v="Components"/>
    <x:d v="2025-05-19T00:00:00Z"/>
    <x:n v="45826"/>
    <x:x v="1"/>
    <x:n v="1448594.65"/>
    <x:s v="Historical"/>
    <x:s v="SUP16-INV-00523"/>
    <x:n v="30"/>
    <x:s v="Kyoto Optical Instruments"/>
    <x:n v="1.1262"/>
    <x:n v="1.337688561586887"/>
    <x:n v="0.006898199191473724"/>
    <x:n v="0.006898199191473724"/>
    <x:x v="522"/>
    <x:x v="5"/>
    <x:n v="0.0067"/>
    <x:n v="9705.584155"/>
    <x:n v="287.11028840316067"/>
    <x:n v="0.029581968876675063"/>
  </x:r>
  <x:r>
    <x:s v="INV-00524"/>
    <x:x v="8"/>
    <x:s v="SUP13"/>
    <x:x v="0"/>
    <x:s v="Components"/>
    <x:d v="2025-05-24T00:00:00Z"/>
    <x:n v="45846"/>
    <x:x v="1"/>
    <x:n v="1518423.8"/>
    <x:s v="Historical"/>
    <x:s v="SUP13-INV-00524"/>
    <x:n v="45"/>
    <x:s v="Osaka Microdevices"/>
    <x:n v="1.1404"/>
    <x:n v="1.3160992498557416"/>
    <x:n v="0.006645300390420139"/>
    <x:n v="0.006645300390420139"/>
    <x:x v="523"/>
    <x:x v="5"/>
    <x:n v="0.0067"/>
    <x:n v="10173.439460000001"/>
    <x:n v="-83.05718903677007"/>
    <x:n v="-0.008164120832815184"/>
  </x:r>
  <x:r>
    <x:s v="INV-00525"/>
    <x:x v="7"/>
    <x:s v="SUP03"/>
    <x:x v="0"/>
    <x:s v="Components"/>
    <x:d v="2026-08-26T00:00:00Z"/>
    <x:n v="46290"/>
    <x:x v="0"/>
    <x:n v="16941.03"/>
    <x:s v="Historical"/>
    <x:s v="SUP03-INV-00525"/>
    <x:n v="30"/>
    <x:s v="Benelux Sensor Works"/>
    <x:n v="1.1669"/>
    <x:n v="1.3629939378365437"/>
    <x:n v="0.006286499299644435"/>
    <x:n v="1.1669"/>
    <x:x v="524"/>
    <x:x v="4"/>
    <x:n v="1.101"/>
    <x:n v="18652.07403"/>
    <x:n v="1116.413876999999"/>
    <x:n v="0.059854677565849175"/>
  </x:r>
  <x:r>
    <x:s v="INV-00526"/>
    <x:x v="8"/>
    <x:s v="SUP13"/>
    <x:x v="0"/>
    <x:s v="Components"/>
    <x:d v="2026-02-13T00:00:00Z"/>
    <x:n v="46111"/>
    <x:x v="1"/>
    <x:n v="6149269.04"/>
    <x:s v="Historical"/>
    <x:s v="SUP13-INV-00526"/>
    <x:n v="45"/>
    <x:s v="Osaka Microdevices"/>
    <x:n v="1.1862"/>
    <x:n v="1.3609453877925652"/>
    <x:n v="0.00652367596106253"/>
    <x:n v="0.00652367596106253"/>
    <x:x v="525"/>
    <x:x v="6"/>
    <x:n v="0.00646"/>
    <x:n v="39724.2779984"/>
    <x:n v="391.5606159540621"/>
    <x:n v="0.00985695991680033"/>
  </x:r>
  <x:r>
    <x:s v="INV-00527"/>
    <x:x v="7"/>
    <x:s v="SUP03"/>
    <x:x v="0"/>
    <x:s v="Components"/>
    <x:d v="2025-05-31T00:00:00Z"/>
    <x:n v="45838"/>
    <x:x v="0"/>
    <x:n v="13759.07"/>
    <x:s v="Historical"/>
    <x:s v="SUP03-INV-00527"/>
    <x:n v="30"/>
    <x:s v="Benelux Sensor Works"/>
    <x:n v="1.1606"/>
    <x:n v="1.3462475350887368"/>
    <x:n v="0.0067359257109692395"/>
    <x:n v="1.1606"/>
    <x:x v="526"/>
    <x:x v="5"/>
    <x:n v="1.07"/>
    <x:n v="14722.2049"/>
    <x:n v="1246.571742"/>
    <x:n v="0.08467289719626168"/>
  </x:r>
  <x:r>
    <x:s v="INV-00528"/>
    <x:x v="12"/>
    <x:s v="SUP17"/>
    <x:x v="1"/>
    <x:s v="Packaging"/>
    <x:d v="2025-03-09T00:00:00Z"/>
    <x:n v="45770"/>
    <x:x v="1"/>
    <x:n v="955538.54"/>
    <x:s v="Historical"/>
    <x:s v="SUP17-INV-00528"/>
    <x:n v="45"/>
    <x:s v="Kobe Industrial Packaging"/>
    <x:n v="1.1377"/>
    <x:n v="1.3170415475267123"/>
    <x:n v="0.006981039455114438"/>
    <x:n v="0.006981039455114438"/>
    <x:x v="527"/>
    <x:x v="3"/>
    <x:n v="0.00656"/>
    <x:n v="6268.3328224"/>
    <x:n v="402.31942622244605"/>
    <x:n v="0.06418284376744489"/>
  </x:r>
  <x:r>
    <x:s v="INV-00529"/>
    <x:x v="8"/>
    <x:s v="SUP13"/>
    <x:x v="0"/>
    <x:s v="Components"/>
    <x:d v="2025-07-11T00:00:00Z"/>
    <x:n v="45894"/>
    <x:x v="1"/>
    <x:n v="1844442.37"/>
    <x:s v="Historical"/>
    <x:s v="SUP13-INV-00529"/>
    <x:n v="45"/>
    <x:s v="Osaka Microdevices"/>
    <x:n v="1.1683"/>
    <x:n v="1.3495437218435946"/>
    <x:n v="0.00679995343693615"/>
    <x:n v="0.00679995343693615"/>
    <x:x v="528"/>
    <x:x v="1"/>
    <x:n v="0.00684"/>
    <x:n v="12615.9858108"/>
    <x:n v="-73.86357768784183"/>
    <x:n v="-0.005854760681849405"/>
  </x:r>
  <x:r>
    <x:s v="INV-00530"/>
    <x:x v="15"/>
    <x:s v="SUP18"/>
    <x:x v="1"/>
    <x:s v="Services"/>
    <x:d v="2025-02-17T00:00:00Z"/>
    <x:n v="45735"/>
    <x:x v="1"/>
    <x:n v="2399045.48"/>
    <x:s v="Historical"/>
    <x:s v="SUP18-INV-00530"/>
    <x:n v="30"/>
    <x:s v="Yokohama Engineering Labs"/>
    <x:n v="1.0473"/>
    <x:n v="1.2597885316300386"/>
    <x:n v="0.006600491586311212"/>
    <x:n v="0.006600491586311212"/>
    <x:x v="529"/>
    <x:x v="3"/>
    <x:n v="0.00656"/>
    <x:n v="15737.7383488"/>
    <x:n v="97.1411571179433"/>
    <x:n v="0.006172497913294529"/>
  </x:r>
  <x:r>
    <x:s v="INV-00531"/>
    <x:x v="16"/>
    <x:s v="SUP12"/>
    <x:x v="0"/>
    <x:s v="Components"/>
    <x:d v="2025-10-22T00:00:00Z"/>
    <x:n v="46012"/>
    <x:x v="2"/>
    <x:n v="16200.38"/>
    <x:s v="Historical"/>
    <x:s v="SUP12-INV-00531"/>
    <x:n v="60"/>
    <x:s v="Oxford Technical Materials"/>
    <x:n v="1.1587"/>
    <x:n v="1.333525146737254"/>
    <x:n v="0.0065865165984538435"/>
    <x:n v="1.333525146737254"/>
    <x:x v="530"/>
    <x:x v="7"/>
    <x:n v="1.304"/>
    <x:n v="21125.29552"/>
    <x:n v="478.3185966992751"/>
    <x:n v="0.022641983694213195"/>
  </x:r>
  <x:r>
    <x:s v="INV-00532"/>
    <x:x v="0"/>
    <x:s v="SUP01"/>
    <x:x v="0"/>
    <x:s v="Components"/>
    <x:d v="2026-08-13T00:00:00Z"/>
    <x:n v="46277"/>
    <x:x v="0"/>
    <x:n v="40467.94"/>
    <x:s v="Historical"/>
    <x:s v="SUP01-INV-00532"/>
    <x:n v="30"/>
    <x:s v="Rhein Circuit Components"/>
    <x:n v="1.1534"/>
    <x:n v="1.3491636448707451"/>
    <x:n v="0.006276323665451379"/>
    <x:n v="1.1534"/>
    <x:x v="531"/>
    <x:x v="4"/>
    <x:n v="1.101"/>
    <x:n v="44555.20194"/>
    <x:n v="2120.520056000001"/>
    <x:n v="0.04759309718437787"/>
  </x:r>
  <x:r>
    <x:s v="INV-00533"/>
    <x:x v="6"/>
    <x:s v="SUP16"/>
    <x:x v="0"/>
    <x:s v="Components"/>
    <x:d v="2026-10-15T00:00:00Z"/>
    <x:n v="46340"/>
    <x:x v="1"/>
    <x:n v="2776726.7"/>
    <x:s v="Planned"/>
    <x:s v="SUP16-INV-00533"/>
    <x:n v="30"/>
    <x:s v="Kyoto Optical Instruments"/>
    <x:n v="1.1177"/>
    <x:n v="1.320456022210408"/>
    <x:n v="0.00632004523607577"/>
    <x:n v="0.00632004523607577"/>
    <x:x v="532"/>
    <x:x v="2"/>
    <x:n v="0.00688"/>
    <x:n v="19103.879696"/>
    <x:n v="-1554.8413437806048"/>
    <x:n v="-0.08138877382619615"/>
  </x:r>
  <x:r>
    <x:s v="INV-00534"/>
    <x:x v="14"/>
    <x:s v="SUP07"/>
    <x:x v="0"/>
    <x:s v="Equipment"/>
    <x:d v="2026-01-21T00:00:00Z"/>
    <x:n v="46103"/>
    <x:x v="0"/>
    <x:n v="37576.03"/>
    <x:s v="Historical"/>
    <x:s v="SUP07-INV-00534"/>
    <x:n v="60"/>
    <x:s v="Milan Assembly Robotics"/>
    <x:n v="1.1739"/>
    <x:n v="1.3425205855443734"/>
    <x:n v="0.006337526318630891"/>
    <x:n v="1.1739"/>
    <x:x v="533"/>
    <x:x v="6"/>
    <x:n v="1.065"/>
    <x:n v="40018.47195"/>
    <x:n v="4092.0296669999952"/>
    <x:n v="0.10225352112676045"/>
  </x:r>
  <x:r>
    <x:s v="INV-00535"/>
    <x:x v="7"/>
    <x:s v="SUP03"/>
    <x:x v="0"/>
    <x:s v="Components"/>
    <x:d v="2025-04-20T00:00:00Z"/>
    <x:n v="45797"/>
    <x:x v="0"/>
    <x:n v="3057.05"/>
    <x:s v="Historical"/>
    <x:s v="SUP03-INV-00535"/>
    <x:n v="30"/>
    <x:s v="Benelux Sensor Works"/>
    <x:n v="1.1574"/>
    <x:n v="1.357972544878564"/>
    <x:n v="0.006935106956678052"/>
    <x:n v="1.1574"/>
    <x:x v="534"/>
    <x:x v="5"/>
    <x:n v="1.07"/>
    <x:n v="3271.0435"/>
    <x:n v="267.18616999999995"/>
    <x:n v="0.08168224299065419"/>
  </x:r>
  <x:r>
    <x:s v="INV-00536"/>
    <x:x v="3"/>
    <x:s v="SUP04"/>
    <x:x v="1"/>
    <x:s v="Packaging"/>
    <x:d v="2025-10-14T00:00:00Z"/>
    <x:n v="45974"/>
    <x:x v="0"/>
    <x:n v="11546.81"/>
    <x:s v="Historical"/>
    <x:s v="SUP04-INV-00536"/>
    <x:n v="30"/>
    <x:s v="Nordlicht Packaging"/>
    <x:n v="1.1553"/>
    <x:n v="1.3261019283746556"/>
    <x:n v="0.006574664238561348"/>
    <x:n v="1.1553"/>
    <x:x v="535"/>
    <x:x v="7"/>
    <x:n v="1.106"/>
    <x:n v="12770.77186"/>
    <x:n v="569.2577329999986"/>
    <x:n v="0.044575045207956486"/>
  </x:r>
  <x:r>
    <x:s v="INV-00537"/>
    <x:x v="5"/>
    <x:s v="SUP09"/>
    <x:x v="0"/>
    <x:s v="Components"/>
    <x:d v="2025-08-15T00:00:00Z"/>
    <x:n v="45914"/>
    <x:x v="2"/>
    <x:n v="30318.72"/>
    <x:s v="Historical"/>
    <x:s v="SUP09-INV-00537"/>
    <x:n v="30"/>
    <x:s v="Thames Electronics Ltd"/>
    <x:n v="1.1688"/>
    <x:n v="1.3556019485038275"/>
    <x:n v="0.006802863628426751"/>
    <x:n v="1.3556019485038275"/>
    <x:x v="536"/>
    <x:x v="1"/>
    <x:n v="1.282"/>
    <x:n v="38868.59904"/>
    <x:n v="2231.5168681419673"/>
    <x:n v="0.057411816305637735"/>
  </x:r>
  <x:r>
    <x:s v="INV-00538"/>
    <x:x v="2"/>
    <x:s v="SUP10"/>
    <x:x v="1"/>
    <x:s v="Services"/>
    <x:d v="2025-02-21T00:00:00Z"/>
    <x:n v="45754"/>
    <x:x v="2"/>
    <x:n v="10967.25"/>
    <x:s v="Historical"/>
    <x:s v="SUP10-INV-00538"/>
    <x:n v="45"/>
    <x:s v="Bristol Calibration Services"/>
    <x:n v="1.0465"/>
    <x:n v="1.264499758337361"/>
    <x:n v="0.006646132351073288"/>
    <x:n v="1.264499758337361"/>
    <x:x v="537"/>
    <x:x v="3"/>
    <x:n v="1.238"/>
    <x:n v="13577.4555"/>
    <x:n v="290.6294746254225"/>
    <x:n v="0.021405297526139747"/>
  </x:r>
  <x:r>
    <x:s v="INV-00539"/>
    <x:x v="5"/>
    <x:s v="SUP09"/>
    <x:x v="0"/>
    <x:s v="Components"/>
    <x:d v="2025-05-26T00:00:00Z"/>
    <x:n v="45833"/>
    <x:x v="2"/>
    <x:n v="15655.64"/>
    <x:s v="Historical"/>
    <x:s v="SUP09-INV-00539"/>
    <x:n v="30"/>
    <x:s v="Thames Electronics Ltd"/>
    <x:n v="1.1381"/>
    <x:n v="1.35617254528122"/>
    <x:n v="0.006998093832626206"/>
    <x:n v="1.35617254528122"/>
    <x:x v="538"/>
    <x:x v="5"/>
    <x:n v="1.26"/>
    <x:n v="19726.1064"/>
    <x:n v="1505.6427468064794"/>
    <x:n v="0.07632741688985716"/>
  </x:r>
  <x:r>
    <x:s v="INV-00540"/>
    <x:x v="16"/>
    <x:s v="SUP12"/>
    <x:x v="0"/>
    <x:s v="Components"/>
    <x:d v="2026-03-20T00:00:00Z"/>
    <x:n v="46161"/>
    <x:x v="2"/>
    <x:n v="3724.84"/>
    <x:s v="Historical"/>
    <x:s v="SUP12-INV-00540"/>
    <x:n v="60"/>
    <x:s v="Oxford Technical Materials"/>
    <x:n v="1.1555"/>
    <x:n v="1.3367963164349013"/>
    <x:n v="0.006298375667720483"/>
    <x:n v="1.3367963164349013"/>
    <x:x v="539"/>
    <x:x v="6"/>
    <x:n v="1.249"/>
    <x:n v="4652.32516"/>
    <x:n v="327.0272313093774"/>
    <x:n v="0.07029328777814348"/>
  </x:r>
  <x:r>
    <x:s v="INV-00541"/>
    <x:x v="12"/>
    <x:s v="SUP17"/>
    <x:x v="1"/>
    <x:s v="Packaging"/>
    <x:d v="2025-07-24T00:00:00Z"/>
    <x:n v="45907"/>
    <x:x v="1"/>
    <x:n v="1371669.3"/>
    <x:s v="Historical"/>
    <x:s v="SUP17-INV-00541"/>
    <x:n v="45"/>
    <x:s v="Kobe Industrial Packaging"/>
    <x:n v="1.1756"/>
    <x:n v="1.355158501440922"/>
    <x:n v="0.006826152595517361"/>
    <x:n v="0.006826152595517361"/>
    <x:x v="540"/>
    <x:x v="1"/>
    <x:n v="0.00684"/>
    <x:n v="9382.218012"/>
    <x:n v="-18.994059613516583"/>
    <x:n v="-0.0020244743395669224"/>
  </x:r>
  <x:r>
    <x:s v="INV-00542"/>
    <x:x v="16"/>
    <x:s v="SUP12"/>
    <x:x v="0"/>
    <x:s v="Components"/>
    <x:d v="2025-10-07T00:00:00Z"/>
    <x:n v="45997"/>
    <x:x v="2"/>
    <x:n v="2474.4"/>
    <x:s v="Historical"/>
    <x:s v="SUP12-INV-00542"/>
    <x:n v="60"/>
    <x:s v="Oxford Technical Materials"/>
    <x:n v="1.1666"/>
    <x:n v="1.3404573135700335"/>
    <x:n v="0.0066265265549559785"/>
    <x:n v="1.3404573135700335"/>
    <x:x v="541"/>
    <x:x v="7"/>
    <x:n v="1.304"/>
    <x:n v="3226.6176"/>
    <x:n v="90.20997669769076"/>
    <x:n v="0.02795806255370663"/>
  </x:r>
  <x:r>
    <x:s v="INV-00543"/>
    <x:x v="10"/>
    <x:s v="SUP02"/>
    <x:x v="0"/>
    <x:s v="Equipment"/>
    <x:d v="2026-01-25T00:00:00Z"/>
    <x:n v="46092"/>
    <x:x v="0"/>
    <x:n v="75142.42"/>
    <x:s v="Historical"/>
    <x:s v="SUP02-INV-00543"/>
    <x:n v="45"/>
    <x:s v="Alpen Precision Systems"/>
    <x:n v="1.1555"/>
    <x:n v="1.3367963164349013"/>
    <x:n v="0.006298375667720483"/>
    <x:n v="1.1555"/>
    <x:x v="542"/>
    <x:x v="6"/>
    <x:n v="1.065"/>
    <x:n v="80026.6773"/>
    <x:n v="6800.389009999999"/>
    <x:n v="0.08497652582159623"/>
  </x:r>
  <x:r>
    <x:s v="INV-00544"/>
    <x:x v="8"/>
    <x:s v="SUP13"/>
    <x:x v="0"/>
    <x:s v="Components"/>
    <x:d v="2026-12-30T00:00:00Z"/>
    <x:n v="46431"/>
    <x:x v="1"/>
    <x:n v="1888287.78"/>
    <x:s v="Planned"/>
    <x:s v="SUP13-INV-00544"/>
    <x:n v="45"/>
    <x:s v="Osaka Microdevices"/>
    <x:n v="1.1177"/>
    <x:n v="1.320456022210408"/>
    <x:n v="0.00632004523607577"/>
    <x:n v="0.00632004523607577"/>
    <x:x v="543"/>
    <x:x v="2"/>
    <x:n v="0.00688"/>
    <x:n v="12991.4199264"/>
    <x:n v="-1057.355738070908"/>
    <x:n v="-0.08138877382619619"/>
  </x:r>
  <x:r>
    <x:s v="INV-00545"/>
    <x:x v="12"/>
    <x:s v="SUP17"/>
    <x:x v="1"/>
    <x:s v="Packaging"/>
    <x:d v="2025-09-07T00:00:00Z"/>
    <x:n v="45952"/>
    <x:x v="1"/>
    <x:n v="1143541.96"/>
    <x:s v="Historical"/>
    <x:s v="SUP17-INV-00545"/>
    <x:n v="45"/>
    <x:s v="Kobe Industrial Packaging"/>
    <x:n v="1.175"/>
    <x:n v="1.3465505386202155"/>
    <x:n v="0.006382747569123799"/>
    <x:n v="0.006382747569123799"/>
    <x:x v="544"/>
    <x:x v="1"/>
    <x:n v="0.00684"/>
    <x:n v="7821.8270064"/>
    <x:n v="-522.8873410189362"/>
    <x:n v="-0.06684977059593593"/>
  </x:r>
  <x:r>
    <x:s v="INV-00546"/>
    <x:x v="8"/>
    <x:s v="SUP13"/>
    <x:x v="0"/>
    <x:s v="Components"/>
    <x:d v="2025-01-08T00:00:00Z"/>
    <x:n v="45710"/>
    <x:x v="1"/>
    <x:n v="2981902.22"/>
    <x:s v="Historical"/>
    <x:s v="SUP13-INV-00546"/>
    <x:n v="45"/>
    <x:s v="Osaka Microdevices"/>
    <x:n v="1.0286"/>
    <x:n v="1.2332889704207282"/>
    <x:n v="0.00631275316067264"/>
    <x:n v="0.00631275316067264"/>
    <x:x v="545"/>
    <x:x v="3"/>
    <x:n v="0.00656"/>
    <x:n v="19561.2785632"/>
    <x:n v="-737.2658990782365"/>
    <x:n v="-0.03769006697063407"/>
  </x:r>
  <x:r>
    <x:s v="INV-00547"/>
    <x:x v="0"/>
    <x:s v="SUP01"/>
    <x:x v="0"/>
    <x:s v="Components"/>
    <x:d v="2026-02-06T00:00:00Z"/>
    <x:n v="46089"/>
    <x:x v="0"/>
    <x:n v="13626.21"/>
    <x:s v="Historical"/>
    <x:s v="SUP01-INV-00547"/>
    <x:n v="30"/>
    <x:s v="Rhein Circuit Components"/>
    <x:n v="1.1794"/>
    <x:n v="1.358912317087222"/>
    <x:n v="0.0063658444432449935"/>
    <x:n v="1.1794"/>
    <x:x v="546"/>
    <x:x v="6"/>
    <x:n v="1.065"/>
    <x:n v="14511.913649999999"/>
    <x:n v="1558.8384239999996"/>
    <x:n v="0.10741784037558684"/>
  </x:r>
  <x:r>
    <x:s v="INV-00548"/>
    <x:x v="9"/>
    <x:s v="SUP05"/>
    <x:x v="0"/>
    <x:s v="Components"/>
    <x:d v="2025-12-07T00:00:00Z"/>
    <x:n v="46043"/>
    <x:x v="0"/>
    <x:n v="32228.03"/>
    <x:s v="Historical"/>
    <x:s v="SUP05-INV-00548"/>
    <x:n v="45"/>
    <x:s v="Lyon Industrial Controls"/>
    <x:n v="1.1555"/>
    <x:n v="1.3367963164349013"/>
    <x:n v="0.006298375667720483"/>
    <x:n v="1.1555"/>
    <x:x v="547"/>
    <x:x v="7"/>
    <x:n v="1.106"/>
    <x:n v="35644.201180000004"/>
    <x:n v="1595.2874849999935"/>
    <x:n v="0.044755877034357856"/>
  </x:r>
  <x:r>
    <x:s v="INV-00549"/>
    <x:x v="17"/>
    <x:s v="SUP06"/>
    <x:x v="2"/>
    <x:s v="Software"/>
    <x:d v="2026-10-15T00:00:00Z"/>
    <x:n v="46340"/>
    <x:x v="0"/>
    <x:n v="4273.32"/>
    <x:s v="Planned"/>
    <x:s v="SUP06-INV-00549"/>
    <x:n v="30"/>
    <x:s v="Dublin Systems Licensing"/>
    <x:n v="1.1177"/>
    <x:n v="1.320456022210408"/>
    <x:n v="0.00632004523607577"/>
    <x:n v="1.1177"/>
    <x:x v="548"/>
    <x:x v="2"/>
    <x:n v="1.119"/>
    <x:n v="4781.84508"/>
    <x:n v="-5.5553160000008575"/>
    <x:n v="-0.0011617515638965153"/>
  </x:r>
  <x:r>
    <x:s v="INV-00550"/>
    <x:x v="2"/>
    <x:s v="SUP10"/>
    <x:x v="1"/>
    <x:s v="Services"/>
    <x:d v="2026-01-19T00:00:00Z"/>
    <x:n v="46086"/>
    <x:x v="2"/>
    <x:n v="10426.59"/>
    <x:s v="Historical"/>
    <x:s v="SUP10-INV-00550"/>
    <x:n v="45"/>
    <x:s v="Bristol Calibration Services"/>
    <x:n v="1.1631"/>
    <x:n v="1.3413677776496369"/>
    <x:n v="0.006331863465621428"/>
    <x:n v="1.3413677776496369"/>
    <x:x v="549"/>
    <x:x v="6"/>
    <x:n v="1.249"/>
    <x:n v="13022.810910000002"/>
    <x:n v="963.0809467639265"/>
    <x:n v="0.07395338482757148"/>
  </x:r>
  <x:r>
    <x:s v="INV-00551"/>
    <x:x v="1"/>
    <x:s v="SUP15"/>
    <x:x v="1"/>
    <x:s v="Freight"/>
    <x:d v="2026-03-27T00:00:00Z"/>
    <x:n v="46138"/>
    <x:x v="1"/>
    <x:n v="1653538.49"/>
    <x:s v="Historical"/>
    <x:s v="SUP15-INV-00551"/>
    <x:n v="30"/>
    <x:s v="Nagoya Logistics Partners"/>
    <x:n v="1.1517"/>
    <x:n v="1.3280673431734318"/>
    <x:n v="0.006253801042571677"/>
    <x:n v="0.006253801042571677"/>
    <x:x v="550"/>
    <x:x v="6"/>
    <x:n v="0.00646"/>
    <x:n v="10681.8586454"/>
    <x:n v="-340.95791270560403"/>
    <x:n v="-0.03191934325515841"/>
  </x:r>
  <x:r>
    <x:s v="INV-00552"/>
    <x:x v="3"/>
    <x:s v="SUP04"/>
    <x:x v="1"/>
    <x:s v="Packaging"/>
    <x:d v="2025-09-13T00:00:00Z"/>
    <x:n v="45943"/>
    <x:x v="0"/>
    <x:n v="5167.33"/>
    <x:s v="Historical"/>
    <x:s v="SUP04-INV-00552"/>
    <x:n v="30"/>
    <x:s v="Nordlicht Packaging"/>
    <x:n v="1.1642"/>
    <x:n v="1.341707963581883"/>
    <x:n v="0.006343722755013077"/>
    <x:n v="1.1642"/>
    <x:x v="551"/>
    <x:x v="1"/>
    <x:n v="1.088"/>
    <x:n v="5622.05504"/>
    <x:n v="393.7505459999993"/>
    <x:n v="0.07003676470588223"/>
  </x:r>
  <x:r>
    <x:s v="INV-00553"/>
    <x:x v="12"/>
    <x:s v="SUP17"/>
    <x:x v="1"/>
    <x:s v="Packaging"/>
    <x:d v="2026-02-11T00:00:00Z"/>
    <x:n v="46109"/>
    <x:x v="1"/>
    <x:n v="771900.75"/>
    <x:s v="Historical"/>
    <x:s v="SUP17-INV-00553"/>
    <x:n v="45"/>
    <x:s v="Kobe Industrial Packaging"/>
    <x:n v="1.19"/>
    <x:n v="1.3679733302678467"/>
    <x:n v="0.006510202965151267"/>
    <x:n v="0.006510202965151267"/>
    <x:x v="552"/>
    <x:x v="6"/>
    <x:n v="0.00646"/>
    <x:n v="4986.478845"/>
    <x:n v="38.75170645248727"/>
    <x:n v="0.007771356834561538"/>
  </x:r>
  <x:r>
    <x:s v="INV-00554"/>
    <x:x v="16"/>
    <x:s v="SUP12"/>
    <x:x v="0"/>
    <x:s v="Components"/>
    <x:d v="2026-04-15T00:00:00Z"/>
    <x:n v="46187"/>
    <x:x v="2"/>
    <x:n v="17548"/>
    <x:s v="Historical"/>
    <x:s v="SUP12-INV-00554"/>
    <x:n v="60"/>
    <x:s v="Oxford Technical Materials"/>
    <x:n v="1.178"/>
    <x:n v="1.3550353712543854"/>
    <x:n v="0.006285683794888213"/>
    <x:n v="1.3550353712543854"/>
    <x:x v="553"/>
    <x:x v="0"/>
    <x:n v="1.271"/>
    <x:n v="22303.507999999998"/>
    <x:n v="1474.6526947719576"/>
    <x:n v="0.06611752262343475"/>
  </x:r>
  <x:r>
    <x:s v="INV-00555"/>
    <x:x v="10"/>
    <x:s v="SUP02"/>
    <x:x v="0"/>
    <x:s v="Equipment"/>
    <x:d v="2025-06-13T00:00:00Z"/>
    <x:n v="45866"/>
    <x:x v="0"/>
    <x:n v="39666.95"/>
    <x:s v="Historical"/>
    <x:s v="SUP02-INV-00555"/>
    <x:n v="45"/>
    <x:s v="Alpen Precision Systems"/>
    <x:n v="1.1512"/>
    <x:n v="1.3535567313345092"/>
    <x:n v="0.006937447270097626"/>
    <x:n v="1.1512"/>
    <x:x v="554"/>
    <x:x v="5"/>
    <x:n v="1.07"/>
    <x:n v="42443.6365"/>
    <x:n v="3220.956339999997"/>
    <x:n v="0.07588785046728964"/>
  </x:r>
  <x:r>
    <x:s v="INV-00556"/>
    <x:x v="8"/>
    <x:s v="SUP13"/>
    <x:x v="0"/>
    <x:s v="Components"/>
    <x:d v="2026-03-25T00:00:00Z"/>
    <x:n v="46151"/>
    <x:x v="1"/>
    <x:n v="2010150.74"/>
    <x:s v="Historical"/>
    <x:s v="SUP13-INV-00556"/>
    <x:n v="45"/>
    <x:s v="Osaka Microdevices"/>
    <x:n v="1.1592"/>
    <x:n v="1.3392176344185402"/>
    <x:n v="0.006290768980300646"/>
    <x:n v="0.006290768980300646"/>
    <x:x v="555"/>
    <x:x v="6"/>
    <x:n v="0.00646"/>
    <x:n v="12985.5737804"/>
    <x:n v="-340.17985947961097"/>
    <x:n v="-0.02619675227544179"/>
  </x:r>
  <x:r>
    <x:s v="INV-00557"/>
    <x:x v="8"/>
    <x:s v="SUP13"/>
    <x:x v="0"/>
    <x:s v="Components"/>
    <x:d v="2026-05-16T00:00:00Z"/>
    <x:n v="46203"/>
    <x:x v="1"/>
    <x:n v="4867397.82"/>
    <x:s v="Historical"/>
    <x:s v="SUP13-INV-00557"/>
    <x:n v="45"/>
    <x:s v="Osaka Microdevices"/>
    <x:n v="1.1628"/>
    <x:n v="1.3357840321654222"/>
    <x:n v="0.00630722499457583"/>
    <x:n v="0.00630722499457583"/>
    <x:x v="556"/>
    <x:x v="0"/>
    <x:n v="0.0066"/>
    <x:n v="32124.825612"/>
    <x:n v="-1425.052423152094"/>
    <x:n v="-0.04435984930669245"/>
  </x:r>
  <x:r>
    <x:s v="INV-00558"/>
    <x:x v="9"/>
    <x:s v="SUP05"/>
    <x:x v="0"/>
    <x:s v="Components"/>
    <x:d v="2025-11-04T00:00:00Z"/>
    <x:n v="46010"/>
    <x:x v="0"/>
    <x:n v="12535.73"/>
    <x:s v="Historical"/>
    <x:s v="SUP05-INV-00558"/>
    <x:n v="45"/>
    <x:s v="Lyon Industrial Controls"/>
    <x:n v="1.1491"/>
    <x:n v="1.3065378055713475"/>
    <x:n v="0.006514541640682579"/>
    <x:n v="1.1491"/>
    <x:x v="557"/>
    <x:x v="7"/>
    <x:n v="1.106"/>
    <x:n v="13864.517380000001"/>
    <x:n v="540.2899629999993"/>
    <x:n v="0.038969258589511696"/>
  </x:r>
  <x:r>
    <x:s v="INV-00559"/>
    <x:x v="2"/>
    <x:s v="SUP10"/>
    <x:x v="1"/>
    <x:s v="Services"/>
    <x:d v="2026-02-07T00:00:00Z"/>
    <x:n v="46105"/>
    <x:x v="2"/>
    <x:n v="2347.55"/>
    <x:s v="Historical"/>
    <x:s v="SUP10-INV-00559"/>
    <x:n v="45"/>
    <x:s v="Bristol Calibration Services"/>
    <x:n v="1.1555"/>
    <x:n v="1.3367963164349013"/>
    <x:n v="0.006298375667720483"/>
    <x:n v="1.3367963164349013"/>
    <x:x v="558"/>
    <x:x v="6"/>
    <x:n v="1.249"/>
    <x:n v="2932.0899500000005"/>
    <x:n v="206.10624264675243"/>
    <x:n v="0.0702932877781435"/>
  </x:r>
  <x:r>
    <x:s v="INV-00560"/>
    <x:x v="9"/>
    <x:s v="SUP05"/>
    <x:x v="0"/>
    <x:s v="Components"/>
    <x:d v="2025-10-11T00:00:00Z"/>
    <x:n v="45986"/>
    <x:x v="0"/>
    <x:n v="3863.22"/>
    <x:s v="Historical"/>
    <x:s v="SUP05-INV-00560"/>
    <x:n v="45"/>
    <x:s v="Lyon Industrial Controls"/>
    <x:n v="1.1845"/>
    <x:n v="1.3577487391104999"/>
    <x:n v="0.0065085993735919554"/>
    <x:n v="1.1845"/>
    <x:x v="559"/>
    <x:x v="7"/>
    <x:n v="1.106"/>
    <x:n v="4272.721320000001"/>
    <x:n v="303.26276999999936"/>
    <x:n v="0.07097649186256766"/>
  </x:r>
  <x:r>
    <x:s v="INV-00561"/>
    <x:x v="1"/>
    <x:s v="SUP15"/>
    <x:x v="1"/>
    <x:s v="Freight"/>
    <x:d v="2026-11-24T00:00:00Z"/>
    <x:n v="46380"/>
    <x:x v="1"/>
    <x:n v="2642463.96"/>
    <x:s v="Planned"/>
    <x:s v="SUP15-INV-00561"/>
    <x:n v="30"/>
    <x:s v="Nagoya Logistics Partners"/>
    <x:n v="1.1177"/>
    <x:n v="1.320456022210408"/>
    <x:n v="0.00632004523607577"/>
    <x:n v="0.00632004523607577"/>
    <x:x v="560"/>
    <x:x v="2"/>
    <x:n v="0.00688"/>
    <x:n v="18180.1520448"/>
    <x:n v="-1479.6602829000876"/>
    <x:n v="-0.0813887738261963"/>
  </x:r>
  <x:r>
    <x:s v="INV-00562"/>
    <x:x v="12"/>
    <x:s v="SUP17"/>
    <x:x v="1"/>
    <x:s v="Packaging"/>
    <x:d v="2025-04-01T00:00:00Z"/>
    <x:n v="45793"/>
    <x:x v="1"/>
    <x:n v="1240782"/>
    <x:s v="Historical"/>
    <x:s v="SUP17-INV-00562"/>
    <x:n v="45"/>
    <x:s v="Kobe Industrial Packaging"/>
    <x:n v="1.0788"/>
    <x:n v="1.2894280762564991"/>
    <x:n v="0.006703535698751009"/>
    <x:n v="0.006703535698751009"/>
    <x:x v="561"/>
    <x:x v="5"/>
    <x:n v="0.0067"/>
    <x:n v="8313.2394"/>
    <x:n v="4.3870313676743535"/>
    <x:n v="0.0005277162314938691"/>
  </x:r>
  <x:r>
    <x:s v="INV-00563"/>
    <x:x v="8"/>
    <x:s v="SUP13"/>
    <x:x v="0"/>
    <x:s v="Components"/>
    <x:d v="2025-05-25T00:00:00Z"/>
    <x:n v="45847"/>
    <x:x v="1"/>
    <x:n v="1032413.42"/>
    <x:s v="Historical"/>
    <x:s v="SUP13-INV-00563"/>
    <x:n v="45"/>
    <x:s v="Osaka Microdevices"/>
    <x:n v="1.1565"/>
    <x:n v="1.328699448529412"/>
    <x:n v="0.006784980932824876"/>
    <x:n v="0.006784980932824876"/>
    <x:x v="562"/>
    <x:x v="5"/>
    <x:n v="0.0067"/>
    <x:n v="6917.169914"/>
    <x:n v="87.73545549252049"/>
    <x:n v="0.012683721317145671"/>
  </x:r>
  <x:r>
    <x:s v="INV-00564"/>
    <x:x v="5"/>
    <x:s v="SUP09"/>
    <x:x v="0"/>
    <x:s v="Components"/>
    <x:d v="2025-05-24T00:00:00Z"/>
    <x:n v="45831"/>
    <x:x v="2"/>
    <x:n v="5667.88"/>
    <x:s v="Historical"/>
    <x:s v="SUP09-INV-00564"/>
    <x:n v="30"/>
    <x:s v="Thames Electronics Ltd"/>
    <x:n v="1.1404"/>
    <x:n v="1.3160992498557416"/>
    <x:n v="0.006645300390420139"/>
    <x:n v="1.3160992498557416"/>
    <x:x v="563"/>
    <x:x v="5"/>
    <x:n v="1.26"/>
    <x:n v="7141.5288"/>
    <x:n v="317.9638162723604"/>
    <x:n v="0.04452321417122345"/>
  </x:r>
  <x:r>
    <x:s v="INV-00565"/>
    <x:x v="14"/>
    <x:s v="SUP07"/>
    <x:x v="0"/>
    <x:s v="Equipment"/>
    <x:d v="2025-03-03T00:00:00Z"/>
    <x:n v="45779"/>
    <x:x v="0"/>
    <x:n v="66547.59"/>
    <x:s v="Historical"/>
    <x:s v="SUP07-INV-00565"/>
    <x:n v="60"/>
    <x:s v="Milan Assembly Robotics"/>
    <x:n v="1.0465"/>
    <x:n v="1.2680237489397794"/>
    <x:n v="0.0066096128339543985"/>
    <x:n v="1.0465"/>
    <x:x v="564"/>
    <x:x v="3"/>
    <x:n v="1.052"/>
    <x:n v="70008.06468"/>
    <x:n v="-366.01174499999615"/>
    <x:n v="-0.0052281368821292225"/>
  </x:r>
  <x:r>
    <x:s v="INV-00566"/>
    <x:x v="3"/>
    <x:s v="SUP04"/>
    <x:x v="1"/>
    <x:s v="Packaging"/>
    <x:d v="2025-03-17T00:00:00Z"/>
    <x:n v="45763"/>
    <x:x v="0"/>
    <x:n v="10006.56"/>
    <x:s v="Historical"/>
    <x:s v="SUP04-INV-00566"/>
    <x:n v="30"/>
    <x:s v="Nordlicht Packaging"/>
    <x:n v="1.0903"/>
    <x:n v="1.2975745602551592"/>
    <x:n v="0.006719462590903489"/>
    <x:n v="1.0903"/>
    <x:x v="565"/>
    <x:x v="3"/>
    <x:n v="1.052"/>
    <x:n v="10526.90112"/>
    <x:n v="383.25124799999867"/>
    <x:n v="0.03640684410646375"/>
  </x:r>
  <x:r>
    <x:s v="INV-00567"/>
    <x:x v="3"/>
    <x:s v="SUP04"/>
    <x:x v="1"/>
    <x:s v="Packaging"/>
    <x:d v="2025-06-04T00:00:00Z"/>
    <x:n v="45842"/>
    <x:x v="0"/>
    <x:n v="3820.88"/>
    <x:s v="Historical"/>
    <x:s v="SUP04-INV-00567"/>
    <x:n v="30"/>
    <x:s v="Nordlicht Packaging"/>
    <x:n v="1.1384"/>
    <x:n v="1.3518584491153072"/>
    <x:n v="0.00693512031678343"/>
    <x:n v="1.1384"/>
    <x:x v="566"/>
    <x:x v="5"/>
    <x:n v="1.07"/>
    <x:n v="4088.3416"/>
    <x:n v="261.3481919999999"/>
    <x:n v="0.06392523364485979"/>
  </x:r>
  <x:r>
    <x:s v="INV-00568"/>
    <x:x v="5"/>
    <x:s v="SUP09"/>
    <x:x v="0"/>
    <x:s v="Components"/>
    <x:d v="2025-03-08T00:00:00Z"/>
    <x:n v="45754"/>
    <x:x v="2"/>
    <x:n v="27203.32"/>
    <x:s v="Historical"/>
    <x:s v="SUP09-INV-00568"/>
    <x:n v="30"/>
    <x:s v="Thames Electronics Ltd"/>
    <x:n v="1.1346"/>
    <x:n v="1.3089826714968043"/>
    <x:n v="0.0070006787190720066"/>
    <x:n v="1.3089826714968043"/>
    <x:x v="567"/>
    <x:x v="3"/>
    <x:n v="1.238"/>
    <x:n v="33677.71016"/>
    <x:n v="1930.9643271824389"/>
    <x:n v="0.057336568252668835"/>
  </x:r>
  <x:r>
    <x:s v="INV-00569"/>
    <x:x v="5"/>
    <x:s v="SUP09"/>
    <x:x v="0"/>
    <x:s v="Components"/>
    <x:d v="2025-09-18T00:00:00Z"/>
    <x:n v="45948"/>
    <x:x v="2"/>
    <x:n v="20951.58"/>
    <x:s v="Historical"/>
    <x:s v="SUP09-INV-00569"/>
    <x:n v="30"/>
    <x:s v="Thames Electronics Ltd"/>
    <x:n v="1.1818"/>
    <x:n v="1.361520737327189"/>
    <x:n v="0.006782598714416895"/>
    <x:n v="1.361520737327189"/>
    <x:x v="568"/>
    <x:x v="1"/>
    <x:n v="1.282"/>
    <x:n v="26859.925560000003"/>
    <x:n v="1666.0850897695855"/>
    <x:n v="0.06202865626145783"/>
  </x:r>
  <x:r>
    <x:s v="INV-00570"/>
    <x:x v="13"/>
    <x:s v="SUP11"/>
    <x:x v="2"/>
    <x:s v="Software"/>
    <x:d v="2026-03-17T00:00:00Z"/>
    <x:n v="46128"/>
    <x:x v="2"/>
    <x:n v="1107.89"/>
    <x:s v="Historical"/>
    <x:s v="SUP11-INV-00570"/>
    <x:n v="30"/>
    <x:s v="Manchester Cloud Solutions"/>
    <x:n v="1.1531"/>
    <x:n v="1.334143237301863"/>
    <x:n v="0.006291123356429702"/>
    <x:n v="1.334143237301863"/>
    <x:x v="569"/>
    <x:x v="6"/>
    <x:n v="1.249"/>
    <x:n v="1383.7546100000002"/>
    <x:n v="94.32934117436093"/>
    <x:n v="0.06816912514160363"/>
  </x:r>
  <x:r>
    <x:s v="INV-00571"/>
    <x:x v="15"/>
    <x:s v="SUP18"/>
    <x:x v="1"/>
    <x:s v="Services"/>
    <x:d v="2026-09-20T00:00:00Z"/>
    <x:n v="46315"/>
    <x:x v="1"/>
    <x:n v="650506.22"/>
    <x:s v="Historical"/>
    <x:s v="SUP18-INV-00571"/>
    <x:n v="30"/>
    <x:s v="Yokohama Engineering Labs"/>
    <x:n v="1.146"/>
    <x:n v="1.3344201210992082"/>
    <x:n v="0.006333591245716812"/>
    <x:n v="0.006333591245716812"/>
    <x:x v="570"/>
    <x:x v="4"/>
    <x:n v="0.00674"/>
    <x:n v="4384.4119228"/>
    <x:n v="-264.3714225236654"/>
    <x:n v="-0.0602980347601169"/>
  </x:r>
  <x:r>
    <x:s v="INV-00572"/>
    <x:x v="7"/>
    <x:s v="SUP03"/>
    <x:x v="0"/>
    <x:s v="Components"/>
    <x:d v="2025-01-27T00:00:00Z"/>
    <x:n v="45714"/>
    <x:x v="0"/>
    <x:n v="15668.21"/>
    <x:s v="Historical"/>
    <x:s v="SUP03-INV-00572"/>
    <x:n v="30"/>
    <x:s v="Benelux Sensor Works"/>
    <x:n v="1.053"/>
    <x:n v="1.2519915344921884"/>
    <x:n v="0.006491584982430182"/>
    <x:n v="1.053"/>
    <x:x v="571"/>
    <x:x v="3"/>
    <x:n v="1.052"/>
    <x:n v="16482.95692"/>
    <x:n v="15.66820999999618"/>
    <x:n v="0.0009505703422050914"/>
  </x:r>
  <x:r>
    <x:s v="INV-00573"/>
    <x:x v="5"/>
    <x:s v="SUP09"/>
    <x:x v="0"/>
    <x:s v="Components"/>
    <x:d v="2025-11-21T00:00:00Z"/>
    <x:n v="46012"/>
    <x:x v="2"/>
    <x:n v="28641.99"/>
    <x:s v="Historical"/>
    <x:s v="SUP09-INV-00573"/>
    <x:n v="30"/>
    <x:s v="Thames Electronics Ltd"/>
    <x:n v="1.152"/>
    <x:n v="1.308644780188572"/>
    <x:n v="0.006380150642445724"/>
    <x:n v="1.308644780188572"/>
    <x:x v="572"/>
    <x:x v="7"/>
    <x:n v="1.304"/>
    <x:n v="37349.15496"/>
    <x:n v="133.03574771328567"/>
    <x:n v="0.003561947997371389"/>
  </x:r>
  <x:r>
    <x:s v="INV-00574"/>
    <x:x v="1"/>
    <x:s v="SUP15"/>
    <x:x v="1"/>
    <x:s v="Freight"/>
    <x:d v="2025-05-02T00:00:00Z"/>
    <x:n v="45809"/>
    <x:x v="1"/>
    <x:n v="181733.19"/>
    <x:s v="Historical"/>
    <x:s v="SUP15-INV-00574"/>
    <x:n v="30"/>
    <x:s v="Nagoya Logistics Partners"/>
    <x:n v="1.1343"/>
    <x:n v="1.3293097386616666"/>
    <x:n v="0.006919416824254255"/>
    <x:n v="0.006919416824254255"/>
    <x:x v="573"/>
    <x:x v="5"/>
    <x:n v="0.0067"/>
    <x:n v="1217.6123730000002"/>
    <x:n v="39.87531941139514"/>
    <x:n v="0.03274877973944105"/>
  </x:r>
  <x:r>
    <x:s v="INV-00575"/>
    <x:x v="17"/>
    <x:s v="SUP06"/>
    <x:x v="2"/>
    <x:s v="Software"/>
    <x:d v="2026-08-24T00:00:00Z"/>
    <x:n v="46288"/>
    <x:x v="0"/>
    <x:n v="8673.54"/>
    <x:s v="Historical"/>
    <x:s v="SUP06-INV-00575"/>
    <x:n v="30"/>
    <x:s v="Dublin Systems Licensing"/>
    <x:n v="1.1664"/>
    <x:n v="1.3634132086499124"/>
    <x:n v="0.006284482758620691"/>
    <x:n v="1.1664"/>
    <x:x v="574"/>
    <x:x v="4"/>
    <x:n v="1.101"/>
    <x:n v="9549.56754"/>
    <x:n v="567.2495160000017"/>
    <x:n v="0.05940054495912824"/>
  </x:r>
  <x:r>
    <x:s v="INV-00576"/>
    <x:x v="1"/>
    <x:s v="SUP15"/>
    <x:x v="1"/>
    <x:s v="Freight"/>
    <x:d v="2025-12-12T00:00:00Z"/>
    <x:n v="46033"/>
    <x:x v="1"/>
    <x:n v="2243330.47"/>
    <x:s v="Historical"/>
    <x:s v="SUP15-INV-00576"/>
    <x:n v="30"/>
    <x:s v="Nagoya Logistics Partners"/>
    <x:n v="1.1731"/>
    <x:n v="1.338086004334436"/>
    <x:n v="0.0064107328269304336"/>
    <x:n v="0.0064107328269304336"/>
    <x:x v="575"/>
    <x:x v="7"/>
    <x:n v="0.00698"/>
    <x:n v="15658.446680600002"/>
    <x:n v="-1277.0543949177227"/>
    <x:n v="-0.08155690158589782"/>
  </x:r>
  <x:r>
    <x:s v="INV-00577"/>
    <x:x v="10"/>
    <x:s v="SUP02"/>
    <x:x v="0"/>
    <x:s v="Equipment"/>
    <x:d v="2026-09-10T00:00:00Z"/>
    <x:n v="46320"/>
    <x:x v="0"/>
    <x:n v="24031.9"/>
    <x:s v="Historical"/>
    <x:s v="SUP02-INV-00577"/>
    <x:n v="45"/>
    <x:s v="Alpen Precision Systems"/>
    <x:n v="1.1616"/>
    <x:n v="1.3520339870802538"/>
    <x:n v="0.006486124295047183"/>
    <x:n v="1.1616"/>
    <x:x v="576"/>
    <x:x v="4"/>
    <x:n v="1.101"/>
    <x:n v="26459.121900000002"/>
    <x:n v="1456.3331399999988"/>
    <x:n v="0.05504087193460486"/>
  </x:r>
  <x:r>
    <x:s v="INV-00578"/>
    <x:x v="4"/>
    <x:s v="SUP08"/>
    <x:x v="0"/>
    <x:s v="Components"/>
    <x:d v="2025-12-23T00:00:00Z"/>
    <x:n v="46044"/>
    <x:x v="0"/>
    <x:n v="15482.48"/>
    <x:s v="Historical"/>
    <x:s v="SUP08-INV-00578"/>
    <x:n v="30"/>
    <x:s v="Valencia Circuit Supply"/>
    <x:n v="1.1786"/>
    <x:n v="1.3502119372207584"/>
    <x:n v="0.00640926640926641"/>
    <x:n v="1.1786"/>
    <x:x v="577"/>
    <x:x v="7"/>
    <x:n v="1.106"/>
    <x:n v="17123.622880000003"/>
    <x:n v="1124.0280479999965"/>
    <x:n v="0.06564195298372492"/>
  </x:r>
  <x:r>
    <x:s v="INV-00579"/>
    <x:x v="1"/>
    <x:s v="SUP15"/>
    <x:x v="1"/>
    <x:s v="Freight"/>
    <x:d v="2025-11-18T00:00:00Z"/>
    <x:n v="46009"/>
    <x:x v="1"/>
    <x:n v="1631246.99"/>
    <x:s v="Historical"/>
    <x:s v="SUP15-INV-00579"/>
    <x:n v="30"/>
    <x:s v="Nagoya Logistics Partners"/>
    <x:n v="1.159"/>
    <x:n v="1.3139099875297586"/>
    <x:n v="0.006441035900855841"/>
    <x:n v="0.006441035900855841"/>
    <x:x v="578"/>
    <x:x v="7"/>
    <x:n v="0.00698"/>
    <x:n v="11386.1039902"/>
    <x:n v="-879.1835644469702"/>
    <x:n v="-0.0772154869834038"/>
  </x:r>
  <x:r>
    <x:s v="INV-00580"/>
    <x:x v="5"/>
    <x:s v="SUP09"/>
    <x:x v="0"/>
    <x:s v="Components"/>
    <x:d v="2026-12-31T00:00:00Z"/>
    <x:n v="46417"/>
    <x:x v="2"/>
    <x:n v="22024.13"/>
    <x:s v="Planned"/>
    <x:s v="SUP09-INV-00580"/>
    <x:n v="30"/>
    <x:s v="Thames Electronics Ltd"/>
    <x:n v="1.1177"/>
    <x:n v="1.320456022210408"/>
    <x:n v="0.00632004523607577"/>
    <x:n v="1.320456022210408"/>
    <x:x v="579"/>
    <x:x v="2"/>
    <x:n v="1.315"/>
    <x:n v="28961.73095"/>
    <x:n v="120.16414244491534"/>
    <x:n v="0.0041490663197019766"/>
  </x:r>
  <x:r>
    <x:s v="INV-00581"/>
    <x:x v="17"/>
    <x:s v="SUP06"/>
    <x:x v="2"/>
    <x:s v="Software"/>
    <x:d v="2025-07-05T00:00:00Z"/>
    <x:n v="45873"/>
    <x:x v="0"/>
    <x:n v="2715.95"/>
    <x:s v="Historical"/>
    <x:s v="SUP06-INV-00581"/>
    <x:n v="30"/>
    <x:s v="Dublin Systems Licensing"/>
    <x:n v="1.1741"/>
    <x:n v="1.344286695672086"/>
    <x:n v="0.006757021178637201"/>
    <x:n v="1.1741"/>
    <x:x v="580"/>
    <x:x v="1"/>
    <x:n v="1.088"/>
    <x:n v="2954.9536"/>
    <x:n v="233.84329499999967"/>
    <x:n v="0.0791360294117646"/>
  </x:r>
  <x:r>
    <x:s v="INV-00582"/>
    <x:x v="7"/>
    <x:s v="SUP03"/>
    <x:x v="0"/>
    <x:s v="Components"/>
    <x:d v="2025-11-21T00:00:00Z"/>
    <x:n v="46012"/>
    <x:x v="0"/>
    <x:n v="5513.94"/>
    <x:s v="Historical"/>
    <x:s v="SUP03-INV-00582"/>
    <x:n v="30"/>
    <x:s v="Benelux Sensor Works"/>
    <x:n v="1.152"/>
    <x:n v="1.308644780188572"/>
    <x:n v="0.006380150642445724"/>
    <x:n v="1.152"/>
    <x:x v="581"/>
    <x:x v="7"/>
    <x:n v="1.106"/>
    <x:n v="6098.41764"/>
    <x:n v="253.64123999999902"/>
    <x:n v="0.04159132007233257"/>
  </x:r>
  <x:r>
    <x:s v="INV-00583"/>
    <x:x v="15"/>
    <x:s v="SUP18"/>
    <x:x v="1"/>
    <x:s v="Services"/>
    <x:d v="2026-12-19T00:00:00Z"/>
    <x:n v="46405"/>
    <x:x v="1"/>
    <x:n v="1060704.36"/>
    <x:s v="Planned"/>
    <x:s v="SUP18-INV-00583"/>
    <x:n v="30"/>
    <x:s v="Yokohama Engineering Labs"/>
    <x:n v="1.1177"/>
    <x:n v="1.320456022210408"/>
    <x:n v="0.00632004523607577"/>
    <x:n v="0.00632004523607577"/>
    <x:x v="582"/>
    <x:x v="2"/>
    <x:n v="0.00688"/>
    <x:n v="7297.645996800001"/>
    <x:n v="-593.9464594972014"/>
    <x:n v="-0.0813887738261962"/>
  </x:r>
  <x:r>
    <x:s v="INV-00584"/>
    <x:x v="6"/>
    <x:s v="SUP16"/>
    <x:x v="0"/>
    <x:s v="Components"/>
    <x:d v="2025-11-17T00:00:00Z"/>
    <x:n v="46008"/>
    <x:x v="1"/>
    <x:n v="1789761.28"/>
    <x:s v="Historical"/>
    <x:s v="SUP16-INV-00584"/>
    <x:n v="30"/>
    <x:s v="Kyoto Optical Instruments"/>
    <x:n v="1.1593"/>
    <x:n v="1.3181353041500854"/>
    <x:n v="0.0064559781700729525"/>
    <x:n v="0.0064559781700729525"/>
    <x:x v="583"/>
    <x:x v="7"/>
    <x:n v="0.00698"/>
    <x:n v="12492.5337344"/>
    <x:n v="-937.8739810781753"/>
    <x:n v="-0.07507476073453406"/>
  </x:r>
  <x:r>
    <x:s v="INV-00585"/>
    <x:x v="13"/>
    <x:s v="SUP11"/>
    <x:x v="2"/>
    <x:s v="Software"/>
    <x:d v="2025-04-10T00:00:00Z"/>
    <x:n v="45787"/>
    <x:x v="2"/>
    <x:n v="4152.51"/>
    <x:s v="Historical"/>
    <x:s v="SUP11-INV-00585"/>
    <x:n v="30"/>
    <x:s v="Manchester Cloud Solutions"/>
    <x:n v="1.1082"/>
    <x:n v="1.2922861640720658"/>
    <x:n v="0.0068712797619047625"/>
    <x:n v="1.2922861640720658"/>
    <x:x v="584"/>
    <x:x v="5"/>
    <x:n v="1.26"/>
    <x:n v="5232.162600000001"/>
    <x:n v="134.06861917089373"/>
    <x:n v="0.025623939739734716"/>
  </x:r>
  <x:r>
    <x:s v="INV-00586"/>
    <x:x v="3"/>
    <x:s v="SUP04"/>
    <x:x v="1"/>
    <x:s v="Packaging"/>
    <x:d v="2026-09-18T00:00:00Z"/>
    <x:n v="46313"/>
    <x:x v="0"/>
    <x:n v="12160.96"/>
    <x:s v="Historical"/>
    <x:s v="SUP04-INV-00586"/>
    <x:n v="30"/>
    <x:s v="Nordlicht Packaging"/>
    <x:n v="1.146"/>
    <x:n v="1.3344201210992082"/>
    <x:n v="0.006333591245716812"/>
    <x:n v="1.146"/>
    <x:x v="585"/>
    <x:x v="4"/>
    <x:n v="1.101"/>
    <x:n v="13389.216959999998"/>
    <x:n v="547.2432000000008"/>
    <x:n v="0.0408719346049047"/>
  </x:r>
  <x:r>
    <x:s v="INV-00587"/>
    <x:x v="7"/>
    <x:s v="SUP03"/>
    <x:x v="0"/>
    <x:s v="Components"/>
    <x:d v="2025-05-10T00:00:00Z"/>
    <x:n v="45817"/>
    <x:x v="0"/>
    <x:n v="17730.39"/>
    <x:s v="Historical"/>
    <x:s v="SUP03-INV-00587"/>
    <x:n v="30"/>
    <x:s v="Benelux Sensor Works"/>
    <x:n v="1.169"/>
    <x:n v="1.348794277143187"/>
    <x:n v="0.006785859406745225"/>
    <x:n v="1.169"/>
    <x:x v="586"/>
    <x:x v="5"/>
    <x:n v="1.07"/>
    <x:n v="18971.5173"/>
    <x:n v="1755.30861"/>
    <x:n v="0.09252336448598131"/>
  </x:r>
  <x:r>
    <x:s v="INV-00588"/>
    <x:x v="6"/>
    <x:s v="SUP16"/>
    <x:x v="0"/>
    <x:s v="Components"/>
    <x:d v="2025-04-27T00:00:00Z"/>
    <x:n v="45804"/>
    <x:x v="1"/>
    <x:n v="2546708.74"/>
    <x:s v="Historical"/>
    <x:s v="SUP16-INV-00588"/>
    <x:n v="30"/>
    <x:s v="Kyoto Optical Instruments"/>
    <x:n v="1.1598"/>
    <x:n v="1.3603096410978184"/>
    <x:n v="0.006859880522860354"/>
    <x:n v="0.006859880522860354"/>
    <x:x v="587"/>
    <x:x v="5"/>
    <x:n v="0.0067"/>
    <x:n v="17062.948558000004"/>
    <x:n v="407.1691249242285"/>
    <x:n v="0.0238627646060227"/>
  </x:r>
  <x:r>
    <x:s v="INV-00589"/>
    <x:x v="4"/>
    <x:s v="SUP08"/>
    <x:x v="0"/>
    <x:s v="Components"/>
    <x:d v="2026-11-16T00:00:00Z"/>
    <x:n v="46372"/>
    <x:x v="0"/>
    <x:n v="18768.01"/>
    <x:s v="Planned"/>
    <x:s v="SUP08-INV-00589"/>
    <x:n v="30"/>
    <x:s v="Valencia Circuit Supply"/>
    <x:n v="1.1177"/>
    <x:n v="1.320456022210408"/>
    <x:n v="0.00632004523607577"/>
    <x:n v="1.1177"/>
    <x:x v="588"/>
    <x:x v="2"/>
    <x:n v="1.119"/>
    <x:n v="21001.403189999997"/>
    <x:n v="-24.398412999998982"/>
    <x:n v="-0.0011617515638962877"/>
  </x:r>
  <x:r>
    <x:s v="INV-00590"/>
    <x:x v="0"/>
    <x:s v="SUP01"/>
    <x:x v="0"/>
    <x:s v="Components"/>
    <x:d v="2025-02-14T00:00:00Z"/>
    <x:n v="45732"/>
    <x:x v="0"/>
    <x:n v="29851.35"/>
    <x:s v="Historical"/>
    <x:s v="SUP01-INV-00590"/>
    <x:n v="30"/>
    <x:s v="Rhein Circuit Components"/>
    <x:n v="1.0478"/>
    <x:n v="1.2591479901460074"/>
    <x:n v="0.006545068399025548"/>
    <x:n v="1.0478"/>
    <x:x v="589"/>
    <x:x v="3"/>
    <x:n v="1.052"/>
    <x:n v="31403.6202"/>
    <x:n v="-125.37567000000126"/>
    <x:n v="-0.0039923954372623974"/>
  </x:r>
  <x:r>
    <x:s v="INV-00591"/>
    <x:x v="7"/>
    <x:s v="SUP03"/>
    <x:x v="0"/>
    <x:s v="Components"/>
    <x:d v="2026-10-21T00:00:00Z"/>
    <x:n v="46346"/>
    <x:x v="0"/>
    <x:n v="14990.11"/>
    <x:s v="Planned"/>
    <x:s v="SUP03-INV-00591"/>
    <x:n v="30"/>
    <x:s v="Benelux Sensor Works"/>
    <x:n v="1.1177"/>
    <x:n v="1.320456022210408"/>
    <x:n v="0.00632004523607577"/>
    <x:n v="1.1177"/>
    <x:x v="590"/>
    <x:x v="2"/>
    <x:n v="1.119"/>
    <x:n v="16773.933090000002"/>
    <x:n v="-19.487143000002106"/>
    <x:n v="-0.0011617515638964614"/>
  </x:r>
  <x:r>
    <x:s v="INV-00592"/>
    <x:x v="14"/>
    <x:s v="SUP07"/>
    <x:x v="0"/>
    <x:s v="Equipment"/>
    <x:d v="2025-03-03T00:00:00Z"/>
    <x:n v="45779"/>
    <x:x v="0"/>
    <x:n v="93082.27"/>
    <x:s v="Historical"/>
    <x:s v="SUP07-INV-00592"/>
    <x:n v="60"/>
    <x:s v="Milan Assembly Robotics"/>
    <x:n v="1.0465"/>
    <x:n v="1.2680237489397794"/>
    <x:n v="0.0066096128339543985"/>
    <x:n v="1.0465"/>
    <x:x v="591"/>
    <x:x v="3"/>
    <x:n v="1.052"/>
    <x:n v="97922.54804000001"/>
    <x:n v="-511.9524850000016"/>
    <x:n v="-0.005228136882129294"/>
  </x:r>
  <x:r>
    <x:s v="INV-00593"/>
    <x:x v="14"/>
    <x:s v="SUP07"/>
    <x:x v="0"/>
    <x:s v="Equipment"/>
    <x:d v="2025-05-26T00:00:00Z"/>
    <x:n v="45863"/>
    <x:x v="0"/>
    <x:n v="42810.73"/>
    <x:s v="Historical"/>
    <x:s v="SUP07-INV-00593"/>
    <x:n v="60"/>
    <x:s v="Milan Assembly Robotics"/>
    <x:n v="1.1381"/>
    <x:n v="1.35617254528122"/>
    <x:n v="0.006998093832626206"/>
    <x:n v="1.1381"/>
    <x:x v="592"/>
    <x:x v="5"/>
    <x:n v="1.07"/>
    <x:n v="45807.481100000005"/>
    <x:n v="2915.4107129999975"/>
    <x:n v="0.06364485981308406"/>
  </x:r>
  <x:r>
    <x:s v="INV-00594"/>
    <x:x v="7"/>
    <x:s v="SUP03"/>
    <x:x v="0"/>
    <x:s v="Components"/>
    <x:d v="2025-05-05T00:00:00Z"/>
    <x:n v="45812"/>
    <x:x v="0"/>
    <x:n v="13549.93"/>
    <x:s v="Historical"/>
    <x:s v="SUP03-INV-00594"/>
    <x:n v="30"/>
    <x:s v="Benelux Sensor Works"/>
    <x:n v="1.1343"/>
    <x:n v="1.3321197886083382"/>
    <x:n v="0.006950793553526565"/>
    <x:n v="1.1343"/>
    <x:x v="593"/>
    <x:x v="5"/>
    <x:n v="1.07"/>
    <x:n v="14498.4251"/>
    <x:n v="871.2604990000018"/>
    <x:n v="0.06009345794392536"/>
  </x:r>
  <x:r>
    <x:s v="INV-00595"/>
    <x:x v="17"/>
    <x:s v="SUP06"/>
    <x:x v="2"/>
    <x:s v="Software"/>
    <x:d v="2025-11-25T00:00:00Z"/>
    <x:n v="46016"/>
    <x:x v="0"/>
    <x:n v="6981.05"/>
    <x:s v="Historical"/>
    <x:s v="SUP06-INV-00595"/>
    <x:n v="30"/>
    <x:s v="Dublin Systems Licensing"/>
    <x:n v="1.1551"/>
    <x:n v="1.3144060081929905"/>
    <x:n v="0.006402283560580867"/>
    <x:n v="1.1551"/>
    <x:x v="594"/>
    <x:x v="7"/>
    <x:n v="1.106"/>
    <x:n v="7721.041300000001"/>
    <x:n v="342.76955499999985"/>
    <x:n v="0.04439421338155513"/>
  </x:r>
  <x:r>
    <x:s v="INV-00596"/>
    <x:x v="12"/>
    <x:s v="SUP17"/>
    <x:x v="1"/>
    <x:s v="Packaging"/>
    <x:d v="2026-03-15T00:00:00Z"/>
    <x:n v="46141"/>
    <x:x v="1"/>
    <x:n v="1603409.92"/>
    <x:s v="Historical"/>
    <x:s v="SUP17-INV-00596"/>
    <x:n v="45"/>
    <x:s v="Kobe Industrial Packaging"/>
    <x:n v="1.1555"/>
    <x:n v="1.3367963164349013"/>
    <x:n v="0.006298375667720483"/>
    <x:n v="0.006298375667720483"/>
    <x:x v="595"/>
    <x:x v="6"/>
    <x:n v="0.00646"/>
    <x:n v="10358.028083199999"/>
    <x:n v="-259.1500576903527"/>
    <x:n v="-0.025019246482897266"/>
  </x:r>
  <x:r>
    <x:s v="INV-00597"/>
    <x:x v="1"/>
    <x:s v="SUP15"/>
    <x:x v="1"/>
    <x:s v="Freight"/>
    <x:d v="2026-06-20T00:00:00Z"/>
    <x:n v="46223"/>
    <x:x v="1"/>
    <x:n v="626267.98"/>
    <x:s v="Historical"/>
    <x:s v="SUP15-INV-00597"/>
    <x:n v="30"/>
    <x:s v="Nagoya Logistics Partners"/>
    <x:n v="1.1467"/>
    <x:n v="1.3233240626406473"/>
    <x:n v="0.006202401557767201"/>
    <x:n v="0.006202401557767201"/>
    <x:x v="596"/>
    <x:x v="0"/>
    <x:n v="0.0066"/>
    <x:n v="4133.368668"/>
    <x:n v="-249.0031732682819"/>
    <x:n v="-0.0602421882170908"/>
  </x:r>
  <x:r>
    <x:s v="INV-00598"/>
    <x:x v="12"/>
    <x:s v="SUP17"/>
    <x:x v="1"/>
    <x:s v="Packaging"/>
    <x:d v="2026-11-14T00:00:00Z"/>
    <x:n v="46385"/>
    <x:x v="1"/>
    <x:n v="178796.75"/>
    <x:s v="Planned"/>
    <x:s v="SUP17-INV-00598"/>
    <x:n v="45"/>
    <x:s v="Kobe Industrial Packaging"/>
    <x:n v="1.1177"/>
    <x:n v="1.320456022210408"/>
    <x:n v="0.00632004523607577"/>
    <x:n v="0.00632004523607577"/>
    <x:x v="597"/>
    <x:x v="2"/>
    <x:n v="0.00688"/>
    <x:n v="1230.12164"/>
    <x:n v="-100.11809193666977"/>
    <x:n v="-0.08138877382619637"/>
  </x:r>
  <x:r>
    <x:s v="INV-00599"/>
    <x:x v="2"/>
    <x:s v="SUP10"/>
    <x:x v="1"/>
    <x:s v="Services"/>
    <x:d v="2025-10-03T00:00:00Z"/>
    <x:n v="45978"/>
    <x:x v="2"/>
    <x:n v="5326.44"/>
    <x:s v="Historical"/>
    <x:s v="SUP10-INV-00599"/>
    <x:n v="45"/>
    <x:s v="Bristol Calibration Services"/>
    <x:n v="1.1734"/>
    <x:n v="1.3447169378867752"/>
    <x:n v="0.006786581839213418"/>
    <x:n v="1.3447169378867752"/>
    <x:x v="598"/>
    <x:x v="7"/>
    <x:n v="1.304"/>
    <x:n v="6945.67776"/>
    <x:n v="216.87632663763452"/>
    <x:n v="0.031224645618692586"/>
  </x:r>
  <x:r>
    <x:s v="INV-00600"/>
    <x:x v="4"/>
    <x:s v="SUP08"/>
    <x:x v="0"/>
    <x:s v="Components"/>
    <x:d v="2026-08-31T00:00:00Z"/>
    <x:n v="46295"/>
    <x:x v="0"/>
    <x:n v="15493.86"/>
    <x:s v="Historical"/>
    <x:s v="SUP08-INV-00600"/>
    <x:n v="30"/>
    <x:s v="Valencia Circuit Supply"/>
    <x:n v="1.1596"/>
    <x:n v="1.353913693256118"/>
    <x:n v="0.006260662995356873"/>
    <x:n v="1.1596"/>
    <x:x v="599"/>
    <x:x v="4"/>
    <x:n v="1.101"/>
    <x:n v="17058.73986"/>
    <x:n v="907.9401959999996"/>
    <x:n v="0.05322434150772022"/>
  </x:r>
  <x:r>
    <x:s v="INV-00601"/>
    <x:x v="9"/>
    <x:s v="SUP05"/>
    <x:x v="0"/>
    <x:s v="Components"/>
    <x:d v="2026-09-19T00:00:00Z"/>
    <x:n v="46329"/>
    <x:x v="0"/>
    <x:n v="9085.75"/>
    <x:s v="Historical"/>
    <x:s v="SUP05-INV-00601"/>
    <x:n v="45"/>
    <x:s v="Lyon Industrial Controls"/>
    <x:n v="1.146"/>
    <x:n v="1.3344201210992082"/>
    <x:n v="0.006333591245716812"/>
    <x:n v="1.146"/>
    <x:x v="600"/>
    <x:x v="4"/>
    <x:n v="1.101"/>
    <x:n v="10003.41075"/>
    <x:n v="408.8587499999994"/>
    <x:n v="0.040871934604904576"/>
  </x:r>
  <x:r>
    <x:s v="INV-00602"/>
    <x:x v="5"/>
    <x:s v="SUP09"/>
    <x:x v="0"/>
    <x:s v="Components"/>
    <x:d v="2025-11-20T00:00:00Z"/>
    <x:n v="46011"/>
    <x:x v="2"/>
    <x:n v="20638.88"/>
    <x:s v="Historical"/>
    <x:s v="SUP09-INV-00602"/>
    <x:n v="30"/>
    <x:s v="Thames Electronics Ltd"/>
    <x:n v="1.1514"/>
    <x:n v="1.3061826432217811"/>
    <x:n v="0.006344850388493966"/>
    <x:n v="1.3061826432217811"/>
    <x:x v="601"/>
    <x:x v="7"/>
    <x:n v="1.304"/>
    <x:n v="26913.099520000003"/>
    <x:n v="45.04731153715329"/>
    <x:n v="0.0016738061516726145"/>
  </x:r>
  <x:r>
    <x:s v="INV-00603"/>
    <x:x v="11"/>
    <x:s v="SUP14"/>
    <x:x v="0"/>
    <x:s v="Equipment"/>
    <x:d v="2025-04-28T00:00:00Z"/>
    <x:n v="45835"/>
    <x:x v="1"/>
    <x:n v="1902681.35"/>
    <x:s v="Historical"/>
    <x:s v="SUP14-INV-00603"/>
    <x:n v="60"/>
    <x:s v="Tokyo Automation Systems"/>
    <x:n v="1.1358"/>
    <x:n v="1.3340380549682873"/>
    <x:n v="0.006976658476658476"/>
    <x:n v="0.006976658476658476"/>
    <x:x v="602"/>
    <x:x v="5"/>
    <x:n v="0.0067"/>
    <x:n v="12747.965045"/>
    <x:n v="526.3929238574929"/>
    <x:n v="0.04129230994902629"/>
  </x:r>
  <x:r>
    <x:s v="INV-00604"/>
    <x:x v="5"/>
    <x:s v="SUP09"/>
    <x:x v="0"/>
    <x:s v="Components"/>
    <x:d v="2026-01-29T00:00:00Z"/>
    <x:n v="46081"/>
    <x:x v="2"/>
    <x:n v="21224.69"/>
    <x:s v="Historical"/>
    <x:s v="SUP09-INV-00604"/>
    <x:n v="30"/>
    <x:s v="Thames Electronics Ltd"/>
    <x:n v="1.1968"/>
    <x:n v="1.3816670514892635"/>
    <x:n v="0.006522781774580337"/>
    <x:n v="1.3816670514892635"/>
    <x:x v="603"/>
    <x:x v="6"/>
    <x:n v="1.249"/>
    <x:n v="26509.63781"/>
    <x:n v="2815.817041073653"/>
    <x:n v="0.1062186160842781"/>
  </x:r>
  <x:r>
    <x:s v="INV-00605"/>
    <x:x v="4"/>
    <x:s v="SUP08"/>
    <x:x v="0"/>
    <x:s v="Components"/>
    <x:d v="2025-10-31T00:00:00Z"/>
    <x:n v="45991"/>
    <x:x v="0"/>
    <x:n v="22779.37"/>
    <x:s v="Historical"/>
    <x:s v="SUP08-INV-00605"/>
    <x:n v="30"/>
    <x:s v="Valencia Circuit Supply"/>
    <x:n v="1.1554"/>
    <x:n v="1.3105716878402902"/>
    <x:n v="0.006485909958459639"/>
    <x:n v="1.1554"/>
    <x:x v="604"/>
    <x:x v="7"/>
    <x:n v="1.106"/>
    <x:n v="25193.983220000002"/>
    <x:n v="1125.3008779999982"/>
    <x:n v="0.04466546112115725"/>
  </x:r>
  <x:r>
    <x:s v="INV-00606"/>
    <x:x v="14"/>
    <x:s v="SUP07"/>
    <x:x v="0"/>
    <x:s v="Equipment"/>
    <x:d v="2025-01-21T00:00:00Z"/>
    <x:n v="45738"/>
    <x:x v="0"/>
    <x:n v="32253.03"/>
    <x:s v="Historical"/>
    <x:s v="SUP07-INV-00606"/>
    <x:n v="60"/>
    <x:s v="Milan Assembly Robotics"/>
    <x:n v="1.0357"/>
    <x:n v="1.2249121852565847"/>
    <x:n v="0.006422547438918518"/>
    <x:n v="1.0357"/>
    <x:x v="605"/>
    <x:x v="3"/>
    <x:n v="1.052"/>
    <x:n v="33930.18756"/>
    <x:n v="-525.7243889999954"/>
    <x:n v="-0.015494296577946634"/>
  </x:r>
  <x:r>
    <x:s v="INV-00607"/>
    <x:x v="3"/>
    <x:s v="SUP04"/>
    <x:x v="1"/>
    <x:s v="Packaging"/>
    <x:d v="2025-12-30T00:00:00Z"/>
    <x:n v="46051"/>
    <x:x v="0"/>
    <x:n v="10397.68"/>
    <x:s v="Historical"/>
    <x:s v="SUP04-INV-00607"/>
    <x:n v="30"/>
    <x:s v="Nordlicht Packaging"/>
    <x:n v="1.1757"/>
    <x:n v="1.3495179063360883"/>
    <x:n v="0.0064077828646173975"/>
    <x:n v="1.1757"/>
    <x:x v="606"/>
    <x:x v="7"/>
    <x:n v="1.106"/>
    <x:n v="11499.83408"/>
    <x:n v="724.7182959999991"/>
    <x:n v="0.06301989150090408"/>
  </x:r>
  <x:r>
    <x:s v="INV-00608"/>
    <x:x v="8"/>
    <x:s v="SUP13"/>
    <x:x v="0"/>
    <x:s v="Components"/>
    <x:d v="2025-08-08T00:00:00Z"/>
    <x:n v="45922"/>
    <x:x v="1"/>
    <x:n v="761184.66"/>
    <x:s v="Historical"/>
    <x:s v="SUP13-INV-00608"/>
    <x:n v="45"/>
    <x:s v="Osaka Microdevices"/>
    <x:n v="1.1648"/>
    <x:n v="1.343328335832084"/>
    <x:n v="0.006765013358113602"/>
    <x:n v="0.006765013358113602"/>
    <x:x v="607"/>
    <x:x v="1"/>
    <x:n v="0.00684"/>
    <x:n v="5206.5030744"/>
    <x:n v="-57.0786815088386"/>
    <x:n v="-0.010962959340116471"/>
  </x:r>
  <x:r>
    <x:s v="INV-00609"/>
    <x:x v="7"/>
    <x:s v="SUP03"/>
    <x:x v="0"/>
    <x:s v="Components"/>
    <x:d v="2025-07-23T00:00:00Z"/>
    <x:n v="45891"/>
    <x:x v="0"/>
    <x:n v="14353.25"/>
    <x:s v="Historical"/>
    <x:s v="SUP03-INV-00609"/>
    <x:n v="30"/>
    <x:s v="Benelux Sensor Works"/>
    <x:n v="1.1726"/>
    <x:n v="1.353260242354299"/>
    <x:n v="0.006836121961172973"/>
    <x:n v="1.1726"/>
    <x:x v="608"/>
    <x:x v="1"/>
    <x:n v="1.088"/>
    <x:n v="15616.336000000001"/>
    <x:n v="1214.2849499999993"/>
    <x:n v="0.07775735294117642"/>
  </x:r>
  <x:r>
    <x:s v="INV-00610"/>
    <x:x v="1"/>
    <x:s v="SUP15"/>
    <x:x v="1"/>
    <x:s v="Freight"/>
    <x:d v="2025-01-15T00:00:00Z"/>
    <x:n v="45702"/>
    <x:x v="1"/>
    <x:n v="1351242.63"/>
    <x:s v="Historical"/>
    <x:s v="SUP15-INV-00610"/>
    <x:n v="30"/>
    <x:s v="Nagoya Logistics Partners"/>
    <x:n v="1.03"/>
    <x:n v="1.2216384187491844"/>
    <x:n v="0.006367851622874807"/>
    <x:n v="0.006367851622874807"/>
    <x:x v="609"/>
    <x:x v="3"/>
    <x:n v="0.00656"/>
    <x:n v="8864.1516528"/>
    <x:n v="-259.63907845687754"/>
    <x:n v="-0.029290911147133072"/>
  </x:r>
  <x:r>
    <x:s v="INV-00611"/>
    <x:x v="6"/>
    <x:s v="SUP16"/>
    <x:x v="0"/>
    <x:s v="Components"/>
    <x:d v="2025-02-24T00:00:00Z"/>
    <x:n v="45742"/>
    <x:x v="1"/>
    <x:n v="4350994.54"/>
    <x:s v="Historical"/>
    <x:s v="SUP16-INV-00611"/>
    <x:n v="30"/>
    <x:s v="Kyoto Optical Instruments"/>
    <x:n v="1.0466"/>
    <x:n v="1.2635518531932874"/>
    <x:n v="0.0066743192398443976"/>
    <x:n v="0.0066743192398443976"/>
    <x:x v="610"/>
    <x:x v="3"/>
    <x:n v="0.00656"/>
    <x:n v="28542.5241824"/>
    <x:n v="497.40238837992365"/>
    <x:n v="0.017426713390914242"/>
  </x:r>
  <x:r>
    <x:s v="INV-00611"/>
    <x:x v="1"/>
    <x:s v="SUP15"/>
    <x:x v="1"/>
    <x:s v="Freight"/>
    <x:d v="2025-08-25T00:00:00Z"/>
    <x:n v="45924"/>
    <x:x v="1"/>
    <x:n v="281405.31"/>
    <x:s v="Historical"/>
    <x:s v="SUP15-INV-00611"/>
    <x:n v="30"/>
    <x:s v="Nagoya Logistics Partners"/>
    <x:n v="1.1697"/>
    <x:n v="1.350848827809216"/>
    <x:n v="0.006786377349733116"/>
    <x:n v="0.006786377349733116"/>
    <x:x v="611"/>
    <x:x v="1"/>
    <x:n v="0.00684"/>
    <x:n v="1924.8123203999999"/>
    <x:n v="-15.089698521373975"/>
    <x:n v="-0.00783956875246837"/>
  </x:r>
  <x:r>
    <x:s v="INV-00612"/>
    <x:x v="15"/>
    <x:s v="SUP18"/>
    <x:x v="1"/>
    <x:s v="Services"/>
    <x:d v="2026-05-02T00:00:00Z"/>
    <x:n v="46174"/>
    <x:x v="1"/>
    <x:n v="827694.31"/>
    <x:s v="Historical"/>
    <x:s v="SUP18-INV-00612"/>
    <x:n v="30"/>
    <x:s v="Yokohama Engineering Labs"/>
    <x:n v="1.1702"/>
    <x:n v="1.3508802308802308"/>
    <x:n v="0.006387205938540472"/>
    <x:n v="0.006387205938540472"/>
    <x:x v="612"/>
    <x:x v="0"/>
    <x:n v="0.0066"/>
    <x:n v="5462.782446"/>
    <x:n v="-176.12843387184148"/>
    <x:n v="-0.03224152446356482"/>
  </x:r>
  <x:r>
    <x:s v="INV-00613"/>
    <x:x v="17"/>
    <x:s v="SUP06"/>
    <x:x v="2"/>
    <x:s v="Software"/>
    <x:d v="2025-11-03T00:00:00Z"/>
    <x:n v="45994"/>
    <x:x v="0"/>
    <x:n v="8695.71"/>
    <x:s v="Historical"/>
    <x:s v="SUP06-INV-00613"/>
    <x:n v="30"/>
    <x:s v="Dublin Systems Licensing"/>
    <x:n v="1.1514"/>
    <x:n v="1.3136337706788364"/>
    <x:n v="0.006484203412738638"/>
    <x:n v="1.1514"/>
    <x:x v="613"/>
    <x:x v="7"/>
    <x:n v="1.106"/>
    <x:n v="9617.45526"/>
    <x:n v="394.78523399999904"/>
    <x:n v="0.04104882459312829"/>
  </x:r>
  <x:r>
    <x:s v="INV-00614"/>
    <x:x v="6"/>
    <x:s v="SUP16"/>
    <x:x v="0"/>
    <x:s v="Components"/>
    <x:d v="2025-03-05T00:00:00Z"/>
    <x:n v="45751"/>
    <x:x v="1"/>
    <x:n v="580936.06"/>
    <x:s v="Historical"/>
    <x:s v="SUP16-INV-00614"/>
    <x:n v="30"/>
    <x:s v="Kyoto Optical Instruments"/>
    <x:n v="1.0694"/>
    <x:n v="1.2807185628742515"/>
    <x:n v="0.006679992504216378"/>
    <x:n v="0.006679992504216378"/>
    <x:x v="614"/>
    <x:x v="3"/>
    <x:n v="0.00656"/>
    <x:n v="3810.9405536000004"/>
    <x:n v="69.70797262899578"/>
    <x:n v="0.018291540276886824"/>
  </x:r>
  <x:r>
    <x:s v="INV-00615"/>
    <x:x v="9"/>
    <x:s v="SUP05"/>
    <x:x v="0"/>
    <x:s v="Components"/>
    <x:d v="2026-12-11T00:00:00Z"/>
    <x:n v="46412"/>
    <x:x v="0"/>
    <x:n v="14038.22"/>
    <x:s v="Planned"/>
    <x:s v="SUP05-INV-00615"/>
    <x:n v="45"/>
    <x:s v="Lyon Industrial Controls"/>
    <x:n v="1.1177"/>
    <x:n v="1.320456022210408"/>
    <x:n v="0.00632004523607577"/>
    <x:n v="1.1177"/>
    <x:x v="615"/>
    <x:x v="2"/>
    <x:n v="1.119"/>
    <x:n v="15708.76818"/>
    <x:n v="-18.24968600000102"/>
    <x:n v="-0.001161751563896401"/>
  </x:r>
  <x:r>
    <x:s v="INV-00616"/>
    <x:x v="4"/>
    <x:s v="SUP08"/>
    <x:x v="0"/>
    <x:s v="Components"/>
    <x:d v="2025-11-03T00:00:00Z"/>
    <x:n v="45994"/>
    <x:x v="0"/>
    <x:n v="26163.27"/>
    <x:s v="Historical"/>
    <x:s v="SUP08-INV-00616"/>
    <x:n v="30"/>
    <x:s v="Valencia Circuit Supply"/>
    <x:n v="1.1514"/>
    <x:n v="1.3136337706788364"/>
    <x:n v="0.006484203412738638"/>
    <x:n v="1.1514"/>
    <x:x v="616"/>
    <x:x v="7"/>
    <x:n v="1.106"/>
    <x:n v="28936.576620000003"/>
    <x:n v="1187.8124579999967"/>
    <x:n v="0.04104882459312827"/>
  </x:r>
  <x:r>
    <x:s v="INV-00617"/>
    <x:x v="8"/>
    <x:s v="SUP13"/>
    <x:x v="0"/>
    <x:s v="Components"/>
    <x:d v="2025-03-22T00:00:00Z"/>
    <x:n v="45783"/>
    <x:x v="1"/>
    <x:n v="1508788.03"/>
    <x:s v="Historical"/>
    <x:s v="SUP13-INV-00617"/>
    <x:n v="45"/>
    <x:s v="Osaka Microdevices"/>
    <x:n v="1.1325"/>
    <x:n v="1.3372298972724053"/>
    <x:n v="0.007006310319227915"/>
    <x:n v="0.007006310319227915"/>
    <x:x v="617"/>
    <x:x v="3"/>
    <x:n v="0.00656"/>
    <x:n v="9897.6494768"/>
    <x:n v="673.3876673165578"/>
    <x:n v="0.06803510963840176"/>
  </x:r>
  <x:r>
    <x:s v="INV-00618"/>
    <x:x v="9"/>
    <x:s v="SUP05"/>
    <x:x v="0"/>
    <x:s v="Components"/>
    <x:d v="2025-05-08T00:00:00Z"/>
    <x:n v="45830"/>
    <x:x v="0"/>
    <x:n v="25846.84"/>
    <x:s v="Historical"/>
    <x:s v="SUP05-INV-00618"/>
    <x:n v="45"/>
    <x:s v="Lyon Industrial Controls"/>
    <x:n v="1.1297"/>
    <x:n v="1.3328220858895705"/>
    <x:n v="0.006911593759559498"/>
    <x:n v="1.1297"/>
    <x:x v="618"/>
    <x:x v="5"/>
    <x:n v="1.07"/>
    <x:n v="27656.1188"/>
    <x:n v="1543.0563479999983"/>
    <x:n v="0.05579439252336442"/>
  </x:r>
  <x:r>
    <x:s v="INV-00619"/>
    <x:x v="16"/>
    <x:s v="SUP12"/>
    <x:x v="0"/>
    <x:s v="Components"/>
    <x:d v="2026-08-07T00:00:00Z"/>
    <x:n v="46301"/>
    <x:x v="2"/>
    <x:n v="9570.76"/>
    <x:s v="Historical"/>
    <x:s v="SUP12-INV-00619"/>
    <x:n v="60"/>
    <x:s v="Oxford Technical Materials"/>
    <x:n v="1.1535"/>
    <x:n v="1.3449542354107153"/>
    <x:n v="0.006315703022339028"/>
    <x:n v="1.3449542354107153"/>
    <x:x v="619"/>
    <x:x v="4"/>
    <x:n v="1.293"/>
    <x:n v="12374.99268"/>
    <x:n v="497.2415180994594"/>
    <x:n v="0.040181156543476794"/>
  </x:r>
  <x:r>
    <x:s v="INV-00620"/>
    <x:x v="6"/>
    <x:s v="SUP16"/>
    <x:x v="0"/>
    <x:s v="Components"/>
    <x:d v="2026-09-14T00:00:00Z"/>
    <x:n v="46309"/>
    <x:x v="1"/>
    <x:n v="4039838.9"/>
    <x:s v="Historical"/>
    <x:s v="SUP16-INV-00620"/>
    <x:n v="30"/>
    <x:s v="Kyoto Optical Instruments"/>
    <x:n v="1.1551"/>
    <x:n v="1.3494474169957242"/>
    <x:n v="0.006470423481962805"/>
    <x:n v="0.006470423481962805"/>
    <x:x v="620"/>
    <x:x v="4"/>
    <x:n v="0.00674"/>
    <x:n v="27228.514186"/>
    <x:n v="-1089.0457040932124"/>
    <x:n v="-0.03999651602925743"/>
  </x:r>
  <x:r>
    <x:s v="INV-00621"/>
    <x:x v="0"/>
    <x:s v="SUP01"/>
    <x:x v="0"/>
    <x:s v="Components"/>
    <x:d v="2026-07-16T00:00:00Z"/>
    <x:n v="46249"/>
    <x:x v="0"/>
    <x:n v="18072.04"/>
    <x:s v="Historical"/>
    <x:s v="SUP01-INV-00621"/>
    <x:n v="30"/>
    <x:s v="Rhein Circuit Components"/>
    <x:n v="1.1467"/>
    <x:n v="1.3510774922531312"/>
    <x:n v="0.006165385235765364"/>
    <x:n v="1.1467"/>
    <x:x v="621"/>
    <x:x v="4"/>
    <x:n v="1.101"/>
    <x:n v="19897.31604"/>
    <x:n v="825.8922280000006"/>
    <x:n v="0.04150772025431429"/>
  </x:r>
  <x:r>
    <x:s v="INV-00622"/>
    <x:x v="11"/>
    <x:s v="SUP14"/>
    <x:x v="0"/>
    <x:s v="Equipment"/>
    <x:d v="2025-05-15T00:00:00Z"/>
    <x:n v="45852"/>
    <x:x v="1"/>
    <x:n v="5439377.99"/>
    <x:s v="Historical"/>
    <x:s v="SUP14-INV-00622"/>
    <x:n v="60"/>
    <x:s v="Tokyo Automation Systems"/>
    <x:n v="1.1185"/>
    <x:n v="1.3277540360873694"/>
    <x:n v="0.0068493570116350275"/>
    <x:n v="0.0068493570116350275"/>
    <x:x v="622"/>
    <x:x v="5"/>
    <x:n v="0.0067"/>
    <x:n v="36443.832533"/>
    <x:n v="812.4092417397405"/>
    <x:n v="0.02229209128881002"/>
  </x:r>
  <x:r>
    <x:s v="INV-00623"/>
    <x:x v="13"/>
    <x:s v="SUP11"/>
    <x:x v="2"/>
    <x:s v="Software"/>
    <x:d v="2025-06-17T00:00:00Z"/>
    <x:n v="45855"/>
    <x:x v="2"/>
    <x:n v="7841.18"/>
    <x:s v="Historical"/>
    <x:s v="SUP11-INV-00623"/>
    <x:n v="30"/>
    <x:s v="Manchester Cloud Solutions"/>
    <x:n v="1.1568"/>
    <x:n v="1.356950146627566"/>
    <x:n v="0.0069124589184344195"/>
    <x:n v="1.356950146627566"/>
    <x:x v="623"/>
    <x:x v="5"/>
    <x:n v="1.26"/>
    <x:n v="9879.8868"/>
    <x:n v="760.2035507331384"/>
    <x:n v="0.07694456081552861"/>
  </x:r>
  <x:r>
    <x:s v="INV-00624"/>
    <x:x v="17"/>
    <x:s v="SUP06"/>
    <x:x v="2"/>
    <x:s v="Software"/>
    <x:d v="2026-05-21T00:00:00Z"/>
    <x:n v="46193"/>
    <x:x v="0"/>
    <x:n v="5418.55"/>
    <x:s v="Historical"/>
    <x:s v="SUP06-INV-00624"/>
    <x:n v="30"/>
    <x:s v="Dublin Systems Licensing"/>
    <x:n v="1.1599"/>
    <x:n v="1.3419642960443348"/>
    <x:n v="0.006283655669321198"/>
    <x:n v="1.1599"/>
    <x:x v="624"/>
    <x:x v="0"/>
    <x:n v="1.083"/>
    <x:n v="5868.28965"/>
    <x:n v="416.6864949999999"/>
    <x:n v="0.07100646352723915"/>
  </x:r>
  <x:r>
    <x:s v="INV-00625"/>
    <x:x v="15"/>
    <x:s v="SUP18"/>
    <x:x v="1"/>
    <x:s v="Services"/>
    <x:d v="2026-06-13T00:00:00Z"/>
    <x:n v="46216"/>
    <x:x v="1"/>
    <x:n v="1227951.78"/>
    <x:s v="Historical"/>
    <x:s v="SUP18-INV-00625"/>
    <x:n v="30"/>
    <x:s v="Yokohama Engineering Labs"/>
    <x:n v="1.1567"/>
    <x:n v="1.340246799142576"/>
    <x:n v="0.006242309767943875"/>
    <x:n v="0.006242309767943875"/>
    <x:x v="625"/>
    <x:x v="0"/>
    <x:n v="0.0066"/>
    <x:n v="8104.481748"/>
    <x:n v="-439.22635714193166"/>
    <x:n v="-0.05419548970547347"/>
  </x:r>
  <x:r>
    <x:s v="INV-00626"/>
    <x:x v="3"/>
    <x:s v="SUP04"/>
    <x:x v="1"/>
    <x:s v="Packaging"/>
    <x:d v="2026-12-17T00:00:00Z"/>
    <x:n v="46403"/>
    <x:x v="0"/>
    <x:n v="9183.48"/>
    <x:s v="Planned"/>
    <x:s v="SUP04-INV-00626"/>
    <x:n v="30"/>
    <x:s v="Nordlicht Packaging"/>
    <x:n v="1.1177"/>
    <x:n v="1.320456022210408"/>
    <x:n v="0.00632004523607577"/>
    <x:n v="1.1177"/>
    <x:x v="626"/>
    <x:x v="2"/>
    <x:n v="1.119"/>
    <x:n v="10276.31412"/>
    <x:n v="-11.938524000001053"/>
    <x:n v="-0.0011617515638964386"/>
  </x:r>
  <x:r>
    <x:s v="INV-00627"/>
    <x:x v="0"/>
    <x:s v="SUP01"/>
    <x:x v="0"/>
    <x:s v="Components"/>
    <x:d v="2025-11-28T00:00:00Z"/>
    <x:n v="46019"/>
    <x:x v="0"/>
    <x:n v="53956.8"/>
    <x:s v="Historical"/>
    <x:s v="SUP01-INV-00627"/>
    <x:n v="30"/>
    <x:s v="Rhein Circuit Components"/>
    <x:n v="1.1566"/>
    <x:n v="1.3215265082266912"/>
    <x:n v="0.006405272193609127"/>
    <x:n v="1.1566"/>
    <x:x v="627"/>
    <x:x v="7"/>
    <x:n v="1.106"/>
    <x:n v="59676.22080000001"/>
    <x:n v="2730.214079999998"/>
    <x:n v="0.04575045207956596"/>
  </x:r>
  <x:r>
    <x:s v="INV-00628"/>
    <x:x v="15"/>
    <x:s v="SUP18"/>
    <x:x v="1"/>
    <x:s v="Services"/>
    <x:d v="2025-06-12T00:00:00Z"/>
    <x:n v="45850"/>
    <x:x v="1"/>
    <x:n v="1702519.12"/>
    <x:s v="Historical"/>
    <x:s v="SUP18-INV-00628"/>
    <x:n v="30"/>
    <x:s v="Yokohama Engineering Labs"/>
    <x:n v="1.1594"/>
    <x:n v="1.357929257437339"/>
    <x:n v="0.006957513202112338"/>
    <x:n v="0.006957513202112338"/>
    <x:x v="628"/>
    <x:x v="5"/>
    <x:n v="0.0067"/>
    <x:n v="11406.878104000001"/>
    <x:n v="438.4211502486796"/>
    <x:n v="0.03843480628542356"/>
  </x:r>
  <x:r>
    <x:s v="INV-00629"/>
    <x:x v="9"/>
    <x:s v="SUP05"/>
    <x:x v="0"/>
    <x:s v="Components"/>
    <x:d v="2025-11-11T00:00:00Z"/>
    <x:n v="46017"/>
    <x:x v="0"/>
    <x:n v="14037.25"/>
    <x:s v="Historical"/>
    <x:s v="SUP05-INV-00629"/>
    <x:n v="45"/>
    <x:s v="Lyon Industrial Controls"/>
    <x:n v="1.1575"/>
    <x:n v="1.3147432985006815"/>
    <x:n v="0.00648604729351115"/>
    <x:n v="1.1575"/>
    <x:x v="629"/>
    <x:x v="7"/>
    <x:n v="1.106"/>
    <x:n v="15525.1985"/>
    <x:n v="722.9183749999993"/>
    <x:n v="0.04656419529837247"/>
  </x:r>
  <x:r>
    <x:s v="INV-00630"/>
    <x:x v="7"/>
    <x:s v="SUP03"/>
    <x:x v="0"/>
    <x:s v="Components"/>
    <x:d v="2025-05-27T00:00:00Z"/>
    <x:n v="45834"/>
    <x:x v="0"/>
    <x:n v="9439.82"/>
    <x:s v="Historical"/>
    <x:s v="SUP03-INV-00630"/>
    <x:n v="30"/>
    <x:s v="Benelux Sensor Works"/>
    <x:n v="1.1356"/>
    <x:n v="1.354969574036511"/>
    <x:n v="0.0069362325922306374"/>
    <x:n v="1.1356"/>
    <x:x v="630"/>
    <x:x v="5"/>
    <x:n v="1.07"/>
    <x:n v="10100.6074"/>
    <x:n v="619.2521919999981"/>
    <x:n v="0.061308411214953076"/>
  </x:r>
  <x:r>
    <x:s v="INV-00631"/>
    <x:x v="4"/>
    <x:s v="SUP08"/>
    <x:x v="0"/>
    <x:s v="Components"/>
    <x:d v="2026-04-16T00:00:00Z"/>
    <x:n v="46158"/>
    <x:x v="0"/>
    <x:n v="15898.94"/>
    <x:s v="Historical"/>
    <x:s v="SUP08-INV-00631"/>
    <x:n v="30"/>
    <x:s v="Valencia Circuit Supply"/>
    <x:n v="1.1782"/>
    <x:n v="1.354361845205936"/>
    <x:n v="0.006290107308739522"/>
    <x:n v="1.1782"/>
    <x:x v="631"/>
    <x:x v="0"/>
    <x:n v="1.083"/>
    <x:n v="17218.55202"/>
    <x:n v="1513.5790879999986"/>
    <x:n v="0.08790397045244683"/>
  </x:r>
  <x:r>
    <x:s v="INV-00632"/>
    <x:x v="9"/>
    <x:s v="SUP05"/>
    <x:x v="0"/>
    <x:s v="Components"/>
    <x:d v="2026-01-20T00:00:00Z"/>
    <x:n v="46087"/>
    <x:x v="0"/>
    <x:n v="8040.23"/>
    <x:s v="Historical"/>
    <x:s v="SUP05-INV-00632"/>
    <x:n v="45"/>
    <x:s v="Lyon Industrial Controls"/>
    <x:n v="1.1728"/>
    <x:n v="1.3446457234579225"/>
    <x:n v="0.006333297332325305"/>
    <x:n v="1.1728"/>
    <x:x v="632"/>
    <x:x v="6"/>
    <x:n v="1.065"/>
    <x:n v="8562.844949999999"/>
    <x:n v="866.7367940000004"/>
    <x:n v="0.10122065727699536"/>
  </x:r>
  <x:r>
    <x:s v="INV-00633"/>
    <x:x v="17"/>
    <x:s v="SUP06"/>
    <x:x v="2"/>
    <x:s v="Software"/>
    <x:d v="2026-08-01T00:00:00Z"/>
    <x:n v="46265"/>
    <x:x v="0"/>
    <x:n v="14826.95"/>
    <x:s v="Historical"/>
    <x:s v="SUP06-INV-00633"/>
    <x:n v="30"/>
    <x:s v="Dublin Systems Licensing"/>
    <x:n v="1.1485"/>
    <x:n v="1.3421289425402874"/>
    <x:n v="0.006240830299407705"/>
    <x:n v="1.1485"/>
    <x:x v="633"/>
    <x:x v="4"/>
    <x:n v="1.101"/>
    <x:n v="16324.471950000001"/>
    <x:n v="704.2801249999993"/>
    <x:n v="0.0431425976385104"/>
  </x:r>
  <x:r>
    <x:s v="INV-00634"/>
    <x:x v="10"/>
    <x:s v="SUP02"/>
    <x:x v="0"/>
    <x:s v="Equipment"/>
    <x:d v="2026-07-14T00:00:00Z"/>
    <x:n v="46262"/>
    <x:x v="0"/>
    <x:n v="24235.19"/>
    <x:s v="Historical"/>
    <x:s v="SUP02-INV-00634"/>
    <x:n v="45"/>
    <x:s v="Alpen Precision Systems"/>
    <x:n v="1.1405"/>
    <x:n v="1.338379393299302"/>
    <x:n v="0.006164531646938004"/>
    <x:n v="1.1405"/>
    <x:x v="634"/>
    <x:x v="4"/>
    <x:n v="1.101"/>
    <x:n v="26682.94419"/>
    <x:n v="957.2900050000026"/>
    <x:n v="0.03587647593097194"/>
  </x:r>
  <x:r>
    <x:s v="INV-00635"/>
    <x:x v="11"/>
    <x:s v="SUP14"/>
    <x:x v="0"/>
    <x:s v="Equipment"/>
    <x:d v="2026-06-08T00:00:00Z"/>
    <x:n v="46241"/>
    <x:x v="1"/>
    <x:n v="13970318.65"/>
    <x:s v="Historical"/>
    <x:s v="SUP14-INV-00635"/>
    <x:n v="60"/>
    <x:s v="Tokyo Automation Systems"/>
    <x:n v="1.154"/>
    <x:n v="1.336266790180639"/>
    <x:n v="0.006251354279523293"/>
    <x:n v="0.006251354279523293"/>
    <x:x v="635"/>
    <x:x v="0"/>
    <x:n v="0.0066"/>
    <x:n v="92204.10309"/>
    <x:n v="-4870.69181101842"/>
    <x:n v="-0.052825109163137346"/>
  </x:r>
  <x:r>
    <x:s v="INV-00636"/>
    <x:x v="1"/>
    <x:s v="SUP15"/>
    <x:x v="1"/>
    <x:s v="Freight"/>
    <x:d v="2025-05-08T00:00:00Z"/>
    <x:n v="45815"/>
    <x:x v="1"/>
    <x:n v="732360.93"/>
    <x:s v="Historical"/>
    <x:s v="SUP15-INV-00636"/>
    <x:n v="30"/>
    <x:s v="Nagoya Logistics Partners"/>
    <x:n v="1.1297"/>
    <x:n v="1.3328220858895705"/>
    <x:n v="0.006911593759559498"/>
    <x:n v="0.006911593759559498"/>
    <x:x v="636"/>
    <x:x v="5"/>
    <x:n v="0.0067"/>
    <x:n v="4906.818231"/>
    <x:n v="154.96300253319077"/>
    <x:n v="0.03158115814320874"/>
  </x:r>
  <x:r>
    <x:s v="INV-00637"/>
    <x:x v="0"/>
    <x:s v="SUP01"/>
    <x:x v="0"/>
    <x:s v="Components"/>
    <x:d v="2026-03-16T00:00:00Z"/>
    <x:n v="46127"/>
    <x:x v="0"/>
    <x:n v="40500.22"/>
    <x:s v="Historical"/>
    <x:s v="SUP01-INV-00637"/>
    <x:n v="30"/>
    <x:s v="Rhein Circuit Components"/>
    <x:n v="1.1478"/>
    <x:n v="1.328349226923433"/>
    <x:n v="0.006283805978320376"/>
    <x:n v="1.1478"/>
    <x:x v="637"/>
    <x:x v="6"/>
    <x:n v="1.065"/>
    <x:n v="43132.7343"/>
    <x:n v="3353.4182160000055"/>
    <x:n v="0.07774647887323957"/>
  </x:r>
  <x:r>
    <x:s v="INV-00638"/>
    <x:x v="8"/>
    <x:s v="SUP13"/>
    <x:x v="0"/>
    <x:s v="Components"/>
    <x:d v="2026-09-26T00:00:00Z"/>
    <x:n v="46336"/>
    <x:x v="1"/>
    <x:n v="1429782.05"/>
    <x:s v="Historical"/>
    <x:s v="SUP13-INV-00638"/>
    <x:n v="45"/>
    <x:s v="Osaka Microdevices"/>
    <x:n v="1.1403"/>
    <x:n v="1.3252367947004475"/>
    <x:n v="0.006345575959933223"/>
    <x:n v="0.006345575959933223"/>
    <x:x v="638"/>
    <x:x v="4"/>
    <x:n v="0.00674"/>
    <x:n v="9636.731017"/>
    <x:n v="-563.9404125759575"/>
    <x:n v="-0.05851988725026353"/>
  </x:r>
  <x:r>
    <x:s v="INV-00639"/>
    <x:x v="13"/>
    <x:s v="SUP11"/>
    <x:x v="2"/>
    <x:s v="Software"/>
    <x:d v="2026-07-29T00:00:00Z"/>
    <x:n v="46262"/>
    <x:x v="2"/>
    <x:n v="6074.53"/>
    <x:s v="Historical"/>
    <x:s v="SUP11-INV-00639"/>
    <x:n v="30"/>
    <x:s v="Manchester Cloud Solutions"/>
    <x:n v="1.138"/>
    <x:n v="1.3288958953698837"/>
    <x:n v="0.006109411069952219"/>
    <x:n v="1.3288958953698837"/>
    <x:x v="639"/>
    <x:x v="4"/>
    <x:n v="1.293"/>
    <x:n v="7854.367289999999"/>
    <x:n v="218.05069330122024"/>
    <x:n v="0.02776171335644532"/>
  </x:r>
  <x:r>
    <x:s v="INV-00640"/>
    <x:x v="10"/>
    <x:s v="SUP02"/>
    <x:x v="0"/>
    <x:s v="Equipment"/>
    <x:d v="2026-02-10T00:00:00Z"/>
    <x:n v="46108"/>
    <x:x v="0"/>
    <x:n v="37254.01"/>
    <x:s v="Historical"/>
    <x:s v="SUP02-INV-00640"/>
    <x:n v="45"/>
    <x:s v="Alpen Precision Systems"/>
    <x:n v="1.1894"/>
    <x:n v="1.3679125934445082"/>
    <x:n v="0.006446263075172078"/>
    <x:n v="1.1894"/>
    <x:x v="640"/>
    <x:x v="6"/>
    <x:n v="1.065"/>
    <x:n v="39675.52065"/>
    <x:n v="4634.398844000003"/>
    <x:n v="0.11680751173708928"/>
  </x:r>
  <x:r>
    <x:s v="INV-00641"/>
    <x:x v="11"/>
    <x:s v="SUP14"/>
    <x:x v="0"/>
    <x:s v="Equipment"/>
    <x:d v="2026-03-14T00:00:00Z"/>
    <x:n v="46155"/>
    <x:x v="1"/>
    <x:n v="4683592.18"/>
    <x:s v="Historical"/>
    <x:s v="SUP14-INV-00641"/>
    <x:n v="60"/>
    <x:s v="Tokyo Automation Systems"/>
    <x:n v="1.1555"/>
    <x:n v="1.3367963164349013"/>
    <x:n v="0.006298375667720483"/>
    <x:n v="0.006298375667720483"/>
    <x:x v="641"/>
    <x:x v="6"/>
    <x:n v="0.00646"/>
    <x:n v="30256.005482799996"/>
    <x:n v="-756.9824587620642"/>
    <x:n v="-0.025019246482897266"/>
  </x:r>
  <x:r>
    <x:s v="INV-00642"/>
    <x:x v="7"/>
    <x:s v="SUP03"/>
    <x:x v="0"/>
    <x:s v="Components"/>
    <x:d v="2025-02-13T00:00:00Z"/>
    <x:n v="45731"/>
    <x:x v="0"/>
    <x:n v="7899.16"/>
    <x:s v="Historical"/>
    <x:s v="SUP03-INV-00642"/>
    <x:n v="30"/>
    <x:s v="Benelux Sensor Works"/>
    <x:n v="1.039"/>
    <x:n v="1.247104293447601"/>
    <x:n v="0.006502284248075599"/>
    <x:n v="1.039"/>
    <x:x v="642"/>
    <x:x v="3"/>
    <x:n v="1.052"/>
    <x:n v="8309.91632"/>
    <x:n v="-102.68908000000192"/>
    <x:n v="-0.012357414448669432"/>
  </x:r>
  <x:r>
    <x:s v="INV-00643"/>
    <x:x v="14"/>
    <x:s v="SUP07"/>
    <x:x v="0"/>
    <x:s v="Equipment"/>
    <x:d v="2025-02-13T00:00:00Z"/>
    <x:n v="45761"/>
    <x:x v="0"/>
    <x:n v="65473.27"/>
    <x:s v="Historical"/>
    <x:s v="SUP07-INV-00643"/>
    <x:n v="60"/>
    <x:s v="Milan Assembly Robotics"/>
    <x:n v="1.039"/>
    <x:n v="1.247104293447601"/>
    <x:n v="0.006502284248075599"/>
    <x:n v="1.039"/>
    <x:x v="643"/>
    <x:x v="3"/>
    <x:n v="1.052"/>
    <x:n v="68877.88004"/>
    <x:n v="-851.1525100000144"/>
    <x:n v="-0.012357414448669411"/>
  </x:r>
  <x:r>
    <x:s v="INV-00644"/>
    <x:x v="11"/>
    <x:s v="SUP14"/>
    <x:x v="0"/>
    <x:s v="Equipment"/>
    <x:d v="2026-03-24T00:00:00Z"/>
    <x:n v="46165"/>
    <x:x v="1"/>
    <x:n v="8365560.79"/>
    <x:s v="Historical"/>
    <x:s v="SUP14-INV-00644"/>
    <x:n v="60"/>
    <x:s v="Tokyo Automation Systems"/>
    <x:n v="1.1572"/>
    <x:n v="1.337169665245375"/>
    <x:n v="0.006292208145288456"/>
    <x:n v="0.006292208145288456"/>
    <x:x v="644"/>
    <x:x v="6"/>
    <x:n v="0.00646"/>
    <x:n v="54041.5227034"/>
    <x:n v="-1403.6729606562658"/>
    <x:n v="-0.025973971317576408"/>
  </x:r>
  <x:r>
    <x:s v="INV-00645"/>
    <x:x v="8"/>
    <x:s v="SUP13"/>
    <x:x v="0"/>
    <x:s v="Components"/>
    <x:d v="2026-03-07T00:00:00Z"/>
    <x:n v="46133"/>
    <x:x v="1"/>
    <x:n v="2660750.68"/>
    <x:s v="Historical"/>
    <x:s v="SUP13-INV-00645"/>
    <x:n v="45"/>
    <x:s v="Osaka Microdevices"/>
    <x:n v="1.1555"/>
    <x:n v="1.3367963164349013"/>
    <x:n v="0.006298375667720483"/>
    <x:n v="0.006298375667720483"/>
    <x:x v="645"/>
    <x:x v="6"/>
    <x:n v="0.00646"/>
    <x:n v="17188.4493928"/>
    <x:n v="-430.0420520172702"/>
    <x:n v="-0.02501924648289733"/>
  </x:r>
  <x:r>
    <x:s v="INV-00646"/>
    <x:x v="7"/>
    <x:s v="SUP03"/>
    <x:x v="0"/>
    <x:s v="Components"/>
    <x:d v="2025-05-06T00:00:00Z"/>
    <x:n v="45813"/>
    <x:x v="0"/>
    <x:n v="13293.76"/>
    <x:s v="Historical"/>
    <x:s v="SUP03-INV-00646"/>
    <x:n v="30"/>
    <x:s v="Benelux Sensor Works"/>
    <x:n v="1.1325"/>
    <x:n v="1.3372298972724053"/>
    <x:n v="0.007006310319227915"/>
    <x:n v="1.1325"/>
    <x:x v="646"/>
    <x:x v="5"/>
    <x:n v="1.07"/>
    <x:n v="14224.3232"/>
    <x:n v="830.8600000000006"/>
    <x:n v="0.05841121495327107"/>
  </x:r>
  <x:r>
    <x:s v="INV-00647"/>
    <x:x v="2"/>
    <x:s v="SUP10"/>
    <x:x v="1"/>
    <x:s v="Services"/>
    <x:d v="2025-06-12T00:00:00Z"/>
    <x:n v="45865"/>
    <x:x v="2"/>
    <x:n v="2171.03"/>
    <x:s v="Historical"/>
    <x:s v="SUP10-INV-00647"/>
    <x:n v="45"/>
    <x:s v="Bristol Calibration Services"/>
    <x:n v="1.1594"/>
    <x:n v="1.357929257437339"/>
    <x:n v="0.006957513202112338"/>
    <x:n v="1.357929257437339"/>
    <x:x v="647"/>
    <x:x v="5"/>
    <x:n v="1.26"/>
    <x:n v="2735.4978"/>
    <x:n v="212.6073557741861"/>
    <x:n v="0.07772163288677698"/>
  </x:r>
  <x:r>
    <x:s v="INV-00648"/>
    <x:x v="8"/>
    <x:s v="SUP13"/>
    <x:x v="0"/>
    <x:s v="Components"/>
    <x:d v="2026-02-04T00:00:00Z"/>
    <x:n v="46102"/>
    <x:x v="1"/>
    <x:n v="3305496.65"/>
    <x:s v="Historical"/>
    <x:s v="SUP13-INV-00648"/>
    <x:n v="45"/>
    <x:s v="Osaka Microdevices"/>
    <x:n v="1.182"/>
    <x:n v="1.371866295264624"/>
    <x:n v="0.006384012962462868"/>
    <x:n v="0.006384012962462868"/>
    <x:x v="648"/>
    <x:x v="6"/>
    <x:n v="0.00646"/>
    <x:n v="21353.508359"/>
    <x:n v="-251.1748980224147"/>
    <x:n v="-0.01176269930915359"/>
  </x:r>
  <x:r>
    <x:s v="INV-00649"/>
    <x:x v="3"/>
    <x:s v="SUP04"/>
    <x:x v="1"/>
    <x:s v="Packaging"/>
    <x:d v="2026-11-10T00:00:00Z"/>
    <x:n v="46366"/>
    <x:x v="0"/>
    <x:n v="10308.31"/>
    <x:s v="Planned"/>
    <x:s v="SUP04-INV-00649"/>
    <x:n v="30"/>
    <x:s v="Nordlicht Packaging"/>
    <x:n v="1.1177"/>
    <x:n v="1.320456022210408"/>
    <x:n v="0.00632004523607577"/>
    <x:n v="1.1177"/>
    <x:x v="649"/>
    <x:x v="2"/>
    <x:n v="1.119"/>
    <x:n v="11534.998889999999"/>
    <x:n v="-13.400803000000451"/>
    <x:n v="-0.0011617515638963753"/>
  </x:r>
  <x:r>
    <x:s v="INV-00650"/>
    <x:x v="11"/>
    <x:s v="SUP14"/>
    <x:x v="0"/>
    <x:s v="Equipment"/>
    <x:d v="2025-10-20T00:00:00Z"/>
    <x:n v="46010"/>
    <x:x v="1"/>
    <x:n v="6362431.02"/>
    <x:s v="Historical"/>
    <x:s v="SUP14-INV-00650"/>
    <x:n v="60"/>
    <x:s v="Tokyo Automation Systems"/>
    <x:n v="1.1655"/>
    <x:n v="1.3410424577148774"/>
    <x:n v="0.006633088611917364"/>
    <x:n v="0.006633088611917364"/>
    <x:x v="650"/>
    <x:x v="7"/>
    <x:n v="0.00698"/>
    <x:n v="44409.768519599995"/>
    <x:n v="-2207.199776728223"/>
    <x:n v="-0.04970077193160977"/>
  </x:r>
  <x:r>
    <x:s v="INV-00651"/>
    <x:x v="1"/>
    <x:s v="SUP15"/>
    <x:x v="1"/>
    <x:s v="Freight"/>
    <x:d v="2026-04-08T00:00:00Z"/>
    <x:n v="46150"/>
    <x:x v="1"/>
    <x:n v="1896013.7"/>
    <x:s v="Historical"/>
    <x:s v="SUP15-INV-00651"/>
    <x:n v="30"/>
    <x:s v="Nagoya Logistics Partners"/>
    <x:n v="1.1706"/>
    <x:n v="1.3471741106878576"/>
    <x:n v="0.00632312429103873"/>
    <x:n v="0.00632312429103873"/>
    <x:x v="651"/>
    <x:x v="0"/>
    <x:n v="0.0066"/>
    <x:n v="12513.690419999999"/>
    <x:n v="-524.9601373877795"/>
    <x:n v="-0.041950864994131726"/>
  </x:r>
  <x:r>
    <x:s v="INV-00652"/>
    <x:x v="5"/>
    <x:s v="SUP09"/>
    <x:x v="0"/>
    <x:s v="Components"/>
    <x:d v="2026-07-17T00:00:00Z"/>
    <x:n v="46250"/>
    <x:x v="2"/>
    <x:n v="11048.23"/>
    <x:s v="Historical"/>
    <x:s v="SUP09-INV-00652"/>
    <x:n v="30"/>
    <x:s v="Thames Electronics Ltd"/>
    <x:n v="1.1435"/>
    <x:n v="1.3437448588685985"/>
    <x:n v="0.006159439806086722"/>
    <x:n v="1.3437448588685985"/>
    <x:x v="652"/>
    <x:x v="4"/>
    <x:n v="1.293"/>
    <x:n v="14285.361389999998"/>
    <x:n v="560.6408720978179"/>
    <x:n v="0.039245830524824964"/>
  </x:r>
  <x:r>
    <x:s v="INV-00653"/>
    <x:x v="13"/>
    <x:s v="SUP11"/>
    <x:x v="2"/>
    <x:s v="Software"/>
    <x:d v="2026-04-29T00:00:00Z"/>
    <x:n v="46171"/>
    <x:x v="2"/>
    <x:n v="6721.44"/>
    <x:s v="Historical"/>
    <x:s v="SUP11-INV-00653"/>
    <x:n v="30"/>
    <x:s v="Manchester Cloud Solutions"/>
    <x:n v="1.1706"/>
    <x:n v="1.3510612513417126"/>
    <x:n v="0.00625821972734563"/>
    <x:n v="1.3510612513417126"/>
    <x:x v="653"/>
    <x:x v="0"/>
    <x:n v="1.271"/>
    <x:n v="8542.950239999998"/>
    <x:n v="538.1268972182424"/>
    <x:n v="0.06299075636641453"/>
  </x:r>
  <x:r>
    <x:s v="INV-00654"/>
    <x:x v="10"/>
    <x:s v="SUP02"/>
    <x:x v="0"/>
    <x:s v="Equipment"/>
    <x:d v="2025-07-08T00:00:00Z"/>
    <x:n v="45891"/>
    <x:x v="0"/>
    <x:n v="68848.45"/>
    <x:s v="Historical"/>
    <x:s v="SUP02-INV-00654"/>
    <x:n v="45"/>
    <x:s v="Alpen Precision Systems"/>
    <x:n v="1.1718"/>
    <x:n v="1.357506950880445"/>
    <x:n v="0.006824694234129296"/>
    <x:n v="1.1718"/>
    <x:x v="654"/>
    <x:x v="1"/>
    <x:n v="1.088"/>
    <x:n v="74907.1136"/>
    <x:n v="5769.500109999994"/>
    <x:n v="0.07702205882352933"/>
  </x:r>
  <x:r>
    <x:s v="INV-00655"/>
    <x:x v="6"/>
    <x:s v="SUP16"/>
    <x:x v="0"/>
    <x:s v="Components"/>
    <x:d v="2025-04-08T00:00:00Z"/>
    <x:n v="45785"/>
    <x:x v="1"/>
    <x:n v="1612808.81"/>
    <x:s v="Historical"/>
    <x:s v="SUP16-INV-00655"/>
    <x:n v="30"/>
    <x:s v="Kyoto Optical Instruments"/>
    <x:n v="1.095"/>
    <x:n v="1.2785484096959507"/>
    <x:n v="0.006816059757236227"/>
    <x:n v="0.006816059757236227"/>
    <x:x v="655"/>
    <x:x v="5"/>
    <x:n v="0.0067"/>
    <x:n v="10805.819027000001"/>
    <x:n v="187.18219895704715"/>
    <x:n v="0.017322351826302443"/>
  </x:r>
  <x:r>
    <x:s v="INV-00656"/>
    <x:x v="0"/>
    <x:s v="SUP01"/>
    <x:x v="0"/>
    <x:s v="Components"/>
    <x:d v="2025-07-12T00:00:00Z"/>
    <x:n v="45880"/>
    <x:x v="0"/>
    <x:n v="21908.09"/>
    <x:s v="Historical"/>
    <x:s v="SUP01-INV-00656"/>
    <x:n v="30"/>
    <x:s v="Rhein Circuit Components"/>
    <x:n v="1.1611"/>
    <x:n v="1.3372106414833584"/>
    <x:n v="0.006545095828635851"/>
    <x:n v="1.1611"/>
    <x:x v="656"/>
    <x:x v="1"/>
    <x:n v="1.088"/>
    <x:n v="23836.001920000002"/>
    <x:n v="1601.481378999997"/>
    <x:n v="0.06718749999999987"/>
  </x:r>
  <x:r>
    <x:s v="INV-00657"/>
    <x:x v="12"/>
    <x:s v="SUP17"/>
    <x:x v="1"/>
    <x:s v="Packaging"/>
    <x:d v="2026-09-04T00:00:00Z"/>
    <x:n v="46314"/>
    <x:x v="1"/>
    <x:n v="465992.4"/>
    <x:s v="Historical"/>
    <x:s v="SUP17-INV-00657"/>
    <x:n v="45"/>
    <x:s v="Kobe Industrial Packaging"/>
    <x:n v="1.1622"/>
    <x:n v="1.3530000698502875"/>
    <x:n v="0.006400132165868164"/>
    <x:n v="0.006400132165868164"/>
    <x:x v="657"/>
    <x:x v="4"/>
    <x:n v="0.00674"/>
    <x:n v="3140.7887760000003"/>
    <x:n v="-158.37582770989638"/>
    <x:n v="-0.05042549467831401"/>
  </x:r>
  <x:r>
    <x:s v="INV-00658"/>
    <x:x v="7"/>
    <x:s v="SUP03"/>
    <x:x v="0"/>
    <x:s v="Components"/>
    <x:d v="2026-07-30T00:00:00Z"/>
    <x:n v="46263"/>
    <x:x v="0"/>
    <x:n v="26019.67"/>
    <x:s v="Historical"/>
    <x:s v="SUP03-INV-00658"/>
    <x:n v="30"/>
    <x:s v="Benelux Sensor Works"/>
    <x:n v="1.1476"/>
    <x:n v="1.3388555095374206"/>
    <x:n v="0.006137226589657201"/>
    <x:n v="1.1476"/>
    <x:x v="658"/>
    <x:x v="4"/>
    <x:n v="1.101"/>
    <x:n v="28647.656669999997"/>
    <x:n v="1212.5166219999992"/>
    <x:n v="0.04232515894641233"/>
  </x:r>
  <x:r>
    <x:s v="INV-00659"/>
    <x:x v="8"/>
    <x:s v="SUP13"/>
    <x:x v="0"/>
    <x:s v="Components"/>
    <x:d v="2026-12-24T00:00:00Z"/>
    <x:n v="46425"/>
    <x:x v="1"/>
    <x:n v="4874806.08"/>
    <x:s v="Planned"/>
    <x:s v="SUP13-INV-00659"/>
    <x:n v="45"/>
    <x:s v="Osaka Microdevices"/>
    <x:n v="1.1177"/>
    <x:n v="1.320456022210408"/>
    <x:n v="0.00632004523607577"/>
    <x:n v="0.00632004523607577"/>
    <x:x v="659"/>
    <x:x v="2"/>
    <x:n v="0.00688"/>
    <x:n v="33538.6658304"/>
    <x:n v="-2729.670887702803"/>
    <x:n v="-0.08138877382619628"/>
  </x:r>
  <x:r>
    <x:s v="INV-00661"/>
    <x:x v="13"/>
    <x:s v="SUP11"/>
    <x:x v="2"/>
    <x:s v="Software"/>
    <x:d v="2026-02-01T00:00:00Z"/>
    <x:n v="46084"/>
    <x:x v="2"/>
    <x:n v="2752.9"/>
    <x:s v="Historical"/>
    <x:s v="SUP11-INV-00661"/>
    <x:n v="30"/>
    <x:s v="Manchester Cloud Solutions"/>
    <x:n v="1.1555"/>
    <x:n v="1.3367963164349013"/>
    <x:n v="0.006298375667720483"/>
    <x:n v="1.3367963164349013"/>
    <x:x v="660"/>
    <x:x v="6"/>
    <x:n v="1.249"/>
    <x:n v="3438.3721000000005"/>
    <x:n v="241.69447951363918"/>
    <x:n v="0.07029328777814337"/>
  </x:r>
  <x:r>
    <x:s v="INV-00662"/>
    <x:x v="0"/>
    <x:s v="SUP01"/>
    <x:x v="0"/>
    <x:s v="Components"/>
    <x:d v="2025-02-26T00:00:00Z"/>
    <x:n v="45744"/>
    <x:x v="0"/>
    <x:n v="28951.5"/>
    <x:s v="Historical"/>
    <x:s v="SUP01-INV-00662"/>
    <x:n v="30"/>
    <x:s v="Rhein Circuit Components"/>
    <x:n v="1.0487"/>
    <x:n v="1.2655065887918135"/>
    <x:n v="0.0066924058710912575"/>
    <x:n v="1.0487"/>
    <x:x v="661"/>
    <x:x v="3"/>
    <x:n v="1.052"/>
    <x:n v="30456.978000000003"/>
    <x:n v="-95.53995000000214"/>
    <x:n v="-0.0031368821292776365"/>
  </x:r>
  <x:r>
    <x:s v="INV-00663"/>
    <x:x v="6"/>
    <x:s v="SUP16"/>
    <x:x v="0"/>
    <x:s v="Components"/>
    <x:d v="2026-01-25T00:00:00Z"/>
    <x:n v="46077"/>
    <x:x v="1"/>
    <x:n v="1036122.98"/>
    <x:s v="Historical"/>
    <x:s v="SUP16-INV-00663"/>
    <x:n v="30"/>
    <x:s v="Kyoto Optical Instruments"/>
    <x:n v="1.1555"/>
    <x:n v="1.3367963164349013"/>
    <x:n v="0.006298375667720483"/>
    <x:n v="0.006298375667720483"/>
    <x:x v="662"/>
    <x:x v="6"/>
    <x:n v="0.00646"/>
    <x:n v="6693.3544507999995"/>
    <x:n v="-167.4626848019625"/>
    <x:n v="-0.02501924648289724"/>
  </x:r>
  <x:r>
    <x:s v="INV-00664"/>
    <x:x v="17"/>
    <x:s v="SUP06"/>
    <x:x v="2"/>
    <x:s v="Software"/>
    <x:d v="2026-02-08T00:00:00Z"/>
    <x:n v="46091"/>
    <x:x v="0"/>
    <x:n v="9831.92"/>
    <x:s v="Historical"/>
    <x:s v="SUP06-INV-00664"/>
    <x:n v="30"/>
    <x:s v="Dublin Systems Licensing"/>
    <x:n v="1.1555"/>
    <x:n v="1.3367963164349013"/>
    <x:n v="0.006298375667720483"/>
    <x:n v="1.1555"/>
    <x:x v="663"/>
    <x:x v="6"/>
    <x:n v="1.065"/>
    <x:n v="10470.9948"/>
    <x:n v="889.7887599999995"/>
    <x:n v="0.08497652582159619"/>
  </x:r>
  <x:r>
    <x:s v="INV-00665"/>
    <x:x v="9"/>
    <x:s v="SUP05"/>
    <x:x v="0"/>
    <x:s v="Components"/>
    <x:d v="2026-04-19T00:00:00Z"/>
    <x:n v="46176"/>
    <x:x v="0"/>
    <x:n v="9094.76"/>
    <x:s v="Historical"/>
    <x:s v="SUP05-INV-00665"/>
    <x:n v="45"/>
    <x:s v="Lyon Industrial Controls"/>
    <x:n v="1.1797"/>
    <x:n v="1.3533636196769456"/>
    <x:n v="0.006284359684636693"/>
    <x:n v="1.1797"/>
    <x:x v="664"/>
    <x:x v="0"/>
    <x:n v="1.083"/>
    <x:n v="9849.62508"/>
    <x:n v="879.4632920000004"/>
    <x:n v="0.08928901200369348"/>
  </x:r>
  <x:r>
    <x:s v="INV-00666"/>
    <x:x v="5"/>
    <x:s v="SUP09"/>
    <x:x v="0"/>
    <x:s v="Components"/>
    <x:d v="2025-07-04T00:00:00Z"/>
    <x:n v="45872"/>
    <x:x v="2"/>
    <x:n v="19547.45"/>
    <x:s v="Historical"/>
    <x:s v="SUP09-INV-00666"/>
    <x:n v="30"/>
    <x:s v="Thames Electronics Ltd"/>
    <x:n v="1.1767"/>
    <x:n v="1.3642898550724638"/>
    <x:n v="0.006925023540489643"/>
    <x:n v="1.3642898550724638"/>
    <x:x v="665"/>
    <x:x v="1"/>
    <x:n v="1.282"/>
    <x:n v="25059.8309"/>
    <x:n v="1608.5568275362311"/>
    <x:n v="0.06418865450270181"/>
  </x:r>
  <x:r>
    <x:s v="INV-00667"/>
    <x:x v="0"/>
    <x:s v="SUP01"/>
    <x:x v="0"/>
    <x:s v="Components"/>
    <x:d v="2026-08-31T00:00:00Z"/>
    <x:n v="46295"/>
    <x:x v="0"/>
    <x:n v="34131.28"/>
    <x:s v="Historical"/>
    <x:s v="SUP01-INV-00667"/>
    <x:n v="30"/>
    <x:s v="Rhein Circuit Components"/>
    <x:n v="1.1596"/>
    <x:n v="1.353913693256118"/>
    <x:n v="0.006260662995356873"/>
    <x:n v="1.1596"/>
    <x:x v="666"/>
    <x:x v="4"/>
    <x:n v="1.101"/>
    <x:n v="37578.53928"/>
    <x:n v="2000.0930080000035"/>
    <x:n v="0.05322434150772035"/>
  </x:r>
  <x:r>
    <x:s v="INV-00668"/>
    <x:x v="5"/>
    <x:s v="SUP09"/>
    <x:x v="0"/>
    <x:s v="Components"/>
    <x:d v="2025-06-26T00:00:00Z"/>
    <x:n v="45864"/>
    <x:x v="2"/>
    <x:n v="4623.2"/>
    <x:s v="Historical"/>
    <x:s v="SUP09-INV-00668"/>
    <x:n v="30"/>
    <x:s v="Thames Electronics Ltd"/>
    <x:n v="1.1695"/>
    <x:n v="1.370240187463386"/>
    <x:n v="0.006923395690267582"/>
    <x:n v="1.370240187463386"/>
    <x:x v="667"/>
    <x:x v="5"/>
    <x:n v="1.26"/>
    <x:n v="5825.232"/>
    <x:n v="509.6624346807266"/>
    <x:n v="0.08749221227252865"/>
  </x:r>
  <x:r>
    <x:s v="INV-00669"/>
    <x:x v="11"/>
    <x:s v="SUP14"/>
    <x:x v="0"/>
    <x:s v="Equipment"/>
    <x:d v="2026-06-16T00:00:00Z"/>
    <x:n v="46249"/>
    <x:x v="1"/>
    <x:n v="7262437.56"/>
    <x:s v="Historical"/>
    <x:s v="SUP14-INV-00669"/>
    <x:n v="60"/>
    <x:s v="Tokyo Automation Systems"/>
    <x:n v="1.1594"/>
    <x:n v="1.3407963363439765"/>
    <x:n v="0.006235344734860708"/>
    <x:n v="0.006235344734860708"/>
    <x:x v="668"/>
    <x:x v="0"/>
    <x:n v="0.0066"/>
    <x:n v="47932.087896"/>
    <x:n v="-2648.286093999348"/>
    <x:n v="-0.055250797748377475"/>
  </x:r>
  <x:r>
    <x:s v="INV-00670"/>
    <x:x v="2"/>
    <x:s v="SUP10"/>
    <x:x v="1"/>
    <x:s v="Services"/>
    <x:d v="2025-07-01T00:00:00Z"/>
    <x:n v="45884"/>
    <x:x v="2"/>
    <x:n v="1814.77"/>
    <x:s v="Historical"/>
    <x:s v="SUP10-INV-00670"/>
    <x:n v="45"/>
    <x:s v="Bristol Calibration Services"/>
    <x:n v="1.181"/>
    <x:n v="1.3751746623195156"/>
    <x:n v="0.007000592768227624"/>
    <x:n v="1.3751746623195156"/>
    <x:x v="669"/>
    <x:x v="1"/>
    <x:n v="1.282"/>
    <x:n v="2326.53514"/>
    <x:n v="169.0905819375871"/>
    <x:n v="0.07267914377497307"/>
  </x:r>
  <x:r>
    <x:s v="INV-00671"/>
    <x:x v="6"/>
    <x:s v="SUP16"/>
    <x:x v="0"/>
    <x:s v="Components"/>
    <x:d v="2025-09-06T00:00:00Z"/>
    <x:n v="45936"/>
    <x:x v="1"/>
    <x:n v="2880585.9"/>
    <x:s v="Historical"/>
    <x:s v="SUP16-INV-00671"/>
    <x:n v="30"/>
    <x:s v="Kyoto Optical Instruments"/>
    <x:n v="1.1757"/>
    <x:n v="1.3495179063360883"/>
    <x:n v="0.0064077828646173975"/>
    <x:n v="0.0064077828646173975"/>
    <x:x v="670"/>
    <x:x v="1"/>
    <x:n v="0.00684"/>
    <x:n v="19703.207555999998"/>
    <x:n v="-1245.038585921513"/>
    <x:n v="-0.06318963967581895"/>
  </x:r>
  <x:r>
    <x:s v="INV-00672"/>
    <x:x v="3"/>
    <x:s v="SUP04"/>
    <x:x v="1"/>
    <x:s v="Packaging"/>
    <x:d v="2026-01-21T00:00:00Z"/>
    <x:n v="46073"/>
    <x:x v="0"/>
    <x:n v="7988.83"/>
    <x:s v="Historical"/>
    <x:s v="SUP04-INV-00672"/>
    <x:n v="30"/>
    <x:s v="Nordlicht Packaging"/>
    <x:n v="1.1739"/>
    <x:n v="1.3425205855443734"/>
    <x:n v="0.006337526318630891"/>
    <x:n v="1.1739"/>
    <x:x v="671"/>
    <x:x v="6"/>
    <x:n v="1.065"/>
    <x:n v="8508.103949999999"/>
    <x:n v="869.9835870000006"/>
    <x:n v="0.10225352112676066"/>
  </x:r>
  <x:r>
    <x:s v="INV-00673"/>
    <x:x v="1"/>
    <x:s v="SUP15"/>
    <x:x v="1"/>
    <x:s v="Freight"/>
    <x:d v="2025-12-08T00:00:00Z"/>
    <x:n v="46029"/>
    <x:x v="1"/>
    <x:n v="1440765.45"/>
    <x:s v="Historical"/>
    <x:s v="SUP15-INV-00673"/>
    <x:n v="30"/>
    <x:s v="Nagoya Logistics Partners"/>
    <x:n v="1.1655"/>
    <x:n v="1.3326091927738395"/>
    <x:n v="0.006428926030117492"/>
    <x:n v="0.006428926030117492"/>
    <x:x v="672"/>
    <x:x v="7"/>
    <x:n v="0.00698"/>
    <x:n v="10056.542841"/>
    <x:n v="-793.9683362010601"/>
    <x:n v="-0.0789504254846002"/>
  </x:r>
  <x:r>
    <x:s v="INV-00674"/>
    <x:x v="12"/>
    <x:s v="SUP17"/>
    <x:x v="1"/>
    <x:s v="Packaging"/>
    <x:d v="2026-12-27T00:00:00Z"/>
    <x:n v="46428"/>
    <x:x v="1"/>
    <x:n v="245207.68"/>
    <x:s v="Planned"/>
    <x:s v="SUP17-INV-00674"/>
    <x:n v="45"/>
    <x:s v="Kobe Industrial Packaging"/>
    <x:n v="1.1177"/>
    <x:n v="1.320456022210408"/>
    <x:n v="0.00632004523607577"/>
    <x:n v="0.00632004523607577"/>
    <x:x v="673"/>
    <x:x v="2"/>
    <x:n v="0.00688"/>
    <x:n v="1687.0288383999998"/>
    <x:n v="-137.305208566808"/>
    <x:n v="-0.08138877382619615"/>
  </x:r>
  <x:r>
    <x:s v="INV-00675"/>
    <x:x v="6"/>
    <x:s v="SUP16"/>
    <x:x v="0"/>
    <x:s v="Components"/>
    <x:d v="2025-03-30T00:00:00Z"/>
    <x:n v="45776"/>
    <x:x v="1"/>
    <x:n v="2346794.84"/>
    <x:s v="Historical"/>
    <x:s v="SUP16-INV-00675"/>
    <x:n v="30"/>
    <x:s v="Kyoto Optical Instruments"/>
    <x:n v="1.1194"/>
    <x:n v="1.3283493532692536"/>
    <x:n v="0.006865378718184605"/>
    <x:n v="0.006865378718184605"/>
    <x:x v="674"/>
    <x:x v="3"/>
    <x:n v="0.00656"/>
    <x:n v="15394.9741504"/>
    <x:n v="716.6612000814439"/>
    <x:n v="0.04655163386960434"/>
  </x:r>
  <x:r>
    <x:s v="INV-00676"/>
    <x:x v="5"/>
    <x:s v="SUP09"/>
    <x:x v="0"/>
    <x:s v="Components"/>
    <x:d v="2025-10-30T00:00:00Z"/>
    <x:n v="45990"/>
    <x:x v="2"/>
    <x:n v="13016.8"/>
    <x:s v="Historical"/>
    <x:s v="SUP09-INV-00676"/>
    <x:n v="30"/>
    <x:s v="Thames Electronics Ltd"/>
    <x:n v="1.155"/>
    <x:n v="1.312350869219407"/>
    <x:n v="0.006475304143073387"/>
    <x:n v="1.312350869219407"/>
    <x:x v="675"/>
    <x:x v="7"/>
    <x:n v="1.304"/>
    <x:n v="16973.9072"/>
    <x:n v="108.70159445517493"/>
    <x:n v="0.0064040408124285565"/>
  </x:r>
  <x:r>
    <x:s v="INV-00677"/>
    <x:x v="1"/>
    <x:s v="SUP15"/>
    <x:x v="1"/>
    <x:s v="Freight"/>
    <x:d v="2025-05-14T00:00:00Z"/>
    <x:n v="45821"/>
    <x:x v="1"/>
    <x:n v="1070394.94"/>
    <x:s v="Historical"/>
    <x:s v="SUP15-INV-00677"/>
    <x:n v="30"/>
    <x:s v="Nagoya Logistics Partners"/>
    <x:n v="1.1214"/>
    <x:n v="1.3326203208556149"/>
    <x:n v="0.006837387964148528"/>
    <x:n v="0.006837387964148528"/>
    <x:x v="676"/>
    <x:x v="5"/>
    <x:n v="0.0067"/>
    <x:n v="7171.646098"/>
    <x:n v="147.05938164148483"/>
    <x:n v="0.020505666290824943"/>
  </x:r>
  <x:r>
    <x:s v="INV-00678"/>
    <x:x v="2"/>
    <x:s v="SUP10"/>
    <x:x v="1"/>
    <x:s v="Services"/>
    <x:d v="2026-04-25T00:00:00Z"/>
    <x:n v="46182"/>
    <x:x v="2"/>
    <x:n v="5169.39"/>
    <x:s v="Historical"/>
    <x:s v="SUP10-INV-00678"/>
    <x:n v="45"/>
    <x:s v="Bristol Calibration Services"/>
    <x:n v="1.1712"/>
    <x:n v="1.34926212227688"/>
    <x:n v="0.006272829521718173"/>
    <x:n v="1.34926212227688"/>
    <x:x v="677"/>
    <x:x v="0"/>
    <x:n v="1.271"/>
    <x:n v="6570.29469"/>
    <x:n v="404.56743227688094"/>
    <x:n v="0.061575233892116485"/>
  </x:r>
  <x:r>
    <x:s v="INV-00679"/>
    <x:x v="3"/>
    <x:s v="SUP04"/>
    <x:x v="1"/>
    <x:s v="Packaging"/>
    <x:d v="2026-03-31T00:00:00Z"/>
    <x:n v="46142"/>
    <x:x v="0"/>
    <x:n v="3417.17"/>
    <x:s v="Historical"/>
    <x:s v="SUP04-INV-00679"/>
    <x:n v="30"/>
    <x:s v="Nordlicht Packaging"/>
    <x:n v="1.1498"/>
    <x:n v="1.3241509564336138"/>
    <x:n v="0.006269698456840613"/>
    <x:n v="1.1498"/>
    <x:x v="678"/>
    <x:x v="6"/>
    <x:n v="1.065"/>
    <x:n v="3639.2860499999997"/>
    <x:n v="289.77601600000025"/>
    <x:n v="0.07962441314553999"/>
  </x:r>
  <x:r>
    <x:s v="INV-00680"/>
    <x:x v="5"/>
    <x:s v="SUP09"/>
    <x:x v="0"/>
    <x:s v="Components"/>
    <x:d v="2026-11-15T00:00:00Z"/>
    <x:n v="46371"/>
    <x:x v="2"/>
    <x:n v="4484.38"/>
    <x:s v="Planned"/>
    <x:s v="SUP09-INV-00680"/>
    <x:n v="30"/>
    <x:s v="Thames Electronics Ltd"/>
    <x:n v="1.1177"/>
    <x:n v="1.320456022210408"/>
    <x:n v="0.00632004523607577"/>
    <x:n v="1.320456022210408"/>
    <x:x v="679"/>
    <x:x v="2"/>
    <x:n v="1.315"/>
    <x:n v="5896.9597"/>
    <x:n v="24.46687687990925"/>
    <x:n v="0.004149066319701871"/>
  </x:r>
  <x:r>
    <x:s v="INV-00681"/>
    <x:x v="4"/>
    <x:s v="SUP08"/>
    <x:x v="0"/>
    <x:s v="Components"/>
    <x:d v="2025-02-13T00:00:00Z"/>
    <x:n v="45731"/>
    <x:x v="0"/>
    <x:n v="11895.43"/>
    <x:s v="Historical"/>
    <x:s v="SUP08-INV-00681"/>
    <x:n v="30"/>
    <x:s v="Valencia Circuit Supply"/>
    <x:n v="1.039"/>
    <x:n v="1.247104293447601"/>
    <x:n v="0.006502284248075599"/>
    <x:n v="1.039"/>
    <x:x v="680"/>
    <x:x v="3"/>
    <x:n v="1.052"/>
    <x:n v="12513.99236"/>
    <x:n v="-154.64059000000088"/>
    <x:n v="-0.012357414448669272"/>
  </x:r>
  <x:r>
    <x:s v="INV-00682"/>
    <x:x v="0"/>
    <x:s v="SUP01"/>
    <x:x v="0"/>
    <x:s v="Components"/>
    <x:d v="2026-06-02T00:00:00Z"/>
    <x:n v="46205"/>
    <x:x v="0"/>
    <x:n v="15652.39"/>
    <x:s v="Historical"/>
    <x:s v="SUP01-INV-00682"/>
    <x:n v="30"/>
    <x:s v="Rhein Circuit Components"/>
    <x:n v="1.1649"/>
    <x:n v="1.3472503325044816"/>
    <x:n v="0.006259874254393036"/>
    <x:n v="1.1649"/>
    <x:x v="681"/>
    <x:x v="0"/>
    <x:n v="1.083"/>
    <x:n v="16951.53837"/>
    <x:n v="1281.9307410000001"/>
    <x:n v="0.07562326869806095"/>
  </x:r>
  <x:r>
    <x:s v="INV-00683"/>
    <x:x v="6"/>
    <x:s v="SUP16"/>
    <x:x v="0"/>
    <x:s v="Components"/>
    <x:d v="2026-08-06T00:00:00Z"/>
    <x:n v="46270"/>
    <x:x v="1"/>
    <x:n v="4191121.9"/>
    <x:s v="Historical"/>
    <x:s v="SUP16-INV-00683"/>
    <x:n v="30"/>
    <x:s v="Kyoto Optical Instruments"/>
    <x:n v="1.1542"/>
    <x:n v="1.3467125605273904"/>
    <x:n v="0.006335840149311083"/>
    <x:n v="0.006335840149311083"/>
    <x:x v="682"/>
    <x:x v="4"/>
    <x:n v="0.00674"/>
    <x:n v="28248.161606"/>
    <x:n v="-1693.883201323053"/>
    <x:n v="-0.05996436953841509"/>
  </x:r>
  <x:r>
    <x:s v="INV-00684"/>
    <x:x v="5"/>
    <x:s v="SUP09"/>
    <x:x v="0"/>
    <x:s v="Components"/>
    <x:d v="2025-05-10T00:00:00Z"/>
    <x:n v="45817"/>
    <x:x v="2"/>
    <x:n v="18134.89"/>
    <x:s v="Historical"/>
    <x:s v="SUP09-INV-00684"/>
    <x:n v="30"/>
    <x:s v="Thames Electronics Ltd"/>
    <x:n v="1.169"/>
    <x:n v="1.348794277143187"/>
    <x:n v="0.006785859406745225"/>
    <x:n v="1.348794277143187"/>
    <x:x v="683"/>
    <x:x v="5"/>
    <x:n v="1.26"/>
    <x:n v="22849.9614"/>
    <x:n v="1610.2744486212068"/>
    <x:n v="0.07047164852633873"/>
  </x:r>
  <x:r>
    <x:s v="INV-00685"/>
    <x:x v="17"/>
    <x:s v="SUP06"/>
    <x:x v="2"/>
    <x:s v="Software"/>
    <x:d v="2025-12-23T00:00:00Z"/>
    <x:n v="46044"/>
    <x:x v="0"/>
    <x:n v="6316.31"/>
    <x:s v="Historical"/>
    <x:s v="SUP06-INV-00685"/>
    <x:n v="30"/>
    <x:s v="Dublin Systems Licensing"/>
    <x:n v="1.1786"/>
    <x:n v="1.3502119372207584"/>
    <x:n v="0.00640926640926641"/>
    <x:n v="1.1786"/>
    <x:x v="684"/>
    <x:x v="7"/>
    <x:n v="1.106"/>
    <x:n v="6985.838860000001"/>
    <x:n v="458.5641060000007"/>
    <x:n v="0.06564195298372523"/>
  </x:r>
  <x:r>
    <x:s v="INV-00686"/>
    <x:x v="12"/>
    <x:s v="SUP17"/>
    <x:x v="1"/>
    <x:s v="Packaging"/>
    <x:d v="2025-07-13T00:00:00Z"/>
    <x:n v="45896"/>
    <x:x v="1"/>
    <x:n v="1337860.54"/>
    <x:s v="Historical"/>
    <x:s v="SUP17-INV-00686"/>
    <x:n v="45"/>
    <x:s v="Kobe Industrial Packaging"/>
    <x:n v="1.1568"/>
    <x:n v="1.3282810885291079"/>
    <x:n v="0.006555593335600136"/>
    <x:n v="0.006555593335600136"/>
    <x:x v="685"/>
    <x:x v="1"/>
    <x:n v="0.00684"/>
    <x:n v="9150.9660936"/>
    <x:n v="-380.49645361359944"/>
    <x:n v="-0.041579921695886396"/>
  </x:r>
  <x:r>
    <x:s v="INV-00687"/>
    <x:x v="6"/>
    <x:s v="SUP16"/>
    <x:x v="0"/>
    <x:s v="Components"/>
    <x:d v="2025-02-10T00:00:00Z"/>
    <x:n v="45728"/>
    <x:x v="1"/>
    <x:n v="436028.96"/>
    <x:s v="Historical"/>
    <x:s v="SUP16-INV-00687"/>
    <x:n v="30"/>
    <x:s v="Kyoto Optical Instruments"/>
    <x:n v="1.032"/>
    <x:n v="1.2391484456611794"/>
    <x:n v="0.006576599541167474"/>
    <x:n v="0.006576599541167474"/>
    <x:x v="686"/>
    <x:x v="3"/>
    <x:n v="0.00656"/>
    <x:n v="2860.3499776"/>
    <x:n v="7.237880671731091"/>
    <x:n v="0.0025304178608955025"/>
  </x:r>
  <x:r>
    <x:s v="INV-00688"/>
    <x:x v="1"/>
    <x:s v="SUP15"/>
    <x:x v="1"/>
    <x:s v="Freight"/>
    <x:d v="2026-06-29T00:00:00Z"/>
    <x:n v="46232"/>
    <x:x v="1"/>
    <x:n v="1580944.94"/>
    <x:s v="Historical"/>
    <x:s v="SUP15-INV-00688"/>
    <x:n v="30"/>
    <x:s v="Nagoya Logistics Partners"/>
    <x:n v="1.1406"/>
    <x:n v="1.3229716406657774"/>
    <x:n v="0.00617809554761131"/>
    <x:n v="0.00617809554761131"/>
    <x:x v="687"/>
    <x:x v="0"/>
    <x:n v="0.0066"/>
    <x:n v="10434.236604"/>
    <x:n v="-667.0077091673702"/>
    <x:n v="-0.06392491702858938"/>
  </x:r>
  <x:r>
    <x:s v="INV-00689"/>
    <x:x v="16"/>
    <x:s v="SUP12"/>
    <x:x v="0"/>
    <x:s v="Components"/>
    <x:d v="2025-08-02T00:00:00Z"/>
    <x:n v="45931"/>
    <x:x v="2"/>
    <x:n v="20067"/>
    <x:s v="Historical"/>
    <x:s v="SUP12-INV-00689"/>
    <x:n v="60"/>
    <x:s v="Oxford Technical Materials"/>
    <x:n v="1.1561"/>
    <x:n v="1.3121098626716603"/>
    <x:n v="0.006532007458048476"/>
    <x:n v="1.3121098626716603"/>
    <x:x v="688"/>
    <x:x v="1"/>
    <x:n v="1.282"/>
    <x:n v="25725.894"/>
    <x:n v="604.2146142322053"/>
    <x:n v="0.023486632349188928"/>
  </x:r>
  <x:r>
    <x:s v="INV-00690"/>
    <x:x v="1"/>
    <x:s v="SUP15"/>
    <x:x v="1"/>
    <x:s v="Freight"/>
    <x:d v="2025-11-23T00:00:00Z"/>
    <x:n v="46014"/>
    <x:x v="1"/>
    <x:n v="3124083.45"/>
    <x:s v="Historical"/>
    <x:s v="SUP15-INV-00690"/>
    <x:n v="30"/>
    <x:s v="Nagoya Logistics Partners"/>
    <x:n v="1.1555"/>
    <x:n v="1.3367963164349013"/>
    <x:n v="0.006298375667720483"/>
    <x:n v="0.006298375667720483"/>
    <x:x v="689"/>
    <x:x v="7"/>
    <x:n v="0.00698"/>
    <x:n v="21806.102481"/>
    <x:n v="-2129.451295591738"/>
    <x:n v="-0.09765391579935764"/>
  </x:r>
  <x:r>
    <x:s v="INV-00691"/>
    <x:x v="7"/>
    <x:s v="SUP03"/>
    <x:x v="0"/>
    <x:s v="Components"/>
    <x:d v="2025-05-29T00:00:00Z"/>
    <x:n v="45836"/>
    <x:x v="0"/>
    <x:n v="20321.94"/>
    <x:s v="Historical"/>
    <x:s v="SUP03-INV-00691"/>
    <x:n v="30"/>
    <x:s v="Benelux Sensor Works"/>
    <x:n v="1.1281"/>
    <x:n v="1.3466634833472604"/>
    <x:n v="0.006900960420872332"/>
    <x:n v="1.1281"/>
    <x:x v="690"/>
    <x:x v="5"/>
    <x:n v="1.07"/>
    <x:n v="21744.4758"/>
    <x:n v="1180.7047139999995"/>
    <x:n v="0.054299065420560726"/>
  </x:r>
  <x:r>
    <x:s v="INV-00692"/>
    <x:x v="17"/>
    <x:s v="SUP06"/>
    <x:x v="2"/>
    <x:s v="Software"/>
    <x:d v="2026-05-07T00:00:00Z"/>
    <x:n v="46179"/>
    <x:x v="0"/>
    <x:n v="4591.03"/>
    <x:s v="Historical"/>
    <x:s v="SUP06-INV-00692"/>
    <x:n v="30"/>
    <x:s v="Dublin Systems Licensing"/>
    <x:n v="1.177"/>
    <x:n v="1.3621108667978243"/>
    <x:n v="0.0063943065138262626"/>
    <x:n v="1.177"/>
    <x:x v="691"/>
    <x:x v="0"/>
    <x:n v="1.083"/>
    <x:n v="4972.0854899999995"/>
    <x:n v="431.5568200000007"/>
    <x:n v="0.08679593721144982"/>
  </x:r>
  <x:r>
    <x:s v="INV-00693"/>
    <x:x v="1"/>
    <x:s v="SUP15"/>
    <x:x v="1"/>
    <x:s v="Freight"/>
    <x:d v="2025-01-17T00:00:00Z"/>
    <x:n v="45704"/>
    <x:x v="1"/>
    <x:n v="2323829.55"/>
    <x:s v="Historical"/>
    <x:s v="SUP15-INV-00693"/>
    <x:n v="30"/>
    <x:s v="Nagoya Logistics Partners"/>
    <x:n v="1.0298"/>
    <x:n v="1.2193764579115012"/>
    <x:n v="0.006427011171441054"/>
    <x:n v="0.006427011171441054"/>
    <x:x v="692"/>
    <x:x v="3"/>
    <x:n v="0.00656"/>
    <x:n v="15244.321847999998"/>
    <x:n v="-309.0433696251621"/>
    <x:n v="-0.020272687280327103"/>
  </x:r>
  <x:r>
    <x:s v="INV-00694"/>
    <x:x v="12"/>
    <x:s v="SUP17"/>
    <x:x v="1"/>
    <x:s v="Packaging"/>
    <x:d v="2026-06-23T00:00:00Z"/>
    <x:n v="46241"/>
    <x:x v="1"/>
    <x:n v="1607641.5"/>
    <x:s v="Historical"/>
    <x:s v="SUP17-INV-00694"/>
    <x:n v="45"/>
    <x:s v="Kobe Industrial Packaging"/>
    <x:n v="1.1392"/>
    <x:n v="1.3215777262180974"/>
    <x:n v="0.0061906314531029235"/>
    <x:n v="0.0061906314531029235"/>
    <x:x v="693"/>
    <x:x v="0"/>
    <x:n v="0.0066"/>
    <x:n v="10610.4339"/>
    <x:n v="-658.1178647864363"/>
    <x:n v="-0.06202553740864794"/>
  </x:r>
  <x:r>
    <x:s v="INV-00695"/>
    <x:x v="9"/>
    <x:s v="SUP05"/>
    <x:x v="0"/>
    <x:s v="Components"/>
    <x:d v="2026-02-25T00:00:00Z"/>
    <x:n v="46123"/>
    <x:x v="0"/>
    <x:n v="21330.82"/>
    <x:s v="Historical"/>
    <x:s v="SUP05-INV-00695"/>
    <x:n v="45"/>
    <x:s v="Lyon Industrial Controls"/>
    <x:n v="1.1784"/>
    <x:n v="1.3523066330043607"/>
    <x:n v="0.006380075798592312"/>
    <x:n v="1.1784"/>
    <x:x v="694"/>
    <x:x v="6"/>
    <x:n v="1.065"/>
    <x:n v="22717.3233"/>
    <x:n v="2418.914987999997"/>
    <x:n v="0.10647887323943647"/>
  </x:r>
  <x:r>
    <x:s v="INV-00696"/>
    <x:x v="3"/>
    <x:s v="SUP04"/>
    <x:x v="1"/>
    <x:s v="Packaging"/>
    <x:d v="2025-09-19T00:00:00Z"/>
    <x:n v="45949"/>
    <x:x v="0"/>
    <x:n v="4979.87"/>
    <x:s v="Historical"/>
    <x:s v="SUP04-INV-00696"/>
    <x:n v="30"/>
    <x:s v="Nordlicht Packaging"/>
    <x:n v="1.1736"/>
    <x:n v="1.3477262287551677"/>
    <x:n v="0.00675297773174521"/>
    <x:n v="1.1736"/>
    <x:x v="695"/>
    <x:x v="1"/>
    <x:n v="1.088"/>
    <x:n v="5418.09856"/>
    <x:n v="426.27687199999946"/>
    <x:n v="0.0786764705882352"/>
  </x:r>
  <x:r>
    <x:s v="INV-00697"/>
    <x:x v="2"/>
    <x:s v="SUP10"/>
    <x:x v="1"/>
    <x:s v="Services"/>
    <x:d v="2025-05-16T00:00:00Z"/>
    <x:n v="45838"/>
    <x:x v="2"/>
    <x:n v="14162.4"/>
    <x:s v="Historical"/>
    <x:s v="SUP10-INV-00697"/>
    <x:n v="45"/>
    <x:s v="Bristol Calibration Services"/>
    <x:n v="1.1194"/>
    <x:n v="1.3283493532692536"/>
    <x:n v="0.006865378718184605"/>
    <x:n v="1.3283493532692536"/>
    <x:x v="696"/>
    <x:x v="5"/>
    <x:n v="1.26"/>
    <x:n v="17844.624"/>
    <x:n v="967.990880740479"/>
    <x:n v="0.054245518467661694"/>
  </x:r>
  <x:r>
    <x:s v="INV-00698"/>
    <x:x v="1"/>
    <x:s v="SUP15"/>
    <x:x v="1"/>
    <x:s v="Freight"/>
    <x:d v="2025-07-06T00:00:00Z"/>
    <x:n v="45874"/>
    <x:x v="1"/>
    <x:n v="1326438.16"/>
    <x:s v="Historical"/>
    <x:s v="SUP15-INV-00698"/>
    <x:n v="30"/>
    <x:s v="Nagoya Logistics Partners"/>
    <x:n v="1.1724"/>
    <x:n v="1.346966911764706"/>
    <x:n v="0.006797703948512785"/>
    <x:n v="0.006797703948512785"/>
    <x:x v="697"/>
    <x:x v="1"/>
    <x:n v="0.00684"/>
    <x:n v="9072.837014399998"/>
    <x:n v="-56.10309670996503"/>
    <x:n v="-0.00618363325836458"/>
  </x:r>
  <x:r>
    <x:s v="INV-00699"/>
    <x:x v="17"/>
    <x:s v="SUP06"/>
    <x:x v="2"/>
    <x:s v="Software"/>
    <x:d v="2026-07-17T00:00:00Z"/>
    <x:n v="46250"/>
    <x:x v="0"/>
    <x:n v="3547.87"/>
    <x:s v="Historical"/>
    <x:s v="SUP06-INV-00699"/>
    <x:n v="30"/>
    <x:s v="Dublin Systems Licensing"/>
    <x:n v="1.1435"/>
    <x:n v="1.3437448588685985"/>
    <x:n v="0.006159439806086722"/>
    <x:n v="1.1435"/>
    <x:x v="698"/>
    <x:x v="4"/>
    <x:n v="1.101"/>
    <x:n v="3906.20487"/>
    <x:n v="150.78447499999993"/>
    <x:n v="0.0386012715712988"/>
  </x:r>
  <x:r>
    <x:s v="INV-00700"/>
    <x:x v="16"/>
    <x:s v="SUP12"/>
    <x:x v="0"/>
    <x:s v="Components"/>
    <x:d v="2026-03-30T00:00:00Z"/>
    <x:n v="46171"/>
    <x:x v="2"/>
    <x:n v="23195.52"/>
    <x:s v="Historical"/>
    <x:s v="SUP12-INV-00700"/>
    <x:n v="60"/>
    <x:s v="Oxford Technical Materials"/>
    <x:n v="1.1484"/>
    <x:n v="1.3229957489948505"/>
    <x:n v="0.00627129750982962"/>
    <x:n v="1.3229957489948505"/>
    <x:x v="699"/>
    <x:x v="6"/>
    <x:n v="1.249"/>
    <x:n v="28971.204480000004"/>
    <x:n v="1716.3698757250313"/>
    <x:n v="0.05924399439139339"/>
  </x:r>
  <x:r>
    <x:s v="INV-00701"/>
    <x:x v="12"/>
    <x:s v="SUP17"/>
    <x:x v="1"/>
    <x:s v="Packaging"/>
    <x:d v="2026-02-21T00:00:00Z"/>
    <x:n v="46119"/>
    <x:x v="1"/>
    <x:n v="974629.46"/>
    <x:s v="Historical"/>
    <x:s v="SUP17-INV-00701"/>
    <x:n v="45"/>
    <x:s v="Kobe Industrial Packaging"/>
    <x:n v="1.1555"/>
    <x:n v="1.3367963164349013"/>
    <x:n v="0.006298375667720483"/>
    <x:n v="0.006298375667720483"/>
    <x:x v="700"/>
    <x:x v="6"/>
    <x:n v="0.00646"/>
    <x:n v="6296.1063116"/>
    <x:n v="-157.52383569244557"/>
    <x:n v="-0.025019246482897266"/>
  </x:r>
  <x:r>
    <x:s v="INV-00702"/>
    <x:x v="4"/>
    <x:s v="SUP08"/>
    <x:x v="0"/>
    <x:s v="Components"/>
    <x:d v="2026-06-15T00:00:00Z"/>
    <x:n v="46218"/>
    <x:x v="0"/>
    <x:n v="13510.82"/>
    <x:s v="Historical"/>
    <x:s v="SUP08-INV-00702"/>
    <x:n v="30"/>
    <x:s v="Valencia Circuit Supply"/>
    <x:n v="1.1607"/>
    <x:n v="1.3421134789496203"/>
    <x:n v="0.0062426719733232935"/>
    <x:n v="1.1607"/>
    <x:x v="701"/>
    <x:x v="0"/>
    <x:n v="1.083"/>
    <x:n v="14632.21806"/>
    <x:n v="1049.7907140000007"/>
    <x:n v="0.07174515235457068"/>
  </x:r>
  <x:r>
    <x:s v="INV-00703"/>
    <x:x v="4"/>
    <x:s v="SUP08"/>
    <x:x v="0"/>
    <x:s v="Components"/>
    <x:d v="2025-02-24T00:00:00Z"/>
    <x:n v="45742"/>
    <x:x v="0"/>
    <x:n v="4750.88"/>
    <x:s v="Historical"/>
    <x:s v="SUP08-INV-00703"/>
    <x:n v="30"/>
    <x:s v="Valencia Circuit Supply"/>
    <x:n v="1.0466"/>
    <x:n v="1.2635518531932874"/>
    <x:n v="0.0066743192398443976"/>
    <x:n v="1.0466"/>
    <x:x v="702"/>
    <x:x v="3"/>
    <x:n v="1.052"/>
    <x:n v="4997.92576"/>
    <x:n v="-25.65475200000037"/>
    <x:n v="-0.005133079847908819"/>
  </x:r>
  <x:r>
    <x:s v="INV-00704"/>
    <x:x v="8"/>
    <x:s v="SUP13"/>
    <x:x v="0"/>
    <x:s v="Components"/>
    <x:d v="2026-01-03T00:00:00Z"/>
    <x:n v="46070"/>
    <x:x v="1"/>
    <x:n v="2342069.21"/>
    <x:s v="Historical"/>
    <x:s v="SUP13-INV-00704"/>
    <x:n v="45"/>
    <x:s v="Osaka Microdevices"/>
    <x:n v="1.1555"/>
    <x:n v="1.3367963164349013"/>
    <x:n v="0.006298375667720483"/>
    <x:n v="0.006298375667720483"/>
    <x:x v="703"/>
    <x:x v="6"/>
    <x:n v="0.00646"/>
    <x:n v="15129.767096599999"/>
    <x:n v="-378.53537221866463"/>
    <x:n v="-0.025019246482897287"/>
  </x:r>
  <x:r>
    <x:s v="INV-00705"/>
    <x:x v="8"/>
    <x:s v="SUP13"/>
    <x:x v="0"/>
    <x:s v="Components"/>
    <x:d v="2026-09-15T00:00:00Z"/>
    <x:n v="46325"/>
    <x:x v="1"/>
    <x:n v="1918261.26"/>
    <x:s v="Historical"/>
    <x:s v="SUP13-INV-00705"/>
    <x:n v="45"/>
    <x:s v="Osaka Microdevices"/>
    <x:n v="1.1539"/>
    <x:n v="1.3483290488431876"/>
    <x:n v="0.0064514145141451405"/>
    <x:n v="0.0064514145141451405"/>
    <x:x v="704"/>
    <x:x v="4"/>
    <x:n v="0.00674"/>
    <x:n v="12929.080892400001"/>
    <x:n v="-553.5823577136562"/>
    <x:n v="-0.042816837663925834"/>
  </x:r>
  <x:r>
    <x:s v="INV-00706"/>
    <x:x v="4"/>
    <x:s v="SUP08"/>
    <x:x v="0"/>
    <x:s v="Components"/>
    <x:d v="2026-05-26T00:00:00Z"/>
    <x:n v="46198"/>
    <x:x v="0"/>
    <x:n v="30577.15"/>
    <x:s v="Historical"/>
    <x:s v="SUP08-INV-00706"/>
    <x:n v="30"/>
    <x:s v="Valencia Circuit Supply"/>
    <x:n v="1.1634"/>
    <x:n v="1.346917510853835"/>
    <x:n v="0.006281179138321996"/>
    <x:n v="1.1634"/>
    <x:x v="705"/>
    <x:x v="0"/>
    <x:n v="1.083"/>
    <x:n v="33115.05345"/>
    <x:n v="2458.402860000002"/>
    <x:n v="0.07423822714681447"/>
  </x:r>
  <x:r>
    <x:s v="INV-00707"/>
    <x:x v="5"/>
    <x:s v="SUP09"/>
    <x:x v="0"/>
    <x:s v="Components"/>
    <x:d v="2026-08-09T00:00:00Z"/>
    <x:n v="46273"/>
    <x:x v="2"/>
    <x:n v="27242.53"/>
    <x:s v="Historical"/>
    <x:s v="SUP09-INV-00707"/>
    <x:n v="30"/>
    <x:s v="Thames Electronics Ltd"/>
    <x:n v="1.1535"/>
    <x:n v="1.3449542354107153"/>
    <x:n v="0.006315703022339028"/>
    <x:n v="1.3449542354107153"/>
    <x:x v="706"/>
    <x:x v="4"/>
    <x:n v="1.293"/>
    <x:n v="35224.59129"/>
    <x:n v="1415.3648168034779"/>
    <x:n v="0.04018115654347676"/>
  </x:r>
  <x:r>
    <x:s v="INV-00708"/>
    <x:x v="1"/>
    <x:s v="SUP15"/>
    <x:x v="1"/>
    <x:s v="Freight"/>
    <x:d v="2025-01-15T00:00:00Z"/>
    <x:n v="45702"/>
    <x:x v="1"/>
    <x:n v="1470058.04"/>
    <x:s v="Historical"/>
    <x:s v="SUP15-INV-00708"/>
    <x:n v="30"/>
    <x:s v="Nagoya Logistics Partners"/>
    <x:n v="1.03"/>
    <x:n v="1.2216384187491844"/>
    <x:n v="0.006367851622874807"/>
    <x:n v="0.006367851622874807"/>
    <x:x v="707"/>
    <x:x v="3"/>
    <x:n v="0.00656"/>
    <x:n v="9643.5807424"/>
    <x:n v="-282.46926666584113"/>
    <x:n v="-0.029290911147132986"/>
  </x:r>
  <x:r>
    <x:s v="INV-00709"/>
    <x:x v="14"/>
    <x:s v="SUP07"/>
    <x:x v="0"/>
    <x:s v="Equipment"/>
    <x:d v="2026-04-19T00:00:00Z"/>
    <x:n v="46191"/>
    <x:x v="0"/>
    <x:n v="24587.23"/>
    <x:s v="Historical"/>
    <x:s v="SUP07-INV-00709"/>
    <x:n v="60"/>
    <x:s v="Milan Assembly Robotics"/>
    <x:n v="1.1797"/>
    <x:n v="1.3533636196769456"/>
    <x:n v="0.006284359684636693"/>
    <x:n v="1.1797"/>
    <x:x v="708"/>
    <x:x v="0"/>
    <x:n v="1.083"/>
    <x:n v="26627.97009"/>
    <x:n v="2377.5851409999996"/>
    <x:n v="0.08928901200369344"/>
  </x:r>
  <x:r>
    <x:s v="INV-00710"/>
    <x:x v="10"/>
    <x:s v="SUP02"/>
    <x:x v="0"/>
    <x:s v="Equipment"/>
    <x:d v="2025-01-07T00:00:00Z"/>
    <x:n v="45709"/>
    <x:x v="0"/>
    <x:n v="41964.8"/>
    <x:s v="Historical"/>
    <x:s v="SUP02-INV-00710"/>
    <x:n v="45"/>
    <x:s v="Alpen Precision Systems"/>
    <x:n v="1.0393"/>
    <x:n v="1.2534523307001144"/>
    <x:n v="0.006342609544733308"/>
    <x:n v="1.0393"/>
    <x:x v="709"/>
    <x:x v="3"/>
    <x:n v="1.052"/>
    <x:n v="44146.969600000004"/>
    <x:n v="-532.9529600000023"/>
    <x:n v="-0.012072243346007656"/>
  </x:r>
  <x:r>
    <x:s v="INV-00711"/>
    <x:x v="10"/>
    <x:s v="SUP02"/>
    <x:x v="0"/>
    <x:s v="Equipment"/>
    <x:d v="2025-11-01T00:00:00Z"/>
    <x:n v="46007"/>
    <x:x v="0"/>
    <x:n v="62891.69"/>
    <x:s v="Historical"/>
    <x:s v="SUP02-INV-00711"/>
    <x:n v="45"/>
    <x:s v="Alpen Precision Systems"/>
    <x:n v="1.1489"/>
    <x:n v="1.3299300828818819"/>
    <x:n v="0.006296722569330264"/>
    <x:n v="1.1489"/>
    <x:x v="710"/>
    <x:x v="7"/>
    <x:n v="1.106"/>
    <x:n v="69558.20914"/>
    <x:n v="2698.053501000002"/>
    <x:n v="0.03878842676311033"/>
  </x:r>
  <x:r>
    <x:s v="INV-00712"/>
    <x:x v="3"/>
    <x:s v="SUP04"/>
    <x:x v="1"/>
    <x:s v="Packaging"/>
    <x:d v="2026-07-07T00:00:00Z"/>
    <x:n v="46240"/>
    <x:x v="0"/>
    <x:n v="11397.19"/>
    <x:s v="Historical"/>
    <x:s v="SUP04-INV-00712"/>
    <x:n v="30"/>
    <x:s v="Nordlicht Packaging"/>
    <x:n v="1.1433"/>
    <x:n v="1.3385863647539544"/>
    <x:n v="0.006176994975417364"/>
    <x:n v="1.1433"/>
    <x:x v="711"/>
    <x:x v="4"/>
    <x:n v="1.101"/>
    <x:n v="12548.306190000001"/>
    <x:n v="482.10113699999965"/>
    <x:n v="0.038419618528610325"/>
  </x:r>
  <x:r>
    <x:s v="INV-00713"/>
    <x:x v="1"/>
    <x:s v="SUP15"/>
    <x:x v="1"/>
    <x:s v="Freight"/>
    <x:d v="2025-07-08T00:00:00Z"/>
    <x:n v="45876"/>
    <x:x v="1"/>
    <x:n v="1700282.35"/>
    <x:s v="Historical"/>
    <x:s v="SUP15-INV-00713"/>
    <x:n v="30"/>
    <x:s v="Nagoya Logistics Partners"/>
    <x:n v="1.1718"/>
    <x:n v="1.357506950880445"/>
    <x:n v="0.006824694234129296"/>
    <x:n v="0.006824694234129296"/>
    <x:x v="712"/>
    <x:x v="1"/>
    <x:n v="0.00684"/>
    <x:n v="11629.931274"/>
    <x:n v="-26.024123563191097"/>
    <x:n v="-0.002237685068816435"/>
  </x:r>
  <x:r>
    <x:s v="INV-00714"/>
    <x:x v="10"/>
    <x:s v="SUP02"/>
    <x:x v="0"/>
    <x:s v="Equipment"/>
    <x:d v="2025-10-11T00:00:00Z"/>
    <x:n v="45986"/>
    <x:x v="0"/>
    <x:n v="22324.36"/>
    <x:s v="Historical"/>
    <x:s v="SUP02-INV-00714"/>
    <x:n v="45"/>
    <x:s v="Alpen Precision Systems"/>
    <x:n v="1.1845"/>
    <x:n v="1.3577487391104999"/>
    <x:n v="0.0065085993735919554"/>
    <x:n v="1.1845"/>
    <x:x v="713"/>
    <x:x v="7"/>
    <x:n v="1.106"/>
    <x:n v="24690.74216"/>
    <x:n v="1752.4622600000002"/>
    <x:n v="0.07097649186256781"/>
  </x:r>
  <x:r>
    <x:s v="INV-00715"/>
    <x:x v="1"/>
    <x:s v="SUP15"/>
    <x:x v="1"/>
    <x:s v="Freight"/>
    <x:d v="2026-03-28T00:00:00Z"/>
    <x:n v="46139"/>
    <x:x v="1"/>
    <x:n v="2386514.89"/>
    <x:s v="Historical"/>
    <x:s v="SUP15-INV-00715"/>
    <x:n v="30"/>
    <x:s v="Nagoya Logistics Partners"/>
    <x:n v="1.1517"/>
    <x:n v="1.3280673431734318"/>
    <x:n v="0.006253801042571677"/>
    <x:n v="0.006253801042571677"/>
    <x:x v="714"/>
    <x:x v="6"/>
    <x:n v="0.00646"/>
    <x:n v="15416.8861894"/>
    <x:n v="-492.0968822051691"/>
    <x:n v="-0.03191934325515837"/>
  </x:r>
  <x:r>
    <x:s v="INV-00716"/>
    <x:x v="8"/>
    <x:s v="SUP13"/>
    <x:x v="0"/>
    <x:s v="Components"/>
    <x:d v="2025-03-20T00:00:00Z"/>
    <x:n v="45781"/>
    <x:x v="1"/>
    <x:n v="3909796.61"/>
    <x:s v="Historical"/>
    <x:s v="SUP13-INV-00716"/>
    <x:n v="45"/>
    <x:s v="Osaka Microdevices"/>
    <x:n v="1.0833"/>
    <x:n v="1.2944198829011828"/>
    <x:n v="0.006734846129934722"/>
    <x:n v="0.006734846129934722"/>
    <x:x v="715"/>
    <x:x v="3"/>
    <x:n v="0.00656"/>
    <x:n v="25648.2657616"/>
    <x:n v="683.6128060903939"/>
    <x:n v="0.026653373465658773"/>
  </x:r>
  <x:r>
    <x:s v="INV-00717"/>
    <x:x v="10"/>
    <x:s v="SUP02"/>
    <x:x v="0"/>
    <x:s v="Equipment"/>
    <x:d v="2026-02-07T00:00:00Z"/>
    <x:n v="46105"/>
    <x:x v="0"/>
    <x:n v="53572.94"/>
    <x:s v="Historical"/>
    <x:s v="SUP02-INV-00717"/>
    <x:n v="45"/>
    <x:s v="Alpen Precision Systems"/>
    <x:n v="1.1555"/>
    <x:n v="1.3367963164349013"/>
    <x:n v="0.006298375667720483"/>
    <x:n v="1.1555"/>
    <x:x v="716"/>
    <x:x v="6"/>
    <x:n v="1.065"/>
    <x:n v="57055.1811"/>
    <x:n v="4848.351069999997"/>
    <x:n v="0.08497652582159619"/>
  </x:r>
  <x:r>
    <x:s v="INV-00718"/>
    <x:x v="0"/>
    <x:s v="SUP01"/>
    <x:x v="0"/>
    <x:s v="Components"/>
    <x:d v="2026-07-06T00:00:00Z"/>
    <x:n v="46239"/>
    <x:x v="0"/>
    <x:n v="11325.11"/>
    <x:s v="Historical"/>
    <x:s v="SUP01-INV-00718"/>
    <x:n v="30"/>
    <x:s v="Rhein Circuit Components"/>
    <x:n v="1.1415"/>
    <x:n v="1.3344946105824311"/>
    <x:n v="0.0061599481949166255"/>
    <x:n v="1.1415"/>
    <x:x v="717"/>
    <x:x v="4"/>
    <x:n v="1.101"/>
    <x:n v="12468.94611"/>
    <x:n v="458.6669549999988"/>
    <x:n v="0.03678474114441407"/>
  </x:r>
  <x:r>
    <x:s v="INV-00719"/>
    <x:x v="0"/>
    <x:s v="SUP01"/>
    <x:x v="0"/>
    <x:s v="Components"/>
    <x:d v="2026-08-02T00:00:00Z"/>
    <x:n v="46266"/>
    <x:x v="0"/>
    <x:n v="30048.05"/>
    <x:s v="Historical"/>
    <x:s v="SUP01-INV-00719"/>
    <x:n v="30"/>
    <x:s v="Rhein Circuit Components"/>
    <x:n v="1.1485"/>
    <x:n v="1.3421289425402874"/>
    <x:n v="0.006240830299407705"/>
    <x:n v="1.1485"/>
    <x:x v="718"/>
    <x:x v="4"/>
    <x:n v="1.101"/>
    <x:n v="33082.90305"/>
    <x:n v="1427.2823750000025"/>
    <x:n v="0.04314259763851052"/>
  </x:r>
  <x:r>
    <x:s v="INV-00720"/>
    <x:x v="15"/>
    <x:s v="SUP18"/>
    <x:x v="1"/>
    <x:s v="Services"/>
    <x:d v="2025-05-23T00:00:00Z"/>
    <x:n v="45830"/>
    <x:x v="1"/>
    <x:n v="993169.39"/>
    <x:s v="Historical"/>
    <x:s v="SUP18-INV-00720"/>
    <x:n v="30"/>
    <x:s v="Yokohama Engineering Labs"/>
    <x:n v="1.1301"/>
    <x:n v="1.3482462419470296"/>
    <x:n v="0.007013591509960902"/>
    <x:n v="0.007013591509960902"/>
    <x:x v="719"/>
    <x:x v="5"/>
    <x:n v="0.0067"/>
    <x:n v="6654.234913"/>
    <x:n v="311.4494886570483"/>
    <x:n v="0.04680470297923915"/>
  </x:r>
  <x:r>
    <x:s v="INV-00721"/>
    <x:x v="4"/>
    <x:s v="SUP08"/>
    <x:x v="0"/>
    <x:s v="Components"/>
    <x:d v="2026-08-09T00:00:00Z"/>
    <x:n v="46273"/>
    <x:x v="0"/>
    <x:n v="24897.59"/>
    <x:s v="Historical"/>
    <x:s v="SUP08-INV-00721"/>
    <x:n v="30"/>
    <x:s v="Valencia Circuit Supply"/>
    <x:n v="1.1535"/>
    <x:n v="1.3449542354107153"/>
    <x:n v="0.006315703022339028"/>
    <x:n v="1.1535"/>
    <x:x v="720"/>
    <x:x v="4"/>
    <x:n v="1.101"/>
    <x:n v="27412.24659"/>
    <x:n v="1307.1234750000003"/>
    <x:n v="0.04768392370572209"/>
  </x:r>
  <x:r>
    <x:s v="INV-00722"/>
    <x:x v="2"/>
    <x:s v="SUP10"/>
    <x:x v="1"/>
    <x:s v="Services"/>
    <x:d v="2026-01-01T00:00:00Z"/>
    <x:n v="46068"/>
    <x:x v="2"/>
    <x:n v="6435.1"/>
    <x:s v="Historical"/>
    <x:s v="SUP10-INV-00722"/>
    <x:n v="45"/>
    <x:s v="Bristol Calibration Services"/>
    <x:n v="1.1555"/>
    <x:n v="1.3367963164349013"/>
    <x:n v="0.006298375667720483"/>
    <x:n v="1.3367963164349013"/>
    <x:x v="721"/>
    <x:x v="6"/>
    <x:n v="1.249"/>
    <x:n v="8037.439900000001"/>
    <x:n v="564.9780758902325"/>
    <x:n v="0.07029328777814343"/>
  </x:r>
  <x:r>
    <x:s v="INV-00723"/>
    <x:x v="10"/>
    <x:s v="SUP02"/>
    <x:x v="0"/>
    <x:s v="Equipment"/>
    <x:d v="2025-09-18T00:00:00Z"/>
    <x:n v="45963"/>
    <x:x v="0"/>
    <x:n v="53464.64"/>
    <x:s v="Historical"/>
    <x:s v="SUP02-INV-00723"/>
    <x:n v="45"/>
    <x:s v="Alpen Precision Systems"/>
    <x:n v="1.1818"/>
    <x:n v="1.361520737327189"/>
    <x:n v="0.006782598714416895"/>
    <x:n v="1.1818"/>
    <x:x v="722"/>
    <x:x v="1"/>
    <x:n v="1.088"/>
    <x:n v="58169.528320000005"/>
    <x:n v="5014.983231999991"/>
    <x:n v="0.0862132352941175"/>
  </x:r>
  <x:r>
    <x:s v="INV-00724"/>
    <x:x v="3"/>
    <x:s v="SUP04"/>
    <x:x v="1"/>
    <x:s v="Packaging"/>
    <x:d v="2025-03-30T00:00:00Z"/>
    <x:n v="45776"/>
    <x:x v="0"/>
    <x:n v="10758.59"/>
    <x:s v="Historical"/>
    <x:s v="SUP04-INV-00724"/>
    <x:n v="30"/>
    <x:s v="Nordlicht Packaging"/>
    <x:n v="1.1194"/>
    <x:n v="1.3283493532692536"/>
    <x:n v="0.006865378718184605"/>
    <x:n v="1.1194"/>
    <x:x v="723"/>
    <x:x v="3"/>
    <x:n v="1.052"/>
    <x:n v="11318.036680000001"/>
    <x:n v="725.1289659999984"/>
    <x:n v="0.06406844106463863"/>
  </x:r>
  <x:r>
    <x:s v="INV-00725"/>
    <x:x v="5"/>
    <x:s v="SUP09"/>
    <x:x v="0"/>
    <x:s v="Components"/>
    <x:d v="2025-10-05T00:00:00Z"/>
    <x:n v="45965"/>
    <x:x v="2"/>
    <x:n v="24962.97"/>
    <x:s v="Historical"/>
    <x:s v="SUP09-INV-00725"/>
    <x:n v="30"/>
    <x:s v="Thames Electronics Ltd"/>
    <x:n v="1.1894"/>
    <x:n v="1.3679125934445082"/>
    <x:n v="0.006446263075172078"/>
    <x:n v="1.3679125934445082"/>
    <x:x v="724"/>
    <x:x v="7"/>
    <x:n v="1.304"/>
    <x:n v="32551.712880000003"/>
    <x:n v="1595.4481527774515"/>
    <x:n v="0.04901272503413195"/>
  </x:r>
  <x:r>
    <x:s v="INV-00726"/>
    <x:x v="2"/>
    <x:s v="SUP10"/>
    <x:x v="1"/>
    <x:s v="Services"/>
    <x:d v="2026-11-09T00:00:00Z"/>
    <x:n v="46380"/>
    <x:x v="2"/>
    <x:n v="11658.58"/>
    <x:s v="Planned"/>
    <x:s v="SUP10-INV-00726"/>
    <x:n v="45"/>
    <x:s v="Bristol Calibration Services"/>
    <x:n v="1.1177"/>
    <x:n v="1.320456022210408"/>
    <x:n v="0.00632004523607577"/>
    <x:n v="1.320456022210408"/>
    <x:x v="725"/>
    <x:x v="2"/>
    <x:n v="1.315"/>
    <x:n v="15331.0327"/>
    <x:n v="63.60947142181976"/>
    <x:n v="0.0041490663197019835"/>
  </x:r>
  <x:r>
    <x:s v="INV-00727"/>
    <x:x v="5"/>
    <x:s v="SUP09"/>
    <x:x v="0"/>
    <x:s v="Components"/>
    <x:d v="2025-01-17T00:00:00Z"/>
    <x:n v="45704"/>
    <x:x v="2"/>
    <x:n v="29946.34"/>
    <x:s v="Historical"/>
    <x:s v="SUP09-INV-00727"/>
    <x:n v="30"/>
    <x:s v="Thames Electronics Ltd"/>
    <x:n v="1.0298"/>
    <x:n v="1.2193764579115012"/>
    <x:n v="0.006427011171441054"/>
    <x:n v="1.2193764579115012"/>
    <x:x v="726"/>
    <x:x v="3"/>
    <x:n v="1.238"/>
    <x:n v="37073.56892"/>
    <x:n v="-557.7069233864968"/>
    <x:n v="-0.01504324885985368"/>
  </x:r>
  <x:r>
    <x:s v="INV-00728"/>
    <x:x v="6"/>
    <x:s v="SUP16"/>
    <x:x v="0"/>
    <x:s v="Components"/>
    <x:d v="2025-05-22T00:00:00Z"/>
    <x:n v="45829"/>
    <x:x v="1"/>
    <x:n v="2506139.79"/>
    <x:s v="Historical"/>
    <x:s v="SUP16-INV-00728"/>
    <x:n v="30"/>
    <x:s v="Kyoto Optical Instruments"/>
    <x:n v="1.1309"/>
    <x:n v="1.341995965349472"/>
    <x:n v="0.006972686355508971"/>
    <x:n v="0.006972686355508971"/>
    <x:x v="727"/>
    <x:x v="5"/>
    <x:n v="0.0067"/>
    <x:n v="16791.136593"/>
    <x:n v="683.390125731119"/>
    <x:n v="0.04069945604611514"/>
  </x:r>
  <x:r>
    <x:s v="INV-00729"/>
    <x:x v="6"/>
    <x:s v="SUP16"/>
    <x:x v="0"/>
    <x:s v="Components"/>
    <x:d v="2025-02-17T00:00:00Z"/>
    <x:n v="45735"/>
    <x:x v="1"/>
    <x:n v="919707.99"/>
    <x:s v="Historical"/>
    <x:s v="SUP16-INV-00729"/>
    <x:n v="30"/>
    <x:s v="Kyoto Optical Instruments"/>
    <x:n v="1.0473"/>
    <x:n v="1.2597885316300386"/>
    <x:n v="0.006600491586311212"/>
    <x:n v="0.006600491586311212"/>
    <x:x v="728"/>
    <x:x v="3"/>
    <x:n v="0.00656"/>
    <x:n v="6033.2844144"/>
    <x:n v="37.24043545819677"/>
    <x:n v="0.00617249791329459"/>
  </x:r>
  <x:r>
    <x:s v="INV-00730"/>
    <x:x v="6"/>
    <x:s v="SUP16"/>
    <x:x v="0"/>
    <x:s v="Components"/>
    <x:d v="2025-08-01T00:00:00Z"/>
    <x:n v="45900"/>
    <x:x v="1"/>
    <x:n v="3571762.86"/>
    <x:s v="Historical"/>
    <x:s v="SUP16-INV-00730"/>
    <x:n v="30"/>
    <x:s v="Kyoto Optical Instruments"/>
    <x:n v="1.1404"/>
    <x:n v="1.3160992498557416"/>
    <x:n v="0.006645300390420139"/>
    <x:n v="0.006645300390420139"/>
    <x:x v="729"/>
    <x:x v="1"/>
    <x:n v="0.00684"/>
    <x:n v="24430.857962399998"/>
    <x:n v="-695.4208343538485"/>
    <x:n v="-0.0284648552017341"/>
  </x:r>
  <x:r>
    <x:s v="INV-00731"/>
    <x:x v="6"/>
    <x:s v="SUP16"/>
    <x:x v="0"/>
    <x:s v="Components"/>
    <x:d v="2026-10-08T00:00:00Z"/>
    <x:n v="46333"/>
    <x:x v="1"/>
    <x:n v="2027961.78"/>
    <x:s v="Planned"/>
    <x:s v="SUP16-INV-00731"/>
    <x:n v="30"/>
    <x:s v="Kyoto Optical Instruments"/>
    <x:n v="1.1177"/>
    <x:n v="1.320456022210408"/>
    <x:n v="0.00632004523607577"/>
    <x:n v="0.00632004523607577"/>
    <x:x v="730"/>
    <x:x v="2"/>
    <x:n v="0.00688"/>
    <x:n v="13952.377046399999"/>
    <x:n v="-1135.5668597672611"/>
    <x:n v="-0.08138877382619622"/>
  </x:r>
  <x:r>
    <x:s v="INV-00732"/>
    <x:x v="3"/>
    <x:s v="SUP04"/>
    <x:x v="1"/>
    <x:s v="Packaging"/>
    <x:d v="2026-01-10T00:00:00Z"/>
    <x:n v="46062"/>
    <x:x v="0"/>
    <x:n v="5797.25"/>
    <x:s v="Historical"/>
    <x:s v="SUP04-INV-00732"/>
    <x:n v="30"/>
    <x:s v="Nordlicht Packaging"/>
    <x:n v="1.1555"/>
    <x:n v="1.3367963164349013"/>
    <x:n v="0.006298375667720483"/>
    <x:n v="1.1555"/>
    <x:x v="731"/>
    <x:x v="6"/>
    <x:n v="1.065"/>
    <x:n v="6174.07125"/>
    <x:n v="524.6511250000003"/>
    <x:n v="0.0849765258215963"/>
  </x:r>
  <x:r>
    <x:s v="INV-00733"/>
    <x:x v="6"/>
    <x:s v="SUP16"/>
    <x:x v="0"/>
    <x:s v="Components"/>
    <x:d v="2025-02-18T00:00:00Z"/>
    <x:n v="45736"/>
    <x:x v="1"/>
    <x:n v="4849643.96"/>
    <x:s v="Historical"/>
    <x:s v="SUP16-INV-00733"/>
    <x:n v="30"/>
    <x:s v="Kyoto Optical Instruments"/>
    <x:n v="1.0447"/>
    <x:n v="1.2582956940680516"/>
    <x:n v="0.006589088615578681"/>
    <x:n v="0.006589088615578681"/>
    <x:x v="732"/>
    <x:x v="3"/>
    <x:n v="0.00656"/>
    <x:n v="31813.6643776"/>
    <x:n v="141.06942884591263"/>
    <x:n v="0.0044342401796769945"/>
  </x:r>
  <x:r>
    <x:s v="INV-00734"/>
    <x:x v="7"/>
    <x:s v="SUP03"/>
    <x:x v="0"/>
    <x:s v="Components"/>
    <x:d v="2025-12-24T00:00:00Z"/>
    <x:n v="46045"/>
    <x:x v="0"/>
    <x:n v="14822.4"/>
    <x:s v="Historical"/>
    <x:s v="SUP03-INV-00734"/>
    <x:n v="30"/>
    <x:s v="Benelux Sensor Works"/>
    <x:n v="1.1787"/>
    <x:n v="1.350326497880628"/>
    <x:n v="0.006411902301039003"/>
    <x:n v="1.1787"/>
    <x:x v="733"/>
    <x:x v="7"/>
    <x:n v="1.106"/>
    <x:n v="16393.5744"/>
    <x:n v="1077.5884799999985"/>
    <x:n v="0.06573236889692577"/>
  </x:r>
  <x:r>
    <x:s v="INV-00735"/>
    <x:x v="5"/>
    <x:s v="SUP09"/>
    <x:x v="0"/>
    <x:s v="Components"/>
    <x:d v="2026-03-13T00:00:00Z"/>
    <x:n v="46124"/>
    <x:x v="2"/>
    <x:n v="29501.97"/>
    <x:s v="Historical"/>
    <x:s v="SUP09-INV-00735"/>
    <x:n v="30"/>
    <x:s v="Thames Electronics Ltd"/>
    <x:n v="1.1476"/>
    <x:n v="1.3266591910107164"/>
    <x:n v="0.0062761826633852885"/>
    <x:n v="1.3266591910107164"/>
    <x:x v="734"/>
    <x:x v="6"/>
    <x:n v="1.249"/>
    <x:n v="36847.960530000004"/>
    <x:n v="2291.0991234224202"/>
    <x:n v="0.06217709448416032"/>
  </x:r>
  <x:r>
    <x:s v="INV-00736"/>
    <x:x v="5"/>
    <x:s v="SUP09"/>
    <x:x v="0"/>
    <x:s v="Components"/>
    <x:d v="2026-09-23T00:00:00Z"/>
    <x:n v="46318"/>
    <x:x v="2"/>
    <x:n v="14290.98"/>
    <x:s v="Historical"/>
    <x:s v="SUP09-INV-00736"/>
    <x:n v="30"/>
    <x:s v="Thames Electronics Ltd"/>
    <x:n v="1.1411"/>
    <x:n v="1.327632344386271"/>
    <x:n v="0.006332408435072143"/>
    <x:n v="1.327632344386271"/>
    <x:x v="735"/>
    <x:x v="4"/>
    <x:n v="1.293"/>
    <x:n v="18478.237139999997"/>
    <x:n v="494.9301409773143"/>
    <x:n v="0.02678448908450984"/>
  </x:r>
  <x:r>
    <x:s v="INV-00737"/>
    <x:x v="3"/>
    <x:s v="SUP04"/>
    <x:x v="1"/>
    <x:s v="Packaging"/>
    <x:d v="2026-06-27T00:00:00Z"/>
    <x:n v="46230"/>
    <x:x v="0"/>
    <x:n v="2976.85"/>
    <x:s v="Historical"/>
    <x:s v="SUP04-INV-00737"/>
    <x:n v="30"/>
    <x:s v="Nordlicht Packaging"/>
    <x:n v="1.1401"/>
    <x:n v="1.3218090964951943"/>
    <x:n v="0.006186109603906673"/>
    <x:n v="1.1401"/>
    <x:x v="736"/>
    <x:x v="0"/>
    <x:n v="1.083"/>
    <x:n v="3223.9285499999996"/>
    <x:n v="169.97813499999984"/>
    <x:n v="0.05272391505078481"/>
  </x:r>
  <x:r>
    <x:s v="INV-00738"/>
    <x:x v="5"/>
    <x:s v="SUP09"/>
    <x:x v="0"/>
    <x:s v="Components"/>
    <x:d v="2025-10-02T00:00:00Z"/>
    <x:n v="45962"/>
    <x:x v="2"/>
    <x:n v="14466.94"/>
    <x:s v="Historical"/>
    <x:s v="SUP09-INV-00738"/>
    <x:n v="30"/>
    <x:s v="Thames Electronics Ltd"/>
    <x:n v="1.1754"/>
    <x:n v="1.347781217750258"/>
    <x:n v="0.0068127282211789255"/>
    <x:n v="1.347781217750258"/>
    <x:x v="737"/>
    <x:x v="7"/>
    <x:n v="1.304"/>
    <x:n v="18864.889760000002"/>
    <x:n v="633.3802503199149"/>
    <x:n v="0.03357455348946152"/>
  </x:r>
  <x:r>
    <x:s v="INV-00739"/>
    <x:x v="11"/>
    <x:s v="SUP14"/>
    <x:x v="0"/>
    <x:s v="Equipment"/>
    <x:d v="2025-01-31T00:00:00Z"/>
    <x:n v="45748"/>
    <x:x v="1"/>
    <x:n v="4693929.29"/>
    <x:s v="Historical"/>
    <x:s v="SUP14-INV-00739"/>
    <x:n v="60"/>
    <x:s v="Tokyo Automation Systems"/>
    <x:n v="1.0393"/>
    <x:n v="1.2430628647976267"/>
    <x:n v="0.006455680477048263"/>
    <x:n v="0.006455680477048263"/>
    <x:x v="738"/>
    <x:x v="3"/>
    <x:n v="0.00656"/>
    <x:n v="30792.1761424"/>
    <x:n v="-489.6684643019835"/>
    <x:n v="-0.015902366303618378"/>
  </x:r>
  <x:r>
    <x:s v="INV-00740"/>
    <x:x v="3"/>
    <x:s v="SUP04"/>
    <x:x v="1"/>
    <x:s v="Packaging"/>
    <x:d v="2025-02-12T00:00:00Z"/>
    <x:n v="45730"/>
    <x:x v="0"/>
    <x:n v="5282.64"/>
    <x:s v="Historical"/>
    <x:s v="SUP04-INV-00740"/>
    <x:n v="30"/>
    <x:s v="Nordlicht Packaging"/>
    <x:n v="1.037"/>
    <x:n v="1.2443303175022198"/>
    <x:n v="0.006513000879286522"/>
    <x:n v="1.037"/>
    <x:x v="739"/>
    <x:x v="3"/>
    <x:n v="1.052"/>
    <x:n v="5557.337280000001"/>
    <x:n v="-79.23960000000079"/>
    <x:n v="-0.014258555133079989"/>
  </x:r>
  <x:r>
    <x:s v="INV-00741"/>
    <x:x v="17"/>
    <x:s v="SUP06"/>
    <x:x v="2"/>
    <x:s v="Software"/>
    <x:d v="2025-02-24T00:00:00Z"/>
    <x:n v="45742"/>
    <x:x v="0"/>
    <x:n v="2498.3"/>
    <x:s v="Historical"/>
    <x:s v="SUP06-INV-00741"/>
    <x:n v="30"/>
    <x:s v="Dublin Systems Licensing"/>
    <x:n v="1.0466"/>
    <x:n v="1.2635518531932874"/>
    <x:n v="0.0066743192398443976"/>
    <x:n v="1.0466"/>
    <x:x v="740"/>
    <x:x v="3"/>
    <x:n v="1.052"/>
    <x:n v="2628.2116"/>
    <x:n v="-13.490819999999985"/>
    <x:n v="-0.005133079847908739"/>
  </x:r>
  <x:r>
    <x:s v="INV-00742"/>
    <x:x v="3"/>
    <x:s v="SUP04"/>
    <x:x v="1"/>
    <x:s v="Packaging"/>
    <x:d v="2025-12-17T00:00:00Z"/>
    <x:n v="46038"/>
    <x:x v="0"/>
    <x:n v="5019.05"/>
    <x:s v="Historical"/>
    <x:s v="SUP04-INV-00742"/>
    <x:n v="30"/>
    <x:s v="Nordlicht Packaging"/>
    <x:n v="1.1722"/>
    <x:n v="1.3343198634035287"/>
    <x:n v="0.00642723982892861"/>
    <x:n v="1.1722"/>
    <x:x v="741"/>
    <x:x v="7"/>
    <x:n v="1.106"/>
    <x:n v="5551.069300000001"/>
    <x:n v="332.26110999999855"/>
    <x:n v="0.05985533453887857"/>
  </x:r>
  <x:r>
    <x:s v="INV-00743"/>
    <x:x v="3"/>
    <x:s v="SUP04"/>
    <x:x v="1"/>
    <x:s v="Packaging"/>
    <x:d v="2026-05-17T00:00:00Z"/>
    <x:n v="46189"/>
    <x:x v="0"/>
    <x:n v="1794.62"/>
    <x:s v="Historical"/>
    <x:s v="SUP04-INV-00743"/>
    <x:n v="30"/>
    <x:s v="Nordlicht Packaging"/>
    <x:n v="1.1628"/>
    <x:n v="1.3357840321654222"/>
    <x:n v="0.00630722499457583"/>
    <x:n v="1.1628"/>
    <x:x v="742"/>
    <x:x v="0"/>
    <x:n v="1.083"/>
    <x:n v="1943.5734599999998"/>
    <x:n v="143.21067599999992"/>
    <x:n v="0.07368421052631575"/>
  </x:r>
  <x:r>
    <x:s v="INV-00744"/>
    <x:x v="11"/>
    <x:s v="SUP14"/>
    <x:x v="0"/>
    <x:s v="Equipment"/>
    <x:d v="2026-10-19T00:00:00Z"/>
    <x:n v="46374"/>
    <x:x v="1"/>
    <x:n v="6574219.23"/>
    <x:s v="Planned"/>
    <x:s v="SUP14-INV-00744"/>
    <x:n v="60"/>
    <x:s v="Tokyo Automation Systems"/>
    <x:n v="1.1177"/>
    <x:n v="1.320456022210408"/>
    <x:n v="0.00632004523607577"/>
    <x:n v="0.00632004523607577"/>
    <x:x v="743"/>
    <x:x v="2"/>
    <x:n v="0.00688"/>
    <x:n v="45230.6283024"/>
    <x:n v="-3681.2653769207827"/>
    <x:n v="-0.0813887738261962"/>
  </x:r>
  <x:r>
    <x:s v="INV-00746"/>
    <x:x v="3"/>
    <x:s v="SUP04"/>
    <x:x v="1"/>
    <x:s v="Packaging"/>
    <x:d v="2026-10-25T00:00:00Z"/>
    <x:n v="46350"/>
    <x:x v="0"/>
    <x:n v="6424.95"/>
    <x:s v="Planned"/>
    <x:s v="SUP04-INV-00746"/>
    <x:n v="30"/>
    <x:s v="Nordlicht Packaging"/>
    <x:n v="1.1177"/>
    <x:n v="1.320456022210408"/>
    <x:n v="0.00632004523607577"/>
    <x:n v="1.1177"/>
    <x:x v="744"/>
    <x:x v="2"/>
    <x:n v="1.119"/>
    <x:n v="7189.51905"/>
    <x:n v="-8.352435000000696"/>
    <x:n v="-0.001161751563896433"/>
  </x:r>
  <x:r>
    <x:s v="INV-00747"/>
    <x:x v="10"/>
    <x:s v="SUP02"/>
    <x:x v="0"/>
    <x:s v="Equipment"/>
    <x:d v="2025-06-09T00:00:00Z"/>
    <x:n v="45862"/>
    <x:x v="0"/>
    <x:n v="46385.51"/>
    <x:s v="Historical"/>
    <x:s v="SUP02-INV-00747"/>
    <x:n v="45"/>
    <x:s v="Alpen Precision Systems"/>
    <x:n v="1.141"/>
    <x:n v="1.354463437796771"/>
    <x:n v="0.006920184376516254"/>
    <x:n v="1.141"/>
    <x:x v="745"/>
    <x:x v="5"/>
    <x:n v="1.07"/>
    <x:n v="49632.49570000001"/>
    <x:n v="3293.3712099999975"/>
    <x:n v="0.06635514018691582"/>
  </x:r>
  <x:r>
    <x:s v="INV-00748"/>
    <x:x v="9"/>
    <x:s v="SUP05"/>
    <x:x v="0"/>
    <x:s v="Components"/>
    <x:d v="2026-01-26T00:00:00Z"/>
    <x:n v="46093"/>
    <x:x v="0"/>
    <x:n v="10578.3"/>
    <x:s v="Historical"/>
    <x:s v="SUP05-INV-00748"/>
    <x:n v="45"/>
    <x:s v="Lyon Industrial Controls"/>
    <x:n v="1.1836"/>
    <x:n v="1.3643804034582132"/>
    <x:n v="0.0064847687924610995"/>
    <x:n v="1.1836"/>
    <x:x v="746"/>
    <x:x v="6"/>
    <x:n v="1.065"/>
    <x:n v="11265.8895"/>
    <x:n v="1254.5863799999988"/>
    <x:n v="0.11136150234741775"/>
  </x:r>
  <x:r>
    <x:s v="INV-00749"/>
    <x:x v="4"/>
    <x:s v="SUP08"/>
    <x:x v="0"/>
    <x:s v="Components"/>
    <x:d v="2026-12-12T00:00:00Z"/>
    <x:n v="46398"/>
    <x:x v="0"/>
    <x:n v="18776.93"/>
    <x:s v="Planned"/>
    <x:s v="SUP08-INV-00749"/>
    <x:n v="30"/>
    <x:s v="Valencia Circuit Supply"/>
    <x:n v="1.1177"/>
    <x:n v="1.320456022210408"/>
    <x:n v="0.00632004523607577"/>
    <x:n v="1.1177"/>
    <x:x v="747"/>
    <x:x v="2"/>
    <x:n v="1.119"/>
    <x:n v="21011.38467"/>
    <x:n v="-24.410008999999263"/>
    <x:n v="-0.001161751563896301"/>
  </x:r>
  <x:r>
    <x:s v="INV-00750"/>
    <x:x v="8"/>
    <x:s v="SUP13"/>
    <x:x v="0"/>
    <x:s v="Components"/>
    <x:d v="2026-11-19T00:00:00Z"/>
    <x:n v="46390"/>
    <x:x v="1"/>
    <x:n v="776172.43"/>
    <x:s v="Planned"/>
    <x:s v="SUP13-INV-00750"/>
    <x:n v="45"/>
    <x:s v="Osaka Microdevices"/>
    <x:n v="1.1177"/>
    <x:n v="1.320456022210408"/>
    <x:n v="0.00632004523607577"/>
    <x:n v="0.00632004523607577"/>
    <x:x v="748"/>
    <x:x v="2"/>
    <x:n v="0.00688"/>
    <x:n v="5340.0663184000005"/>
    <x:n v="-434.62144980514586"/>
    <x:n v="-0.0813887738261962"/>
  </x:r>
  <x:r>
    <x:s v="INV-00751"/>
    <x:x v="6"/>
    <x:s v="SUP16"/>
    <x:x v="0"/>
    <x:s v="Components"/>
    <x:d v="2025-07-01T00:00:00Z"/>
    <x:n v="45869"/>
    <x:x v="1"/>
    <x:n v="2099939.05"/>
    <x:s v="Historical"/>
    <x:s v="SUP16-INV-00751"/>
    <x:n v="30"/>
    <x:s v="Kyoto Optical Instruments"/>
    <x:n v="1.181"/>
    <x:n v="1.3751746623195156"/>
    <x:n v="0.007000592768227624"/>
    <x:n v="0.007000592768227624"/>
    <x:x v="749"/>
    <x:x v="1"/>
    <x:n v="0.00684"/>
    <x:n v="14363.583101999999"/>
    <x:n v="337.235025148786"/>
    <x:n v="0.02347847488707947"/>
  </x:r>
  <x:r>
    <x:s v="INV-00752"/>
    <x:x v="8"/>
    <x:s v="SUP13"/>
    <x:x v="0"/>
    <x:s v="Components"/>
    <x:d v="2026-08-15T00:00:00Z"/>
    <x:n v="46294"/>
    <x:x v="1"/>
    <x:n v="2102025.02"/>
    <x:s v="Historical"/>
    <x:s v="SUP13-INV-00752"/>
    <x:n v="45"/>
    <x:s v="Osaka Microdevices"/>
    <x:n v="1.1567"/>
    <x:n v="1.353657109420714"/>
    <x:n v="0.006288805523840591"/>
    <x:n v="0.006288805523840591"/>
    <x:x v="750"/>
    <x:x v="4"/>
    <x:n v="0.00674"/>
    <x:n v="14167.648634800002"/>
    <x:n v="-948.4220777728715"/>
    <x:n v="-0.066942800617123"/>
  </x:r>
  <x:r>
    <x:s v="INV-00753"/>
    <x:x v="0"/>
    <x:s v="SUP01"/>
    <x:x v="0"/>
    <x:s v="Components"/>
    <x:d v="2026-04-28T00:00:00Z"/>
    <x:n v="46170"/>
    <x:x v="0"/>
    <x:n v="41823.93"/>
    <x:s v="Historical"/>
    <x:s v="SUP01-INV-00753"/>
    <x:n v="30"/>
    <x:s v="Rhein Circuit Components"/>
    <x:n v="1.168"/>
    <x:n v="1.3469411289857578"/>
    <x:n v="0.006260049308607567"/>
    <x:n v="1.168"/>
    <x:x v="751"/>
    <x:x v="0"/>
    <x:n v="1.083"/>
    <x:n v="45295.31619"/>
    <x:n v="3555.034050000002"/>
    <x:n v="0.07848568790397051"/>
  </x:r>
  <x:r>
    <x:s v="INV-00754"/>
    <x:x v="2"/>
    <x:s v="SUP10"/>
    <x:x v="1"/>
    <x:s v="Services"/>
    <x:d v="2026-05-10T00:00:00Z"/>
    <x:n v="46197"/>
    <x:x v="2"/>
    <x:n v="6612.68"/>
    <x:s v="Historical"/>
    <x:s v="SUP10-INV-00754"/>
    <x:n v="45"/>
    <x:s v="Bristol Calibration Services"/>
    <x:n v="1.1761"/>
    <x:n v="1.3610693206804767"/>
    <x:n v="0.006379020448012149"/>
    <x:n v="1.3610693206804767"/>
    <x:x v="752"/>
    <x:x v="0"/>
    <x:n v="1.271"/>
    <x:n v="8404.71628"/>
    <x:n v="595.5995954773753"/>
    <x:n v="0.07086492579109109"/>
  </x:r>
  <x:r>
    <x:s v="INV-00755"/>
    <x:x v="0"/>
    <x:s v="SUP01"/>
    <x:x v="0"/>
    <x:s v="Components"/>
    <x:d v="2026-12-18T00:00:00Z"/>
    <x:n v="46404"/>
    <x:x v="0"/>
    <x:n v="26298.92"/>
    <x:s v="Planned"/>
    <x:s v="SUP01-INV-00755"/>
    <x:n v="30"/>
    <x:s v="Rhein Circuit Components"/>
    <x:n v="1.1177"/>
    <x:n v="1.320456022210408"/>
    <x:n v="0.00632004523607577"/>
    <x:n v="1.1177"/>
    <x:x v="753"/>
    <x:x v="2"/>
    <x:n v="1.119"/>
    <x:n v="29428.491479999997"/>
    <x:n v="-34.18859599999996"/>
    <x:n v="-0.0011617515638963347"/>
  </x:r>
  <x:r>
    <x:s v="INV-00756"/>
    <x:x v="9"/>
    <x:s v="SUP05"/>
    <x:x v="0"/>
    <x:s v="Components"/>
    <x:d v="2026-11-12T00:00:00Z"/>
    <x:n v="46383"/>
    <x:x v="0"/>
    <x:n v="11202.01"/>
    <x:s v="Planned"/>
    <x:s v="SUP05-INV-00756"/>
    <x:n v="45"/>
    <x:s v="Lyon Industrial Controls"/>
    <x:n v="1.1177"/>
    <x:n v="1.320456022210408"/>
    <x:n v="0.00632004523607577"/>
    <x:n v="1.1177"/>
    <x:x v="754"/>
    <x:x v="2"/>
    <x:n v="1.119"/>
    <x:n v="12535.04919"/>
    <x:n v="-14.562613000000056"/>
    <x:n v="-0.0011617515638963406"/>
  </x:r>
  <x:r>
    <x:s v="INV-00757"/>
    <x:x v="16"/>
    <x:s v="SUP12"/>
    <x:x v="0"/>
    <x:s v="Components"/>
    <x:d v="2026-05-17T00:00:00Z"/>
    <x:n v="46219"/>
    <x:x v="2"/>
    <x:n v="29757.11"/>
    <x:s v="Historical"/>
    <x:s v="SUP12-INV-00757"/>
    <x:n v="60"/>
    <x:s v="Oxford Technical Materials"/>
    <x:n v="1.1628"/>
    <x:n v="1.3357840321654222"/>
    <x:n v="0.00630722499457583"/>
    <x:n v="1.3357840321654222"/>
    <x:x v="755"/>
    <x:x v="0"/>
    <x:n v="1.271"/>
    <x:n v="37821.28681"/>
    <x:n v="1927.7855713900062"/>
    <x:n v="0.05097091437090652"/>
  </x:r>
  <x:r>
    <x:s v="INV-00757"/>
    <x:x v="14"/>
    <x:s v="SUP07"/>
    <x:x v="0"/>
    <x:s v="Equipment"/>
    <x:d v="2026-06-10T00:00:00Z"/>
    <x:n v="46243"/>
    <x:x v="0"/>
    <x:n v="76459.79"/>
    <x:s v="Historical"/>
    <x:s v="SUP07-INV-00757"/>
    <x:n v="60"/>
    <x:s v="Milan Assembly Robotics"/>
    <x:n v="1.1539"/>
    <x:n v="1.3381964095189496"/>
    <x:n v="0.006230897996652086"/>
    <x:n v="1.1539"/>
    <x:x v="756"/>
    <x:x v="0"/>
    <x:n v="1.083"/>
    <x:n v="82805.95257"/>
    <x:n v="5420.999110999997"/>
    <x:n v="0.06546629732225297"/>
  </x:r>
  <x:r>
    <x:s v="INV-00758"/>
    <x:x v="5"/>
    <x:s v="SUP09"/>
    <x:x v="0"/>
    <x:s v="Components"/>
    <x:d v="2025-03-24T00:00:00Z"/>
    <x:n v="45770"/>
    <x:x v="2"/>
    <x:n v="25053.13"/>
    <x:s v="Historical"/>
    <x:s v="SUP09-INV-00758"/>
    <x:n v="30"/>
    <x:s v="Thames Electronics Ltd"/>
    <x:n v="1.0824"/>
    <x:n v="1.2937618780105902"/>
    <x:n v="0.006675300647548566"/>
    <x:n v="1.2937618780105902"/>
    <x:x v="757"/>
    <x:x v="3"/>
    <x:n v="1.238"/>
    <x:n v="31015.77494"/>
    <x:n v="1397.0095788434592"/>
    <x:n v="0.045041904693530095"/>
  </x:r>
  <x:r>
    <x:s v="INV-00759"/>
    <x:x v="12"/>
    <x:s v="SUP17"/>
    <x:x v="1"/>
    <x:s v="Packaging"/>
    <x:d v="2025-06-02T00:00:00Z"/>
    <x:n v="45855"/>
    <x:x v="1"/>
    <x:n v="448046.8"/>
    <x:s v="Historical"/>
    <x:s v="SUP17-INV-00759"/>
    <x:n v="45"/>
    <x:s v="Kobe Industrial Packaging"/>
    <x:n v="1.1419"/>
    <x:n v="1.3539245909414275"/>
    <x:n v="0.00700638115106148"/>
    <x:n v="0.00700638115106148"/>
    <x:x v="758"/>
    <x:x v="5"/>
    <x:n v="0.0067"/>
    <x:n v="3001.91356"/>
    <x:n v="137.2730943134129"/>
    <x:n v="0.045728530009176184"/>
  </x:r>
  <x:r>
    <x:s v="INV-00760"/>
    <x:x v="10"/>
    <x:s v="SUP02"/>
    <x:x v="0"/>
    <x:s v="Equipment"/>
    <x:d v="2026-06-16T00:00:00Z"/>
    <x:n v="46234"/>
    <x:x v="0"/>
    <x:n v="46928.05"/>
    <x:s v="Historical"/>
    <x:s v="SUP02-INV-00760"/>
    <x:n v="45"/>
    <x:s v="Alpen Precision Systems"/>
    <x:n v="1.1594"/>
    <x:n v="1.3407963363439765"/>
    <x:n v="0.006235344734860708"/>
    <x:n v="1.1594"/>
    <x:x v="759"/>
    <x:x v="0"/>
    <x:n v="1.083"/>
    <x:n v="50823.07815"/>
    <x:n v="3585.3030199999994"/>
    <x:n v="0.07054478301015696"/>
  </x:r>
  <x:r>
    <x:s v="INV-00761"/>
    <x:x v="9"/>
    <x:s v="SUP05"/>
    <x:x v="0"/>
    <x:s v="Components"/>
    <x:d v="2026-09-09T00:00:00Z"/>
    <x:n v="46319"/>
    <x:x v="0"/>
    <x:n v="4797.14"/>
    <x:s v="Historical"/>
    <x:s v="SUP05-INV-00761"/>
    <x:n v="45"/>
    <x:s v="Lyon Industrial Controls"/>
    <x:n v="1.1652"/>
    <x:n v="1.356492584227805"/>
    <x:n v="0.006524441458088359"/>
    <x:n v="1.1652"/>
    <x:x v="760"/>
    <x:x v="4"/>
    <x:n v="1.101"/>
    <x:n v="5281.65114"/>
    <x:n v="307.97638800000095"/>
    <x:n v="0.058310626702997456"/>
  </x:r>
  <x:r>
    <x:s v="INV-00762"/>
    <x:x v="10"/>
    <x:s v="SUP02"/>
    <x:x v="0"/>
    <x:s v="Equipment"/>
    <x:d v="2026-03-16T00:00:00Z"/>
    <x:n v="46142"/>
    <x:x v="0"/>
    <x:n v="26318.06"/>
    <x:s v="Historical"/>
    <x:s v="SUP02-INV-00762"/>
    <x:n v="45"/>
    <x:s v="Alpen Precision Systems"/>
    <x:n v="1.1478"/>
    <x:n v="1.328349226923433"/>
    <x:n v="0.006283805978320376"/>
    <x:n v="1.1478"/>
    <x:x v="761"/>
    <x:x v="6"/>
    <x:n v="1.065"/>
    <x:n v="28028.7339"/>
    <x:n v="2179.1353679999993"/>
    <x:n v="0.07774647887323942"/>
  </x:r>
  <x:r>
    <x:s v="INV-00763"/>
    <x:x v="0"/>
    <x:s v="SUP01"/>
    <x:x v="0"/>
    <x:s v="Components"/>
    <x:d v="2026-08-11T00:00:00Z"/>
    <x:n v="46275"/>
    <x:x v="0"/>
    <x:n v="31680.99"/>
    <x:s v="Historical"/>
    <x:s v="SUP01-INV-00763"/>
    <x:n v="30"/>
    <x:s v="Rhein Circuit Components"/>
    <x:n v="1.154"/>
    <x:n v="1.3499760186235858"/>
    <x:n v="0.006281297626823426"/>
    <x:n v="1.154"/>
    <x:x v="762"/>
    <x:x v="4"/>
    <x:n v="1.101"/>
    <x:n v="34880.76999"/>
    <x:n v="1679.092469999996"/>
    <x:n v="0.04813805631244312"/>
  </x:r>
  <x:r>
    <x:s v="INV-00764"/>
    <x:x v="15"/>
    <x:s v="SUP18"/>
    <x:x v="1"/>
    <x:s v="Services"/>
    <x:d v="2025-10-28T00:00:00Z"/>
    <x:n v="45988"/>
    <x:x v="1"/>
    <x:n v="1881756"/>
    <x:s v="Historical"/>
    <x:s v="SUP18-INV-00764"/>
    <x:n v="30"/>
    <x:s v="Yokohama Engineering Labs"/>
    <x:n v="1.163"/>
    <x:n v="1.3276255707762556"/>
    <x:n v="0.006566540568008582"/>
    <x:n v="0.006566540568008582"/>
    <x:x v="763"/>
    <x:x v="7"/>
    <x:n v="0.00698"/>
    <x:n v="13134.65688"/>
    <x:n v="-778.0297669064439"/>
    <x:n v="-0.059234875643469714"/>
  </x:r>
  <x:r>
    <x:s v="INV-00765"/>
    <x:x v="2"/>
    <x:s v="SUP10"/>
    <x:x v="1"/>
    <x:s v="Services"/>
    <x:d v="2025-05-13T00:00:00Z"/>
    <x:n v="45835"/>
    <x:x v="2"/>
    <x:n v="14034.04"/>
    <x:s v="Historical"/>
    <x:s v="SUP10-INV-00765"/>
    <x:n v="45"/>
    <x:s v="Bristol Calibration Services"/>
    <x:n v="1.1112"/>
    <x:n v="1.321912919343326"/>
    <x:n v="0.006750501184618188"/>
    <x:n v="1.321912919343326"/>
    <x:x v="764"/>
    <x:x v="5"/>
    <x:n v="1.26"/>
    <x:n v="17682.8904"/>
    <x:n v="868.888386581013"/>
    <x:n v="0.049137237574068376"/>
  </x:r>
  <x:r>
    <x:s v="INV-00766"/>
    <x:x v="8"/>
    <x:s v="SUP13"/>
    <x:x v="0"/>
    <x:s v="Components"/>
    <x:d v="2026-06-14T00:00:00Z"/>
    <x:n v="46232"/>
    <x:x v="1"/>
    <x:n v="6764078.08"/>
    <x:s v="Historical"/>
    <x:s v="SUP13-INV-00766"/>
    <x:n v="45"/>
    <x:s v="Osaka Microdevices"/>
    <x:n v="1.1567"/>
    <x:n v="1.340246799142576"/>
    <x:n v="0.006242309767943875"/>
    <x:n v="0.006242309767943875"/>
    <x:x v="765"/>
    <x:x v="0"/>
    <x:n v="0.0066"/>
    <x:n v="44642.915328"/>
    <x:n v="-2419.4446580809526"/>
    <x:n v="-0.054195489705473575"/>
  </x:r>
  <x:r>
    <x:s v="INV-00767"/>
    <x:x v="13"/>
    <x:s v="SUP11"/>
    <x:x v="2"/>
    <x:s v="Software"/>
    <x:d v="2026-10-26T00:00:00Z"/>
    <x:n v="46351"/>
    <x:x v="2"/>
    <x:n v="5042.67"/>
    <x:s v="Planned"/>
    <x:s v="SUP11-INV-00767"/>
    <x:n v="30"/>
    <x:s v="Manchester Cloud Solutions"/>
    <x:n v="1.1177"/>
    <x:n v="1.320456022210408"/>
    <x:n v="0.00632004523607577"/>
    <x:n v="1.320456022210408"/>
    <x:x v="766"/>
    <x:x v="2"/>
    <x:n v="1.315"/>
    <x:n v="6631.1110499999995"/>
    <x:n v="27.512919519758725"/>
    <x:n v="0.004149066319701994"/>
  </x:r>
  <x:r>
    <x:s v="INV-00768"/>
    <x:x v="9"/>
    <x:s v="SUP05"/>
    <x:x v="0"/>
    <x:s v="Components"/>
    <x:d v="2025-10-18T00:00:00Z"/>
    <x:n v="45993"/>
    <x:x v="0"/>
    <x:n v="27911.11"/>
    <x:s v="Historical"/>
    <x:s v="SUP05-INV-00768"/>
    <x:n v="45"/>
    <x:s v="Lyon Industrial Controls"/>
    <x:n v="1.1805"/>
    <x:n v="1.347141389934954"/>
    <x:n v="0.006411231195351111"/>
    <x:n v="1.1805"/>
    <x:x v="767"/>
    <x:x v="7"/>
    <x:n v="1.106"/>
    <x:n v="30869.687660000003"/>
    <x:n v="2079.377695000003"/>
    <x:n v="0.06735985533453896"/>
  </x:r>
  <x:r>
    <x:s v="INV-00769"/>
    <x:x v="11"/>
    <x:s v="SUP14"/>
    <x:x v="0"/>
    <x:s v="Equipment"/>
    <x:d v="2025-09-21T00:00:00Z"/>
    <x:n v="45981"/>
    <x:x v="1"/>
    <x:n v="8220534.74"/>
    <x:s v="Historical"/>
    <x:s v="SUP14-INV-00769"/>
    <x:n v="60"/>
    <x:s v="Tokyo Automation Systems"/>
    <x:n v="1.1739"/>
    <x:n v="1.3425205855443734"/>
    <x:n v="0.006337526318630891"/>
    <x:n v="0.006337526318630891"/>
    <x:x v="768"/>
    <x:x v="1"/>
    <x:n v="0.00684"/>
    <x:n v="56228.4576216"/>
    <x:n v="-4130.602353630449"/>
    <x:n v="-0.07346106452764747"/>
  </x:r>
  <x:r>
    <x:s v="INV-00770"/>
    <x:x v="4"/>
    <x:s v="SUP08"/>
    <x:x v="0"/>
    <x:s v="Components"/>
    <x:d v="2026-08-17T00:00:00Z"/>
    <x:n v="46281"/>
    <x:x v="0"/>
    <x:n v="17922.72"/>
    <x:s v="Historical"/>
    <x:s v="SUP08-INV-00770"/>
    <x:n v="30"/>
    <x:s v="Valencia Circuit Supply"/>
    <x:n v="1.1593"/>
    <x:n v="1.355906432748538"/>
    <x:n v="0.0062804052223847445"/>
    <x:n v="1.1593"/>
    <x:x v="769"/>
    <x:x v="4"/>
    <x:n v="1.101"/>
    <x:n v="19732.91472"/>
    <x:n v="1044.8945760000024"/>
    <x:n v="0.05295186194368768"/>
  </x:r>
  <x:r>
    <x:s v="INV-00771"/>
    <x:x v="11"/>
    <x:s v="SUP14"/>
    <x:x v="0"/>
    <x:s v="Equipment"/>
    <x:d v="2026-09-20T00:00:00Z"/>
    <x:n v="46345"/>
    <x:x v="1"/>
    <x:n v="14275212.54"/>
    <x:s v="Historical"/>
    <x:s v="SUP14-INV-00771"/>
    <x:n v="60"/>
    <x:s v="Tokyo Automation Systems"/>
    <x:n v="1.146"/>
    <x:n v="1.3344201210992082"/>
    <x:n v="0.006333591245716812"/>
    <x:n v="0.006333591245716812"/>
    <x:x v="770"/>
    <x:x v="4"/>
    <x:n v="0.00674"/>
    <x:n v="96214.9325196"/>
    <x:n v="-5801.571345509146"/>
    <x:n v="-0.060298034760116935"/>
  </x:r>
  <x:r>
    <x:s v="INV-00772"/>
    <x:x v="3"/>
    <x:s v="SUP04"/>
    <x:x v="1"/>
    <x:s v="Packaging"/>
    <x:d v="2025-12-18T00:00:00Z"/>
    <x:n v="46039"/>
    <x:x v="0"/>
    <x:n v="9192.86"/>
    <x:s v="Historical"/>
    <x:s v="SUP04-INV-00772"/>
    <x:n v="30"/>
    <x:s v="Nordlicht Packaging"/>
    <x:n v="1.1719"/>
    <x:n v="1.33992682369083"/>
    <x:n v="0.006419611065461517"/>
    <x:n v="1.1719"/>
    <x:x v="771"/>
    <x:x v="7"/>
    <x:n v="1.106"/>
    <x:n v="10167.303160000001"/>
    <x:n v="605.8094739999997"/>
    <x:n v="0.05958408679927663"/>
  </x:r>
  <x:r>
    <x:s v="INV-00773"/>
    <x:x v="5"/>
    <x:s v="SUP09"/>
    <x:x v="0"/>
    <x:s v="Components"/>
    <x:d v="2025-07-14T00:00:00Z"/>
    <x:n v="45882"/>
    <x:x v="2"/>
    <x:n v="16494.97"/>
    <x:s v="Historical"/>
    <x:s v="SUP09-INV-00773"/>
    <x:n v="30"/>
    <x:s v="Thames Electronics Ltd"/>
    <x:n v="1.169"/>
    <x:n v="1.348794277143187"/>
    <x:n v="0.006785859406745225"/>
    <x:n v="1.348794277143187"/>
    <x:x v="772"/>
    <x:x v="1"/>
    <x:n v="1.282"/>
    <x:n v="21146.55154"/>
    <x:n v="1101.7695976485556"/>
    <x:n v="0.05210162023649534"/>
  </x:r>
  <x:r>
    <x:s v="INV-00774"/>
    <x:x v="0"/>
    <x:s v="SUP01"/>
    <x:x v="0"/>
    <x:s v="Components"/>
    <x:d v="2026-07-25T00:00:00Z"/>
    <x:n v="46258"/>
    <x:x v="0"/>
    <x:n v="9035.11"/>
    <x:s v="Historical"/>
    <x:s v="SUP01-INV-00774"/>
    <x:n v="30"/>
    <x:s v="Rhein Circuit Components"/>
    <x:n v="1.1377"/>
    <x:n v="1.3323886260364455"/>
    <x:n v="0.006104195729155488"/>
    <x:n v="1.1377"/>
    <x:x v="773"/>
    <x:x v="4"/>
    <x:n v="1.101"/>
    <x:n v="9947.65611"/>
    <x:n v="331.58853699999963"/>
    <x:n v="0.0333333333333333"/>
  </x:r>
  <x:r>
    <x:s v="INV-00775"/>
    <x:x v="4"/>
    <x:s v="SUP08"/>
    <x:x v="0"/>
    <x:s v="Components"/>
    <x:d v="2026-09-29T00:00:00Z"/>
    <x:n v="46324"/>
    <x:x v="0"/>
    <x:n v="19756.95"/>
    <x:s v="Historical"/>
    <x:s v="SUP08-INV-00775"/>
    <x:n v="30"/>
    <x:s v="Valencia Circuit Supply"/>
    <x:n v="1.1355"/>
    <x:n v="1.324692596654145"/>
    <x:n v="0.006364553556414999"/>
    <x:n v="1.1355"/>
    <x:x v="774"/>
    <x:x v="4"/>
    <x:n v="1.101"/>
    <x:n v="21752.40195"/>
    <x:n v="681.6147750000018"/>
    <x:n v="0.031335149863760306"/>
  </x:r>
  <x:r>
    <x:s v="INV-00776"/>
    <x:x v="5"/>
    <x:s v="SUP09"/>
    <x:x v="0"/>
    <x:s v="Components"/>
    <x:d v="2025-03-09T00:00:00Z"/>
    <x:n v="45755"/>
    <x:x v="2"/>
    <x:n v="4251.75"/>
    <x:s v="Historical"/>
    <x:s v="SUP09-INV-00776"/>
    <x:n v="30"/>
    <x:s v="Thames Electronics Ltd"/>
    <x:n v="1.1377"/>
    <x:n v="1.3170415475267123"/>
    <x:n v="0.006981039455114438"/>
    <x:n v="1.3170415475267123"/>
    <x:x v="775"/>
    <x:x v="3"/>
    <x:n v="1.238"/>
    <x:n v="5263.6665"/>
    <x:n v="336.0648996966993"/>
    <x:n v="0.06384616116858834"/>
  </x:r>
  <x:r>
    <x:s v="INV-00777"/>
    <x:x v="13"/>
    <x:s v="SUP11"/>
    <x:x v="2"/>
    <x:s v="Software"/>
    <x:d v="2025-04-18T00:00:00Z"/>
    <x:n v="45795"/>
    <x:x v="2"/>
    <x:n v="8382.62"/>
    <x:s v="Historical"/>
    <x:s v="SUP11-INV-00777"/>
    <x:n v="30"/>
    <x:s v="Manchester Cloud Solutions"/>
    <x:n v="1.1594"/>
    <x:n v="1.357929257437339"/>
    <x:n v="0.006957513202112338"/>
    <x:n v="1.357929257437339"/>
    <x:x v="776"/>
    <x:x v="5"/>
    <x:n v="1.26"/>
    <x:n v="10562.101200000001"/>
    <x:n v="820.9037519793856"/>
    <x:n v="0.07772163288677687"/>
  </x:r>
  <x:r>
    <x:s v="INV-00778"/>
    <x:x v="14"/>
    <x:s v="SUP07"/>
    <x:x v="0"/>
    <x:s v="Equipment"/>
    <x:d v="2025-09-02T00:00:00Z"/>
    <x:n v="45962"/>
    <x:x v="0"/>
    <x:n v="46310.85"/>
    <x:s v="Historical"/>
    <x:s v="SUP07-INV-00778"/>
    <x:n v="60"/>
    <x:s v="Milan Assembly Robotics"/>
    <x:n v="1.1646"/>
    <x:n v="1.3383130314870146"/>
    <x:n v="0.006727902946273831"/>
    <x:n v="1.1646"/>
    <x:x v="777"/>
    <x:x v="1"/>
    <x:n v="1.088"/>
    <x:n v="50386.2048"/>
    <x:n v="3547.411110000001"/>
    <x:n v="0.0704044117647059"/>
  </x:r>
  <x:r>
    <x:s v="INV-00779"/>
    <x:x v="6"/>
    <x:s v="SUP16"/>
    <x:x v="0"/>
    <x:s v="Components"/>
    <x:d v="2025-10-02T00:00:00Z"/>
    <x:n v="45962"/>
    <x:x v="1"/>
    <x:n v="593123.7"/>
    <x:s v="Historical"/>
    <x:s v="SUP16-INV-00779"/>
    <x:n v="30"/>
    <x:s v="Kyoto Optical Instruments"/>
    <x:n v="1.1754"/>
    <x:n v="1.347781217750258"/>
    <x:n v="0.0068127282211789255"/>
    <x:n v="0.0068127282211789255"/>
    <x:x v="778"/>
    <x:x v="7"/>
    <x:n v="0.00698"/>
    <x:n v="4140.003425999999"/>
    <x:n v="-99.21285635993718"/>
    <x:n v="-0.023964438226514936"/>
  </x:r>
  <x:r>
    <x:s v="INV-00780"/>
    <x:x v="4"/>
    <x:s v="SUP08"/>
    <x:x v="0"/>
    <x:s v="Components"/>
    <x:d v="2026-03-07T00:00:00Z"/>
    <x:n v="46118"/>
    <x:x v="0"/>
    <x:n v="19502.69"/>
    <x:s v="Historical"/>
    <x:s v="SUP08-INV-00780"/>
    <x:n v="30"/>
    <x:s v="Valencia Circuit Supply"/>
    <x:n v="1.1555"/>
    <x:n v="1.3367963164349013"/>
    <x:n v="0.006298375667720483"/>
    <x:n v="1.1555"/>
    <x:x v="779"/>
    <x:x v="6"/>
    <x:n v="1.065"/>
    <x:n v="20770.364849999998"/>
    <x:n v="1764.993445"/>
    <x:n v="0.08497652582159626"/>
  </x:r>
  <x:r>
    <x:s v="INV-00781"/>
    <x:x v="3"/>
    <x:s v="SUP04"/>
    <x:x v="1"/>
    <x:s v="Packaging"/>
    <x:d v="2025-02-03T00:00:00Z"/>
    <x:n v="45721"/>
    <x:x v="0"/>
    <x:n v="2521.27"/>
    <x:s v="Historical"/>
    <x:s v="SUP04-INV-00781"/>
    <x:n v="30"/>
    <x:s v="Nordlicht Packaging"/>
    <x:n v="1.0274"/>
    <x:n v="1.2358063895304081"/>
    <x:n v="0.006466922641153144"/>
    <x:n v="1.0274"/>
    <x:x v="780"/>
    <x:x v="3"/>
    <x:n v="1.052"/>
    <x:n v="2652.37604"/>
    <x:n v="-62.023241999999755"/>
    <x:n v="-0.023384030418250858"/>
  </x:r>
  <x:r>
    <x:s v="INV-00782"/>
    <x:x v="12"/>
    <x:s v="SUP17"/>
    <x:x v="1"/>
    <x:s v="Packaging"/>
    <x:d v="2025-01-21T00:00:00Z"/>
    <x:n v="45723"/>
    <x:x v="1"/>
    <x:n v="1301448.39"/>
    <x:s v="Historical"/>
    <x:s v="SUP17-INV-00782"/>
    <x:n v="45"/>
    <x:s v="Kobe Industrial Packaging"/>
    <x:n v="1.0357"/>
    <x:n v="1.2249121852565847"/>
    <x:n v="0.006422547438918518"/>
    <x:n v="0.006422547438918518"/>
    <x:x v="781"/>
    <x:x v="3"/>
    <x:n v="0.00656"/>
    <x:n v="8537.501438399999"/>
    <x:n v="-178.88741432087045"/>
    <x:n v="-0.020953134311201414"/>
  </x:r>
  <x:r>
    <x:s v="INV-00783"/>
    <x:x v="6"/>
    <x:s v="SUP16"/>
    <x:x v="0"/>
    <x:s v="Components"/>
    <x:d v="2026-05-23T00:00:00Z"/>
    <x:n v="46195"/>
    <x:x v="1"/>
    <x:n v="1280473.04"/>
    <x:s v="Historical"/>
    <x:s v="SUP16-INV-00783"/>
    <x:n v="30"/>
    <x:s v="Kyoto Optical Instruments"/>
    <x:n v="1.1595"/>
    <x:n v="1.3417343608970353"/>
    <x:n v="0.006283531133149081"/>
    <x:n v="0.006283531133149081"/>
    <x:x v="782"/>
    <x:x v="0"/>
    <x:n v="0.0066"/>
    <x:n v="8451.122064000001"/>
    <x:n v="-405.22985200195217"/>
    <x:n v="-0.04794982831074538"/>
  </x:r>
  <x:r>
    <x:s v="INV-00784"/>
    <x:x v="5"/>
    <x:s v="SUP09"/>
    <x:x v="0"/>
    <x:s v="Components"/>
    <x:d v="2026-09-30T00:00:00Z"/>
    <x:n v="46325"/>
    <x:x v="2"/>
    <x:n v="31218.26"/>
    <x:s v="Historical"/>
    <x:s v="SUP09-INV-00784"/>
    <x:n v="30"/>
    <x:s v="Thames Electronics Ltd"/>
    <x:n v="1.1355"/>
    <x:n v="1.328645144682494"/>
    <x:n v="0.006369551803444213"/>
    <x:n v="1.328645144682494"/>
    <x:x v="783"/>
    <x:x v="4"/>
    <x:n v="1.293"/>
    <x:n v="40365.210179999995"/>
    <x:n v="1112.7793944357181"/>
    <x:n v="0.02756778397718028"/>
  </x:r>
  <x:r>
    <x:s v="INV-00785"/>
    <x:x v="16"/>
    <x:s v="SUP12"/>
    <x:x v="0"/>
    <x:s v="Components"/>
    <x:d v="2026-11-30T00:00:00Z"/>
    <x:n v="46416"/>
    <x:x v="2"/>
    <x:n v="3981.24"/>
    <x:s v="Planned"/>
    <x:s v="SUP12-INV-00785"/>
    <x:n v="60"/>
    <x:s v="Oxford Technical Materials"/>
    <x:n v="1.1177"/>
    <x:n v="1.320456022210408"/>
    <x:n v="0.00632004523607577"/>
    <x:n v="1.320456022210408"/>
    <x:x v="784"/>
    <x:x v="2"/>
    <x:n v="1.315"/>
    <x:n v="5235.330599999999"/>
    <x:n v="21.721733864965245"/>
    <x:n v="0.004149066319701997"/>
  </x:r>
  <x:r>
    <x:s v="INV-00786"/>
    <x:x v="5"/>
    <x:s v="SUP09"/>
    <x:x v="0"/>
    <x:s v="Components"/>
    <x:d v="2026-06-02T00:00:00Z"/>
    <x:n v="46205"/>
    <x:x v="2"/>
    <x:n v="32332.6"/>
    <x:s v="Historical"/>
    <x:s v="SUP09-INV-00786"/>
    <x:n v="30"/>
    <x:s v="Thames Electronics Ltd"/>
    <x:n v="1.1649"/>
    <x:n v="1.3472503325044816"/>
    <x:n v="0.006259874254393036"/>
    <x:n v="1.3472503325044816"/>
    <x:x v="785"/>
    <x:x v="0"/>
    <x:n v="1.271"/>
    <x:n v="41094.734599999996"/>
    <x:n v="2465.3715007344"/>
    <x:n v="0.05999239378794772"/>
  </x:r>
  <x:r>
    <x:s v="INV-00787"/>
    <x:x v="13"/>
    <x:s v="SUP11"/>
    <x:x v="2"/>
    <x:s v="Software"/>
    <x:d v="2025-04-15T00:00:00Z"/>
    <x:n v="45792"/>
    <x:x v="2"/>
    <x:n v="8708.32"/>
    <x:s v="Historical"/>
    <x:s v="SUP11-INV-00787"/>
    <x:n v="30"/>
    <x:s v="Manchester Cloud Solutions"/>
    <x:n v="1.1324"/>
    <x:n v="1.3233609910015194"/>
    <x:n v="0.006996601791782515"/>
    <x:n v="1.3233609910015194"/>
    <x:x v="786"/>
    <x:x v="5"/>
    <x:n v="1.26"/>
    <x:n v="10972.4832"/>
    <x:n v="551.7677851583503"/>
    <x:n v="0.05028650079485656"/>
  </x:r>
  <x:r>
    <x:s v="INV-00788"/>
    <x:x v="3"/>
    <x:s v="SUP04"/>
    <x:x v="1"/>
    <x:s v="Packaging"/>
    <x:d v="2026-04-20T00:00:00Z"/>
    <x:n v="46162"/>
    <x:x v="0"/>
    <x:n v="6369.55"/>
    <x:s v="Historical"/>
    <x:s v="SUP04-INV-00788"/>
    <x:n v="30"/>
    <x:s v="Nordlicht Packaging"/>
    <x:n v="1.176"/>
    <x:n v="1.3510253317249699"/>
    <x:n v="0.006292808219178082"/>
    <x:n v="1.176"/>
    <x:x v="787"/>
    <x:x v="0"/>
    <x:n v="1.083"/>
    <x:n v="6898.22265"/>
    <x:n v="592.3681500000002"/>
    <x:n v="0.08587257617728536"/>
  </x:r>
  <x:r>
    <x:s v="INV-00789"/>
    <x:x v="17"/>
    <x:s v="SUP06"/>
    <x:x v="2"/>
    <x:s v="Software"/>
    <x:d v="2025-05-16T00:00:00Z"/>
    <x:n v="45823"/>
    <x:x v="0"/>
    <x:n v="9313.97"/>
    <x:s v="Historical"/>
    <x:s v="SUP06-INV-00789"/>
    <x:n v="30"/>
    <x:s v="Dublin Systems Licensing"/>
    <x:n v="1.1194"/>
    <x:n v="1.3283493532692536"/>
    <x:n v="0.006865378718184605"/>
    <x:n v="1.1194"/>
    <x:x v="788"/>
    <x:x v="5"/>
    <x:n v="1.07"/>
    <x:n v="9965.9479"/>
    <x:n v="460.1101179999987"/>
    <x:n v="0.046168224299065294"/>
  </x:r>
  <x:r>
    <x:s v="INV-00790"/>
    <x:x v="11"/>
    <x:s v="SUP14"/>
    <x:x v="0"/>
    <x:s v="Equipment"/>
    <x:d v="2026-01-13T00:00:00Z"/>
    <x:n v="46095"/>
    <x:x v="1"/>
    <x:n v="13053327.12"/>
    <x:s v="Historical"/>
    <x:s v="SUP14-INV-00790"/>
    <x:n v="60"/>
    <x:s v="Tokyo Automation Systems"/>
    <x:n v="1.1654"/>
    <x:n v="1.3457274826789838"/>
    <x:n v="0.006295375972342265"/>
    <x:n v="0.006295375972342265"/>
    <x:x v="789"/>
    <x:x v="6"/>
    <x:n v="0.00646"/>
    <x:n v="84324.49319519999"/>
    <x:n v="-2148.891284828336"/>
    <x:n v="-0.025483595612652406"/>
  </x:r>
  <x:r>
    <x:s v="INV-00791"/>
    <x:x v="4"/>
    <x:s v="SUP08"/>
    <x:x v="0"/>
    <x:s v="Components"/>
    <x:d v="2026-07-15T00:00:00Z"/>
    <x:n v="46248"/>
    <x:x v="0"/>
    <x:n v="6369.9"/>
    <x:s v="Historical"/>
    <x:s v="SUP08-INV-00791"/>
    <x:n v="30"/>
    <x:s v="Valencia Circuit Supply"/>
    <x:n v="1.1406"/>
    <x:n v="1.3404157803814651"/>
    <x:n v="0.00615808228053126"/>
    <x:n v="1.1406"/>
    <x:x v="790"/>
    <x:x v="4"/>
    <x:n v="1.101"/>
    <x:n v="7013.259899999999"/>
    <x:n v="252.2480400000004"/>
    <x:n v="0.035967302452316136"/>
  </x:r>
  <x:r>
    <x:s v="INV-00792"/>
    <x:x v="14"/>
    <x:s v="SUP07"/>
    <x:x v="0"/>
    <x:s v="Equipment"/>
    <x:d v="2026-10-27T00:00:00Z"/>
    <x:n v="46382"/>
    <x:x v="0"/>
    <x:n v="20144.6"/>
    <x:s v="Planned"/>
    <x:s v="SUP07-INV-00792"/>
    <x:n v="60"/>
    <x:s v="Milan Assembly Robotics"/>
    <x:n v="1.1177"/>
    <x:n v="1.320456022210408"/>
    <x:n v="0.00632004523607577"/>
    <x:n v="1.1177"/>
    <x:x v="791"/>
    <x:x v="2"/>
    <x:n v="1.119"/>
    <x:n v="22541.807399999998"/>
    <x:n v="-26.187980000002426"/>
    <x:n v="-0.0011617515638964438"/>
  </x:r>
  <x:r>
    <x:s v="INV-00793"/>
    <x:x v="13"/>
    <x:s v="SUP11"/>
    <x:x v="2"/>
    <x:s v="Software"/>
    <x:d v="2026-03-01T00:00:00Z"/>
    <x:n v="46112"/>
    <x:x v="2"/>
    <x:n v="7414.7"/>
    <x:s v="Historical"/>
    <x:s v="SUP11-INV-00793"/>
    <x:n v="30"/>
    <x:s v="Manchester Cloud Solutions"/>
    <x:n v="1.1555"/>
    <x:n v="1.3367963164349013"/>
    <x:n v="0.006298375667720483"/>
    <x:n v="1.3367963164349013"/>
    <x:x v="792"/>
    <x:x v="6"/>
    <x:n v="1.249"/>
    <x:n v="9260.9603"/>
    <x:n v="650.9833474698607"/>
    <x:n v="0.07029328777814334"/>
  </x:r>
  <x:r>
    <x:s v="INV-00794"/>
    <x:x v="14"/>
    <x:s v="SUP07"/>
    <x:x v="0"/>
    <x:s v="Equipment"/>
    <x:d v="2026-06-07T00:00:00Z"/>
    <x:n v="46240"/>
    <x:x v="0"/>
    <x:n v="60453.63"/>
    <x:s v="Historical"/>
    <x:s v="SUP07-INV-00794"/>
    <x:n v="60"/>
    <x:s v="Milan Assembly Robotics"/>
    <x:n v="1.164"/>
    <x:n v="1.3467078546388531"/>
    <x:n v="0.006255374032674118"/>
    <x:n v="1.164"/>
    <x:x v="793"/>
    <x:x v="0"/>
    <x:n v="1.083"/>
    <x:n v="65471.28128999999"/>
    <x:n v="4896.744029999994"/>
    <x:n v="0.07479224376731294"/>
  </x:r>
  <x:r>
    <x:s v="INV-00795"/>
    <x:x v="14"/>
    <x:s v="SUP07"/>
    <x:x v="0"/>
    <x:s v="Equipment"/>
    <x:d v="2026-08-06T00:00:00Z"/>
    <x:n v="46300"/>
    <x:x v="0"/>
    <x:n v="87591.3"/>
    <x:s v="Historical"/>
    <x:s v="SUP07-INV-00795"/>
    <x:n v="60"/>
    <x:s v="Milan Assembly Robotics"/>
    <x:n v="1.1542"/>
    <x:n v="1.3467125605273904"/>
    <x:n v="0.006335840149311083"/>
    <x:n v="1.1542"/>
    <x:x v="794"/>
    <x:x v="4"/>
    <x:n v="1.101"/>
    <x:n v="96438.02130000001"/>
    <x:n v="4659.857159999985"/>
    <x:n v="0.04831970935513154"/>
  </x:r>
  <x:r>
    <x:s v="INV-00796"/>
    <x:x v="15"/>
    <x:s v="SUP18"/>
    <x:x v="1"/>
    <x:s v="Services"/>
    <x:d v="2025-06-04T00:00:00Z"/>
    <x:n v="45842"/>
    <x:x v="1"/>
    <x:n v="831343"/>
    <x:s v="Historical"/>
    <x:s v="SUP18-INV-00796"/>
    <x:n v="30"/>
    <x:s v="Yokohama Engineering Labs"/>
    <x:n v="1.1384"/>
    <x:n v="1.3518584491153072"/>
    <x:n v="0.00693512031678343"/>
    <x:n v="0.00693512031678343"/>
    <x:x v="795"/>
    <x:x v="5"/>
    <x:n v="0.0067"/>
    <x:n v="5569.9981"/>
    <x:n v="195.4656295156874"/>
    <x:n v="0.035092584594541856"/>
  </x:r>
  <x:r>
    <x:s v="INV-00797"/>
    <x:x v="10"/>
    <x:s v="SUP02"/>
    <x:x v="0"/>
    <x:s v="Equipment"/>
    <x:d v="2026-07-26T00:00:00Z"/>
    <x:n v="46274"/>
    <x:x v="0"/>
    <x:n v="32343.04"/>
    <x:s v="Historical"/>
    <x:s v="SUP02-INV-00797"/>
    <x:n v="45"/>
    <x:s v="Alpen Precision Systems"/>
    <x:n v="1.1377"/>
    <x:n v="1.3323886260364455"/>
    <x:n v="0.006104195729155488"/>
    <x:n v="1.1377"/>
    <x:x v="796"/>
    <x:x v="4"/>
    <x:n v="1.101"/>
    <x:n v="35609.68704"/>
    <x:n v="1186.9895680000045"/>
    <x:n v="0.033333333333333465"/>
  </x:r>
  <x:r>
    <x:s v="INV-00798"/>
    <x:x v="10"/>
    <x:s v="SUP02"/>
    <x:x v="0"/>
    <x:s v="Equipment"/>
    <x:d v="2025-08-21T00:00:00Z"/>
    <x:n v="45935"/>
    <x:x v="0"/>
    <x:n v="21188.91"/>
    <x:s v="Historical"/>
    <x:s v="SUP02-INV-00798"/>
    <x:n v="45"/>
    <x:s v="Alpen Precision Systems"/>
    <x:n v="1.1639"/>
    <x:n v="1.3449272012941993"/>
    <x:n v="0.006763321517810447"/>
    <x:n v="1.1639"/>
    <x:x v="797"/>
    <x:x v="1"/>
    <x:n v="1.088"/>
    <x:n v="23053.53408"/>
    <x:n v="1608.2382689999977"/>
    <x:n v="0.0697610294117646"/>
  </x:r>
  <x:r>
    <x:s v="INV-00799"/>
    <x:x v="14"/>
    <x:s v="SUP07"/>
    <x:x v="0"/>
    <x:s v="Equipment"/>
    <x:d v="2025-06-12T00:00:00Z"/>
    <x:n v="45880"/>
    <x:x v="0"/>
    <x:n v="68081.31"/>
    <x:s v="Historical"/>
    <x:s v="SUP07-INV-00799"/>
    <x:n v="60"/>
    <x:s v="Milan Assembly Robotics"/>
    <x:n v="1.1594"/>
    <x:n v="1.357929257437339"/>
    <x:n v="0.006957513202112338"/>
    <x:n v="1.1594"/>
    <x:x v="798"/>
    <x:x v="5"/>
    <x:n v="1.07"/>
    <x:n v="72847.00170000001"/>
    <x:n v="6086.469113999992"/>
    <x:n v="0.08355140186915876"/>
  </x:r>
  <x:r>
    <x:s v="INV-00800"/>
    <x:x v="5"/>
    <x:s v="SUP09"/>
    <x:x v="0"/>
    <x:s v="Components"/>
    <x:d v="2026-10-04T00:00:00Z"/>
    <x:n v="46329"/>
    <x:x v="2"/>
    <x:n v="9843.3"/>
    <x:s v="Planned"/>
    <x:s v="SUP09-INV-00800"/>
    <x:n v="30"/>
    <x:s v="Thames Electronics Ltd"/>
    <x:n v="1.1225"/>
    <x:n v="1.3200757353027648"/>
    <x:n v="0.006342166224080456"/>
    <x:n v="1.3200757353027648"/>
    <x:x v="799"/>
    <x:x v="2"/>
    <x:n v="1.315"/>
    <x:n v="12943.939499999999"/>
    <x:n v="49.96198530570473"/>
    <x:n v="0.003859874754954219"/>
  </x:r>
  <x:r>
    <x:s v="INV-00801"/>
    <x:x v="3"/>
    <x:s v="SUP04"/>
    <x:x v="1"/>
    <x:s v="Packaging"/>
    <x:d v="2026-12-04T00:00:00Z"/>
    <x:n v="46390"/>
    <x:x v="0"/>
    <x:n v="4560.41"/>
    <x:s v="Planned"/>
    <x:s v="SUP04-INV-00801"/>
    <x:n v="30"/>
    <x:s v="Nordlicht Packaging"/>
    <x:n v="1.1177"/>
    <x:n v="1.320456022210408"/>
    <x:n v="0.00632004523607577"/>
    <x:n v="1.1177"/>
    <x:x v="800"/>
    <x:x v="2"/>
    <x:n v="1.119"/>
    <x:n v="5103.09879"/>
    <x:n v="-5.928533000000243"/>
    <x:n v="-0.0011617515638963837"/>
  </x:r>
  <x:r>
    <x:s v="INV-00802"/>
    <x:x v="9"/>
    <x:s v="SUP05"/>
    <x:x v="0"/>
    <x:s v="Components"/>
    <x:d v="2026-01-01T00:00:00Z"/>
    <x:n v="46068"/>
    <x:x v="0"/>
    <x:n v="29686.37"/>
    <x:s v="Historical"/>
    <x:s v="SUP05-INV-00802"/>
    <x:n v="45"/>
    <x:s v="Lyon Industrial Controls"/>
    <x:n v="1.1555"/>
    <x:n v="1.3367963164349013"/>
    <x:n v="0.006298375667720483"/>
    <x:n v="1.1555"/>
    <x:x v="801"/>
    <x:x v="6"/>
    <x:n v="1.065"/>
    <x:n v="31615.98405"/>
    <x:n v="2686.6164849999986"/>
    <x:n v="0.0849765258215962"/>
  </x:r>
  <x:r>
    <x:s v="INV-00803"/>
    <x:x v="17"/>
    <x:s v="SUP06"/>
    <x:x v="2"/>
    <x:s v="Software"/>
    <x:d v="2026-06-16T00:00:00Z"/>
    <x:n v="46219"/>
    <x:x v="0"/>
    <x:n v="3577.82"/>
    <x:s v="Historical"/>
    <x:s v="SUP06-INV-00803"/>
    <x:n v="30"/>
    <x:s v="Dublin Systems Licensing"/>
    <x:n v="1.1594"/>
    <x:n v="1.3407963363439765"/>
    <x:n v="0.006235344734860708"/>
    <x:n v="1.1594"/>
    <x:x v="802"/>
    <x:x v="0"/>
    <x:n v="1.083"/>
    <x:n v="3874.77906"/>
    <x:n v="273.34544800000003"/>
    <x:n v="0.07054478301015699"/>
  </x:r>
  <x:r>
    <x:s v="INV-00804"/>
    <x:x v="14"/>
    <x:s v="SUP07"/>
    <x:x v="0"/>
    <x:s v="Equipment"/>
    <x:d v="2026-02-03T00:00:00Z"/>
    <x:n v="46116"/>
    <x:x v="0"/>
    <x:n v="63687.3"/>
    <x:s v="Historical"/>
    <x:s v="SUP07-INV-00804"/>
    <x:n v="60"/>
    <x:s v="Milan Assembly Robotics"/>
    <x:n v="1.1801"/>
    <x:n v="1.3685492288066798"/>
    <x:n v="0.006416376685515442"/>
    <x:n v="1.1801"/>
    <x:x v="803"/>
    <x:x v="6"/>
    <x:n v="1.065"/>
    <x:n v="67826.9745"/>
    <x:n v="7330.408230000001"/>
    <x:n v="0.10807511737089204"/>
  </x:r>
  <x:r>
    <x:s v="INV-00805"/>
    <x:x v="2"/>
    <x:s v="SUP10"/>
    <x:x v="1"/>
    <x:s v="Services"/>
    <x:d v="2026-06-04T00:00:00Z"/>
    <x:n v="46222"/>
    <x:x v="2"/>
    <x:n v="11972.27"/>
    <x:s v="Historical"/>
    <x:s v="SUP10-INV-00805"/>
    <x:n v="45"/>
    <x:s v="Bristol Calibration Services"/>
    <x:n v="1.164"/>
    <x:n v="1.345820326049254"/>
    <x:n v="0.00625772807913553"/>
    <x:n v="1.345820326049254"/>
    <x:x v="804"/>
    <x:x v="0"/>
    <x:n v="1.271"/>
    <x:n v="15216.755169999999"/>
    <x:n v="895.7691449497052"/>
    <x:n v="0.05886729036133301"/>
  </x:r>
  <x:r>
    <x:s v="INV-00806"/>
    <x:x v="0"/>
    <x:s v="SUP01"/>
    <x:x v="0"/>
    <x:s v="Components"/>
    <x:d v="2025-11-05T00:00:00Z"/>
    <x:n v="45996"/>
    <x:x v="0"/>
    <x:n v="39283.45"/>
    <x:s v="Historical"/>
    <x:s v="SUP01-INV-00806"/>
    <x:n v="30"/>
    <x:s v="Rhein Circuit Components"/>
    <x:n v="1.1492"/>
    <x:n v="1.3044267877412032"/>
    <x:n v="0.006504782928623989"/>
    <x:n v="1.1492"/>
    <x:x v="805"/>
    <x:x v="7"/>
    <x:n v="1.106"/>
    <x:n v="43447.4957"/>
    <x:n v="1697.0450399999972"/>
    <x:n v="0.039059674502712416"/>
  </x:r>
  <x:r>
    <x:s v="INV-00807"/>
    <x:x v="0"/>
    <x:s v="SUP01"/>
    <x:x v="0"/>
    <x:s v="Components"/>
    <x:d v="2025-05-31T00:00:00Z"/>
    <x:n v="45838"/>
    <x:x v="0"/>
    <x:n v="10583.43"/>
    <x:s v="Historical"/>
    <x:s v="SUP01-INV-00807"/>
    <x:n v="30"/>
    <x:s v="Rhein Circuit Components"/>
    <x:n v="1.1606"/>
    <x:n v="1.3462475350887368"/>
    <x:n v="0.0067359257109692395"/>
    <x:n v="1.1606"/>
    <x:x v="806"/>
    <x:x v="5"/>
    <x:n v="1.07"/>
    <x:n v="11324.270100000002"/>
    <x:n v="958.8587580000003"/>
    <x:n v="0.0846728971962617"/>
  </x:r>
  <x:r>
    <x:s v="INV-00808"/>
    <x:x v="0"/>
    <x:s v="SUP01"/>
    <x:x v="0"/>
    <x:s v="Components"/>
    <x:d v="2025-07-02T00:00:00Z"/>
    <x:n v="45870"/>
    <x:x v="0"/>
    <x:n v="22475.98"/>
    <x:s v="Historical"/>
    <x:s v="SUP01-INV-00808"/>
    <x:n v="30"/>
    <x:s v="Rhein Circuit Components"/>
    <x:n v="1.1755"/>
    <x:n v="1.3660662405578152"/>
    <x:n v="0.006937149601652405"/>
    <x:n v="1.1755"/>
    <x:x v="807"/>
    <x:x v="1"/>
    <x:n v="1.088"/>
    <x:n v="24453.866240000003"/>
    <x:n v="1966.6482499999947"/>
    <x:n v="0.08042279411764683"/>
  </x:r>
  <x:r>
    <x:s v="INV-00809"/>
    <x:x v="3"/>
    <x:s v="SUP04"/>
    <x:x v="1"/>
    <x:s v="Packaging"/>
    <x:d v="2025-02-22T00:00:00Z"/>
    <x:n v="45740"/>
    <x:x v="0"/>
    <x:n v="7619.3"/>
    <x:s v="Historical"/>
    <x:s v="SUP04-INV-00809"/>
    <x:n v="30"/>
    <x:s v="Nordlicht Packaging"/>
    <x:n v="1.0824"/>
    <x:n v="1.2937618780105902"/>
    <x:n v="0.006675300647548566"/>
    <x:n v="1.0824"/>
    <x:x v="808"/>
    <x:x v="3"/>
    <x:n v="1.052"/>
    <x:n v="8015.503600000001"/>
    <x:n v="231.6267199999993"/>
    <x:n v="0.028897338403041734"/>
  </x:r>
  <x:r>
    <x:s v="INV-00810"/>
    <x:x v="11"/>
    <x:s v="SUP14"/>
    <x:x v="0"/>
    <x:s v="Equipment"/>
    <x:d v="2026-10-24T00:00:00Z"/>
    <x:n v="46379"/>
    <x:x v="1"/>
    <x:n v="6050803.28"/>
    <x:s v="Planned"/>
    <x:s v="SUP14-INV-00810"/>
    <x:n v="60"/>
    <x:s v="Tokyo Automation Systems"/>
    <x:n v="1.1177"/>
    <x:n v="1.320456022210408"/>
    <x:n v="0.00632004523607577"/>
    <x:n v="0.00632004523607577"/>
    <x:x v="809"/>
    <x:x v="2"/>
    <x:n v="0.00688"/>
    <x:n v="41629.5265664"/>
    <x:n v="-3388.176122204357"/>
    <x:n v="-0.08138877382619622"/>
  </x:r>
  <x:r>
    <x:s v="INV-00811"/>
    <x:x v="5"/>
    <x:s v="SUP09"/>
    <x:x v="0"/>
    <x:s v="Components"/>
    <x:d v="2025-10-31T00:00:00Z"/>
    <x:n v="45991"/>
    <x:x v="2"/>
    <x:n v="25671.84"/>
    <x:s v="Historical"/>
    <x:s v="SUP09-INV-00811"/>
    <x:n v="30"/>
    <x:s v="Thames Electronics Ltd"/>
    <x:n v="1.1554"/>
    <x:n v="1.3105716878402902"/>
    <x:n v="0.006485909958459639"/>
    <x:n v="1.3105716878402902"/>
    <x:x v="810"/>
    <x:x v="7"/>
    <x:n v="1.304"/>
    <x:n v="33476.07936"/>
    <x:n v="168.70731876587524"/>
    <x:n v="0.005039637914332965"/>
  </x:r>
  <x:r>
    <x:s v="INV-00812"/>
    <x:x v="6"/>
    <x:s v="SUP16"/>
    <x:x v="0"/>
    <x:s v="Components"/>
    <x:d v="2025-08-15T00:00:00Z"/>
    <x:n v="45914"/>
    <x:x v="1"/>
    <x:n v="3516002.13"/>
    <x:s v="Historical"/>
    <x:s v="SUP16-INV-00812"/>
    <x:n v="30"/>
    <x:s v="Kyoto Optical Instruments"/>
    <x:n v="1.1688"/>
    <x:n v="1.3556019485038275"/>
    <x:n v="0.006802863628426751"/>
    <x:n v="0.006802863628426751"/>
    <x:x v="811"/>
    <x:x v="1"/>
    <x:n v="0.00684"/>
    <x:n v="24049.4545692"/>
    <x:n v="-130.57156155201665"/>
    <x:n v="-0.005429294089656358"/>
  </x:r>
  <x:r>
    <x:s v="INV-00813"/>
    <x:x v="8"/>
    <x:s v="SUP13"/>
    <x:x v="0"/>
    <x:s v="Components"/>
    <x:d v="2026-10-19T00:00:00Z"/>
    <x:n v="46359"/>
    <x:x v="1"/>
    <x:n v="4046767.01"/>
    <x:s v="Planned"/>
    <x:s v="SUP13-INV-00813"/>
    <x:n v="45"/>
    <x:s v="Osaka Microdevices"/>
    <x:n v="1.1177"/>
    <x:n v="1.320456022210408"/>
    <x:n v="0.00632004523607577"/>
    <x:n v="0.00632004523607577"/>
    <x:x v="812"/>
    <x:x v="2"/>
    <x:n v="0.00688"/>
    <x:n v="27841.7570288"/>
    <x:n v="-2266.006465740913"/>
    <x:n v="-0.08138877382619626"/>
  </x:r>
  <x:r>
    <x:s v="INV-00814"/>
    <x:x v="1"/>
    <x:s v="SUP15"/>
    <x:x v="1"/>
    <x:s v="Freight"/>
    <x:d v="2026-10-18T00:00:00Z"/>
    <x:n v="46343"/>
    <x:x v="1"/>
    <x:n v="1429471.07"/>
    <x:s v="Planned"/>
    <x:s v="SUP15-INV-00814"/>
    <x:n v="30"/>
    <x:s v="Nagoya Logistics Partners"/>
    <x:n v="1.1177"/>
    <x:n v="1.320456022210408"/>
    <x:n v="0.00632004523607577"/>
    <x:n v="0.00632004523607577"/>
    <x:x v="813"/>
    <x:x v="2"/>
    <x:n v="0.00688"/>
    <x:n v="9834.7609616"/>
    <x:n v="-800.4391355383668"/>
    <x:n v="-0.08138877382619625"/>
  </x:r>
  <x:r>
    <x:s v="INV-00815"/>
    <x:x v="1"/>
    <x:s v="SUP15"/>
    <x:x v="1"/>
    <x:s v="Freight"/>
    <x:d v="2025-05-14T00:00:00Z"/>
    <x:n v="45821"/>
    <x:x v="1"/>
    <x:n v="474893.22"/>
    <x:s v="Historical"/>
    <x:s v="SUP15-INV-00815"/>
    <x:n v="30"/>
    <x:s v="Nagoya Logistics Partners"/>
    <x:n v="1.1214"/>
    <x:n v="1.3326203208556149"/>
    <x:n v="0.006837387964148528"/>
    <x:n v="0.006837387964148528"/>
    <x:x v="814"/>
    <x:x v="5"/>
    <x:n v="0.0067"/>
    <x:n v="3181.784574"/>
    <x:n v="65.24461268373898"/>
    <x:n v="0.020505666290825064"/>
  </x:r>
  <x:r>
    <x:s v="INV-00816"/>
    <x:x v="1"/>
    <x:s v="SUP15"/>
    <x:x v="1"/>
    <x:s v="Freight"/>
    <x:d v="2025-05-31T00:00:00Z"/>
    <x:n v="45838"/>
    <x:x v="1"/>
    <x:n v="904463.09"/>
    <x:s v="Historical"/>
    <x:s v="SUP15-INV-00816"/>
    <x:n v="30"/>
    <x:s v="Nagoya Logistics Partners"/>
    <x:n v="1.1606"/>
    <x:n v="1.3462475350887368"/>
    <x:n v="0.0067359257109692395"/>
    <x:n v="0.0067359257109692395"/>
    <x:x v="815"/>
    <x:x v="5"/>
    <x:n v="0.0067"/>
    <x:n v="6059.902703"/>
    <x:n v="32.493479553685575"/>
    <x:n v="0.005362046413319382"/>
  </x:r>
  <x:r>
    <x:s v="INV-00817"/>
    <x:x v="11"/>
    <x:s v="SUP14"/>
    <x:x v="0"/>
    <x:s v="Equipment"/>
    <x:d v="2025-12-14T00:00:00Z"/>
    <x:n v="46065"/>
    <x:x v="1"/>
    <x:n v="5716678.84"/>
    <x:s v="Historical"/>
    <x:s v="SUP14-INV-00817"/>
    <x:n v="60"/>
    <x:s v="Tokyo Automation Systems"/>
    <x:n v="1.1555"/>
    <x:n v="1.3367963164349013"/>
    <x:n v="0.006298375667720483"/>
    <x:n v="0.006298375667720483"/>
    <x:x v="816"/>
    <x:x v="7"/>
    <x:n v="0.00698"/>
    <x:n v="39902.4183032"/>
    <x:n v="-3896.62739717144"/>
    <x:n v="-0.09765391579935764"/>
  </x:r>
  <x:r>
    <x:s v="INV-00818"/>
    <x:x v="17"/>
    <x:s v="SUP06"/>
    <x:x v="2"/>
    <x:s v="Software"/>
    <x:d v="2025-11-23T00:00:00Z"/>
    <x:n v="46014"/>
    <x:x v="0"/>
    <x:n v="10085.97"/>
    <x:s v="Historical"/>
    <x:s v="SUP06-INV-00818"/>
    <x:n v="30"/>
    <x:s v="Dublin Systems Licensing"/>
    <x:n v="1.1555"/>
    <x:n v="1.3367963164349013"/>
    <x:n v="0.006298375667720483"/>
    <x:n v="1.1555"/>
    <x:x v="817"/>
    <x:x v="7"/>
    <x:n v="1.106"/>
    <x:n v="11155.08282"/>
    <x:n v="499.2555149999989"/>
    <x:n v="0.04475587703435795"/>
  </x:r>
  <x:r>
    <x:s v="INV-00819"/>
    <x:x v="0"/>
    <x:s v="SUP01"/>
    <x:x v="0"/>
    <x:s v="Components"/>
    <x:d v="2026-07-18T00:00:00Z"/>
    <x:n v="46251"/>
    <x:x v="0"/>
    <x:n v="9411.55"/>
    <x:s v="Historical"/>
    <x:s v="SUP01-INV-00819"/>
    <x:n v="30"/>
    <x:s v="Rhein Circuit Components"/>
    <x:n v="1.1435"/>
    <x:n v="1.3437448588685985"/>
    <x:n v="0.006159439806086722"/>
    <x:n v="1.1435"/>
    <x:x v="818"/>
    <x:x v="4"/>
    <x:n v="1.101"/>
    <x:n v="10362.116549999999"/>
    <x:n v="399.9908749999995"/>
    <x:n v="0.03860127157129878"/>
  </x:r>
  <x:r>
    <x:s v="INV-00820"/>
    <x:x v="9"/>
    <x:s v="SUP05"/>
    <x:x v="0"/>
    <x:s v="Components"/>
    <x:d v="2025-04-26T00:00:00Z"/>
    <x:n v="45818"/>
    <x:x v="0"/>
    <x:n v="4925.06"/>
    <x:s v="Historical"/>
    <x:s v="SUP05-INV-00820"/>
    <x:n v="45"/>
    <x:s v="Lyon Industrial Controls"/>
    <x:n v="1.1607"/>
    <x:n v="1.3612055822680897"/>
    <x:n v="0.006897842752718845"/>
    <x:n v="1.1607"/>
    <x:x v="819"/>
    <x:x v="5"/>
    <x:n v="1.07"/>
    <x:n v="5269.814200000001"/>
    <x:n v="446.7029419999999"/>
    <x:n v="0.08476635514018688"/>
  </x:r>
  <x:r>
    <x:s v="INV-00821"/>
    <x:x v="5"/>
    <x:s v="SUP09"/>
    <x:x v="0"/>
    <x:s v="Components"/>
    <x:d v="2025-08-23T00:00:00Z"/>
    <x:n v="45922"/>
    <x:x v="2"/>
    <x:n v="21895.96"/>
    <x:s v="Historical"/>
    <x:s v="SUP09-INV-00821"/>
    <x:n v="30"/>
    <x:s v="Thames Electronics Ltd"/>
    <x:n v="1.1655"/>
    <x:n v="1.3326091927738395"/>
    <x:n v="0.006428926030117492"/>
    <x:n v="1.3326091927738395"/>
    <x:x v="820"/>
    <x:x v="1"/>
    <x:n v="1.282"/>
    <x:n v="28070.62072"/>
    <x:n v="1108.1368606082797"/>
    <x:n v="0.03947674943357219"/>
  </x:r>
  <x:r>
    <x:s v="INV-00822"/>
    <x:x v="13"/>
    <x:s v="SUP11"/>
    <x:x v="2"/>
    <x:s v="Software"/>
    <x:d v="2026-11-06T00:00:00Z"/>
    <x:n v="46362"/>
    <x:x v="2"/>
    <x:n v="4384.63"/>
    <x:s v="Planned"/>
    <x:s v="SUP11-INV-00822"/>
    <x:n v="30"/>
    <x:s v="Manchester Cloud Solutions"/>
    <x:n v="1.1177"/>
    <x:n v="1.320456022210408"/>
    <x:n v="0.00632004523607577"/>
    <x:n v="1.320456022210408"/>
    <x:x v="821"/>
    <x:x v="2"/>
    <x:n v="1.315"/>
    <x:n v="5765.78845"/>
    <x:n v="23.922638664421356"/>
    <x:n v="0.004149066319701923"/>
  </x:r>
  <x:r>
    <x:s v="INV-00823"/>
    <x:x v="0"/>
    <x:s v="SUP01"/>
    <x:x v="0"/>
    <x:s v="Components"/>
    <x:d v="2026-09-15T00:00:00Z"/>
    <x:n v="46310"/>
    <x:x v="0"/>
    <x:n v="16438.37"/>
    <x:s v="Historical"/>
    <x:s v="SUP01-INV-00823"/>
    <x:n v="30"/>
    <x:s v="Rhein Circuit Components"/>
    <x:n v="1.1539"/>
    <x:n v="1.3483290488431876"/>
    <x:n v="0.0064514145141451405"/>
    <x:n v="1.1539"/>
    <x:x v="822"/>
    <x:x v="4"/>
    <x:n v="1.101"/>
    <x:n v="18098.64537"/>
    <x:n v="869.5897729999997"/>
    <x:n v="0.04804722979109899"/>
  </x:r>
  <x:r>
    <x:s v="INV-00824"/>
    <x:x v="0"/>
    <x:s v="SUP01"/>
    <x:x v="0"/>
    <x:s v="Components"/>
    <x:d v="2025-07-11T00:00:00Z"/>
    <x:n v="45879"/>
    <x:x v="0"/>
    <x:n v="11027.12"/>
    <x:s v="Historical"/>
    <x:s v="SUP01-INV-00824"/>
    <x:n v="30"/>
    <x:s v="Rhein Circuit Components"/>
    <x:n v="1.1683"/>
    <x:n v="1.3495437218435946"/>
    <x:n v="0.00679995343693615"/>
    <x:n v="1.1683"/>
    <x:x v="823"/>
    <x:x v="1"/>
    <x:n v="1.088"/>
    <x:n v="11997.506560000002"/>
    <x:n v="885.4777359999989"/>
    <x:n v="0.07380514705882343"/>
  </x:r>
  <x:r>
    <x:s v="INV-00825"/>
    <x:x v="8"/>
    <x:s v="SUP13"/>
    <x:x v="0"/>
    <x:s v="Components"/>
    <x:d v="2025-07-25T00:00:00Z"/>
    <x:n v="45908"/>
    <x:x v="1"/>
    <x:n v="976623.31"/>
    <x:s v="Historical"/>
    <x:s v="SUP13-INV-00825"/>
    <x:n v="45"/>
    <x:s v="Osaka Microdevices"/>
    <x:n v="1.1724"/>
    <x:n v="1.3452667814113597"/>
    <x:n v="0.006772572352839235"/>
    <x:n v="0.006772572352839235"/>
    <x:x v="824"/>
    <x:x v="1"/>
    <x:n v="0.00684"/>
    <x:n v="6680.1034404"/>
    <x:n v="-65.85141195565757"/>
    <x:n v="-0.0098578431521585"/>
  </x:r>
  <x:r>
    <x:s v="INV-00826"/>
    <x:x v="7"/>
    <x:s v="SUP03"/>
    <x:x v="0"/>
    <x:s v="Components"/>
    <x:d v="2025-01-28T00:00:00Z"/>
    <x:n v="45715"/>
    <x:x v="0"/>
    <x:n v="18959.07"/>
    <x:s v="Historical"/>
    <x:s v="SUP03-INV-00826"/>
    <x:n v="30"/>
    <x:s v="Benelux Sensor Works"/>
    <x:n v="1.0421"/>
    <x:n v="1.2425478132303143"/>
    <x:n v="0.0064382799950574564"/>
    <x:n v="1.0421"/>
    <x:x v="825"/>
    <x:x v="3"/>
    <x:n v="1.052"/>
    <x:n v="19944.94164"/>
    <x:n v="-187.6947930000024"/>
    <x:n v="-0.00941064638783282"/>
  </x:r>
  <x:r>
    <x:s v="INV-00827"/>
    <x:x v="6"/>
    <x:s v="SUP16"/>
    <x:x v="0"/>
    <x:s v="Components"/>
    <x:d v="2026-12-26T00:00:00Z"/>
    <x:n v="46412"/>
    <x:x v="1"/>
    <x:n v="817870.4"/>
    <x:s v="Planned"/>
    <x:s v="SUP16-INV-00827"/>
    <x:n v="30"/>
    <x:s v="Kyoto Optical Instruments"/>
    <x:n v="1.1177"/>
    <x:n v="1.320456022210408"/>
    <x:n v="0.00632004523607577"/>
    <x:n v="0.00632004523607577"/>
    <x:x v="826"/>
    <x:x v="2"/>
    <x:n v="0.00688"/>
    <x:n v="5626.948352"/>
    <x:n v="-457.9704267526158"/>
    <x:n v="-0.08138877382619626"/>
  </x:r>
  <x:r>
    <x:s v="INV-00828"/>
    <x:x v="5"/>
    <x:s v="SUP09"/>
    <x:x v="0"/>
    <x:s v="Components"/>
    <x:d v="2026-02-16T00:00:00Z"/>
    <x:n v="46099"/>
    <x:x v="2"/>
    <x:n v="25992.86"/>
    <x:s v="Historical"/>
    <x:s v="SUP09-INV-00828"/>
    <x:n v="30"/>
    <x:s v="Thames Electronics Ltd"/>
    <x:n v="1.1855"/>
    <x:n v="1.3642117376294591"/>
    <x:n v="0.006521260795423291"/>
    <x:n v="1.3642117376294591"/>
    <x:x v="827"/>
    <x:x v="6"/>
    <x:n v="1.249"/>
    <x:n v="32465.082140000002"/>
    <x:n v="2994.6825665592587"/>
    <x:n v="0.0922431846512882"/>
  </x:r>
  <x:r>
    <x:s v="INV-00829"/>
    <x:x v="7"/>
    <x:s v="SUP03"/>
    <x:x v="0"/>
    <x:s v="Components"/>
    <x:d v="2026-09-14T00:00:00Z"/>
    <x:n v="46309"/>
    <x:x v="0"/>
    <x:n v="3271.56"/>
    <x:s v="Historical"/>
    <x:s v="SUP03-INV-00829"/>
    <x:n v="30"/>
    <x:s v="Benelux Sensor Works"/>
    <x:n v="1.1551"/>
    <x:n v="1.3494474169957242"/>
    <x:n v="0.006470423481962805"/>
    <x:n v="1.1551"/>
    <x:x v="828"/>
    <x:x v="4"/>
    <x:n v="1.101"/>
    <x:n v="3601.98756"/>
    <x:n v="176.9913959999999"/>
    <x:n v="0.04913714804722976"/>
  </x:r>
  <x:r>
    <x:s v="INV-00830"/>
    <x:x v="4"/>
    <x:s v="SUP08"/>
    <x:x v="0"/>
    <x:s v="Components"/>
    <x:d v="2025-11-03T00:00:00Z"/>
    <x:n v="45994"/>
    <x:x v="0"/>
    <x:n v="3942.94"/>
    <x:s v="Historical"/>
    <x:s v="SUP08-INV-00830"/>
    <x:n v="30"/>
    <x:s v="Valencia Circuit Supply"/>
    <x:n v="1.1514"/>
    <x:n v="1.3136337706788364"/>
    <x:n v="0.006484203412738638"/>
    <x:n v="1.1514"/>
    <x:x v="829"/>
    <x:x v="7"/>
    <x:n v="1.106"/>
    <x:n v="4360.891640000001"/>
    <x:n v="179.00947599999927"/>
    <x:n v="0.04104882459312822"/>
  </x:r>
  <x:r>
    <x:s v="INV-00831"/>
    <x:x v="12"/>
    <x:s v="SUP17"/>
    <x:x v="1"/>
    <x:s v="Packaging"/>
    <x:d v="2026-11-19T00:00:00Z"/>
    <x:n v="46390"/>
    <x:x v="1"/>
    <x:n v="779784.21"/>
    <x:s v="Planned"/>
    <x:s v="SUP17-INV-00831"/>
    <x:n v="45"/>
    <x:s v="Kobe Industrial Packaging"/>
    <x:n v="1.1177"/>
    <x:n v="1.320456022210408"/>
    <x:n v="0.00632004523607577"/>
    <x:n v="0.00632004523607577"/>
    <x:x v="830"/>
    <x:x v="2"/>
    <x:n v="0.00688"/>
    <x:n v="5364.915364799999"/>
    <x:n v="-436.6438832223921"/>
    <x:n v="-0.08138877382619622"/>
  </x:r>
  <x:r>
    <x:s v="INV-00832"/>
    <x:x v="4"/>
    <x:s v="SUP08"/>
    <x:x v="0"/>
    <x:s v="Components"/>
    <x:d v="2025-12-21T00:00:00Z"/>
    <x:n v="46042"/>
    <x:x v="0"/>
    <x:n v="14113.96"/>
    <x:s v="Historical"/>
    <x:s v="SUP08-INV-00832"/>
    <x:n v="30"/>
    <x:s v="Valencia Circuit Supply"/>
    <x:n v="1.1555"/>
    <x:n v="1.3367963164349013"/>
    <x:n v="0.006298375667720483"/>
    <x:n v="1.1555"/>
    <x:x v="831"/>
    <x:x v="7"/>
    <x:n v="1.106"/>
    <x:n v="15610.03976"/>
    <x:n v="698.6410199999991"/>
    <x:n v="0.04475587703435799"/>
  </x:r>
  <x:r>
    <x:s v="INV-00833"/>
    <x:x v="0"/>
    <x:s v="SUP01"/>
    <x:x v="0"/>
    <x:s v="Components"/>
    <x:d v="2026-04-20T00:00:00Z"/>
    <x:n v="46162"/>
    <x:x v="0"/>
    <x:n v="39974.49"/>
    <x:s v="Historical"/>
    <x:s v="SUP01-INV-00833"/>
    <x:n v="30"/>
    <x:s v="Rhein Circuit Components"/>
    <x:n v="1.176"/>
    <x:n v="1.3510253317249699"/>
    <x:n v="0.006292808219178082"/>
    <x:n v="1.176"/>
    <x:x v="832"/>
    <x:x v="0"/>
    <x:n v="1.083"/>
    <x:n v="43292.37267"/>
    <x:n v="3717.627569999997"/>
    <x:n v="0.08587257617728525"/>
  </x:r>
  <x:r>
    <x:s v="INV-00834"/>
    <x:x v="6"/>
    <x:s v="SUP16"/>
    <x:x v="0"/>
    <x:s v="Components"/>
    <x:d v="2026-04-02T00:00:00Z"/>
    <x:n v="46144"/>
    <x:x v="1"/>
    <x:n v="3768408.4"/>
    <x:s v="Historical"/>
    <x:s v="SUP16-INV-00834"/>
    <x:n v="30"/>
    <x:s v="Kyoto Optical Instruments"/>
    <x:n v="1.1525"/>
    <x:n v="1.3208714886594157"/>
    <x:n v="0.006265630096770686"/>
    <x:n v="0.006265630096770686"/>
    <x:x v="833"/>
    <x:x v="0"/>
    <x:n v="0.0066"/>
    <x:n v="24871.49544"/>
    <x:n v="-1260.042352036533"/>
    <x:n v="-0.05066210654989602"/>
  </x:r>
  <x:r>
    <x:s v="INV-00835"/>
    <x:x v="11"/>
    <x:s v="SUP14"/>
    <x:x v="0"/>
    <x:s v="Equipment"/>
    <x:d v="2025-06-04T00:00:00Z"/>
    <x:n v="45872"/>
    <x:x v="1"/>
    <x:n v="4921085.96"/>
    <x:s v="Historical"/>
    <x:s v="SUP14-INV-00835"/>
    <x:n v="60"/>
    <x:s v="Tokyo Automation Systems"/>
    <x:n v="1.1384"/>
    <x:n v="1.3518584491153072"/>
    <x:n v="0.00693512031678343"/>
    <x:n v="0.00693512031678343"/>
    <x:x v="834"/>
    <x:x v="5"/>
    <x:n v="0.0067"/>
    <x:n v="32971.275932000004"/>
    <x:n v="1157.0472898336811"/>
    <x:n v="0.03509258459454152"/>
  </x:r>
  <x:r>
    <x:s v="INV-00836"/>
    <x:x v="5"/>
    <x:s v="SUP09"/>
    <x:x v="0"/>
    <x:s v="Components"/>
    <x:d v="2025-07-17T00:00:00Z"/>
    <x:n v="45885"/>
    <x:x v="2"/>
    <x:n v="14134.77"/>
    <x:s v="Historical"/>
    <x:s v="SUP09-INV-00836"/>
    <x:n v="30"/>
    <x:s v="Thames Electronics Ltd"/>
    <x:n v="1.1579"/>
    <x:n v="1.3395418787598334"/>
    <x:n v="0.006721035523566287"/>
    <x:n v="1.3395418787598334"/>
    <x:x v="835"/>
    <x:x v="1"/>
    <x:n v="1.282"/>
    <x:n v="18120.77514"/>
    <x:n v="813.3412216381294"/>
    <x:n v="0.044884460811102436"/>
  </x:r>
  <x:r>
    <x:s v="INV-00837"/>
    <x:x v="4"/>
    <x:s v="SUP08"/>
    <x:x v="0"/>
    <x:s v="Components"/>
    <x:d v="2026-05-04T00:00:00Z"/>
    <x:n v="46176"/>
    <x:x v="0"/>
    <x:n v="2896.55"/>
    <x:s v="Historical"/>
    <x:s v="SUP08-INV-00837"/>
    <x:n v="30"/>
    <x:s v="Valencia Circuit Supply"/>
    <x:n v="1.17"/>
    <x:n v="1.354825262280275"/>
    <x:n v="0.006364575966925964"/>
    <x:n v="1.17"/>
    <x:x v="836"/>
    <x:x v="0"/>
    <x:n v="1.083"/>
    <x:n v="3136.96365"/>
    <x:n v="251.9998499999997"/>
    <x:n v="0.08033240997229907"/>
  </x:r>
  <x:r>
    <x:s v="INV-00838"/>
    <x:x v="6"/>
    <x:s v="SUP16"/>
    <x:x v="0"/>
    <x:s v="Components"/>
    <x:d v="2025-03-28T00:00:00Z"/>
    <x:n v="45774"/>
    <x:x v="1"/>
    <x:n v="702669.89"/>
    <x:s v="Historical"/>
    <x:s v="SUP16-INV-00838"/>
    <x:n v="30"/>
    <x:s v="Kyoto Optical Instruments"/>
    <x:n v="1.0797"/>
    <x:n v="1.2952566040452027"/>
    <x:n v="0.006638588293162815"/>
    <x:n v="0.006638588293162815"/>
    <x:x v="837"/>
    <x:x v="3"/>
    <x:n v="0.00656"/>
    <x:n v="4609.5144784"/>
    <x:n v="55.221627312002965"/>
    <x:n v="0.011979922738233992"/>
  </x:r>
  <x:r>
    <x:s v="INV-00839"/>
    <x:x v="0"/>
    <x:s v="SUP01"/>
    <x:x v="0"/>
    <x:s v="Components"/>
    <x:d v="2025-12-07T00:00:00Z"/>
    <x:n v="46028"/>
    <x:x v="0"/>
    <x:n v="13969.24"/>
    <x:s v="Historical"/>
    <x:s v="SUP01-INV-00839"/>
    <x:n v="30"/>
    <x:s v="Rhein Circuit Components"/>
    <x:n v="1.1555"/>
    <x:n v="1.3367963164349013"/>
    <x:n v="0.006298375667720483"/>
    <x:n v="1.1555"/>
    <x:x v="838"/>
    <x:x v="7"/>
    <x:n v="1.106"/>
    <x:n v="15449.979440000001"/>
    <x:n v="691.4773799999984"/>
    <x:n v="0.044755877034357947"/>
  </x:r>
  <x:r>
    <x:s v="INV-00840"/>
    <x:x v="0"/>
    <x:s v="SUP01"/>
    <x:x v="0"/>
    <x:s v="Components"/>
    <x:d v="2026-06-27T00:00:00Z"/>
    <x:n v="46230"/>
    <x:x v="0"/>
    <x:n v="17332.74"/>
    <x:s v="Historical"/>
    <x:s v="SUP01-INV-00840"/>
    <x:n v="30"/>
    <x:s v="Rhein Circuit Components"/>
    <x:n v="1.1401"/>
    <x:n v="1.3218090964951943"/>
    <x:n v="0.006186109603906673"/>
    <x:n v="1.1401"/>
    <x:x v="839"/>
    <x:x v="0"/>
    <x:n v="1.083"/>
    <x:n v="18771.35742"/>
    <x:n v="989.6994540000014"/>
    <x:n v="0.052723915050784935"/>
  </x:r>
  <x:r>
    <x:s v="INV-00841"/>
    <x:x v="8"/>
    <x:s v="SUP13"/>
    <x:x v="0"/>
    <x:s v="Components"/>
    <x:d v="2025-01-29T00:00:00Z"/>
    <x:n v="45731"/>
    <x:x v="1"/>
    <x:n v="4610859.42"/>
    <x:s v="Historical"/>
    <x:s v="SUP13-INV-00841"/>
    <x:n v="45"/>
    <x:s v="Osaka Microdevices"/>
    <x:n v="1.0396"/>
    <x:n v="1.2417137465212666"/>
    <x:n v="0.006437151702786378"/>
    <x:n v="0.006437151702786378"/>
    <x:x v="840"/>
    <x:x v="3"/>
    <x:n v="0.00656"/>
    <x:n v="30247.2377952"/>
    <x:n v="-566.4362284383897"/>
    <x:n v="-0.01872687457524729"/>
  </x:r>
  <x:r>
    <x:s v="INV-00842"/>
    <x:x v="0"/>
    <x:s v="SUP01"/>
    <x:x v="0"/>
    <x:s v="Components"/>
    <x:d v="2026-02-11T00:00:00Z"/>
    <x:n v="46094"/>
    <x:x v="0"/>
    <x:n v="43061.85"/>
    <x:s v="Historical"/>
    <x:s v="SUP01-INV-00842"/>
    <x:n v="30"/>
    <x:s v="Rhein Circuit Components"/>
    <x:n v="1.19"/>
    <x:n v="1.3679733302678467"/>
    <x:n v="0.006510202965151267"/>
    <x:n v="1.19"/>
    <x:x v="841"/>
    <x:x v="6"/>
    <x:n v="1.065"/>
    <x:n v="45860.87024999999"/>
    <x:n v="5382.731250000004"/>
    <x:n v="0.11737089201877945"/>
  </x:r>
  <x:r>
    <x:s v="INV-00842"/>
    <x:x v="16"/>
    <x:s v="SUP12"/>
    <x:x v="0"/>
    <x:s v="Components"/>
    <x:d v="2026-08-25T00:00:00Z"/>
    <x:n v="46319"/>
    <x:x v="2"/>
    <x:n v="6771.3"/>
    <x:s v="Historical"/>
    <x:s v="SUP12-INV-00842"/>
    <x:n v="60"/>
    <x:s v="Oxford Technical Materials"/>
    <x:n v="1.1662"/>
    <x:n v="1.3631794272355346"/>
    <x:n v="0.00628002154011847"/>
    <x:n v="1.3631794272355346"/>
    <x:x v="842"/>
    <x:x v="4"/>
    <x:n v="1.293"/>
    <x:n v="8755.2909"/>
    <x:n v="475.2059556399763"/>
    <x:n v="0.054276432510081"/>
  </x:r>
  <x:r>
    <x:s v="INV-00843"/>
    <x:x v="1"/>
    <x:s v="SUP15"/>
    <x:x v="1"/>
    <x:s v="Freight"/>
    <x:d v="2025-10-02T00:00:00Z"/>
    <x:n v="45962"/>
    <x:x v="1"/>
    <x:n v="952636.41"/>
    <x:s v="Historical"/>
    <x:s v="SUP15-INV-00843"/>
    <x:n v="30"/>
    <x:s v="Nagoya Logistics Partners"/>
    <x:n v="1.1754"/>
    <x:n v="1.347781217750258"/>
    <x:n v="0.0068127282211789255"/>
    <x:n v="0.0068127282211789255"/>
    <x:x v="843"/>
    <x:x v="7"/>
    <x:n v="0.00698"/>
    <x:n v="6649.4021418"/>
    <x:n v="-159.34918687042227"/>
    <x:n v="-0.023964438226514943"/>
  </x:r>
  <x:r>
    <x:s v="INV-00844"/>
    <x:x v="9"/>
    <x:s v="SUP05"/>
    <x:x v="0"/>
    <x:s v="Components"/>
    <x:d v="2025-02-20T00:00:00Z"/>
    <x:n v="45753"/>
    <x:x v="0"/>
    <x:n v="22296.04"/>
    <x:s v="Historical"/>
    <x:s v="SUP05-INV-00844"/>
    <x:n v="45"/>
    <x:s v="Lyon Industrial Controls"/>
    <x:n v="1.0443"/>
    <x:n v="1.2608816391582047"/>
    <x:n v="0.006668582375478928"/>
    <x:n v="1.0443"/>
    <x:x v="844"/>
    <x:x v="3"/>
    <x:n v="1.052"/>
    <x:n v="23455.434080000003"/>
    <x:n v="-171.67950800000108"/>
    <x:n v="-0.007319391634981034"/>
  </x:r>
  <x:r>
    <x:s v="INV-00845"/>
    <x:x v="15"/>
    <x:s v="SUP18"/>
    <x:x v="1"/>
    <x:s v="Services"/>
    <x:d v="2025-02-09T00:00:00Z"/>
    <x:n v="45727"/>
    <x:x v="1"/>
    <x:n v="1184324.58"/>
    <x:s v="Historical"/>
    <x:s v="SUP18-INV-00845"/>
    <x:n v="30"/>
    <x:s v="Yokohama Engineering Labs"/>
    <x:n v="1.0694"/>
    <x:n v="1.2807185628742515"/>
    <x:n v="0.006679992504216378"/>
    <x:n v="0.006679992504216378"/>
    <x:x v="845"/>
    <x:x v="3"/>
    <x:n v="0.00656"/>
    <x:n v="7769.1692448"/>
    <x:n v="142.11007215921018"/>
    <x:n v="0.018291540276886897"/>
  </x:r>
  <x:r>
    <x:s v="INV-00846"/>
    <x:x v="15"/>
    <x:s v="SUP18"/>
    <x:x v="1"/>
    <x:s v="Services"/>
    <x:d v="2025-07-20T00:00:00Z"/>
    <x:n v="45888"/>
    <x:x v="1"/>
    <x:n v="456619.32"/>
    <x:s v="Historical"/>
    <x:s v="SUP18-INV-00846"/>
    <x:n v="30"/>
    <x:s v="Yokohama Engineering Labs"/>
    <x:n v="1.1607"/>
    <x:n v="1.3375201659368519"/>
    <x:n v="0.006578067441201475"/>
    <x:n v="0.006578067441201475"/>
    <x:x v="846"/>
    <x:x v="1"/>
    <x:n v="0.00684"/>
    <x:n v="3123.2761488"/>
    <x:n v="-119.6034668844427"/>
    <x:n v="-0.038294233742474475"/>
  </x:r>
  <x:r>
    <x:s v="INV-00847"/>
    <x:x v="6"/>
    <x:s v="SUP16"/>
    <x:x v="0"/>
    <x:s v="Components"/>
    <x:d v="2026-07-19T00:00:00Z"/>
    <x:n v="46252"/>
    <x:x v="1"/>
    <x:n v="2406973.68"/>
    <x:s v="Historical"/>
    <x:s v="SUP16-INV-00847"/>
    <x:n v="30"/>
    <x:s v="Kyoto Optical Instruments"/>
    <x:n v="1.1435"/>
    <x:n v="1.3437448588685985"/>
    <x:n v="0.006159439806086722"/>
    <x:n v="0.006159439806086722"/>
    <x:x v="847"/>
    <x:x v="4"/>
    <x:n v="0.00674"/>
    <x:n v="16223.002603200002"/>
    <x:n v="-1397.3931064049575"/>
    <x:n v="-0.08613652728683656"/>
  </x:r>
  <x:r>
    <x:s v="INV-00848"/>
    <x:x v="5"/>
    <x:s v="SUP09"/>
    <x:x v="0"/>
    <x:s v="Components"/>
    <x:d v="2025-08-31T00:00:00Z"/>
    <x:n v="45930"/>
    <x:x v="2"/>
    <x:n v="26635.37"/>
    <x:s v="Historical"/>
    <x:s v="SUP09-INV-00848"/>
    <x:n v="30"/>
    <x:s v="Thames Electronics Ltd"/>
    <x:n v="1.1719"/>
    <x:n v="1.33992682369083"/>
    <x:n v="0.006419611065461517"/>
    <x:n v="1.33992682369083"/>
    <x:x v="848"/>
    <x:x v="1"/>
    <x:n v="1.282"/>
    <x:n v="34146.54434"/>
    <x:n v="1542.90238193002"/>
    <x:n v="0.04518472986804205"/>
  </x:r>
  <x:r>
    <x:s v="INV-00849"/>
    <x:x v="4"/>
    <x:s v="SUP08"/>
    <x:x v="0"/>
    <x:s v="Components"/>
    <x:d v="2026-09-19T00:00:00Z"/>
    <x:n v="46314"/>
    <x:x v="0"/>
    <x:n v="19207.32"/>
    <x:s v="Historical"/>
    <x:s v="SUP08-INV-00849"/>
    <x:n v="30"/>
    <x:s v="Valencia Circuit Supply"/>
    <x:n v="1.146"/>
    <x:n v="1.3344201210992082"/>
    <x:n v="0.006333591245716812"/>
    <x:n v="1.146"/>
    <x:x v="849"/>
    <x:x v="4"/>
    <x:n v="1.101"/>
    <x:n v="21147.25932"/>
    <x:n v="864.3293999999951"/>
    <x:n v="0.040871934604904396"/>
  </x:r>
  <x:r>
    <x:s v="INV-00850"/>
    <x:x v="9"/>
    <x:s v="SUP05"/>
    <x:x v="0"/>
    <x:s v="Components"/>
    <x:d v="2025-08-05T00:00:00Z"/>
    <x:n v="45919"/>
    <x:x v="0"/>
    <x:n v="8205.47"/>
    <x:s v="Historical"/>
    <x:s v="SUP05-INV-00850"/>
    <x:n v="45"/>
    <x:s v="Lyon Industrial Controls"/>
    <x:n v="1.1546"/>
    <x:n v="1.3281950995053493"/>
    <x:n v="0.006775026405351486"/>
    <x:n v="1.1546"/>
    <x:x v="850"/>
    <x:x v="1"/>
    <x:n v="1.088"/>
    <x:n v="8927.55136"/>
    <x:n v="546.4843020000008"/>
    <x:n v="0.061213235294117735"/>
  </x:r>
  <x:r>
    <x:s v="INV-00851"/>
    <x:x v="17"/>
    <x:s v="SUP06"/>
    <x:x v="2"/>
    <x:s v="Software"/>
    <x:d v="2025-08-23T00:00:00Z"/>
    <x:n v="45922"/>
    <x:x v="0"/>
    <x:n v="1676.16"/>
    <x:s v="Historical"/>
    <x:s v="SUP06-INV-00851"/>
    <x:n v="30"/>
    <x:s v="Dublin Systems Licensing"/>
    <x:n v="1.1655"/>
    <x:n v="1.3326091927738395"/>
    <x:n v="0.006428926030117492"/>
    <x:n v="1.1655"/>
    <x:x v="851"/>
    <x:x v="1"/>
    <x:n v="1.088"/>
    <x:n v="1823.6620800000003"/>
    <x:n v="129.90239999999972"/>
    <x:n v="0.07123161764705865"/>
  </x:r>
  <x:r>
    <x:s v="INV-00852"/>
    <x:x v="9"/>
    <x:s v="SUP05"/>
    <x:x v="0"/>
    <x:s v="Components"/>
    <x:d v="2026-09-02T00:00:00Z"/>
    <x:n v="46312"/>
    <x:x v="0"/>
    <x:n v="19642.1"/>
    <x:s v="Historical"/>
    <x:s v="SUP05-INV-00852"/>
    <x:n v="45"/>
    <x:s v="Lyon Industrial Controls"/>
    <x:n v="1.1578"/>
    <x:n v="1.3483172237102596"/>
    <x:n v="0.006265829635241909"/>
    <x:n v="1.1578"/>
    <x:x v="852"/>
    <x:x v="4"/>
    <x:n v="1.101"/>
    <x:n v="21625.9521"/>
    <x:n v="1115.6712799999987"/>
    <x:n v="0.05158946412352401"/>
  </x:r>
  <x:r>
    <x:s v="INV-00853"/>
    <x:x v="9"/>
    <x:s v="SUP05"/>
    <x:x v="0"/>
    <x:s v="Components"/>
    <x:d v="2026-08-01T00:00:00Z"/>
    <x:n v="46280"/>
    <x:x v="0"/>
    <x:n v="16312.24"/>
    <x:s v="Historical"/>
    <x:s v="SUP05-INV-00853"/>
    <x:n v="45"/>
    <x:s v="Lyon Industrial Controls"/>
    <x:n v="1.1485"/>
    <x:n v="1.3421289425402874"/>
    <x:n v="0.006240830299407705"/>
    <x:n v="1.1485"/>
    <x:x v="853"/>
    <x:x v="4"/>
    <x:n v="1.101"/>
    <x:n v="17959.77624"/>
    <x:n v="774.8314000000028"/>
    <x:n v="0.0431425976385106"/>
  </x:r>
  <x:r>
    <x:s v="INV-00854"/>
    <x:x v="16"/>
    <x:s v="SUP12"/>
    <x:x v="0"/>
    <x:s v="Components"/>
    <x:d v="2025-08-30T00:00:00Z"/>
    <x:n v="45959"/>
    <x:x v="2"/>
    <x:n v="4605.08"/>
    <x:s v="Historical"/>
    <x:s v="SUP12-INV-00854"/>
    <x:n v="60"/>
    <x:s v="Oxford Technical Materials"/>
    <x:n v="1.1722"/>
    <x:n v="1.3343198634035287"/>
    <x:n v="0.00642723982892861"/>
    <x:n v="1.3343198634035287"/>
    <x:x v="854"/>
    <x:x v="1"/>
    <x:n v="1.282"/>
    <x:n v="5903.71256"/>
    <x:n v="240.93715656232234"/>
    <x:n v="0.04081112589978844"/>
  </x:r>
  <x:r>
    <x:s v="INV-00855"/>
    <x:x v="7"/>
    <x:s v="SUP03"/>
    <x:x v="0"/>
    <x:s v="Components"/>
    <x:d v="2025-06-13T00:00:00Z"/>
    <x:n v="45851"/>
    <x:x v="0"/>
    <x:n v="22174.65"/>
    <x:s v="Historical"/>
    <x:s v="SUP03-INV-00855"/>
    <x:n v="30"/>
    <x:s v="Benelux Sensor Works"/>
    <x:n v="1.1512"/>
    <x:n v="1.3535567313345092"/>
    <x:n v="0.006937447270097626"/>
    <x:n v="1.1512"/>
    <x:x v="855"/>
    <x:x v="5"/>
    <x:n v="1.07"/>
    <x:n v="23726.875500000002"/>
    <x:n v="1800.5815799999982"/>
    <x:n v="0.07588785046728964"/>
  </x:r>
  <x:r>
    <x:s v="INV-00856"/>
    <x:x v="12"/>
    <x:s v="SUP17"/>
    <x:x v="1"/>
    <x:s v="Packaging"/>
    <x:d v="2026-11-14T00:00:00Z"/>
    <x:n v="46385"/>
    <x:x v="1"/>
    <x:n v="851908.68"/>
    <x:s v="Planned"/>
    <x:s v="SUP17-INV-00856"/>
    <x:n v="45"/>
    <x:s v="Kobe Industrial Packaging"/>
    <x:n v="1.1177"/>
    <x:n v="1.320456022210408"/>
    <x:n v="0.00632004523607577"/>
    <x:n v="0.00632004523607577"/>
    <x:x v="856"/>
    <x:x v="2"/>
    <x:n v="0.00688"/>
    <x:n v="5861.1317184"/>
    <x:n v="-477.03032379440174"/>
    <x:n v="-0.08138877382619611"/>
  </x:r>
  <x:r>
    <x:s v="INV-00857"/>
    <x:x v="16"/>
    <x:s v="SUP12"/>
    <x:x v="0"/>
    <x:s v="Components"/>
    <x:d v="2025-01-12T00:00:00Z"/>
    <x:n v="45729"/>
    <x:x v="2"/>
    <x:n v="24078.02"/>
    <x:s v="Historical"/>
    <x:s v="SUP12-INV-00857"/>
    <x:n v="60"/>
    <x:s v="Oxford Technical Materials"/>
    <x:n v="1.0472"/>
    <x:n v="1.2405672112115431"/>
    <x:n v="0.006389261744966442"/>
    <x:n v="1.2405672112115431"/>
    <x:x v="857"/>
    <x:x v="3"/>
    <x:n v="1.238"/>
    <x:n v="29808.58876"/>
    <x:n v="61.81336289576211"/>
    <x:n v="0.002073676261343481"/>
  </x:r>
  <x:r>
    <x:s v="INV-00858"/>
    <x:x v="8"/>
    <x:s v="SUP13"/>
    <x:x v="0"/>
    <x:s v="Components"/>
    <x:d v="2025-11-16T00:00:00Z"/>
    <x:n v="46022"/>
    <x:x v="1"/>
    <x:n v="4858168.61"/>
    <x:s v="Historical"/>
    <x:s v="SUP13-INV-00858"/>
    <x:n v="45"/>
    <x:s v="Osaka Microdevices"/>
    <x:n v="1.1555"/>
    <x:n v="1.3367963164349013"/>
    <x:n v="0.006298375667720483"/>
    <x:n v="0.006298375667720483"/>
    <x:x v="858"/>
    <x:x v="7"/>
    <x:n v="0.00698"/>
    <x:n v="33910.0168978"/>
    <x:n v="-3311.4459348925557"/>
    <x:n v="-0.09765391579935763"/>
  </x:r>
  <x:r>
    <x:s v="INV-00859"/>
    <x:x v="10"/>
    <x:s v="SUP02"/>
    <x:x v="0"/>
    <x:s v="Equipment"/>
    <x:d v="2026-11-06T00:00:00Z"/>
    <x:n v="46377"/>
    <x:x v="0"/>
    <x:n v="15928.68"/>
    <x:s v="Planned"/>
    <x:s v="SUP02-INV-00859"/>
    <x:n v="45"/>
    <x:s v="Alpen Precision Systems"/>
    <x:n v="1.1177"/>
    <x:n v="1.320456022210408"/>
    <x:n v="0.00632004523607577"/>
    <x:n v="1.1177"/>
    <x:x v="859"/>
    <x:x v="2"/>
    <x:n v="1.119"/>
    <x:n v="17824.19292"/>
    <x:n v="-20.70728400000371"/>
    <x:n v="-0.0011617515638965442"/>
  </x:r>
  <x:r>
    <x:s v="INV-00860"/>
    <x:x v="3"/>
    <x:s v="SUP04"/>
    <x:x v="1"/>
    <x:s v="Packaging"/>
    <x:d v="2026-06-07T00:00:00Z"/>
    <x:n v="46210"/>
    <x:x v="0"/>
    <x:n v="4783.1"/>
    <x:s v="Historical"/>
    <x:s v="SUP04-INV-00860"/>
    <x:n v="30"/>
    <x:s v="Nordlicht Packaging"/>
    <x:n v="1.164"/>
    <x:n v="1.3467078546388531"/>
    <x:n v="0.006255374032674118"/>
    <x:n v="1.164"/>
    <x:x v="860"/>
    <x:x v="0"/>
    <x:n v="1.083"/>
    <x:n v="5180.0973"/>
    <x:n v="387.4310999999998"/>
    <x:n v="0.07479224376731297"/>
  </x:r>
  <x:r>
    <x:s v="INV-00861"/>
    <x:x v="16"/>
    <x:s v="SUP12"/>
    <x:x v="0"/>
    <x:s v="Components"/>
    <x:d v="2025-04-11T00:00:00Z"/>
    <x:n v="45818"/>
    <x:x v="2"/>
    <x:n v="3830.89"/>
    <x:s v="Historical"/>
    <x:s v="SUP12-INV-00861"/>
    <x:n v="60"/>
    <x:s v="Oxford Technical Materials"/>
    <x:n v="1.1346"/>
    <x:n v="1.3089826714968043"/>
    <x:n v="0.0070006787190720066"/>
    <x:n v="1.3089826714968043"/>
    <x:x v="861"/>
    <x:x v="5"/>
    <x:n v="1.26"/>
    <x:n v="4826.9214"/>
    <x:n v="187.64722641039225"/>
    <x:n v="0.038875136108574765"/>
  </x:r>
  <x:r>
    <x:s v="INV-00862"/>
    <x:x v="3"/>
    <x:s v="SUP04"/>
    <x:x v="1"/>
    <x:s v="Packaging"/>
    <x:d v="2025-10-01T00:00:00Z"/>
    <x:n v="45961"/>
    <x:x v="0"/>
    <x:n v="3826.62"/>
    <x:s v="Historical"/>
    <x:s v="SUP04-INV-00862"/>
    <x:n v="30"/>
    <x:s v="Nordlicht Packaging"/>
    <x:n v="1.1724"/>
    <x:n v="1.346966911764706"/>
    <x:n v="0.006797703948512785"/>
    <x:n v="1.1724"/>
    <x:x v="862"/>
    <x:x v="7"/>
    <x:n v="1.106"/>
    <x:n v="4232.24172"/>
    <x:n v="254.08756799999992"/>
    <x:n v="0.06003616636528027"/>
  </x:r>
  <x:r>
    <x:s v="INV-00863"/>
    <x:x v="0"/>
    <x:s v="SUP01"/>
    <x:x v="0"/>
    <x:s v="Components"/>
    <x:d v="2026-11-17T00:00:00Z"/>
    <x:n v="46373"/>
    <x:x v="0"/>
    <x:n v="32655.6"/>
    <x:s v="Planned"/>
    <x:s v="SUP01-INV-00863"/>
    <x:n v="30"/>
    <x:s v="Rhein Circuit Components"/>
    <x:n v="1.1177"/>
    <x:n v="1.320456022210408"/>
    <x:n v="0.00632004523607577"/>
    <x:n v="1.1177"/>
    <x:x v="863"/>
    <x:x v="2"/>
    <x:n v="1.119"/>
    <x:n v="36541.6164"/>
    <x:n v="-42.452280000004976"/>
    <x:n v="-0.0011617515638964722"/>
  </x:r>
  <x:r>
    <x:s v="INV-00864"/>
    <x:x v="6"/>
    <x:s v="SUP16"/>
    <x:x v="0"/>
    <x:s v="Components"/>
    <x:d v="2025-10-04T00:00:00Z"/>
    <x:n v="45964"/>
    <x:x v="1"/>
    <x:n v="2063873.92"/>
    <x:s v="Historical"/>
    <x:s v="SUP16-INV-00864"/>
    <x:n v="30"/>
    <x:s v="Kyoto Optical Instruments"/>
    <x:n v="1.1886"/>
    <x:n v="1.3660498793242157"/>
    <x:n v="0.00640237005117156"/>
    <x:n v="0.00640237005117156"/>
    <x:x v="864"/>
    <x:x v="7"/>
    <x:n v="0.00698"/>
    <x:n v="14405.839961599999"/>
    <x:n v="-1192.155386797951"/>
    <x:n v="-0.08275500699547846"/>
  </x:r>
  <x:r>
    <x:s v="INV-00865"/>
    <x:x v="15"/>
    <x:s v="SUP18"/>
    <x:x v="1"/>
    <x:s v="Services"/>
    <x:d v="2025-03-14T00:00:00Z"/>
    <x:n v="45760"/>
    <x:x v="1"/>
    <x:n v="322326.46"/>
    <x:s v="Historical"/>
    <x:s v="SUP18-INV-00865"/>
    <x:n v="30"/>
    <x:s v="Yokohama Engineering Labs"/>
    <x:n v="1.0889"/>
    <x:n v="1.2934915600536925"/>
    <x:n v="0.006726587595749938"/>
    <x:n v="0.006726587595749938"/>
    <x:x v="865"/>
    <x:x v="3"/>
    <x:n v="0.00656"/>
    <x:n v="2114.4615776"/>
    <x:n v="53.69559001798871"/>
    <x:n v="0.02539445057163696"/>
  </x:r>
  <x:r>
    <x:s v="INV-00866"/>
    <x:x v="11"/>
    <x:s v="SUP14"/>
    <x:x v="0"/>
    <x:s v="Equipment"/>
    <x:d v="2026-07-11T00:00:00Z"/>
    <x:n v="46274"/>
    <x:x v="1"/>
    <x:n v="7265785.05"/>
    <x:s v="Historical"/>
    <x:s v="SUP14-INV-00866"/>
    <x:n v="60"/>
    <x:s v="Tokyo Automation Systems"/>
    <x:n v="1.143"/>
    <x:n v="1.3422582349832657"/>
    <x:n v="0.006177710517781861"/>
    <x:n v="0.006177710517781861"/>
    <x:x v="866"/>
    <x:x v="4"/>
    <x:n v="0.00674"/>
    <x:n v="48971.391237"/>
    <x:n v="-4085.4745136728015"/>
    <x:n v="-0.08342573920150442"/>
  </x:r>
  <x:r>
    <x:s v="INV-00867"/>
    <x:x v="16"/>
    <x:s v="SUP12"/>
    <x:x v="0"/>
    <x:s v="Components"/>
    <x:d v="2026-11-09T00:00:00Z"/>
    <x:n v="46395"/>
    <x:x v="2"/>
    <x:n v="12579.97"/>
    <x:s v="Planned"/>
    <x:s v="SUP12-INV-00867"/>
    <x:n v="60"/>
    <x:s v="Oxford Technical Materials"/>
    <x:n v="1.1177"/>
    <x:n v="1.320456022210408"/>
    <x:n v="0.00632004523607577"/>
    <x:n v="1.320456022210408"/>
    <x:x v="867"/>
    <x:x v="2"/>
    <x:n v="1.315"/>
    <x:n v="16542.660549999997"/>
    <x:n v="68.63659572626784"/>
    <x:n v="0.004149066319701993"/>
  </x:r>
  <x:r>
    <x:s v="INV-00868"/>
    <x:x v="9"/>
    <x:s v="SUP05"/>
    <x:x v="0"/>
    <x:s v="Components"/>
    <x:d v="2026-06-17T00:00:00Z"/>
    <x:n v="46235"/>
    <x:x v="0"/>
    <x:n v="15761.14"/>
    <x:s v="Historical"/>
    <x:s v="SUP05-INV-00868"/>
    <x:n v="45"/>
    <x:s v="Lyon Industrial Controls"/>
    <x:n v="1.1591"/>
    <x:n v="1.3405734244705827"/>
    <x:n v="0.006237756969109892"/>
    <x:n v="1.1591"/>
    <x:x v="868"/>
    <x:x v="0"/>
    <x:n v="1.083"/>
    <x:n v="17069.314619999997"/>
    <x:n v="1199.422754000003"/>
    <x:n v="0.07026777469990785"/>
  </x:r>
  <x:r>
    <x:s v="INV-00869"/>
    <x:x v="8"/>
    <x:s v="SUP13"/>
    <x:x v="0"/>
    <x:s v="Components"/>
    <x:d v="2025-05-11T00:00:00Z"/>
    <x:n v="45833"/>
    <x:x v="1"/>
    <x:n v="1108267.93"/>
    <x:s v="Historical"/>
    <x:s v="SUP13-INV-00869"/>
    <x:n v="45"/>
    <x:s v="Osaka Microdevices"/>
    <x:n v="1.1665"/>
    <x:n v="1.3440488535545572"/>
    <x:n v="0.006759184146482791"/>
    <x:n v="0.006759184146482791"/>
    <x:x v="869"/>
    <x:x v="5"/>
    <x:n v="0.0067"/>
    <x:n v="7425.395131"/>
    <x:n v="65.59189151129885"/>
    <x:n v="0.008833454698923934"/>
  </x:r>
  <x:r>
    <x:s v="INV-00870"/>
    <x:x v="0"/>
    <x:s v="SUP01"/>
    <x:x v="0"/>
    <x:s v="Components"/>
    <x:d v="2026-12-02T00:00:00Z"/>
    <x:n v="46388"/>
    <x:x v="0"/>
    <x:n v="14875.6"/>
    <x:s v="Planned"/>
    <x:s v="SUP01-INV-00870"/>
    <x:n v="30"/>
    <x:s v="Rhein Circuit Components"/>
    <x:n v="1.1177"/>
    <x:n v="1.320456022210408"/>
    <x:n v="0.00632004523607577"/>
    <x:n v="1.1177"/>
    <x:x v="870"/>
    <x:x v="2"/>
    <x:n v="1.119"/>
    <x:n v="16645.7964"/>
    <x:n v="-19.33827999999994"/>
    <x:n v="-0.0011617515638963326"/>
  </x:r>
  <x:r>
    <x:s v="INV-00871"/>
    <x:x v="5"/>
    <x:s v="SUP09"/>
    <x:x v="0"/>
    <x:s v="Components"/>
    <x:d v="2025-11-27T00:00:00Z"/>
    <x:n v="46018"/>
    <x:x v="2"/>
    <x:n v="14330.81"/>
    <x:s v="Historical"/>
    <x:s v="SUP09-INV-00871"/>
    <x:n v="30"/>
    <x:s v="Thames Electronics Ltd"/>
    <x:n v="1.1586"/>
    <x:n v="1.3235092529129542"/>
    <x:n v="0.0063972171608414775"/>
    <x:n v="1.3235092529129542"/>
    <x:x v="871"/>
    <x:x v="7"/>
    <x:n v="1.304"/>
    <x:n v="18687.37624"/>
    <x:n v="279.58339673748924"/>
    <x:n v="0.01496108352220393"/>
  </x:r>
  <x:r>
    <x:s v="INV-00872"/>
    <x:x v="3"/>
    <x:s v="SUP04"/>
    <x:x v="1"/>
    <x:s v="Packaging"/>
    <x:d v="2025-01-10T00:00:00Z"/>
    <x:n v="45697"/>
    <x:x v="0"/>
    <x:n v="8197.99"/>
    <x:s v="Historical"/>
    <x:s v="SUP04-INV-00872"/>
    <x:n v="30"/>
    <x:s v="Nordlicht Packaging"/>
    <x:n v="1.0304"/>
    <x:n v="1.2311662863082935"/>
    <x:n v="0.0063269065454992016"/>
    <x:n v="1.0304"/>
    <x:x v="872"/>
    <x:x v="3"/>
    <x:n v="1.052"/>
    <x:n v="8624.28548"/>
    <x:n v="-177.07658400000037"/>
    <x:n v="-0.020532319391635023"/>
  </x:r>
  <x:r>
    <x:s v="INV-00873"/>
    <x:x v="4"/>
    <x:s v="SUP08"/>
    <x:x v="0"/>
    <x:s v="Components"/>
    <x:d v="2025-11-19T00:00:00Z"/>
    <x:n v="46010"/>
    <x:x v="0"/>
    <x:n v="8798.64"/>
    <x:s v="Historical"/>
    <x:s v="SUP08-INV-00873"/>
    <x:n v="30"/>
    <x:s v="Valencia Circuit Supply"/>
    <x:n v="1.1583"/>
    <x:n v="1.3122238586156112"/>
    <x:n v="0.00640475532209013"/>
    <x:n v="1.1583"/>
    <x:x v="873"/>
    <x:x v="7"/>
    <x:n v="1.106"/>
    <x:n v="9731.29584"/>
    <x:n v="460.1688720000002"/>
    <x:n v="0.04728752260397832"/>
  </x:r>
  <x:r>
    <x:s v="INV-00874"/>
    <x:x v="3"/>
    <x:s v="SUP04"/>
    <x:x v="1"/>
    <x:s v="Packaging"/>
    <x:d v="2026-07-02T00:00:00Z"/>
    <x:n v="46235"/>
    <x:x v="0"/>
    <x:n v="4813.36"/>
    <x:s v="Historical"/>
    <x:s v="SUP04-INV-00874"/>
    <x:n v="30"/>
    <x:s v="Nordlicht Packaging"/>
    <x:n v="1.1399"/>
    <x:n v="1.3306484561956458"/>
    <x:n v="0.00618871817145339"/>
    <x:n v="1.1399"/>
    <x:x v="874"/>
    <x:x v="4"/>
    <x:n v="1.101"/>
    <x:n v="5299.509359999999"/>
    <x:n v="187.23970400000053"/>
    <x:n v="0.035331516802906554"/>
  </x:r>
  <x:r>
    <x:s v="INV-00875"/>
    <x:x v="7"/>
    <x:s v="SUP03"/>
    <x:x v="0"/>
    <x:s v="Components"/>
    <x:d v="2026-06-11T00:00:00Z"/>
    <x:n v="46214"/>
    <x:x v="0"/>
    <x:n v="14206.98"/>
    <x:s v="Historical"/>
    <x:s v="SUP03-INV-00875"/>
    <x:n v="30"/>
    <x:s v="Benelux Sensor Works"/>
    <x:n v="1.1537"/>
    <x:n v="1.336383644156145"/>
    <x:n v="0.006229145294530532"/>
    <x:n v="1.1537"/>
    <x:x v="875"/>
    <x:x v="0"/>
    <x:n v="1.083"/>
    <x:n v="15386.159339999998"/>
    <x:n v="1004.4334860000017"/>
    <x:n v="0.06528162511542025"/>
  </x:r>
  <x:r>
    <x:s v="INV-00876"/>
    <x:x v="1"/>
    <x:s v="SUP15"/>
    <x:x v="1"/>
    <x:s v="Freight"/>
    <x:d v="2026-07-25T00:00:00Z"/>
    <x:n v="46258"/>
    <x:x v="1"/>
    <x:n v="2988878.32"/>
    <x:s v="Historical"/>
    <x:s v="SUP15-INV-00876"/>
    <x:n v="30"/>
    <x:s v="Nagoya Logistics Partners"/>
    <x:n v="1.1377"/>
    <x:n v="1.3323886260364455"/>
    <x:n v="0.006104195729155488"/>
    <x:n v="0.006104195729155488"/>
    <x:x v="876"/>
    <x:x v="4"/>
    <x:n v="0.00674"/>
    <x:n v="20145.0398768"/>
    <x:n v="-1900.3416008905697"/>
    <x:n v="-0.09433297787010561"/>
  </x:r>
  <x:r>
    <x:s v="INV-00877"/>
    <x:x v="11"/>
    <x:s v="SUP14"/>
    <x:x v="0"/>
    <x:s v="Equipment"/>
    <x:d v="2025-11-17T00:00:00Z"/>
    <x:n v="46038"/>
    <x:x v="1"/>
    <x:n v="10410644.74"/>
    <x:s v="Historical"/>
    <x:s v="SUP14-INV-00877"/>
    <x:n v="60"/>
    <x:s v="Tokyo Automation Systems"/>
    <x:n v="1.1593"/>
    <x:n v="1.3181353041500854"/>
    <x:n v="0.0064559781700729525"/>
    <x:n v="0.0064559781700729525"/>
    <x:x v="877"/>
    <x:x v="7"/>
    <x:n v="0.00698"/>
    <x:n v="72666.3002852"/>
    <x:n v="-5455.405107375191"/>
    <x:n v="-0.07507476073453401"/>
  </x:r>
  <x:r>
    <x:s v="INV-00878"/>
    <x:x v="2"/>
    <x:s v="SUP10"/>
    <x:x v="1"/>
    <x:s v="Services"/>
    <x:d v="2026-06-23T00:00:00Z"/>
    <x:n v="46241"/>
    <x:x v="2"/>
    <x:n v="5712.26"/>
    <x:s v="Historical"/>
    <x:s v="SUP10-INV-00878"/>
    <x:n v="45"/>
    <x:s v="Bristol Calibration Services"/>
    <x:n v="1.1392"/>
    <x:n v="1.3215777262180974"/>
    <x:n v="0.0061906314531029235"/>
    <x:n v="1.3215777262180974"/>
    <x:x v="878"/>
    <x:x v="0"/>
    <x:n v="1.271"/>
    <x:n v="7260.282459999999"/>
    <x:n v="288.91312236658996"/>
    <x:n v="0.03979364769323176"/>
  </x:r>
  <x:r>
    <x:s v="INV-00879"/>
    <x:x v="13"/>
    <x:s v="SUP11"/>
    <x:x v="2"/>
    <x:s v="Software"/>
    <x:d v="2026-04-19T00:00:00Z"/>
    <x:n v="46161"/>
    <x:x v="2"/>
    <x:n v="6110.38"/>
    <x:s v="Historical"/>
    <x:s v="SUP11-INV-00879"/>
    <x:n v="30"/>
    <x:s v="Manchester Cloud Solutions"/>
    <x:n v="1.1797"/>
    <x:n v="1.3533636196769456"/>
    <x:n v="0.006284359684636693"/>
    <x:n v="1.3533636196769456"/>
    <x:x v="879"/>
    <x:x v="0"/>
    <x:n v="1.271"/>
    <x:n v="7766.292979999999"/>
    <x:n v="503.2730144016159"/>
    <x:n v="0.06480221847123979"/>
  </x:r>
  <x:r>
    <x:s v="INV-00880"/>
    <x:x v="3"/>
    <x:s v="SUP04"/>
    <x:x v="1"/>
    <x:s v="Packaging"/>
    <x:d v="2025-02-28T00:00:00Z"/>
    <x:n v="45746"/>
    <x:x v="0"/>
    <x:n v="3081.13"/>
    <x:s v="Historical"/>
    <x:s v="SUP04-INV-00880"/>
    <x:n v="30"/>
    <x:s v="Nordlicht Packaging"/>
    <x:n v="1.0411"/>
    <x:n v="1.2602895603331394"/>
    <x:n v="0.006632900101936798"/>
    <x:n v="1.0411"/>
    <x:x v="880"/>
    <x:x v="3"/>
    <x:n v="1.052"/>
    <x:n v="3241.3487600000003"/>
    <x:n v="-33.58431700000028"/>
    <x:n v="-0.01036121673003811"/>
  </x:r>
  <x:r>
    <x:s v="INV-00881"/>
    <x:x v="16"/>
    <x:s v="SUP12"/>
    <x:x v="0"/>
    <x:s v="Components"/>
    <x:d v="2025-01-17T00:00:00Z"/>
    <x:n v="45734"/>
    <x:x v="2"/>
    <x:n v="26255.64"/>
    <x:s v="Historical"/>
    <x:s v="SUP12-INV-00881"/>
    <x:n v="60"/>
    <x:s v="Oxford Technical Materials"/>
    <x:n v="1.0298"/>
    <x:n v="1.2193764579115012"/>
    <x:n v="0.006427011171441054"/>
    <x:n v="1.2193764579115012"/>
    <x:x v="881"/>
    <x:x v="3"/>
    <x:n v="1.238"/>
    <x:n v="32504.48232"/>
    <x:n v="-488.9730166004738"/>
    <x:n v="-0.015043248859853671"/>
  </x:r>
  <x:r>
    <x:s v="INV-00882"/>
    <x:x v="6"/>
    <x:s v="SUP16"/>
    <x:x v="0"/>
    <x:s v="Components"/>
    <x:d v="2025-08-07T00:00:00Z"/>
    <x:n v="45906"/>
    <x:x v="1"/>
    <x:n v="623341.55"/>
    <x:s v="Historical"/>
    <x:s v="SUP16-INV-00882"/>
    <x:n v="30"/>
    <x:s v="Kyoto Optical Instruments"/>
    <x:n v="1.1643"/>
    <x:n v="1.3424420615703907"/>
    <x:n v="0.006784965034965035"/>
    <x:n v="0.006784965034965035"/>
    <x:x v="882"/>
    <x:x v="1"/>
    <x:n v="0.00684"/>
    <x:n v="4263.656202"/>
    <x:n v="-34.30558040909091"/>
    <x:n v="-0.00804604751973173"/>
  </x:r>
  <x:r>
    <x:s v="INV-00883"/>
    <x:x v="7"/>
    <x:s v="SUP03"/>
    <x:x v="0"/>
    <x:s v="Components"/>
    <x:d v="2025-10-18T00:00:00Z"/>
    <x:n v="45978"/>
    <x:x v="0"/>
    <x:n v="15514.69"/>
    <x:s v="Historical"/>
    <x:s v="SUP03-INV-00883"/>
    <x:n v="30"/>
    <x:s v="Benelux Sensor Works"/>
    <x:n v="1.1805"/>
    <x:n v="1.347141389934954"/>
    <x:n v="0.006411231195351111"/>
    <x:n v="1.1805"/>
    <x:x v="883"/>
    <x:x v="7"/>
    <x:n v="1.106"/>
    <x:n v="17159.247140000003"/>
    <x:n v="1155.8444049999998"/>
    <x:n v="0.06735985533453885"/>
  </x:r>
  <x:r>
    <x:s v="INV-00884"/>
    <x:x v="13"/>
    <x:s v="SUP11"/>
    <x:x v="2"/>
    <x:s v="Software"/>
    <x:d v="2025-03-23T00:00:00Z"/>
    <x:n v="45769"/>
    <x:x v="2"/>
    <x:n v="2353.94"/>
    <x:s v="Historical"/>
    <x:s v="SUP11-INV-00884"/>
    <x:n v="30"/>
    <x:s v="Manchester Cloud Solutions"/>
    <x:n v="1.136"/>
    <x:n v="1.33474327341088"/>
    <x:n v="0.006974031555037142"/>
    <x:n v="1.33474327341088"/>
    <x:x v="884"/>
    <x:x v="3"/>
    <x:n v="1.238"/>
    <x:n v="2914.17772"/>
    <x:n v="227.7278610128069"/>
    <x:n v="0.07814480889408724"/>
  </x:r>
  <x:r>
    <x:s v="INV-00885"/>
    <x:x v="7"/>
    <x:s v="SUP03"/>
    <x:x v="0"/>
    <x:s v="Components"/>
    <x:d v="2026-01-30T00:00:00Z"/>
    <x:n v="46082"/>
    <x:x v="0"/>
    <x:n v="24745.05"/>
    <x:s v="Historical"/>
    <x:s v="SUP03-INV-00885"/>
    <x:n v="30"/>
    <x:s v="Benelux Sensor Works"/>
    <x:n v="1.1919"/>
    <x:n v="1.376010159316555"/>
    <x:n v="0.0064921836701345385"/>
    <x:n v="1.1919"/>
    <x:x v="885"/>
    <x:x v="6"/>
    <x:n v="1.065"/>
    <x:n v="26353.478249999996"/>
    <x:n v="3140.146845000003"/>
    <x:n v="0.11915492957746492"/>
  </x:r>
  <x:r>
    <x:s v="INV-00886"/>
    <x:x v="0"/>
    <x:s v="SUP01"/>
    <x:x v="0"/>
    <x:s v="Components"/>
    <x:d v="2026-04-27T00:00:00Z"/>
    <x:n v="46169"/>
    <x:x v="0"/>
    <x:n v="14741.48"/>
    <x:s v="Historical"/>
    <x:s v="SUP01-INV-00886"/>
    <x:n v="30"/>
    <x:s v="Rhein Circuit Components"/>
    <x:n v="1.1749"/>
    <x:n v="1.357010857010857"/>
    <x:n v="0.006280872447343099"/>
    <x:n v="1.1749"/>
    <x:x v="886"/>
    <x:x v="0"/>
    <x:n v="1.083"/>
    <x:n v="15965.02284"/>
    <x:n v="1354.7420120000006"/>
    <x:n v="0.08485687903970457"/>
  </x:r>
  <x:r>
    <x:s v="INV-00887"/>
    <x:x v="2"/>
    <x:s v="SUP10"/>
    <x:x v="1"/>
    <x:s v="Services"/>
    <x:d v="2026-06-11T00:00:00Z"/>
    <x:n v="46229"/>
    <x:x v="2"/>
    <x:n v="5742"/>
    <x:s v="Historical"/>
    <x:s v="SUP10-INV-00887"/>
    <x:n v="45"/>
    <x:s v="Bristol Calibration Services"/>
    <x:n v="1.1537"/>
    <x:n v="1.336383644156145"/>
    <x:n v="0.006229145294530532"/>
    <x:n v="1.336383644156145"/>
    <x:x v="887"/>
    <x:x v="0"/>
    <x:n v="1.271"/>
    <x:n v="7298.081999999999"/>
    <x:n v="375.43288474458495"/>
    <x:n v="0.051442678328989036"/>
  </x:r>
  <x:r>
    <x:s v="INV-00888"/>
    <x:x v="2"/>
    <x:s v="SUP10"/>
    <x:x v="1"/>
    <x:s v="Services"/>
    <x:d v="2025-01-21T00:00:00Z"/>
    <x:n v="45723"/>
    <x:x v="2"/>
    <x:n v="2928.39"/>
    <x:s v="Historical"/>
    <x:s v="SUP10-INV-00888"/>
    <x:n v="45"/>
    <x:s v="Bristol Calibration Services"/>
    <x:n v="1.0357"/>
    <x:n v="1.2249121852565847"/>
    <x:n v="0.006422547438918518"/>
    <x:n v="1.2249121852565847"/>
    <x:x v="888"/>
    <x:x v="3"/>
    <x:n v="1.238"/>
    <x:n v="3625.3468199999998"/>
    <x:n v="-38.32622581646956"/>
    <x:n v="-0.010571740503566377"/>
  </x:r>
  <x:r>
    <x:s v="INV-00889"/>
    <x:x v="6"/>
    <x:s v="SUP16"/>
    <x:x v="0"/>
    <x:s v="Components"/>
    <x:d v="2025-10-02T00:00:00Z"/>
    <x:n v="45962"/>
    <x:x v="1"/>
    <x:n v="2720362.74"/>
    <x:s v="Historical"/>
    <x:s v="SUP16-INV-00889"/>
    <x:n v="30"/>
    <x:s v="Kyoto Optical Instruments"/>
    <x:n v="1.1754"/>
    <x:n v="1.347781217750258"/>
    <x:n v="0.0068127282211789255"/>
    <x:n v="0.0068127282211789255"/>
    <x:x v="889"/>
    <x:x v="7"/>
    <x:n v="0.00698"/>
    <x:n v="18988.131925200003"/>
    <x:n v="-455.0399145583724"/>
    <x:n v="-0.023964438226514978"/>
  </x:r>
  <x:r>
    <x:s v="INV-00890"/>
    <x:x v="6"/>
    <x:s v="SUP16"/>
    <x:x v="0"/>
    <x:s v="Components"/>
    <x:d v="2026-10-23T00:00:00Z"/>
    <x:n v="46348"/>
    <x:x v="1"/>
    <x:n v="4101933.74"/>
    <x:s v="Planned"/>
    <x:s v="SUP16-INV-00890"/>
    <x:n v="30"/>
    <x:s v="Kyoto Optical Instruments"/>
    <x:n v="1.1177"/>
    <x:n v="1.320456022210408"/>
    <x:n v="0.00632004523607577"/>
    <x:n v="0.00632004523607577"/>
    <x:x v="890"/>
    <x:x v="2"/>
    <x:n v="0.00688"/>
    <x:n v="28221.304131200002"/>
    <x:n v="-2296.8973390145366"/>
    <x:n v="-0.08138877382619632"/>
  </x:r>
  <x:r>
    <x:s v="INV-00891"/>
    <x:x v="3"/>
    <x:s v="SUP04"/>
    <x:x v="1"/>
    <x:s v="Packaging"/>
    <x:d v="2025-03-24T00:00:00Z"/>
    <x:n v="45770"/>
    <x:x v="0"/>
    <x:n v="5586.46"/>
    <x:s v="Historical"/>
    <x:s v="SUP04-INV-00891"/>
    <x:n v="30"/>
    <x:s v="Nordlicht Packaging"/>
    <x:n v="1.0824"/>
    <x:n v="1.2937618780105902"/>
    <x:n v="0.006675300647548566"/>
    <x:n v="1.0824"/>
    <x:x v="891"/>
    <x:x v="3"/>
    <x:n v="1.052"/>
    <x:n v="5876.95592"/>
    <x:n v="169.82838399999946"/>
    <x:n v="0.02889733840304173"/>
  </x:r>
  <x:r>
    <x:s v="INV-00892"/>
    <x:x v="0"/>
    <x:s v="SUP01"/>
    <x:x v="0"/>
    <x:s v="Components"/>
    <x:d v="2025-05-07T00:00:00Z"/>
    <x:n v="45814"/>
    <x:x v="0"/>
    <x:n v="8684.11"/>
    <x:s v="Historical"/>
    <x:s v="SUP01-INV-00892"/>
    <x:n v="30"/>
    <x:s v="Rhein Circuit Components"/>
    <x:n v="1.136"/>
    <x:n v="1.33474327341088"/>
    <x:n v="0.006974031555037142"/>
    <x:n v="1.136"/>
    <x:x v="892"/>
    <x:x v="5"/>
    <x:n v="1.07"/>
    <x:n v="9291.997700000002"/>
    <x:n v="573.1512599999987"/>
    <x:n v="0.06168224299065406"/>
  </x:r>
  <x:r>
    <x:s v="INV-00893"/>
    <x:x v="7"/>
    <x:s v="SUP03"/>
    <x:x v="0"/>
    <x:s v="Components"/>
    <x:d v="2026-10-13T00:00:00Z"/>
    <x:n v="46338"/>
    <x:x v="0"/>
    <x:n v="11227.79"/>
    <x:s v="Planned"/>
    <x:s v="SUP03-INV-00893"/>
    <x:n v="30"/>
    <x:s v="Benelux Sensor Works"/>
    <x:n v="1.1177"/>
    <x:n v="1.320456022210408"/>
    <x:n v="0.00632004523607577"/>
    <x:n v="1.1177"/>
    <x:x v="893"/>
    <x:x v="2"/>
    <x:n v="1.119"/>
    <x:n v="12563.89701"/>
    <x:n v="-14.596127000000706"/>
    <x:n v="-0.0011617515638963922"/>
  </x:r>
  <x:r>
    <x:s v="INV-00894"/>
    <x:x v="7"/>
    <x:s v="SUP03"/>
    <x:x v="0"/>
    <x:s v="Components"/>
    <x:d v="2026-09-23T00:00:00Z"/>
    <x:n v="46318"/>
    <x:x v="0"/>
    <x:n v="22303.48"/>
    <x:s v="Historical"/>
    <x:s v="SUP03-INV-00894"/>
    <x:n v="30"/>
    <x:s v="Benelux Sensor Works"/>
    <x:n v="1.1411"/>
    <x:n v="1.327632344386271"/>
    <x:n v="0.006332408435072143"/>
    <x:n v="1.1411"/>
    <x:x v="894"/>
    <x:x v="4"/>
    <x:n v="1.101"/>
    <x:n v="24556.13148"/>
    <x:n v="894.3695479999988"/>
    <x:n v="0.03642143505903719"/>
  </x:r>
  <x:r>
    <x:s v="INV-00895"/>
    <x:x v="5"/>
    <x:s v="SUP09"/>
    <x:x v="0"/>
    <x:s v="Components"/>
    <x:d v="2025-10-20T00:00:00Z"/>
    <x:n v="45980"/>
    <x:x v="2"/>
    <x:n v="33764.7"/>
    <x:s v="Historical"/>
    <x:s v="SUP09-INV-00895"/>
    <x:n v="30"/>
    <x:s v="Thames Electronics Ltd"/>
    <x:n v="1.1655"/>
    <x:n v="1.3410424577148774"/>
    <x:n v="0.006633088611917364"/>
    <x:n v="1.3410424577148774"/>
    <x:x v="895"/>
    <x:x v="7"/>
    <x:n v="1.304"/>
    <x:n v="44029.1688"/>
    <x:n v="1250.7274720055211"/>
    <x:n v="0.02840679272613298"/>
  </x:r>
  <x:r>
    <x:s v="INV-00896"/>
    <x:x v="4"/>
    <x:s v="SUP08"/>
    <x:x v="0"/>
    <x:s v="Components"/>
    <x:d v="2026-03-23T00:00:00Z"/>
    <x:n v="46134"/>
    <x:x v="0"/>
    <x:n v="11335.73"/>
    <x:s v="Historical"/>
    <x:s v="SUP08-INV-00896"/>
    <x:n v="30"/>
    <x:s v="Valencia Circuit Supply"/>
    <x:n v="1.1596"/>
    <x:n v="1.3418190233742189"/>
    <x:n v="0.006306972696616991"/>
    <x:n v="1.1596"/>
    <x:x v="896"/>
    <x:x v="6"/>
    <x:n v="1.065"/>
    <x:n v="12072.55245"/>
    <x:n v="1072.3600580000002"/>
    <x:n v="0.08882629107981223"/>
  </x:r>
  <x:r>
    <x:s v="INV-00897"/>
    <x:x v="6"/>
    <x:s v="SUP16"/>
    <x:x v="0"/>
    <x:s v="Components"/>
    <x:d v="2025-11-11T00:00:00Z"/>
    <x:n v="46002"/>
    <x:x v="1"/>
    <x:n v="1483611.36"/>
    <x:s v="Historical"/>
    <x:s v="SUP16-INV-00897"/>
    <x:n v="30"/>
    <x:s v="Kyoto Optical Instruments"/>
    <x:n v="1.1575"/>
    <x:n v="1.3147432985006815"/>
    <x:n v="0.00648604729351115"/>
    <x:n v="0.00648604729351115"/>
    <x:x v="897"/>
    <x:x v="7"/>
    <x:n v="0.00698"/>
    <x:n v="10355.607292800001"/>
    <x:n v="-732.8338466496043"/>
    <x:n v="-0.07076686339381812"/>
  </x:r>
  <x:r>
    <x:s v="INV-00898"/>
    <x:x v="4"/>
    <x:s v="SUP08"/>
    <x:x v="0"/>
    <x:s v="Components"/>
    <x:d v="2026-11-21T00:00:00Z"/>
    <x:n v="46377"/>
    <x:x v="0"/>
    <x:n v="8656.83"/>
    <x:s v="Planned"/>
    <x:s v="SUP08-INV-00898"/>
    <x:n v="30"/>
    <x:s v="Valencia Circuit Supply"/>
    <x:n v="1.1177"/>
    <x:n v="1.320456022210408"/>
    <x:n v="0.00632004523607577"/>
    <x:n v="1.1177"/>
    <x:x v="898"/>
    <x:x v="2"/>
    <x:n v="1.119"/>
    <x:n v="9686.99277"/>
    <x:n v="-11.253879000001689"/>
    <x:n v="-0.0011617515638965104"/>
  </x:r>
  <x:r>
    <x:s v="INV-00899"/>
    <x:x v="16"/>
    <x:s v="SUP12"/>
    <x:x v="0"/>
    <x:s v="Components"/>
    <x:d v="2025-05-01T00:00:00Z"/>
    <x:n v="45838"/>
    <x:x v="2"/>
    <x:n v="19481.5"/>
    <x:s v="Historical"/>
    <x:s v="SUP12-INV-00899"/>
    <x:n v="60"/>
    <x:s v="Oxford Technical Materials"/>
    <x:n v="1.181"/>
    <x:n v="1.3751746623195156"/>
    <x:n v="0.007000592768227624"/>
    <x:n v="1.3751746623195156"/>
    <x:x v="899"/>
    <x:x v="5"/>
    <x:n v="1.26"/>
    <x:n v="24546.69"/>
    <x:n v="2243.775183977643"/>
    <x:n v="0.09140846215834571"/>
  </x:r>
  <x:r>
    <x:s v="INV-00900"/>
    <x:x v="11"/>
    <x:s v="SUP14"/>
    <x:x v="0"/>
    <x:s v="Equipment"/>
    <x:d v="2026-06-24T00:00:00Z"/>
    <x:n v="46257"/>
    <x:x v="1"/>
    <x:n v="11718724.47"/>
    <x:s v="Historical"/>
    <x:s v="SUP14-INV-00900"/>
    <x:n v="60"/>
    <x:s v="Tokyo Automation Systems"/>
    <x:n v="1.134"/>
    <x:n v="1.3160796146927405"/>
    <x:n v="0.006184892282519771"/>
    <x:n v="0.006184892282519771"/>
    <x:x v="900"/>
    <x:x v="0"/>
    <x:n v="0.0066"/>
    <x:n v="77343.581502"/>
    <x:n v="-4864.5329665214085"/>
    <x:n v="-0.06289510870912564"/>
  </x:r>
  <x:r>
    <x:s v="INV-00901"/>
    <x:x v="12"/>
    <x:s v="SUP17"/>
    <x:x v="1"/>
    <x:s v="Packaging"/>
    <x:d v="2025-05-28T00:00:00Z"/>
    <x:n v="45850"/>
    <x:x v="1"/>
    <x:n v="874996.75"/>
    <x:s v="Historical"/>
    <x:s v="SUP17-INV-00901"/>
    <x:n v="45"/>
    <x:s v="Kobe Industrial Packaging"/>
    <x:n v="1.1317"/>
    <x:n v="1.347582757799476"/>
    <x:n v="0.006924677231842378"/>
    <x:n v="0.006924677231842378"/>
    <x:x v="901"/>
    <x:x v="5"/>
    <x:n v="0.0067"/>
    <x:n v="5862.478225"/>
    <x:n v="196.59184766107774"/>
    <x:n v="0.03353391520035501"/>
  </x:r>
  <x:r>
    <x:s v="INV-00902"/>
    <x:x v="15"/>
    <x:s v="SUP18"/>
    <x:x v="1"/>
    <x:s v="Services"/>
    <x:d v="2025-01-25T00:00:00Z"/>
    <x:n v="45712"/>
    <x:x v="1"/>
    <x:n v="1521223"/>
    <x:s v="Historical"/>
    <x:s v="SUP18-INV-00902"/>
    <x:n v="30"/>
    <x:s v="Yokohama Engineering Labs"/>
    <x:n v="1.037"/>
    <x:n v="1.2443303175022198"/>
    <x:n v="0.006513000879286522"/>
    <x:n v="0.006513000879286522"/>
    <x:x v="902"/>
    <x:x v="3"/>
    <x:n v="0.00656"/>
    <x:n v="9979.22288"/>
    <x:n v="-71.4961434091183"/>
    <x:n v="-0.007164500108761807"/>
  </x:r>
  <x:r>
    <x:s v="INV-00903"/>
    <x:x v="3"/>
    <x:s v="SUP04"/>
    <x:x v="1"/>
    <x:s v="Packaging"/>
    <x:d v="2026-10-27T00:00:00Z"/>
    <x:n v="46352"/>
    <x:x v="0"/>
    <x:n v="7686.9"/>
    <x:s v="Planned"/>
    <x:s v="SUP04-INV-00903"/>
    <x:n v="30"/>
    <x:s v="Nordlicht Packaging"/>
    <x:n v="1.1177"/>
    <x:n v="1.320456022210408"/>
    <x:n v="0.00632004523607577"/>
    <x:n v="1.1177"/>
    <x:x v="903"/>
    <x:x v="2"/>
    <x:n v="1.119"/>
    <x:n v="8601.641099999999"/>
    <x:n v="-9.992969999999332"/>
    <x:n v="-0.0011617515638962584"/>
  </x:r>
  <x:r>
    <x:s v="INV-00904"/>
    <x:x v="2"/>
    <x:s v="SUP10"/>
    <x:x v="1"/>
    <x:s v="Services"/>
    <x:d v="2026-05-07T00:00:00Z"/>
    <x:n v="46194"/>
    <x:x v="2"/>
    <x:n v="13106.54"/>
    <x:s v="Historical"/>
    <x:s v="SUP10-INV-00904"/>
    <x:n v="45"/>
    <x:s v="Bristol Calibration Services"/>
    <x:n v="1.177"/>
    <x:n v="1.3621108667978243"/>
    <x:n v="0.0063943065138262626"/>
    <x:n v="1.3621108667978243"/>
    <x:x v="904"/>
    <x:x v="0"/>
    <x:n v="1.271"/>
    <x:n v="16658.41234"/>
    <x:n v="1194.148220120358"/>
    <x:n v="0.07168439559230877"/>
  </x:r>
  <x:r>
    <x:s v="INV-00905"/>
    <x:x v="5"/>
    <x:s v="SUP09"/>
    <x:x v="0"/>
    <x:s v="Components"/>
    <x:d v="2025-01-05T00:00:00Z"/>
    <x:n v="45692"/>
    <x:x v="2"/>
    <x:n v="21940.9"/>
    <x:s v="Historical"/>
    <x:s v="SUP09-INV-00905"/>
    <x:n v="30"/>
    <x:s v="Thames Electronics Ltd"/>
    <x:n v="1.03"/>
    <x:n v="1.2216384187491844"/>
    <x:n v="0.006367851622874807"/>
    <x:n v="1.2216384187491844"/>
    <x:x v="905"/>
    <x:x v="3"/>
    <x:n v="1.238"/>
    <x:n v="27162.8342"/>
    <x:n v="-358.9878180660198"/>
    <x:n v="-0.013216139944115987"/>
  </x:r>
  <x:r>
    <x:s v="INV-00906"/>
    <x:x v="0"/>
    <x:s v="SUP01"/>
    <x:x v="0"/>
    <x:s v="Components"/>
    <x:d v="2025-09-11T00:00:00Z"/>
    <x:n v="45941"/>
    <x:x v="0"/>
    <x:n v="14445.38"/>
    <x:s v="Historical"/>
    <x:s v="SUP01-INV-00906"/>
    <x:n v="30"/>
    <x:s v="Rhein Circuit Components"/>
    <x:n v="1.1685"/>
    <x:n v="1.3513357233722678"/>
    <x:n v="0.0067590236001851"/>
    <x:n v="1.1685"/>
    <x:x v="906"/>
    <x:x v="1"/>
    <x:n v="1.088"/>
    <x:n v="15716.57344"/>
    <x:n v="1162.8530900000005"/>
    <x:n v="0.07398897058823532"/>
  </x:r>
  <x:r>
    <x:s v="INV-00907"/>
    <x:x v="6"/>
    <x:s v="SUP16"/>
    <x:x v="0"/>
    <x:s v="Components"/>
    <x:d v="2025-04-27T00:00:00Z"/>
    <x:n v="45804"/>
    <x:x v="1"/>
    <x:n v="5074228.27"/>
    <x:s v="Historical"/>
    <x:s v="SUP16-INV-00907"/>
    <x:n v="30"/>
    <x:s v="Kyoto Optical Instruments"/>
    <x:n v="1.1598"/>
    <x:n v="1.3603096410978184"/>
    <x:n v="0.006859880522860354"/>
    <x:n v="0.006859880522860354"/>
    <x:x v="907"/>
    <x:x v="5"/>
    <x:n v="0.0067"/>
    <x:n v="33997.329409"/>
    <x:n v="811.270268920387"/>
    <x:n v="0.023862764606022914"/>
  </x:r>
  <x:r>
    <x:s v="INV-00908"/>
    <x:x v="9"/>
    <x:s v="SUP05"/>
    <x:x v="0"/>
    <x:s v="Components"/>
    <x:d v="2025-04-22T00:00:00Z"/>
    <x:n v="45814"/>
    <x:x v="0"/>
    <x:n v="37229.44"/>
    <x:s v="Historical"/>
    <x:s v="SUP05-INV-00908"/>
    <x:n v="45"/>
    <x:s v="Lyon Industrial Controls"/>
    <x:n v="1.1476"/>
    <x:n v="1.3366255910922686"/>
    <x:n v="0.007125737348649487"/>
    <x:n v="1.1476"/>
    <x:x v="908"/>
    <x:x v="5"/>
    <x:n v="1.07"/>
    <x:n v="39835.5008"/>
    <x:n v="2889.004543999996"/>
    <x:n v="0.0725233644859812"/>
  </x:r>
  <x:r>
    <x:s v="INV-00909"/>
    <x:x v="11"/>
    <x:s v="SUP14"/>
    <x:x v="0"/>
    <x:s v="Equipment"/>
    <x:d v="2026-07-19T00:00:00Z"/>
    <x:n v="46282"/>
    <x:x v="1"/>
    <x:n v="3862948.96"/>
    <x:s v="Historical"/>
    <x:s v="SUP14-INV-00909"/>
    <x:n v="60"/>
    <x:s v="Tokyo Automation Systems"/>
    <x:n v="1.1435"/>
    <x:n v="1.3437448588685985"/>
    <x:n v="0.006159439806086722"/>
    <x:n v="0.006159439806086722"/>
    <x:x v="909"/>
    <x:x v="4"/>
    <x:n v="0.00674"/>
    <x:n v="26036.2759904"/>
    <x:n v="-2242.674397294697"/>
    <x:n v="-0.08613652728683655"/>
  </x:r>
  <x:r>
    <x:s v="INV-00910"/>
    <x:x v="14"/>
    <x:s v="SUP07"/>
    <x:x v="0"/>
    <x:s v="Equipment"/>
    <x:d v="2026-07-12T00:00:00Z"/>
    <x:n v="46275"/>
    <x:x v="0"/>
    <x:n v="24827.84"/>
    <x:s v="Historical"/>
    <x:s v="SUP07-INV-00910"/>
    <x:n v="60"/>
    <x:s v="Milan Assembly Robotics"/>
    <x:n v="1.143"/>
    <x:n v="1.3422582349832657"/>
    <x:n v="0.006177710517781861"/>
    <x:n v="1.143"/>
    <x:x v="910"/>
    <x:x v="4"/>
    <x:n v="1.101"/>
    <x:n v="27335.451839999998"/>
    <x:n v="1042.769280000004"/>
    <x:n v="0.03814713896457781"/>
  </x:r>
  <x:r>
    <x:s v="INV-00911"/>
    <x:x v="4"/>
    <x:s v="SUP08"/>
    <x:x v="0"/>
    <x:s v="Components"/>
    <x:d v="2026-07-06T00:00:00Z"/>
    <x:n v="46239"/>
    <x:x v="0"/>
    <x:n v="7524.93"/>
    <x:s v="Historical"/>
    <x:s v="SUP08-INV-00911"/>
    <x:n v="30"/>
    <x:s v="Valencia Circuit Supply"/>
    <x:n v="1.1415"/>
    <x:n v="1.3344946105824311"/>
    <x:n v="0.0061599481949166255"/>
    <x:n v="1.1415"/>
    <x:x v="911"/>
    <x:x v="4"/>
    <x:n v="1.101"/>
    <x:n v="8284.94793"/>
    <x:n v="304.7596649999996"/>
    <x:n v="0.036784741144414115"/>
  </x:r>
  <x:r>
    <x:s v="INV-00912"/>
    <x:x v="0"/>
    <x:s v="SUP01"/>
    <x:x v="0"/>
    <x:s v="Components"/>
    <x:d v="2026-06-01T00:00:00Z"/>
    <x:n v="46204"/>
    <x:x v="0"/>
    <x:n v="35842.55"/>
    <x:s v="Historical"/>
    <x:s v="SUP01-INV-00912"/>
    <x:n v="30"/>
    <x:s v="Rhein Circuit Components"/>
    <x:n v="1.1646"/>
    <x:n v="1.3464673441781416"/>
    <x:n v="0.006270054915473242"/>
    <x:n v="1.1646"/>
    <x:x v="912"/>
    <x:x v="0"/>
    <x:n v="1.083"/>
    <x:n v="38817.48165"/>
    <x:n v="2924.7520800000057"/>
    <x:n v="0.07534626038781178"/>
  </x:r>
  <x:r>
    <x:s v="INV-00913"/>
    <x:x v="8"/>
    <x:s v="SUP13"/>
    <x:x v="0"/>
    <x:s v="Components"/>
    <x:d v="2026-01-20T00:00:00Z"/>
    <x:n v="46087"/>
    <x:x v="1"/>
    <x:n v="4593482.09"/>
    <x:s v="Historical"/>
    <x:s v="SUP13-INV-00913"/>
    <x:n v="45"/>
    <x:s v="Osaka Microdevices"/>
    <x:n v="1.1728"/>
    <x:n v="1.3446457234579225"/>
    <x:n v="0.006333297332325305"/>
    <x:n v="0.006333297332325305"/>
    <x:x v="913"/>
    <x:x v="6"/>
    <x:n v="0.00646"/>
    <x:n v="29673.894301399996"/>
    <x:n v="-582.0064347189291"/>
    <x:n v="-0.019613416048714253"/>
  </x:r>
  <x:r>
    <x:s v="INV-00914"/>
    <x:x v="12"/>
    <x:s v="SUP17"/>
    <x:x v="1"/>
    <x:s v="Packaging"/>
    <x:d v="2025-08-04T00:00:00Z"/>
    <x:n v="45918"/>
    <x:x v="1"/>
    <x:n v="622394.85"/>
    <x:s v="Historical"/>
    <x:s v="SUP17-INV-00914"/>
    <x:n v="45"/>
    <x:s v="Kobe Industrial Packaging"/>
    <x:n v="1.1565"/>
    <x:n v="1.328699448529412"/>
    <x:n v="0.006784980932824876"/>
    <x:n v="0.006784980932824876"/>
    <x:x v="914"/>
    <x:x v="1"/>
    <x:n v="0.00684"/>
    <x:n v="4257.1807739999995"/>
    <x:n v="-34.243584061600814"/>
    <x:n v="-0.008043723271216864"/>
  </x:r>
  <x:r>
    <x:s v="INV-00915"/>
    <x:x v="6"/>
    <x:s v="SUP16"/>
    <x:x v="0"/>
    <x:s v="Components"/>
    <x:d v="2025-03-01T00:00:00Z"/>
    <x:n v="45747"/>
    <x:x v="1"/>
    <x:n v="2404302.16"/>
    <x:s v="Historical"/>
    <x:s v="SUP16-INV-00915"/>
    <x:n v="30"/>
    <x:s v="Kyoto Optical Instruments"/>
    <x:n v="1.0803"/>
    <x:n v="1.294470073692409"/>
    <x:n v="0.006700781540751768"/>
    <x:n v="0.006700781540751768"/>
    <x:x v="915"/>
    <x:x v="3"/>
    <x:n v="0.00656"/>
    <x:n v="15772.222169600002"/>
    <x:n v="338.4813625176048"/>
    <x:n v="0.021460600724354937"/>
  </x:r>
  <x:r>
    <x:s v="INV-00916"/>
    <x:x v="9"/>
    <x:s v="SUP05"/>
    <x:x v="0"/>
    <x:s v="Components"/>
    <x:d v="2026-02-19T00:00:00Z"/>
    <x:n v="46117"/>
    <x:x v="0"/>
    <x:n v="31181.06"/>
    <x:s v="Historical"/>
    <x:s v="SUP05-INV-00916"/>
    <x:n v="45"/>
    <x:s v="Lyon Industrial Controls"/>
    <x:n v="1.1753"/>
    <x:n v="1.3450446326390477"/>
    <x:n v="0.006455918703652842"/>
    <x:n v="1.1753"/>
    <x:x v="916"/>
    <x:x v="6"/>
    <x:n v="1.065"/>
    <x:n v="33207.8289"/>
    <x:n v="3439.270918000002"/>
    <x:n v="0.10356807511737096"/>
  </x:r>
  <x:r>
    <x:s v="INV-00917"/>
    <x:x v="3"/>
    <x:s v="SUP04"/>
    <x:x v="1"/>
    <x:s v="Packaging"/>
    <x:d v="2026-09-21T00:00:00Z"/>
    <x:n v="46316"/>
    <x:x v="0"/>
    <x:n v="4809.41"/>
    <x:s v="Historical"/>
    <x:s v="SUP04-INV-00917"/>
    <x:n v="30"/>
    <x:s v="Nordlicht Packaging"/>
    <x:n v="1.149"/>
    <x:n v="1.3394730706458382"/>
    <x:n v="0.006358605423353625"/>
    <x:n v="1.149"/>
    <x:x v="917"/>
    <x:x v="4"/>
    <x:n v="1.101"/>
    <x:n v="5295.1604099999995"/>
    <x:n v="230.85168000000067"/>
    <x:n v="0.04359673024523174"/>
  </x:r>
  <x:r>
    <x:s v="INV-00918"/>
    <x:x v="11"/>
    <x:s v="SUP14"/>
    <x:x v="0"/>
    <x:s v="Equipment"/>
    <x:d v="2026-10-24T00:00:00Z"/>
    <x:n v="46379"/>
    <x:x v="1"/>
    <x:n v="14282148.19"/>
    <x:s v="Planned"/>
    <x:s v="SUP14-INV-00918"/>
    <x:n v="60"/>
    <x:s v="Tokyo Automation Systems"/>
    <x:n v="1.1177"/>
    <x:n v="1.320456022210408"/>
    <x:n v="0.00632004523607577"/>
    <x:n v="0.00632004523607577"/>
    <x:x v="918"/>
    <x:x v="2"/>
    <x:n v="0.00688"/>
    <x:n v="98261.1795472"/>
    <x:n v="-7997.356918062316"/>
    <x:n v="-0.0813887738261962"/>
  </x:r>
  <x:r>
    <x:s v="INV-00919"/>
    <x:x v="11"/>
    <x:s v="SUP14"/>
    <x:x v="0"/>
    <x:s v="Equipment"/>
    <x:d v="2025-08-11T00:00:00Z"/>
    <x:n v="45940"/>
    <x:x v="1"/>
    <x:n v="5457670.41"/>
    <x:s v="Historical"/>
    <x:s v="SUP14-INV-00919"/>
    <x:n v="60"/>
    <x:s v="Tokyo Automation Systems"/>
    <x:n v="1.1622"/>
    <x:n v="1.3426524953789278"/>
    <x:n v="0.0067624810892586975"/>
    <x:n v="0.0067624810892586975"/>
    <x:x v="919"/>
    <x:x v="1"/>
    <x:n v="0.00684"/>
    <x:n v="37330.4656044"/>
    <x:n v="-423.0726653682359"/>
    <x:n v="-0.011333174084985694"/>
  </x:r>
  <x:r>
    <x:s v="INV-00920"/>
    <x:x v="0"/>
    <x:s v="SUP01"/>
    <x:x v="0"/>
    <x:s v="Components"/>
    <x:d v="2026-12-13T00:00:00Z"/>
    <x:n v="46399"/>
    <x:x v="0"/>
    <x:n v="14603.87"/>
    <x:s v="Planned"/>
    <x:s v="SUP01-INV-00920"/>
    <x:n v="30"/>
    <x:s v="Rhein Circuit Components"/>
    <x:n v="1.1177"/>
    <x:n v="1.320456022210408"/>
    <x:n v="0.00632004523607577"/>
    <x:n v="1.1177"/>
    <x:x v="920"/>
    <x:x v="2"/>
    <x:n v="1.119"/>
    <x:n v="16341.73053"/>
    <x:n v="-18.985031000000163"/>
    <x:n v="-0.001161751563896346"/>
  </x:r>
  <x:r>
    <x:s v="INV-00921"/>
    <x:x v="14"/>
    <x:s v="SUP07"/>
    <x:x v="0"/>
    <x:s v="Equipment"/>
    <x:d v="2025-08-28T00:00:00Z"/>
    <x:n v="45957"/>
    <x:x v="0"/>
    <x:n v="39592.64"/>
    <x:s v="Historical"/>
    <x:s v="SUP07-INV-00921"/>
    <x:n v="60"/>
    <x:s v="Milan Assembly Robotics"/>
    <x:n v="1.1676"/>
    <x:n v="1.3518582841264328"/>
    <x:n v="0.006808957312806159"/>
    <x:n v="1.1676"/>
    <x:x v="921"/>
    <x:x v="1"/>
    <x:n v="1.088"/>
    <x:n v="43076.79232"/>
    <x:n v="3151.5741439999983"/>
    <x:n v="0.07316176470588232"/>
  </x:r>
  <x:r>
    <x:s v="INV-00922"/>
    <x:x v="1"/>
    <x:s v="SUP15"/>
    <x:x v="1"/>
    <x:s v="Freight"/>
    <x:d v="2025-10-04T00:00:00Z"/>
    <x:n v="45964"/>
    <x:x v="1"/>
    <x:n v="1821346.7"/>
    <x:s v="Historical"/>
    <x:s v="SUP15-INV-00922"/>
    <x:n v="30"/>
    <x:s v="Nagoya Logistics Partners"/>
    <x:n v="1.1886"/>
    <x:n v="1.3660498793242157"/>
    <x:n v="0.00640237005117156"/>
    <x:n v="0.00640237005117156"/>
    <x:x v="922"/>
    <x:x v="7"/>
    <x:n v="0.00698"/>
    <x:n v="12712.999966"/>
    <x:n v="-1052.0644011198474"/>
    <x:n v="-0.08275500699547846"/>
  </x:r>
  <x:r>
    <x:s v="INV-00923"/>
    <x:x v="11"/>
    <x:s v="SUP14"/>
    <x:x v="0"/>
    <x:s v="Equipment"/>
    <x:d v="2025-01-09T00:00:00Z"/>
    <x:n v="45726"/>
    <x:x v="1"/>
    <x:n v="10299335.93"/>
    <x:s v="Historical"/>
    <x:s v="SUP14-INV-00923"/>
    <x:n v="60"/>
    <x:s v="Tokyo Automation Systems"/>
    <x:n v="1.0305"/>
    <x:n v="1.2295962199312713"/>
    <x:n v="0.006339197834645669"/>
    <x:n v="0.006339197834645669"/>
    <x:x v="923"/>
    <x:x v="3"/>
    <x:n v="0.00656"/>
    <x:n v="67563.64370079999"/>
    <x:n v="-2274.1156750556547"/>
    <x:n v="-0.03365886666986742"/>
  </x:r>
  <x:r>
    <x:s v="INV-00924"/>
    <x:x v="7"/>
    <x:s v="SUP03"/>
    <x:x v="0"/>
    <x:s v="Components"/>
    <x:d v="2026-01-25T00:00:00Z"/>
    <x:n v="46077"/>
    <x:x v="0"/>
    <x:n v="8549.04"/>
    <x:s v="Historical"/>
    <x:s v="SUP03-INV-00924"/>
    <x:n v="30"/>
    <x:s v="Benelux Sensor Works"/>
    <x:n v="1.1555"/>
    <x:n v="1.3367963164349013"/>
    <x:n v="0.006298375667720483"/>
    <x:n v="1.1555"/>
    <x:x v="924"/>
    <x:x v="6"/>
    <x:n v="1.065"/>
    <x:n v="9104.7276"/>
    <x:n v="773.6881200000007"/>
    <x:n v="0.08497652582159632"/>
  </x:r>
  <x:r>
    <x:s v="INV-00925"/>
    <x:x v="12"/>
    <x:s v="SUP17"/>
    <x:x v="1"/>
    <x:s v="Packaging"/>
    <x:d v="2025-03-05T00:00:00Z"/>
    <x:n v="45766"/>
    <x:x v="1"/>
    <x:n v="339058.63"/>
    <x:s v="Historical"/>
    <x:s v="SUP17-INV-00925"/>
    <x:n v="45"/>
    <x:s v="Kobe Industrial Packaging"/>
    <x:n v="1.0694"/>
    <x:n v="1.2807185628742515"/>
    <x:n v="0.006679992504216378"/>
    <x:n v="0.006679992504216378"/>
    <x:x v="925"/>
    <x:x v="3"/>
    <x:n v="0.00656"/>
    <x:n v="2224.2246128"/>
    <x:n v="40.68449408987408"/>
    <x:n v="0.01829154027688677"/>
  </x:r>
  <x:r>
    <x:s v="INV-00926"/>
    <x:x v="8"/>
    <x:s v="SUP13"/>
    <x:x v="0"/>
    <x:s v="Components"/>
    <x:d v="2025-02-21T00:00:00Z"/>
    <x:n v="45754"/>
    <x:x v="1"/>
    <x:n v="3247067.81"/>
    <x:s v="Historical"/>
    <x:s v="SUP13-INV-00926"/>
    <x:n v="45"/>
    <x:s v="Osaka Microdevices"/>
    <x:n v="1.0465"/>
    <x:n v="1.264499758337361"/>
    <x:n v="0.006646132351073288"/>
    <x:n v="0.006646132351073288"/>
    <x:x v="926"/>
    <x:x v="3"/>
    <x:n v="0.00656"/>
    <x:n v="21300.7648336"/>
    <x:n v="279.6775845696975"/>
    <x:n v="0.01312993156605024"/>
  </x:r>
  <x:r>
    <x:s v="INV-00927"/>
    <x:x v="8"/>
    <x:s v="SUP13"/>
    <x:x v="0"/>
    <x:s v="Components"/>
    <x:d v="2026-10-15T00:00:00Z"/>
    <x:n v="46355"/>
    <x:x v="1"/>
    <x:n v="2234924.11"/>
    <x:s v="Planned"/>
    <x:s v="SUP13-INV-00927"/>
    <x:n v="45"/>
    <x:s v="Osaka Microdevices"/>
    <x:n v="1.1177"/>
    <x:n v="1.320456022210408"/>
    <x:n v="0.00632004523607577"/>
    <x:n v="0.00632004523607577"/>
    <x:x v="927"/>
    <x:x v="2"/>
    <x:n v="0.00688"/>
    <x:n v="15376.277876799999"/>
    <x:n v="-1251.456402403619"/>
    <x:n v="-0.08138877382619618"/>
  </x:r>
  <x:r>
    <x:s v="INV-00928"/>
    <x:x v="2"/>
    <x:s v="SUP10"/>
    <x:x v="1"/>
    <x:s v="Services"/>
    <x:d v="2025-07-17T00:00:00Z"/>
    <x:n v="45900"/>
    <x:x v="2"/>
    <x:n v="831.89"/>
    <x:s v="Historical"/>
    <x:s v="SUP10-INV-00928"/>
    <x:n v="45"/>
    <x:s v="Bristol Calibration Services"/>
    <x:n v="1.1579"/>
    <x:n v="1.3395418787598334"/>
    <x:n v="0.006721035523566287"/>
    <x:n v="1.3395418787598334"/>
    <x:x v="928"/>
    <x:x v="1"/>
    <x:n v="1.282"/>
    <x:n v="1066.48298"/>
    <x:n v="47.8685135215178"/>
    <x:n v="0.044884460811102485"/>
  </x:r>
  <x:r>
    <x:s v="INV-00929"/>
    <x:x v="0"/>
    <x:s v="SUP01"/>
    <x:x v="0"/>
    <x:s v="Components"/>
    <x:d v="2025-11-08T00:00:00Z"/>
    <x:n v="45999"/>
    <x:x v="0"/>
    <x:n v="16455.52"/>
    <x:s v="Historical"/>
    <x:s v="SUP01-INV-00929"/>
    <x:n v="30"/>
    <x:s v="Rhein Circuit Components"/>
    <x:n v="1.1555"/>
    <x:n v="1.3367963164349013"/>
    <x:n v="0.006298375667720483"/>
    <x:n v="1.1555"/>
    <x:x v="929"/>
    <x:x v="7"/>
    <x:n v="1.106"/>
    <x:n v="18199.80512"/>
    <x:n v="814.5482400000001"/>
    <x:n v="0.04475587703435805"/>
  </x:r>
  <x:r>
    <x:s v="INV-00930"/>
    <x:x v="15"/>
    <x:s v="SUP18"/>
    <x:x v="1"/>
    <x:s v="Services"/>
    <x:d v="2026-06-26T00:00:00Z"/>
    <x:n v="46229"/>
    <x:x v="1"/>
    <x:n v="776171.64"/>
    <x:s v="Historical"/>
    <x:s v="SUP18-INV-00930"/>
    <x:n v="30"/>
    <x:s v="Yokohama Engineering Labs"/>
    <x:n v="1.1401"/>
    <x:n v="1.3218090964951943"/>
    <x:n v="0.006186109603906673"/>
    <x:n v="0.006186109603906673"/>
    <x:x v="930"/>
    <x:x v="0"/>
    <x:n v="0.0066"/>
    <x:n v="5122.732824"/>
    <x:n v="-321.2499875160065"/>
    <x:n v="-0.06271066607474639"/>
  </x:r>
  <x:r>
    <x:s v="INV-00931"/>
    <x:x v="5"/>
    <x:s v="SUP09"/>
    <x:x v="0"/>
    <x:s v="Components"/>
    <x:d v="2026-08-03T00:00:00Z"/>
    <x:n v="46267"/>
    <x:x v="2"/>
    <x:n v="6090.12"/>
    <x:s v="Historical"/>
    <x:s v="SUP09-INV-00931"/>
    <x:n v="30"/>
    <x:s v="Thames Electronics Ltd"/>
    <x:n v="1.1535"/>
    <x:n v="1.3470274310137447"/>
    <x:n v="0.006382448957007692"/>
    <x:n v="1.3470274310137447"/>
    <x:x v="931"/>
    <x:x v="4"/>
    <x:n v="1.293"/>
    <x:n v="7874.525159999999"/>
    <x:n v="329.0335381654277"/>
    <x:n v="0.041784556081782546"/>
  </x:r>
  <x:r>
    <x:s v="INV-00932"/>
    <x:x v="2"/>
    <x:s v="SUP10"/>
    <x:x v="1"/>
    <x:s v="Services"/>
    <x:d v="2025-06-05T00:00:00Z"/>
    <x:n v="45858"/>
    <x:x v="2"/>
    <x:n v="16783.09"/>
    <x:s v="Historical"/>
    <x:s v="SUP10-INV-00932"/>
    <x:n v="45"/>
    <x:s v="Bristol Calibration Services"/>
    <x:n v="1.1423"/>
    <x:n v="1.356811972918399"/>
    <x:n v="0.006979714041305146"/>
    <x:n v="1.356811972918399"/>
    <x:x v="932"/>
    <x:x v="5"/>
    <x:n v="1.26"/>
    <x:n v="21146.6934"/>
    <x:n v="1624.804054567052"/>
    <x:n v="0.07683489914158645"/>
  </x:r>
  <x:r>
    <x:s v="INV-00933"/>
    <x:x v="8"/>
    <x:s v="SUP13"/>
    <x:x v="0"/>
    <x:s v="Components"/>
    <x:d v="2026-09-10T00:00:00Z"/>
    <x:n v="46320"/>
    <x:x v="1"/>
    <x:n v="5364841.98"/>
    <x:s v="Historical"/>
    <x:s v="SUP13-INV-00933"/>
    <x:n v="45"/>
    <x:s v="Osaka Microdevices"/>
    <x:n v="1.1616"/>
    <x:n v="1.3520339870802538"/>
    <x:n v="0.006486124295047183"/>
    <x:n v="0.006486124295047183"/>
    <x:x v="933"/>
    <x:x v="4"/>
    <x:n v="0.00674"/>
    <x:n v="36159.03494520001"/>
    <x:n v="-1362.0030396329748"/>
    <x:n v="-0.03766701853899384"/>
  </x:r>
  <x:r>
    <x:s v="INV-00934"/>
    <x:x v="13"/>
    <x:s v="SUP11"/>
    <x:x v="2"/>
    <x:s v="Software"/>
    <x:d v="2025-02-27T00:00:00Z"/>
    <x:n v="45745"/>
    <x:x v="2"/>
    <x:n v="1670.06"/>
    <x:s v="Historical"/>
    <x:s v="SUP11-INV-00934"/>
    <x:n v="30"/>
    <x:s v="Manchester Cloud Solutions"/>
    <x:n v="1.0477"/>
    <x:n v="1.267281942109274"/>
    <x:n v="0.00668474446500351"/>
    <x:n v="1.267281942109274"/>
    <x:x v="934"/>
    <x:x v="3"/>
    <x:n v="1.238"/>
    <x:n v="2067.53428"/>
    <x:n v="48.90260023901419"/>
    <x:n v="0.023652618828169658"/>
  </x:r>
  <x:r>
    <x:s v="INV-00935"/>
    <x:x v="1"/>
    <x:s v="SUP15"/>
    <x:x v="1"/>
    <x:s v="Freight"/>
    <x:d v="2025-01-19T00:00:00Z"/>
    <x:n v="45706"/>
    <x:x v="1"/>
    <x:n v="1586213.73"/>
    <x:s v="Historical"/>
    <x:s v="SUP15-INV-00935"/>
    <x:n v="30"/>
    <x:s v="Nagoya Logistics Partners"/>
    <x:n v="1.0335"/>
    <x:n v="1.2423666875030055"/>
    <x:n v="0.00643845003737852"/>
    <x:n v="0.00643845003737852"/>
    <x:x v="935"/>
    <x:x v="3"/>
    <x:n v="0.00656"/>
    <x:n v="10405.5620688"/>
    <x:n v="-192.80421959117848"/>
    <x:n v="-0.018528957716689037"/>
  </x:r>
  <x:r>
    <x:s v="INV-00936"/>
    <x:x v="3"/>
    <x:s v="SUP04"/>
    <x:x v="1"/>
    <x:s v="Packaging"/>
    <x:d v="2026-05-29T00:00:00Z"/>
    <x:n v="46201"/>
    <x:x v="0"/>
    <x:n v="6164.81"/>
    <x:s v="Historical"/>
    <x:s v="SUP04-INV-00936"/>
    <x:n v="30"/>
    <x:s v="Nordlicht Packaging"/>
    <x:n v="1.1644"/>
    <x:n v="1.3426657288147321"/>
    <x:n v="0.006278781342679968"/>
    <x:n v="1.1644"/>
    <x:x v="936"/>
    <x:x v="0"/>
    <x:n v="1.083"/>
    <x:n v="6676.48923"/>
    <x:n v="501.8155340000012"/>
    <x:n v="0.07516158818097894"/>
  </x:r>
  <x:r>
    <x:s v="INV-00937"/>
    <x:x v="7"/>
    <x:s v="SUP03"/>
    <x:x v="0"/>
    <x:s v="Components"/>
    <x:d v="2026-09-23T00:00:00Z"/>
    <x:n v="46318"/>
    <x:x v="0"/>
    <x:n v="13344.74"/>
    <x:s v="Historical"/>
    <x:s v="SUP03-INV-00937"/>
    <x:n v="30"/>
    <x:s v="Benelux Sensor Works"/>
    <x:n v="1.1411"/>
    <x:n v="1.327632344386271"/>
    <x:n v="0.006332408435072143"/>
    <x:n v="1.1411"/>
    <x:x v="937"/>
    <x:x v="4"/>
    <x:n v="1.101"/>
    <x:n v="14692.558739999999"/>
    <x:n v="535.1240740000012"/>
    <x:n v="0.036421435059037326"/>
  </x:r>
  <x:r>
    <x:s v="INV-00938"/>
    <x:x v="6"/>
    <x:s v="SUP16"/>
    <x:x v="0"/>
    <x:s v="Components"/>
    <x:d v="2026-09-08T00:00:00Z"/>
    <x:n v="46303"/>
    <x:x v="1"/>
    <x:n v="2382721.03"/>
    <x:s v="Historical"/>
    <x:s v="SUP16-INV-00938"/>
    <x:n v="30"/>
    <x:s v="Kyoto Optical Instruments"/>
    <x:n v="1.1614"/>
    <x:n v="1.3545602985770935"/>
    <x:n v="0.006481026785714286"/>
    <x:n v="0.006481026785714286"/>
    <x:x v="938"/>
    <x:x v="4"/>
    <x:n v="0.00674"/>
    <x:n v="16059.539742199999"/>
    <x:n v="-617.0609238852667"/>
    <x:n v="-0.03842332556167861"/>
  </x:r>
  <x:r>
    <x:s v="INV-00939"/>
    <x:x v="5"/>
    <x:s v="SUP09"/>
    <x:x v="0"/>
    <x:s v="Components"/>
    <x:d v="2026-08-15T00:00:00Z"/>
    <x:n v="46279"/>
    <x:x v="2"/>
    <x:n v="7661.15"/>
    <x:s v="Historical"/>
    <x:s v="SUP09-INV-00939"/>
    <x:n v="30"/>
    <x:s v="Thames Electronics Ltd"/>
    <x:n v="1.1567"/>
    <x:n v="1.353657109420714"/>
    <x:n v="0.006288805523840591"/>
    <x:n v="1.353657109420714"/>
    <x:x v="939"/>
    <x:x v="4"/>
    <x:n v="1.293"/>
    <x:n v="9905.86695"/>
    <x:n v="464.70321383850205"/>
    <x:n v="0.046911917572091164"/>
  </x:r>
  <x:r>
    <x:s v="INV-00940"/>
    <x:x v="7"/>
    <x:s v="SUP03"/>
    <x:x v="0"/>
    <x:s v="Parts"/>
    <x:d v="2026-09-30T00:00:00Z"/>
    <x:n v="46325"/>
    <x:x v="0"/>
    <x:n v="20906.87"/>
    <x:s v="Historical"/>
    <x:s v="SUP03-INV-00940"/>
    <x:n v="30"/>
    <x:s v="Benelux Sensor Works"/>
    <x:n v="1.1355"/>
    <x:n v="1.328645144682494"/>
    <x:n v="0.006369551803444213"/>
    <x:n v="1.1355"/>
    <x:x v="940"/>
    <x:x v="4"/>
    <x:n v="1.101"/>
    <x:n v="23018.46387"/>
    <x:n v="721.2870149999981"/>
    <x:n v="0.03133514986376013"/>
  </x:r>
  <x:r>
    <x:s v="INV-00941"/>
    <x:x v="17"/>
    <x:s v="SUP06"/>
    <x:x v="2"/>
    <x:s v="Software"/>
    <x:d v="2026-09-22T00:00:00Z"/>
    <x:n v="46317"/>
    <x:x v="0"/>
    <x:n v="7894.4"/>
    <x:s v="Historical"/>
    <x:s v="SUP06-INV-00941"/>
    <x:n v="30"/>
    <x:s v="Dublin Systems Licensing"/>
    <x:n v="1.1463"/>
    <x:n v="1.3363254837957568"/>
    <x:n v="0.006362324471332631"/>
    <x:n v="1.1463"/>
    <x:x v="941"/>
    <x:x v="4"/>
    <x:n v="1.101"/>
    <x:n v="8691.7344"/>
    <x:n v="357.616320000001"/>
    <x:n v="0.041144414168937445"/>
  </x:r>
  <x:r>
    <x:s v="INV-00942"/>
    <x:x v="1"/>
    <x:s v="SUP15"/>
    <x:x v="1"/>
    <x:s v="Freight"/>
    <x:d v="2026-12-19T00:00:00Z"/>
    <x:n v="46405"/>
    <x:x v="1"/>
    <x:n v="1513701.57"/>
    <x:s v="Planned"/>
    <x:s v="SUP15-INV-00942"/>
    <x:n v="30"/>
    <x:s v="Nagoya Logistics Partners"/>
    <x:n v="1.1177"/>
    <x:n v="1.320456022210408"/>
    <x:n v="0.00632004523607577"/>
    <x:n v="0.00632004523607577"/>
    <x:x v="942"/>
    <x:x v="2"/>
    <x:n v="0.00688"/>
    <x:n v="10414.2668016"/>
    <x:n v="-847.6044052810867"/>
    <x:n v="-0.08138877382619625"/>
  </x:r>
  <x:r>
    <x:s v="INV-00943"/>
    <x:x v="3"/>
    <x:s v="SUP04"/>
    <x:x v="1"/>
    <x:s v="Packaging"/>
    <x:d v="2025-06-16T00:00:00Z"/>
    <x:n v="45854"/>
    <x:x v="0"/>
    <x:n v="8625.14"/>
    <x:s v="Historical"/>
    <x:s v="SUP04-INV-00943"/>
    <x:n v="30"/>
    <x:s v="Nordlicht Packaging"/>
    <x:n v="1.1574"/>
    <x:n v="1.357972544878564"/>
    <x:n v="0.006935106956678052"/>
    <x:n v="1.1574"/>
    <x:x v="943"/>
    <x:x v="5"/>
    <x:n v="1.07"/>
    <x:n v="9228.8998"/>
    <x:n v="753.8372359999994"/>
    <x:n v="0.08168224299065414"/>
  </x:r>
  <x:r>
    <x:s v="INV-00944"/>
    <x:x v="11"/>
    <x:s v="SUP14"/>
    <x:x v="0"/>
    <x:s v="Equipment"/>
    <x:d v="2025-12-24T00:00:00Z"/>
    <x:n v="46075"/>
    <x:x v="1"/>
    <x:n v="5386942"/>
    <x:s v="Historical"/>
    <x:s v="SUP14-INV-00944"/>
    <x:n v="60"/>
    <x:s v="Tokyo Automation Systems"/>
    <x:n v="1.1787"/>
    <x:n v="1.350326497880628"/>
    <x:n v="0.006411902301039003"/>
    <x:n v="0.006411902301039003"/>
    <x:x v="944"/>
    <x:x v="7"/>
    <x:n v="0.00698"/>
    <x:n v="37600.85516"/>
    <x:n v="-3060.3093546363452"/>
    <x:n v="-0.08138935515200514"/>
  </x:r>
  <x:r>
    <x:s v="INV-00945"/>
    <x:x v="1"/>
    <x:s v="SUP15"/>
    <x:x v="1"/>
    <x:s v="Freight"/>
    <x:d v="2026-06-18T00:00:00Z"/>
    <x:n v="46221"/>
    <x:x v="1"/>
    <x:n v="790563.08"/>
    <x:s v="Historical"/>
    <x:s v="SUP15-INV-00945"/>
    <x:n v="30"/>
    <x:s v="Nagoya Logistics Partners"/>
    <x:n v="1.1461"/>
    <x:n v="1.3228606385188946"/>
    <x:n v="0.0062139449143352845"/>
    <x:n v="0.0062139449143352845"/>
    <x:x v="945"/>
    <x:x v="0"/>
    <x:n v="0.0066"/>
    <x:n v="5217.7163279999995"/>
    <x:n v="-305.2008975727613"/>
    <x:n v="-0.05849319479768416"/>
  </x:r>
  <x:r>
    <x:s v="INV-00946"/>
    <x:x v="14"/>
    <x:s v="SUP07"/>
    <x:x v="0"/>
    <x:s v="Equipment"/>
    <x:d v="2026-11-02T00:00:00Z"/>
    <x:n v="46388"/>
    <x:x v="0"/>
    <x:n v="67091.49"/>
    <x:s v="Planned"/>
    <x:s v="SUP07-INV-00946"/>
    <x:n v="60"/>
    <x:s v="Milan Assembly Robotics"/>
    <x:n v="1.1177"/>
    <x:n v="1.320456022210408"/>
    <x:n v="0.00632004523607577"/>
    <x:n v="1.1177"/>
    <x:x v="946"/>
    <x:x v="2"/>
    <x:n v="1.119"/>
    <x:n v="75075.37731000001"/>
    <x:n v="-87.21893700001237"/>
    <x:n v="-0.0011617515638965006"/>
  </x:r>
  <x:r>
    <x:s v="INV-00947"/>
    <x:x v="15"/>
    <x:s v="SUP18"/>
    <x:x v="1"/>
    <x:s v="Services"/>
    <x:d v="2025-10-31T00:00:00Z"/>
    <x:n v="45991"/>
    <x:x v="1"/>
    <x:n v="1754068.45"/>
    <x:s v="Historical"/>
    <x:s v="SUP18-INV-00947"/>
    <x:n v="30"/>
    <x:s v="Yokohama Engineering Labs"/>
    <x:n v="1.1554"/>
    <x:n v="1.3105716878402902"/>
    <x:n v="0.006485909958459639"/>
    <x:n v="0.006485909958459639"/>
    <x:x v="947"/>
    <x:x v="7"/>
    <x:n v="0.00698"/>
    <x:n v="12243.397781"/>
    <x:n v="-866.6677533251368"/>
    <x:n v="-0.07078653890263054"/>
  </x:r>
  <x:r>
    <x:s v="INV-00948"/>
    <x:x v="7"/>
    <x:s v="SUP03"/>
    <x:x v="0"/>
    <x:s v="Parts"/>
    <x:d v="2026-11-23T00:00:00Z"/>
    <x:n v="46379"/>
    <x:x v="0"/>
    <x:n v="19777.14"/>
    <x:s v="Planned"/>
    <x:s v="SUP03-INV-00948"/>
    <x:n v="30"/>
    <x:s v="Benelux Sensor Works"/>
    <x:n v="1.1177"/>
    <x:n v="1.320456022210408"/>
    <x:n v="0.00632004523607577"/>
    <x:n v="1.1177"/>
    <x:x v="948"/>
    <x:x v="2"/>
    <x:n v="1.119"/>
    <x:n v="22130.61966"/>
    <x:n v="-25.710282000003644"/>
    <x:n v="-0.0011617515638965006"/>
  </x:r>
  <x:r>
    <x:s v="INV-00949"/>
    <x:x v="10"/>
    <x:s v="SUP02"/>
    <x:x v="0"/>
    <x:s v="Equipment"/>
    <x:d v="2026-09-02T00:00:00Z"/>
    <x:n v="46312"/>
    <x:x v="0"/>
    <x:n v="72459.95"/>
    <x:s v="Historical"/>
    <x:s v="SUP02-INV-00949"/>
    <x:n v="45"/>
    <x:s v="Alpen Precision Systems"/>
    <x:n v="1.1578"/>
    <x:n v="1.3483172237102596"/>
    <x:n v="0.006265829635241909"/>
    <x:n v="1.1578"/>
    <x:x v="949"/>
    <x:x v="4"/>
    <x:n v="1.101"/>
    <x:n v="79778.40495"/>
    <x:n v="4115.725160000002"/>
    <x:n v="0.051589464123524095"/>
  </x:r>
  <x:r>
    <x:s v="INV-00950"/>
    <x:x v="10"/>
    <x:s v="SUP02"/>
    <x:x v="0"/>
    <x:s v="Equipment"/>
    <x:d v="2026-09-06T00:00:00Z"/>
    <x:n v="46316"/>
    <x:x v="0"/>
    <x:n v="54891.28"/>
    <x:s v="Historical"/>
    <x:s v="SUP02-INV-00950"/>
    <x:n v="45"/>
    <x:s v="Alpen Precision Systems"/>
    <x:n v="1.1622"/>
    <x:n v="1.3530000698502875"/>
    <x:n v="0.006400132165868164"/>
    <x:n v="1.1622"/>
    <x:x v="950"/>
    <x:x v="4"/>
    <x:n v="1.101"/>
    <x:n v="60435.29928"/>
    <x:n v="3359.346335999995"/>
    <x:n v="0.05558583106267022"/>
  </x:r>
  <x:r>
    <x:s v="INV-00951"/>
    <x:x v="6"/>
    <x:s v="SUP16"/>
    <x:x v="0"/>
    <x:s v="Components"/>
    <x:d v="2025-03-12T00:00:00Z"/>
    <x:n v="45758"/>
    <x:x v="1"/>
    <x:n v="2004398.28"/>
    <x:s v="Historical"/>
    <x:s v="SUP16-INV-00951"/>
    <x:n v="30"/>
    <x:s v="Kyoto Optical Instruments"/>
    <x:n v="1.0886"/>
    <x:n v="1.2947501129903185"/>
    <x:n v="0.006710226222030451"/>
    <x:n v="0.006710226222030451"/>
    <x:x v="951"/>
    <x:x v="3"/>
    <x:n v="0.00656"/>
    <x:n v="13148.8527168"/>
    <x:n v="301.113181048735"/>
    <x:n v="0.022900338724154184"/>
  </x:r>
  <x:r>
    <x:s v="INV-00952"/>
    <x:x v="1"/>
    <x:s v="SUP15"/>
    <x:x v="1"/>
    <x:s v="Freight"/>
    <x:d v="2026-02-11T00:00:00Z"/>
    <x:n v="46094"/>
    <x:x v="1"/>
    <x:n v="2370987.38"/>
    <x:s v="Historical"/>
    <x:s v="SUP15-INV-00952"/>
    <x:n v="30"/>
    <x:s v="Nagoya Logistics Partners"/>
    <x:n v="1.19"/>
    <x:n v="1.3679733302678467"/>
    <x:n v="0.006510202965151267"/>
    <x:n v="0.006510202965151267"/>
    <x:x v="952"/>
    <x:x v="6"/>
    <x:n v="0.00646"/>
    <x:n v="15316.578474799999"/>
    <x:n v="119.03059681223385"/>
    <x:n v="0.007771356834561456"/>
  </x:r>
  <x:r>
    <x:s v="INV-00953"/>
    <x:x v="6"/>
    <x:s v="SUP16"/>
    <x:x v="0"/>
    <x:s v="Components"/>
    <x:d v="2026-10-04T00:00:00Z"/>
    <x:n v="46329"/>
    <x:x v="1"/>
    <x:n v="2085133.92"/>
    <x:s v="Planned"/>
    <x:s v="SUP16-INV-00953"/>
    <x:n v="30"/>
    <x:s v="Kyoto Optical Instruments"/>
    <x:n v="1.1225"/>
    <x:n v="1.3200757353027648"/>
    <x:n v="0.006342166224080456"/>
    <x:n v="0.006342166224080456"/>
    <x:x v="953"/>
    <x:x v="2"/>
    <x:n v="0.00688"/>
    <x:n v="14345.7213696"/>
    <x:n v="-1121.455449491521"/>
    <x:n v="-0.07817351394179423"/>
  </x:r>
  <x:r>
    <x:s v="INV-00954"/>
    <x:x v="4"/>
    <x:s v="SUP08"/>
    <x:x v="0"/>
    <x:s v="Components"/>
    <x:d v="2025-11-24T00:00:00Z"/>
    <x:n v="46015"/>
    <x:x v="0"/>
    <x:n v="15483.6"/>
    <x:s v="Historical"/>
    <x:s v="SUP08-INV-00954"/>
    <x:n v="30"/>
    <x:s v="Valencia Circuit Supply"/>
    <x:n v="1.1544"/>
    <x:n v="1.3112221717401182"/>
    <x:n v="0.006370157819225251"/>
    <x:n v="1.1544"/>
    <x:x v="954"/>
    <x:x v="7"/>
    <x:n v="1.106"/>
    <x:n v="17124.8616"/>
    <x:n v="749.4062400000003"/>
    <x:n v="0.043761301989150105"/>
  </x:r>
  <x:r>
    <x:s v="INV-00955"/>
    <x:x v="0"/>
    <x:s v="SUP01"/>
    <x:x v="0"/>
    <x:s v="Components"/>
    <x:d v="2026-04-10T00:00:00Z"/>
    <x:n v="46152"/>
    <x:x v="0"/>
    <x:n v="29244.34"/>
    <x:s v="Historical"/>
    <x:s v="SUP01-INV-00955"/>
    <x:n v="30"/>
    <x:s v="Rhein Circuit Components"/>
    <x:n v="1.1711"/>
    <x:n v="1.344469318638425"/>
    <x:n v="0.006281714316365392"/>
    <x:n v="1.1711"/>
    <x:x v="955"/>
    <x:x v="0"/>
    <x:n v="1.083"/>
    <x:n v="31671.62022"/>
    <x:n v="2576.4263539999993"/>
    <x:n v="0.08134810710987994"/>
  </x:r>
  <x:r>
    <x:s v="INV-00956"/>
    <x:x v="3"/>
    <x:s v="SUP04"/>
    <x:x v="1"/>
    <x:s v="Packaging"/>
    <x:d v="2026-08-22T00:00:00Z"/>
    <x:n v="46286"/>
    <x:x v="0"/>
    <x:n v="6948.62"/>
    <x:s v="Historical"/>
    <x:s v="SUP04-INV-00956"/>
    <x:n v="30"/>
    <x:s v="Nordlicht Packaging"/>
    <x:n v="1.1699"/>
    <x:n v="1.3655888875919224"/>
    <x:n v="0.006301303457933858"/>
    <x:n v="1.1699"/>
    <x:x v="956"/>
    <x:x v="4"/>
    <x:n v="1.101"/>
    <x:n v="7650.43062"/>
    <x:n v="478.75991799999974"/>
    <x:n v="0.06257947320617617"/>
  </x:r>
  <x:r>
    <x:s v="INV-00957"/>
    <x:x v="8"/>
    <x:s v="SUP13"/>
    <x:x v="0"/>
    <x:s v="Components"/>
    <x:d v="2025-03-30T00:00:00Z"/>
    <x:n v="45791"/>
    <x:x v="1"/>
    <x:n v="5109033.73"/>
    <x:s v="Historical"/>
    <x:s v="SUP13-INV-00957"/>
    <x:n v="45"/>
    <x:s v="Osaka Microdevices"/>
    <x:n v="1.1194"/>
    <x:n v="1.3283493532692536"/>
    <x:n v="0.006865378718184605"/>
    <x:n v="0.006865378718184605"/>
    <x:x v="957"/>
    <x:x v="3"/>
    <x:n v="0.00656"/>
    <x:n v="33515.2612688"/>
    <x:n v="1560.1901716293141"/>
    <x:n v="0.0465516338696045"/>
  </x:r>
  <x:r>
    <x:s v="INV-00958"/>
    <x:x v="0"/>
    <x:s v="SUP01"/>
    <x:x v="0"/>
    <x:s v="Components"/>
    <x:d v="2025-04-13T00:00:00Z"/>
    <x:n v="45790"/>
    <x:x v="0"/>
    <x:n v="15224.59"/>
    <x:s v="Historical"/>
    <x:s v="SUP01-INV-00958"/>
    <x:n v="30"/>
    <x:s v="Rhein Circuit Components"/>
    <x:n v="1.1423"/>
    <x:n v="1.356811972918399"/>
    <x:n v="0.006979714041305146"/>
    <x:n v="1.1423"/>
    <x:x v="958"/>
    <x:x v="5"/>
    <x:n v="1.07"/>
    <x:n v="16290.311300000001"/>
    <x:n v="1100.737857"/>
    <x:n v="0.06757009345794393"/>
  </x:r>
  <x:r>
    <x:s v="INV-00959"/>
    <x:x v="15"/>
    <x:s v="SUP18"/>
    <x:x v="1"/>
    <x:s v="Services"/>
    <x:d v="2025-03-01T00:00:00Z"/>
    <x:n v="45747"/>
    <x:x v="1"/>
    <x:n v="442169"/>
    <x:s v="Historical"/>
    <x:s v="SUP18-INV-00959"/>
    <x:n v="30"/>
    <x:s v="Yokohama Engineering Labs"/>
    <x:n v="1.0803"/>
    <x:n v="1.294470073692409"/>
    <x:n v="0.006700781540751768"/>
    <x:n v="0.006700781540751768"/>
    <x:x v="959"/>
    <x:x v="3"/>
    <x:n v="0.00656"/>
    <x:n v="2900.62864"/>
    <x:n v="62.249233092668874"/>
    <x:n v="0.021460600724355006"/>
  </x:r>
  <x:r>
    <x:s v="INV-00960"/>
    <x:x v="3"/>
    <x:s v="SUP04"/>
    <x:x v="1"/>
    <x:s v="Packaging"/>
    <x:d v="2026-02-07T00:00:00Z"/>
    <x:n v="46090"/>
    <x:x v="0"/>
    <x:n v="13008.07"/>
    <x:s v="Historical"/>
    <x:s v="SUP04-INV-00960"/>
    <x:n v="30"/>
    <x:s v="Nordlicht Packaging"/>
    <x:n v="1.1555"/>
    <x:n v="1.3367963164349013"/>
    <x:n v="0.006298375667720483"/>
    <x:n v="1.1555"/>
    <x:x v="960"/>
    <x:x v="6"/>
    <x:n v="1.065"/>
    <x:n v="13853.59455"/>
    <x:n v="1177.2303350000002"/>
    <x:n v="0.08497652582159626"/>
  </x:r>
  <x:r>
    <x:s v="INV-00961"/>
    <x:x v="0"/>
    <x:s v="SUP01"/>
    <x:x v="0"/>
    <x:s v="Components"/>
    <x:d v="2025-07-09T00:00:00Z"/>
    <x:n v="45877"/>
    <x:x v="0"/>
    <x:n v="14019.09"/>
    <x:s v="Historical"/>
    <x:s v="SUP01-INV-00961"/>
    <x:n v="30"/>
    <x:s v="Rhein Circuit Components"/>
    <x:n v="1.1698"/>
    <x:n v="1.3581794961105307"/>
    <x:n v="0.006815824739264697"/>
    <x:n v="1.1698"/>
    <x:x v="961"/>
    <x:x v="1"/>
    <x:n v="1.088"/>
    <x:n v="15252.76992"/>
    <x:n v="1146.7615619999979"/>
    <x:n v="0.07518382352941162"/>
  </x:r>
  <x:r>
    <x:s v="INV-00962"/>
    <x:x v="15"/>
    <x:s v="SUP18"/>
    <x:x v="1"/>
    <x:s v="Services"/>
    <x:d v="2026-06-22T00:00:00Z"/>
    <x:n v="46225"/>
    <x:x v="1"/>
    <x:n v="1312301.23"/>
    <x:s v="Historical"/>
    <x:s v="SUP18-INV-00962"/>
    <x:n v="30"/>
    <x:s v="Yokohama Engineering Labs"/>
    <x:n v="1.1456"/>
    <x:n v="1.324883193782671"/>
    <x:n v="0.006181406140398208"/>
    <x:n v="0.006181406140398208"/>
    <x:x v="962"/>
    <x:x v="0"/>
    <x:n v="0.0066"/>
    <x:n v="8661.188118"/>
    <x:n v="-549.3212368258792"/>
    <x:n v="-0.0634233120608776"/>
  </x:r>
  <x:r>
    <x:s v="INV-00963"/>
    <x:x v="6"/>
    <x:s v="SUP16"/>
    <x:x v="0"/>
    <x:s v="Components"/>
    <x:d v="2026-02-06T00:00:00Z"/>
    <x:n v="46089"/>
    <x:x v="1"/>
    <x:n v="1127003.84"/>
    <x:s v="Historical"/>
    <x:s v="SUP16-INV-00963"/>
    <x:n v="30"/>
    <x:s v="Kyoto Optical Instruments"/>
    <x:n v="1.1794"/>
    <x:n v="1.358912317087222"/>
    <x:n v="0.0063658444432449935"/>
    <x:n v="0.0063658444432449935"/>
    <x:x v="963"/>
    <x:x v="6"/>
    <x:n v="0.00646"/>
    <x:n v="7280.4448064"/>
    <x:n v="-106.11367402022915"/>
    <x:n v="-0.014575163584366179"/>
  </x:r>
  <x:r>
    <x:s v="INV-00964"/>
    <x:x v="9"/>
    <x:s v="SUP05"/>
    <x:x v="0"/>
    <x:s v="Components"/>
    <x:d v="2025-07-03T00:00:00Z"/>
    <x:n v="45886"/>
    <x:x v="0"/>
    <x:n v="19403.16"/>
    <x:s v="Historical"/>
    <x:s v="SUP05-INV-00964"/>
    <x:n v="45"/>
    <x:s v="Lyon Industrial Controls"/>
    <x:n v="1.1782"/>
    <x:n v="1.3653957584888168"/>
    <x:n v="0.006947753272791602"/>
    <x:n v="1.1782"/>
    <x:x v="964"/>
    <x:x v="1"/>
    <x:n v="1.088"/>
    <x:n v="21110.63808"/>
    <x:n v="1750.1650319999972"/>
    <x:n v="0.08290441176470574"/>
  </x:r>
  <x:r>
    <x:s v="INV-00965"/>
    <x:x v="5"/>
    <x:s v="SUP09"/>
    <x:x v="0"/>
    <x:s v="Components"/>
    <x:d v="2025-12-20T00:00:00Z"/>
    <x:n v="46041"/>
    <x:x v="2"/>
    <x:n v="22774.54"/>
    <x:s v="Historical"/>
    <x:s v="SUP09-INV-00965"/>
    <x:n v="30"/>
    <x:s v="Thames Electronics Ltd"/>
    <x:n v="1.1555"/>
    <x:n v="1.3367963164349013"/>
    <x:n v="0.006298375667720483"/>
    <x:n v="1.3367963164349013"/>
    <x:x v="965"/>
    <x:x v="7"/>
    <x:n v="1.304"/>
    <x:n v="29698.000160000003"/>
    <x:n v="746.9210204993142"/>
    <x:n v="0.02515054941326777"/>
  </x:r>
  <x:r>
    <x:s v="INV-00966"/>
    <x:x v="8"/>
    <x:s v="SUP13"/>
    <x:x v="0"/>
    <x:s v="Components"/>
    <x:d v="2025-08-25T00:00:00Z"/>
    <x:n v="45939"/>
    <x:x v="1"/>
    <x:n v="4398447.99"/>
    <x:s v="Historical"/>
    <x:s v="SUP13-INV-00966"/>
    <x:n v="45"/>
    <x:s v="Osaka Microdevices"/>
    <x:n v="1.1697"/>
    <x:n v="1.350848827809216"/>
    <x:n v="0.006786377349733116"/>
    <x:n v="0.006786377349733116"/>
    <x:x v="966"/>
    <x:x v="1"/>
    <x:n v="0.00684"/>
    <x:n v="30085.3842516"/>
    <x:n v="-235.85643828484535"/>
    <x:n v="-0.007839568752468303"/>
  </x:r>
  <x:r>
    <x:s v="INV-00967"/>
    <x:x v="0"/>
    <x:s v="SUP01"/>
    <x:x v="0"/>
    <x:s v="Components"/>
    <x:d v="2025-09-04T00:00:00Z"/>
    <x:n v="45934"/>
    <x:x v="0"/>
    <x:n v="32549.49"/>
    <x:s v="Historical"/>
    <x:s v="SUP01-INV-00967"/>
    <x:n v="30"/>
    <x:s v="Rhein Circuit Components"/>
    <x:n v="1.1647"/>
    <x:n v="1.34445342260187"/>
    <x:n v="0.006741722620977079"/>
    <x:n v="1.1647"/>
    <x:x v="967"/>
    <x:x v="1"/>
    <x:n v="1.088"/>
    <x:n v="35413.845120000005"/>
    <x:n v="2496.545882999999"/>
    <x:n v="0.07049632352941172"/>
  </x:r>
  <x:r>
    <x:s v="INV-00968"/>
    <x:x v="5"/>
    <x:s v="SUP09"/>
    <x:x v="0"/>
    <x:s v="Components"/>
    <x:d v="2025-02-18T00:00:00Z"/>
    <x:n v="45736"/>
    <x:x v="2"/>
    <x:n v="5850.23"/>
    <x:s v="Historical"/>
    <x:s v="SUP09-INV-00968"/>
    <x:n v="30"/>
    <x:s v="Thames Electronics Ltd"/>
    <x:n v="1.0447"/>
    <x:n v="1.2582956940680516"/>
    <x:n v="0.006589088615578681"/>
    <x:n v="1.2582956940680516"/>
    <x:x v="968"/>
    <x:x v="3"/>
    <x:n v="1.238"/>
    <x:n v="7242.584739999999"/>
    <x:n v="118.73447830773785"/>
    <x:n v="0.016393937050122504"/>
  </x:r>
  <x:r>
    <x:s v="INV-00969"/>
    <x:x v="15"/>
    <x:s v="SUP18"/>
    <x:x v="1"/>
    <x:s v="Services"/>
    <x:d v="2026-12-22T00:00:00Z"/>
    <x:n v="46408"/>
    <x:x v="1"/>
    <x:n v="2591849.57"/>
    <x:s v="Planned"/>
    <x:s v="SUP18-INV-00969"/>
    <x:n v="30"/>
    <x:s v="Yokohama Engineering Labs"/>
    <x:n v="1.1177"/>
    <x:n v="1.320456022210408"/>
    <x:n v="0.00632004523607577"/>
    <x:n v="0.00632004523607577"/>
    <x:x v="969"/>
    <x:x v="2"/>
    <x:n v="0.00688"/>
    <x:n v="17831.9250416"/>
    <x:n v="-1451.3185140964688"/>
    <x:n v="-0.08138877382619632"/>
  </x:r>
  <x:r>
    <x:s v="INV-00970"/>
    <x:x v="8"/>
    <x:s v="SUP13"/>
    <x:x v="0"/>
    <x:s v="Components"/>
    <x:d v="2025-01-23T00:00:00Z"/>
    <x:n v="45725"/>
    <x:x v="1"/>
    <x:n v="2148575.77"/>
    <x:s v="Historical"/>
    <x:s v="SUP13-INV-00970"/>
    <x:n v="45"/>
    <x:s v="Osaka Microdevices"/>
    <x:n v="1.0404"/>
    <x:n v="1.2317090495809064"/>
    <x:n v="0.006399311108377413"/>
    <x:n v="0.006399311108377413"/>
    <x:x v="970"/>
    <x:x v="3"/>
    <x:n v="0.00656"/>
    <x:n v="14094.6570512"/>
    <x:n v="-345.2522590484459"/>
    <x:n v="-0.024495257869296762"/>
  </x:r>
  <x:r>
    <x:s v="INV-00971"/>
    <x:x v="9"/>
    <x:s v="SUP05"/>
    <x:x v="0"/>
    <x:s v="Components"/>
    <x:d v="2025-06-29T00:00:00Z"/>
    <x:n v="45882"/>
    <x:x v="0"/>
    <x:n v="17441.47"/>
    <x:s v="Historical"/>
    <x:s v="SUP05-INV-00971"/>
    <x:n v="45"/>
    <x:s v="Lyon Industrial Controls"/>
    <x:n v="1.1781"/>
    <x:n v="1.3496391339214113"/>
    <x:n v="0.006764081070218752"/>
    <x:n v="1.1781"/>
    <x:x v="971"/>
    <x:x v="5"/>
    <x:n v="1.07"/>
    <x:n v="18662.372900000002"/>
    <x:n v="1885.4229069999965"/>
    <x:n v="0.10102803738317737"/>
  </x:r>
  <x:r>
    <x:s v="INV-00972"/>
    <x:x v="0"/>
    <x:s v="SUP01"/>
    <x:x v="0"/>
    <x:s v="Components"/>
    <x:d v="2025-01-10T00:00:00Z"/>
    <x:n v="45697"/>
    <x:x v="0"/>
    <x:n v="27183.9"/>
    <x:s v="Historical"/>
    <x:s v="SUP01-INV-00972"/>
    <x:n v="30"/>
    <x:s v="Rhein Circuit Components"/>
    <x:n v="1.0304"/>
    <x:n v="1.2311662863082935"/>
    <x:n v="0.0063269065454992016"/>
    <x:n v="1.0304"/>
    <x:x v="972"/>
    <x:x v="3"/>
    <x:n v="1.052"/>
    <x:n v="28597.4628"/>
    <x:n v="-587.1722399999999"/>
    <x:n v="-0.020532319391634975"/>
  </x:r>
  <x:r>
    <x:s v="INV-00973"/>
    <x:x v="0"/>
    <x:s v="SUP01"/>
    <x:x v="0"/>
    <x:s v="Components"/>
    <x:d v="2025-01-30T00:00:00Z"/>
    <x:n v="45717"/>
    <x:x v="0"/>
    <x:n v="27051.24"/>
    <x:s v="Historical"/>
    <x:s v="SUP01-INV-00973"/>
    <x:n v="30"/>
    <x:s v="Rhein Circuit Components"/>
    <x:n v="1.0403"/>
    <x:n v="1.2431140586724025"/>
    <x:n v="0.006488897205588822"/>
    <x:n v="1.0403"/>
    <x:x v="973"/>
    <x:x v="3"/>
    <x:n v="1.052"/>
    <x:n v="28457.904480000005"/>
    <x:n v="-316.4995080000044"/>
    <x:n v="-0.011121673003802434"/>
  </x:r>
  <x:r>
    <x:s v="INV-00974"/>
    <x:x v="2"/>
    <x:s v="SUP10"/>
    <x:x v="1"/>
    <x:s v="Services"/>
    <x:d v="2025-01-02T00:00:00Z"/>
    <x:n v="45704"/>
    <x:x v="2"/>
    <x:n v="9258.86"/>
    <x:s v="Historical"/>
    <x:s v="SUP10-INV-00974"/>
    <x:n v="45"/>
    <x:s v="Bristol Calibration Services"/>
    <x:n v="1.0321"/>
    <x:n v="1.2417286267715777"/>
    <x:n v="0.006369414959269316"/>
    <x:n v="1.2417286267715777"/>
    <x:x v="974"/>
    <x:x v="3"/>
    <x:n v="1.238"/>
    <x:n v="11462.46868"/>
    <x:n v="34.52283327028999"/>
    <x:n v="0.0030118148397235136"/>
  </x:r>
  <x:r>
    <x:s v="INV-00975"/>
    <x:x v="17"/>
    <x:s v="SUP06"/>
    <x:x v="2"/>
    <x:s v="Software"/>
    <x:d v="2025-10-15T00:00:00Z"/>
    <x:n v="45975"/>
    <x:x v="0"/>
    <x:n v="5875.71"/>
    <x:s v="Historical"/>
    <x:s v="SUP06-INV-00975"/>
    <x:n v="30"/>
    <x:s v="Dublin Systems Licensing"/>
    <x:n v="1.1622"/>
    <x:n v="1.335094773118897"/>
    <x:n v="0.006598535172883665"/>
    <x:n v="1.1622"/>
    <x:x v="975"/>
    <x:x v="7"/>
    <x:n v="1.106"/>
    <x:n v="6498.535260000001"/>
    <x:n v="330.2149019999988"/>
    <x:n v="0.05081374321880632"/>
  </x:r>
  <x:r>
    <x:s v="INV-00976"/>
    <x:x v="9"/>
    <x:s v="SUP05"/>
    <x:x v="0"/>
    <x:s v="Components"/>
    <x:d v="2026-09-14T00:00:00Z"/>
    <x:n v="46324"/>
    <x:x v="0"/>
    <x:n v="10353.83"/>
    <x:s v="Historical"/>
    <x:s v="SUP05-INV-00976"/>
    <x:n v="45"/>
    <x:s v="Lyon Industrial Controls"/>
    <x:n v="1.1551"/>
    <x:n v="1.3494474169957242"/>
    <x:n v="0.006470423481962805"/>
    <x:n v="1.1551"/>
    <x:x v="976"/>
    <x:x v="4"/>
    <x:n v="1.101"/>
    <x:n v="11399.56683"/>
    <x:n v="560.1422029999994"/>
    <x:n v="0.04913714804722974"/>
  </x:r>
  <x:r>
    <x:s v="INV-00977"/>
    <x:x v="10"/>
    <x:s v="SUP02"/>
    <x:x v="0"/>
    <x:s v="Equipment"/>
    <x:d v="2025-04-07T00:00:00Z"/>
    <x:n v="45799"/>
    <x:x v="0"/>
    <x:n v="51239.27"/>
    <x:s v="Historical"/>
    <x:s v="SUP02-INV-00977"/>
    <x:n v="45"/>
    <x:s v="Alpen Precision Systems"/>
    <x:n v="1.0967"/>
    <x:n v="1.281371220264523"/>
    <x:n v="0.006829617636069248"/>
    <x:n v="1.0967"/>
    <x:x v="977"/>
    <x:x v="5"/>
    <x:n v="1.07"/>
    <x:n v="54826.0189"/>
    <x:n v="1368.0885089999938"/>
    <x:n v="0.02495327102803727"/>
  </x:r>
  <x:r>
    <x:s v="INV-00978"/>
    <x:x v="3"/>
    <x:s v="SUP04"/>
    <x:x v="1"/>
    <x:s v="Packaging"/>
    <x:d v="2026-12-08T00:00:00Z"/>
    <x:n v="46394"/>
    <x:x v="0"/>
    <x:n v="1876.46"/>
    <x:s v="Planned"/>
    <x:s v="SUP04-INV-00978"/>
    <x:n v="30"/>
    <x:s v="Nordlicht Packaging"/>
    <x:n v="1.1177"/>
    <x:n v="1.320456022210408"/>
    <x:n v="0.00632004523607577"/>
    <x:n v="1.1177"/>
    <x:x v="978"/>
    <x:x v="2"/>
    <x:n v="1.119"/>
    <x:n v="2099.75874"/>
    <x:n v="-2.4393980000004376"/>
    <x:n v="-0.0011617515638965444"/>
  </x:r>
  <x:r>
    <x:s v="INV-00979"/>
    <x:x v="12"/>
    <x:s v="SUP17"/>
    <x:x v="1"/>
    <x:s v="Packaging"/>
    <x:d v="2026-07-31T00:00:00Z"/>
    <x:n v="46279"/>
    <x:x v="1"/>
    <x:n v="1092206"/>
    <x:s v="Historical"/>
    <x:s v="SUP17-INV-00979"/>
    <x:n v="45"/>
    <x:s v="Kobe Industrial Packaging"/>
    <x:n v="1.1485"/>
    <x:n v="1.3421289425402874"/>
    <x:n v="0.006240830299407705"/>
    <x:n v="0.006240830299407705"/>
    <x:x v="979"/>
    <x:x v="4"/>
    <x:n v="0.00674"/>
    <x:n v="7361.468440000001"/>
    <x:n v="-545.1961420051084"/>
    <x:n v="-0.074060786438026"/>
  </x:r>
  <x:r>
    <x:s v="INV-00980"/>
    <x:x v="13"/>
    <x:s v="SUP11"/>
    <x:x v="2"/>
    <x:s v="Software"/>
    <x:d v="2025-12-28T00:00:00Z"/>
    <x:n v="46049"/>
    <x:x v="2"/>
    <x:n v="5366.91"/>
    <x:s v="Historical"/>
    <x:s v="SUP11-INV-00980"/>
    <x:n v="30"/>
    <x:s v="Manchester Cloud Solutions"/>
    <x:n v="1.1555"/>
    <x:n v="1.3367963164349013"/>
    <x:n v="0.006298375667720483"/>
    <x:n v="1.3367963164349013"/>
    <x:x v="980"/>
    <x:x v="7"/>
    <x:n v="1.304"/>
    <x:n v="6998.45064"/>
    <x:n v="176.01487863763577"/>
    <x:n v="0.025150549413267817"/>
  </x:r>
  <x:r>
    <x:s v="INV-00981"/>
    <x:x v="0"/>
    <x:s v="SUP01"/>
    <x:x v="0"/>
    <x:s v="Components"/>
    <x:d v="2025-07-06T00:00:00Z"/>
    <x:n v="45874"/>
    <x:x v="0"/>
    <x:n v="22351.11"/>
    <x:s v="Historical"/>
    <x:s v="SUP01-INV-00981"/>
    <x:n v="30"/>
    <x:s v="Rhein Circuit Components"/>
    <x:n v="1.1724"/>
    <x:n v="1.346966911764706"/>
    <x:n v="0.006797703948512785"/>
    <x:n v="1.1724"/>
    <x:x v="981"/>
    <x:x v="1"/>
    <x:n v="1.088"/>
    <x:n v="24318.007680000002"/>
    <x:n v="1886.4336839999996"/>
    <x:n v="0.07757352941176468"/>
  </x:r>
  <x:r>
    <x:s v="INV-00982"/>
    <x:x v="15"/>
    <x:s v="SUP18"/>
    <x:x v="1"/>
    <x:s v="Services"/>
    <x:d v="2025-08-18T00:00:00Z"/>
    <x:n v="45917"/>
    <x:x v="1"/>
    <x:n v="702928.38"/>
    <x:s v="Historical"/>
    <x:s v="SUP18-INV-00982"/>
    <x:n v="30"/>
    <x:s v="Yokohama Engineering Labs"/>
    <x:n v="1.1673"/>
    <x:n v="1.3540192553068089"/>
    <x:n v="0.006775991176641318"/>
    <x:n v="0.006775991176641318"/>
    <x:x v="982"/>
    <x:x v="1"/>
    <x:n v="0.00684"/>
    <x:n v="4808.0301192"/>
    <x:n v="-44.99361850922378"/>
    <x:n v="-0.009358015110918272"/>
  </x:r>
  <x:r>
    <x:s v="INV-00983"/>
    <x:x v="16"/>
    <x:s v="SUP12"/>
    <x:x v="0"/>
    <x:s v="Components"/>
    <x:d v="2025-03-27T00:00:00Z"/>
    <x:n v="45803"/>
    <x:x v="2"/>
    <x:n v="5409.48"/>
    <x:s v="Historical"/>
    <x:s v="SUP12-INV-00983"/>
    <x:n v="60"/>
    <x:s v="Oxford Technical Materials"/>
    <x:n v="1.0785"/>
    <x:n v="1.2944381766244988"/>
    <x:n v="0.00663488157490003"/>
    <x:n v="1.2944381766244988"/>
    <x:x v="983"/>
    <x:x v="3"/>
    <x:n v="1.238"/>
    <x:n v="6696.936239999999"/>
    <x:n v="305.301187686694"/>
    <x:n v="0.04558818790347242"/>
  </x:r>
  <x:r>
    <x:s v="INV-00984"/>
    <x:x v="9"/>
    <x:s v="SUP05"/>
    <x:x v="0"/>
    <x:s v="Components"/>
    <x:d v="2026-05-22T00:00:00Z"/>
    <x:n v="46209"/>
    <x:x v="0"/>
    <x:n v="17516.47"/>
    <x:s v="Historical"/>
    <x:s v="SUP05-INV-00984"/>
    <x:n v="45"/>
    <x:s v="Lyon Industrial Controls"/>
    <x:n v="1.1595"/>
    <x:n v="1.3417343608970353"/>
    <x:n v="0.006283531133149081"/>
    <x:n v="1.1595"/>
    <x:x v="984"/>
    <x:x v="0"/>
    <x:n v="1.083"/>
    <x:n v="18970.33701"/>
    <x:n v="1340.0099550000014"/>
    <x:n v="0.07063711911357348"/>
  </x:r>
  <x:r>
    <x:s v="INV-00985"/>
    <x:x v="3"/>
    <x:s v="SUP04"/>
    <x:x v="1"/>
    <x:s v="Packaging"/>
    <x:d v="2026-01-23T00:00:00Z"/>
    <x:n v="46075"/>
    <x:x v="0"/>
    <x:n v="8663.42"/>
    <x:s v="Historical"/>
    <x:s v="SUP04-INV-00985"/>
    <x:n v="30"/>
    <x:s v="Nordlicht Packaging"/>
    <x:n v="1.1742"/>
    <x:n v="1.3526091464117036"/>
    <x:n v="0.006322761294491411"/>
    <x:n v="1.1742"/>
    <x:x v="985"/>
    <x:x v="6"/>
    <x:n v="1.065"/>
    <x:n v="9226.5423"/>
    <x:n v="946.0454640000007"/>
    <x:n v="0.10253521126760572"/>
  </x:r>
  <x:r>
    <x:s v="INV-00986"/>
    <x:x v="7"/>
    <x:s v="SUP03"/>
    <x:x v="0"/>
    <x:s v="Components"/>
    <x:d v="2025-10-15T00:00:00Z"/>
    <x:n v="45975"/>
    <x:x v="0"/>
    <x:n v="7345.55"/>
    <x:s v="Historical"/>
    <x:s v="SUP03-INV-00986"/>
    <x:n v="30"/>
    <x:s v="Benelux Sensor Works"/>
    <x:n v="1.1622"/>
    <x:n v="1.335094773118897"/>
    <x:n v="0.006598535172883665"/>
    <x:n v="1.1622"/>
    <x:x v="986"/>
    <x:x v="7"/>
    <x:n v="1.106"/>
    <x:n v="8124.1783000000005"/>
    <x:n v="412.81990999999925"/>
    <x:n v="0.05081374321880641"/>
  </x:r>
  <x:r>
    <x:s v="INV-00987"/>
    <x:x v="8"/>
    <x:s v="SUP13"/>
    <x:x v="0"/>
    <x:s v="Components"/>
    <x:d v="2026-01-10T00:00:00Z"/>
    <x:n v="46077"/>
    <x:x v="1"/>
    <x:n v="866710.42"/>
    <x:s v="Historical"/>
    <x:s v="SUP13-INV-00987"/>
    <x:n v="45"/>
    <x:s v="Osaka Microdevices"/>
    <x:n v="1.1555"/>
    <x:n v="1.3367963164349013"/>
    <x:n v="0.006298375667720483"/>
    <x:n v="0.006298375667720483"/>
    <x:x v="987"/>
    <x:x v="6"/>
    <x:n v="0.00646"/>
    <x:n v="5598.9493132"/>
    <x:n v="-140.08149291219888"/>
    <x:n v="-0.025019246482897217"/>
  </x:r>
  <x:r>
    <x:s v="INV-00988"/>
    <x:x v="14"/>
    <x:s v="SUP07"/>
    <x:x v="0"/>
    <x:s v="Equipment"/>
    <x:d v="2026-02-09T00:00:00Z"/>
    <x:n v="46122"/>
    <x:x v="0"/>
    <x:n v="44003.07"/>
    <x:s v="Historical"/>
    <x:s v="SUP07-INV-00988"/>
    <x:n v="60"/>
    <x:s v="Milan Assembly Robotics"/>
    <x:n v="1.1886"/>
    <x:n v="1.3660498793242157"/>
    <x:n v="0.00640237005117156"/>
    <x:n v="1.1886"/>
    <x:x v="988"/>
    <x:x v="6"/>
    <x:n v="1.065"/>
    <x:n v="46863.26955"/>
    <x:n v="5438.77945200001"/>
    <x:n v="0.11605633802816923"/>
  </x:r>
  <x:r>
    <x:s v="INV-00989"/>
    <x:x v="6"/>
    <x:s v="SUP16"/>
    <x:x v="0"/>
    <x:s v="Components"/>
    <x:d v="2026-01-03T00:00:00Z"/>
    <x:n v="46055"/>
    <x:x v="1"/>
    <x:n v="2309969.98"/>
    <x:s v="Historical"/>
    <x:s v="SUP16-INV-00989"/>
    <x:n v="30"/>
    <x:s v="Kyoto Optical Instruments"/>
    <x:n v="1.1555"/>
    <x:n v="1.3367963164349013"/>
    <x:n v="0.006298375667720483"/>
    <x:n v="0.006298375667720483"/>
    <x:x v="989"/>
    <x:x v="6"/>
    <x:n v="0.00646"/>
    <x:n v="14922.4060708"/>
    <x:n v="-373.3473556032277"/>
    <x:n v="-0.025019246482897266"/>
  </x:r>
  <x:r>
    <x:s v="INV-00990"/>
    <x:x v="16"/>
    <x:s v="SUP12"/>
    <x:x v="0"/>
    <x:s v="Components"/>
    <x:d v="2026-06-12T00:00:00Z"/>
    <x:n v="46245"/>
    <x:x v="2"/>
    <x:n v="14225.49"/>
    <x:s v="Historical"/>
    <x:s v="SUP12-INV-00990"/>
    <x:n v="60"/>
    <x:s v="Oxford Technical Materials"/>
    <x:n v="1.1567"/>
    <x:n v="1.340246799142576"/>
    <x:n v="0.006242309767943875"/>
    <x:n v="1.340246799142576"/>
    <x:x v="990"/>
    <x:x v="0"/>
    <x:n v="1.271"/>
    <x:n v="18080.59779"/>
    <x:n v="985.0696487347232"/>
    <x:n v="0.05448213937260109"/>
  </x:r>
  <x:r>
    <x:s v="INV-00991"/>
    <x:x v="0"/>
    <x:s v="SUP01"/>
    <x:x v="0"/>
    <x:s v="Components"/>
    <x:d v="2026-11-09T00:00:00Z"/>
    <x:n v="46365"/>
    <x:x v="0"/>
    <x:n v="6794.8"/>
    <x:s v="Planned"/>
    <x:s v="SUP01-INV-00991"/>
    <x:n v="30"/>
    <x:s v="Rhein Circuit Components"/>
    <x:n v="1.1177"/>
    <x:n v="1.320456022210408"/>
    <x:n v="0.00632004523607577"/>
    <x:n v="1.1177"/>
    <x:x v="991"/>
    <x:x v="2"/>
    <x:n v="1.119"/>
    <x:n v="7603.3812"/>
    <x:n v="-8.833239999999932"/>
    <x:n v="-0.0011617515638963271"/>
  </x:r>
  <x:r>
    <x:s v="INV-00993"/>
    <x:x v="17"/>
    <x:s v="SUP06"/>
    <x:x v="2"/>
    <x:s v="Software"/>
    <x:d v="2025-02-07T00:00:00Z"/>
    <x:n v="45725"/>
    <x:x v="0"/>
    <x:n v="4191.18"/>
    <x:s v="Historical"/>
    <x:s v="SUP06-INV-00993"/>
    <x:n v="30"/>
    <x:s v="Dublin Systems Licensing"/>
    <x:n v="1.0377"/>
    <x:n v="1.2449461926985232"/>
    <x:n v="0.0065772960638904735"/>
    <x:n v="1.0377"/>
    <x:x v="992"/>
    <x:x v="3"/>
    <x:n v="1.052"/>
    <x:n v="4409.12136"/>
    <x:n v="-59.93387399999938"/>
    <x:n v="-0.01359315589353598"/>
  </x:r>
  <x:r>
    <x:s v="INV-00994"/>
    <x:x v="1"/>
    <x:s v="SUP15"/>
    <x:x v="1"/>
    <x:s v="Freight"/>
    <x:d v="2026-03-25T00:00:00Z"/>
    <x:n v="46136"/>
    <x:x v="1"/>
    <x:n v="1337394.09"/>
    <x:s v="Historical"/>
    <x:s v="SUP15-INV-00994"/>
    <x:n v="30"/>
    <x:s v="Nagoya Logistics Partners"/>
    <x:n v="1.1592"/>
    <x:n v="1.3392176344185402"/>
    <x:n v="0.006290768980300646"/>
    <x:n v="0.006290768980300646"/>
    <x:x v="993"/>
    <x:x v="6"/>
    <x:n v="0.00646"/>
    <x:n v="8639.5658214"/>
    <x:n v="-226.32856559058928"/>
    <x:n v="-0.026196752275441756"/>
  </x:r>
  <x:r>
    <x:s v="INV-00995"/>
    <x:x v="8"/>
    <x:s v="SUP13"/>
    <x:x v="0"/>
    <x:s v="Components"/>
    <x:d v="2026-07-11T00:00:00Z"/>
    <x:n v="46259"/>
    <x:x v="1"/>
    <x:n v="5491929.23"/>
    <x:s v="Historical"/>
    <x:s v="SUP13-INV-00995"/>
    <x:n v="45"/>
    <x:s v="Osaka Microdevices"/>
    <x:n v="1.143"/>
    <x:n v="1.3422582349832657"/>
    <x:n v="0.006177710517781861"/>
    <x:n v="0.006177710517781861"/>
    <x:x v="994"/>
    <x:x v="4"/>
    <x:n v="0.00674"/>
    <x:n v="37015.60301020001"/>
    <x:n v="-3088.054043115364"/>
    <x:n v="-0.08342573920150431"/>
  </x:r>
  <x:r>
    <x:s v="INV-00996"/>
    <x:x v="10"/>
    <x:s v="SUP02"/>
    <x:x v="0"/>
    <x:s v="Equipment"/>
    <x:d v="2025-04-20T00:00:00Z"/>
    <x:n v="45812"/>
    <x:x v="0"/>
    <x:n v="21099.04"/>
    <x:s v="Historical"/>
    <x:s v="SUP02-INV-00996"/>
    <x:n v="45"/>
    <x:s v="Alpen Precision Systems"/>
    <x:n v="1.1574"/>
    <x:n v="1.357972544878564"/>
    <x:n v="0.006935106956678052"/>
    <x:n v="1.1574"/>
    <x:x v="995"/>
    <x:x v="5"/>
    <x:n v="1.07"/>
    <x:n v="22575.972800000003"/>
    <x:n v="1844.0560959999966"/>
    <x:n v="0.08168224299065405"/>
  </x:r>
  <x:r>
    <x:s v="INV-00997"/>
    <x:x v="6"/>
    <x:s v="SUP16"/>
    <x:x v="0"/>
    <x:s v="Components"/>
    <x:d v="2026-11-14T00:00:00Z"/>
    <x:n v="46370"/>
    <x:x v="1"/>
    <x:n v="2351377.43"/>
    <x:s v="Planned"/>
    <x:s v="SUP16-INV-00997"/>
    <x:n v="30"/>
    <x:s v="Kyoto Optical Instruments"/>
    <x:n v="1.1177"/>
    <x:n v="1.320456022210408"/>
    <x:n v="0.00632004523607577"/>
    <x:n v="0.00632004523607577"/>
    <x:x v="996"/>
    <x:x v="2"/>
    <x:n v="0.00688"/>
    <x:n v="16177.476718400001"/>
    <x:n v="-1316.664993712413"/>
    <x:n v="-0.08138877382619623"/>
  </x:r>
  <x:r>
    <x:s v="INV-00998"/>
    <x:x v="7"/>
    <x:s v="SUP03"/>
    <x:x v="0"/>
    <x:s v="Components"/>
    <x:d v="2025-07-19T00:00:00Z"/>
    <x:n v="45887"/>
    <x:x v="0"/>
    <x:n v="20461.45"/>
    <x:s v="Historical"/>
    <x:s v="SUP03-INV-00998"/>
    <x:n v="30"/>
    <x:s v="Benelux Sensor Works"/>
    <x:n v="1.1655"/>
    <x:n v="1.3410424577148774"/>
    <x:n v="0.006633088611917364"/>
    <x:n v="1.1655"/>
    <x:x v="997"/>
    <x:x v="1"/>
    <x:n v="1.088"/>
    <x:n v="22262.057600000004"/>
    <x:n v="1585.7623749999984"/>
    <x:n v="0.07123161764705874"/>
  </x:r>
  <x:r>
    <x:s v="INV-00999"/>
    <x:x v="6"/>
    <x:s v="SUP16"/>
    <x:x v="0"/>
    <x:s v="Components"/>
    <x:d v="2026-01-11T00:00:00Z"/>
    <x:n v="46063"/>
    <x:x v="1"/>
    <x:n v="3972309.54"/>
    <x:s v="Historical"/>
    <x:s v="SUP16-INV-00999"/>
    <x:n v="30"/>
    <x:s v="Kyoto Optical Instruments"/>
    <x:n v="1.1555"/>
    <x:n v="1.3367963164349013"/>
    <x:n v="0.006298375667720483"/>
    <x:n v="0.006298375667720483"/>
    <x:x v="998"/>
    <x:x v="6"/>
    <x:n v="0.00646"/>
    <x:n v="25661.1196284"/>
    <x:n v="-642.0218770100546"/>
    <x:n v="-0.02501924648289734"/>
  </x:r>
  <x:r>
    <x:s v="INV-01000"/>
    <x:x v="2"/>
    <x:s v="SUP10"/>
    <x:x v="1"/>
    <x:s v="Services"/>
    <x:d v="2026-03-27T00:00:00Z"/>
    <x:n v="46153"/>
    <x:x v="2"/>
    <x:n v="2620.63"/>
    <x:s v="Historical"/>
    <x:s v="SUP10-INV-01000"/>
    <x:n v="45"/>
    <x:s v="Bristol Calibration Services"/>
    <x:n v="1.1517"/>
    <x:n v="1.3280673431734318"/>
    <x:n v="0.006253801042571677"/>
    <x:n v="1.3280673431734318"/>
    <x:x v="999"/>
    <x:x v="6"/>
    <x:n v="1.249"/>
    <x:n v="3273.1668700000005"/>
    <x:n v="207.20625154059007"/>
    <x:n v="0.06330451815326789"/>
  </x:r>
  <x:r>
    <x:s v="INV-01001"/>
    <x:x v="17"/>
    <x:s v="SUP06"/>
    <x:x v="2"/>
    <x:s v="Software"/>
    <x:d v="2026-05-23T00:00:00Z"/>
    <x:n v="46195"/>
    <x:x v="0"/>
    <x:n v="15206.13"/>
    <x:s v="Historical"/>
    <x:s v="SUP06-INV-01001"/>
    <x:n v="30"/>
    <x:s v="Dublin Systems Licensing"/>
    <x:n v="1.1595"/>
    <x:n v="1.3417343608970353"/>
    <x:n v="0.006283531133149081"/>
    <x:n v="1.1595"/>
    <x:x v="1000"/>
    <x:x v="0"/>
    <x:n v="1.083"/>
    <x:n v="16468.23879"/>
    <x:n v="1163.2689449999998"/>
    <x:n v="0.0706371191135734"/>
  </x:r>
  <x:r>
    <x:s v="INV-01002"/>
    <x:x v="12"/>
    <x:s v="SUP17"/>
    <x:x v="1"/>
    <x:s v="Packaging"/>
    <x:d v="2025-06-25T00:00:00Z"/>
    <x:n v="45878"/>
    <x:x v="1"/>
    <x:n v="1593324.94"/>
    <x:s v="Historical"/>
    <x:s v="SUP17-INV-01002"/>
    <x:n v="45"/>
    <x:s v="Kobe Industrial Packaging"/>
    <x:n v="1.1598"/>
    <x:n v="1.3603096410978184"/>
    <x:n v="0.006859880522860354"/>
    <x:n v="0.006859880522860354"/>
    <x:x v="1001"/>
    <x:x v="5"/>
    <x:n v="0.0067"/>
    <x:n v="10675.277098"/>
    <x:n v="254.7416244936412"/>
    <x:n v="0.023862764606022893"/>
  </x:r>
  <x:r>
    <x:s v="INV-01003"/>
    <x:x v="14"/>
    <x:s v="SUP07"/>
    <x:x v="0"/>
    <x:s v="Equipment"/>
    <x:d v="2025-05-21T00:00:00Z"/>
    <x:n v="45858"/>
    <x:x v="0"/>
    <x:n v="95842.07"/>
    <x:s v="Historical"/>
    <x:s v="SUP07-INV-01003"/>
    <x:n v="60"/>
    <x:s v="Milan Assembly Robotics"/>
    <x:n v="1.1321"/>
    <x:n v="1.3403978214539427"/>
    <x:n v="0.006955640206438929"/>
    <x:n v="1.1321"/>
    <x:x v="1002"/>
    <x:x v="5"/>
    <x:n v="1.07"/>
    <x:n v="102551.01490000001"/>
    <x:n v="5951.792547000005"/>
    <x:n v="0.05803738317757013"/>
  </x:r>
  <x:r>
    <x:s v="INV-01004"/>
    <x:x v="4"/>
    <x:s v="SUP08"/>
    <x:x v="0"/>
    <x:s v="Components"/>
    <x:d v="2026-05-14T00:00:00Z"/>
    <x:n v="46186"/>
    <x:x v="0"/>
    <x:n v="22943.87"/>
    <x:s v="Historical"/>
    <x:s v="SUP08-INV-01004"/>
    <x:n v="30"/>
    <x:s v="Valencia Circuit Supply"/>
    <x:n v="1.1702"/>
    <x:n v="1.3509894017409776"/>
    <x:n v="0.006331223286263052"/>
    <x:n v="1.1702"/>
    <x:x v="1003"/>
    <x:x v="0"/>
    <x:n v="1.083"/>
    <x:n v="24848.211209999998"/>
    <x:n v="2000.7054639999988"/>
    <x:n v="0.080517082179132"/>
  </x:r>
  <x:r>
    <x:s v="INV-01005"/>
    <x:x v="9"/>
    <x:s v="SUP05"/>
    <x:x v="0"/>
    <x:s v="Components"/>
    <x:d v="2025-06-18T00:00:00Z"/>
    <x:n v="45871"/>
    <x:x v="0"/>
    <x:n v="20851.9"/>
    <x:s v="Historical"/>
    <x:s v="SUP05-INV-01005"/>
    <x:n v="45"/>
    <x:s v="Lyon Industrial Controls"/>
    <x:n v="1.1508"/>
    <x:n v="1.3456501403180543"/>
    <x:n v="0.0069046619067618656"/>
    <x:n v="1.1508"/>
    <x:x v="1004"/>
    <x:x v="5"/>
    <x:n v="1.07"/>
    <x:n v="22311.533000000003"/>
    <x:n v="1684.8335200000001"/>
    <x:n v="0.07551401869158877"/>
  </x:r>
  <x:r>
    <x:s v="INV-01006"/>
    <x:x v="9"/>
    <x:s v="SUP05"/>
    <x:x v="0"/>
    <x:s v="Components"/>
    <x:d v="2026-02-11T00:00:00Z"/>
    <x:n v="46109"/>
    <x:x v="0"/>
    <x:n v="5688.49"/>
    <x:s v="Historical"/>
    <x:s v="SUP05-INV-01006"/>
    <x:n v="45"/>
    <x:s v="Lyon Industrial Controls"/>
    <x:n v="1.19"/>
    <x:n v="1.3679733302678467"/>
    <x:n v="0.006510202965151267"/>
    <x:n v="1.19"/>
    <x:x v="1005"/>
    <x:x v="6"/>
    <x:n v="1.065"/>
    <x:n v="6058.241849999999"/>
    <x:n v="711.0612499999997"/>
    <x:n v="0.11737089201877932"/>
  </x:r>
  <x:r>
    <x:s v="INV-01007"/>
    <x:x v="3"/>
    <x:s v="SUP04"/>
    <x:x v="1"/>
    <x:s v="Packaging"/>
    <x:d v="2026-03-04T00:00:00Z"/>
    <x:n v="46115"/>
    <x:x v="0"/>
    <x:n v="6451.26"/>
    <x:s v="Historical"/>
    <x:s v="SUP04-INV-01007"/>
    <x:n v="30"/>
    <x:s v="Nordlicht Packaging"/>
    <x:n v="1.1649"/>
    <x:n v="1.3381964388282597"/>
    <x:n v="0.006364878155392853"/>
    <x:n v="1.1649"/>
    <x:x v="1006"/>
    <x:x v="6"/>
    <x:n v="1.065"/>
    <x:n v="6870.591899999999"/>
    <x:n v="644.4808740000008"/>
    <x:n v="0.09380281690140857"/>
  </x:r>
  <x:r>
    <x:s v="INV-01008"/>
    <x:x v="4"/>
    <x:s v="SUP08"/>
    <x:x v="0"/>
    <x:s v="Components"/>
    <x:d v="2025-02-12T00:00:00Z"/>
    <x:n v="45730"/>
    <x:x v="0"/>
    <x:n v="5688.98"/>
    <x:s v="Historical"/>
    <x:s v="SUP08-INV-01008"/>
    <x:n v="30"/>
    <x:s v="Valencia Circuit Supply"/>
    <x:n v="1.037"/>
    <x:n v="1.2443303175022198"/>
    <x:n v="0.006513000879286522"/>
    <x:n v="1.037"/>
    <x:x v="1007"/>
    <x:x v="3"/>
    <x:n v="1.052"/>
    <x:n v="5984.80696"/>
    <x:n v="-85.33470000000034"/>
    <x:n v="-0.014258555133079906"/>
  </x:r>
  <x:r>
    <x:s v="INV-01009"/>
    <x:x v="15"/>
    <x:s v="SUP18"/>
    <x:x v="1"/>
    <x:s v="Services"/>
    <x:d v="2026-12-30T00:00:00Z"/>
    <x:n v="46416"/>
    <x:x v="1"/>
    <x:n v="3151964.27"/>
    <x:s v="Planned"/>
    <x:s v="SUP18-INV-01009"/>
    <x:n v="30"/>
    <x:s v="Yokohama Engineering Labs"/>
    <x:n v="1.1177"/>
    <x:n v="1.320456022210408"/>
    <x:n v="0.00632004523607577"/>
    <x:n v="0.00632004523607577"/>
    <x:x v="1008"/>
    <x:x v="2"/>
    <x:n v="0.00688"/>
    <x:n v="21685.5141776"/>
    <x:n v="-1764.957408705457"/>
    <x:n v="-0.08138877382619619"/>
  </x:r>
  <x:r>
    <x:s v="INV-01010"/>
    <x:x v="4"/>
    <x:s v="SUP08"/>
    <x:x v="0"/>
    <x:s v="Components"/>
    <x:d v="2026-08-29T00:00:00Z"/>
    <x:n v="46293"/>
    <x:x v="0"/>
    <x:n v="18100.16"/>
    <x:s v="Historical"/>
    <x:s v="SUP08-INV-01010"/>
    <x:n v="30"/>
    <x:s v="Valencia Circuit Supply"/>
    <x:n v="1.1643"/>
    <x:n v="1.358259449370042"/>
    <x:n v="0.0062623709122203094"/>
    <x:n v="1.1643"/>
    <x:x v="1009"/>
    <x:x v="4"/>
    <x:n v="1.101"/>
    <x:n v="19928.27616"/>
    <x:n v="1145.7401279999976"/>
    <x:n v="0.05749318801089906"/>
  </x:r>
  <x:r>
    <x:s v="INV-01011"/>
    <x:x v="14"/>
    <x:s v="SUP07"/>
    <x:x v="0"/>
    <x:s v="Equipment"/>
    <x:d v="2026-11-11T00:00:00Z"/>
    <x:n v="46397"/>
    <x:x v="0"/>
    <x:n v="76719.79"/>
    <x:s v="Planned"/>
    <x:s v="SUP07-INV-01011"/>
    <x:n v="60"/>
    <x:s v="Milan Assembly Robotics"/>
    <x:n v="1.1177"/>
    <x:n v="1.320456022210408"/>
    <x:n v="0.00632004523607577"/>
    <x:n v="1.1177"/>
    <x:x v="1010"/>
    <x:x v="2"/>
    <x:n v="1.119"/>
    <x:n v="85849.44501"/>
    <x:n v="-99.73572700000659"/>
    <x:n v="-0.0011617515638964128"/>
  </x:r>
  <x:r>
    <x:s v="INV-01012"/>
    <x:x v="8"/>
    <x:s v="SUP13"/>
    <x:x v="0"/>
    <x:s v="Components"/>
    <x:d v="2025-06-12T00:00:00Z"/>
    <x:n v="45865"/>
    <x:x v="1"/>
    <x:n v="3294609.66"/>
    <x:s v="Historical"/>
    <x:s v="SUP13-INV-01012"/>
    <x:n v="45"/>
    <x:s v="Osaka Microdevices"/>
    <x:n v="1.1594"/>
    <x:n v="1.357929257437339"/>
    <x:n v="0.006957513202112338"/>
    <x:n v="0.006957513202112338"/>
    <x:x v="1011"/>
    <x:x v="5"/>
    <x:n v="0.0067"/>
    <x:n v="22073.884722000003"/>
    <x:n v="848.40548325684"/>
    <x:n v="0.03843480628542352"/>
  </x:r>
  <x:r>
    <x:s v="INV-01013"/>
    <x:x v="12"/>
    <x:s v="SUP17"/>
    <x:x v="1"/>
    <x:s v="Packaging"/>
    <x:d v="2026-12-26T00:00:00Z"/>
    <x:n v="46427"/>
    <x:x v="1"/>
    <x:n v="1360620.52"/>
    <x:s v="Planned"/>
    <x:s v="SUP17-INV-01013"/>
    <x:n v="45"/>
    <x:s v="Kobe Industrial Packaging"/>
    <x:n v="1.1177"/>
    <x:n v="1.320456022210408"/>
    <x:n v="0.00632004523607577"/>
    <x:n v="0.00632004523607577"/>
    <x:x v="1012"/>
    <x:x v="2"/>
    <x:n v="0.00688"/>
    <x:n v="9361.0691776"/>
    <x:n v="-761.8859420670633"/>
    <x:n v="-0.08138877382619625"/>
  </x:r>
  <x:r>
    <x:s v="INV-01014"/>
    <x:x v="17"/>
    <x:s v="SUP06"/>
    <x:x v="2"/>
    <x:s v="Software"/>
    <x:d v="2026-06-13T00:00:00Z"/>
    <x:n v="46216"/>
    <x:x v="0"/>
    <x:n v="3320.98"/>
    <x:s v="Historical"/>
    <x:s v="SUP06-INV-01014"/>
    <x:n v="30"/>
    <x:s v="Dublin Systems Licensing"/>
    <x:n v="1.1567"/>
    <x:n v="1.340246799142576"/>
    <x:n v="0.006242309767943875"/>
    <x:n v="1.1567"/>
    <x:x v="1013"/>
    <x:x v="0"/>
    <x:n v="1.083"/>
    <x:n v="3596.6213399999997"/>
    <x:n v="244.75622600000042"/>
    <x:n v="0.06805170821791333"/>
  </x:r>
  <x:r>
    <x:s v="INV-01015"/>
    <x:x v="17"/>
    <x:s v="SUP06"/>
    <x:x v="2"/>
    <x:s v="Software"/>
    <x:d v="2025-07-26T00:00:00Z"/>
    <x:n v="45894"/>
    <x:x v="0"/>
    <x:n v="10085.7"/>
    <x:s v="Historical"/>
    <x:s v="SUP06-INV-01015"/>
    <x:n v="30"/>
    <x:s v="Dublin Systems Licensing"/>
    <x:n v="1.1636"/>
    <x:n v="1.3212217554218235"/>
    <x:n v="0.006571412435759869"/>
    <x:n v="1.1636"/>
    <x:x v="1014"/>
    <x:x v="1"/>
    <x:n v="1.088"/>
    <x:n v="10973.241600000001"/>
    <x:n v="762.4789199999996"/>
    <x:n v="0.069485294117647"/>
  </x:r>
  <x:r>
    <x:s v="INV-01016"/>
    <x:x v="4"/>
    <x:s v="SUP08"/>
    <x:x v="0"/>
    <x:s v="Components"/>
    <x:d v="2026-04-05T00:00:00Z"/>
    <x:n v="46147"/>
    <x:x v="0"/>
    <x:n v="5960.07"/>
    <x:s v="Historical"/>
    <x:s v="SUP08-INV-01016"/>
    <x:n v="30"/>
    <x:s v="Valencia Circuit Supply"/>
    <x:n v="1.1525"/>
    <x:n v="1.3208714886594157"/>
    <x:n v="0.006265630096770686"/>
    <x:n v="1.1525"/>
    <x:x v="1015"/>
    <x:x v="0"/>
    <x:n v="1.083"/>
    <x:n v="6454.75581"/>
    <x:n v="414.22486500000014"/>
    <x:n v="0.06417359187442293"/>
  </x:r>
  <x:r>
    <x:s v="INV-01017"/>
    <x:x v="8"/>
    <x:s v="SUP13"/>
    <x:x v="0"/>
    <x:s v="Components"/>
    <x:d v="2026-10-13T00:00:00Z"/>
    <x:n v="46353"/>
    <x:x v="1"/>
    <x:n v="838823.99"/>
    <x:s v="Planned"/>
    <x:s v="SUP13-INV-01017"/>
    <x:n v="45"/>
    <x:s v="Osaka Microdevices"/>
    <x:n v="1.1177"/>
    <x:n v="1.320456022210408"/>
    <x:n v="0.00632004523607577"/>
    <x:n v="0.00632004523607577"/>
    <x:x v="1016"/>
    <x:x v="2"/>
    <x:n v="0.00688"/>
    <x:n v="5771.1090512"/>
    <x:n v="-469.70348929443117"/>
    <x:n v="-0.0813887738261963"/>
  </x:r>
  <x:r>
    <x:s v="INV-01018"/>
    <x:x v="4"/>
    <x:s v="SUP08"/>
    <x:x v="0"/>
    <x:s v="Components"/>
    <x:d v="2026-03-14T00:00:00Z"/>
    <x:n v="46125"/>
    <x:x v="0"/>
    <x:n v="14321.34"/>
    <x:s v="Historical"/>
    <x:s v="SUP08-INV-01018"/>
    <x:n v="30"/>
    <x:s v="Valencia Circuit Supply"/>
    <x:n v="1.1555"/>
    <x:n v="1.3367963164349013"/>
    <x:n v="0.006298375667720483"/>
    <x:n v="1.1555"/>
    <x:x v="1017"/>
    <x:x v="6"/>
    <x:n v="1.065"/>
    <x:n v="15252.2271"/>
    <x:n v="1296.0812699999988"/>
    <x:n v="0.08497652582159616"/>
  </x:r>
  <x:r>
    <x:s v="INV-01019"/>
    <x:x v="13"/>
    <x:s v="SUP11"/>
    <x:x v="2"/>
    <x:s v="Software"/>
    <x:d v="2025-05-08T00:00:00Z"/>
    <x:n v="45815"/>
    <x:x v="2"/>
    <x:n v="4169.49"/>
    <x:s v="Historical"/>
    <x:s v="SUP11-INV-01019"/>
    <x:n v="30"/>
    <x:s v="Manchester Cloud Solutions"/>
    <x:n v="1.1297"/>
    <x:n v="1.3328220858895705"/>
    <x:n v="0.006911593759559498"/>
    <x:n v="1.3328220858895705"/>
    <x:x v="1018"/>
    <x:x v="5"/>
    <x:n v="1.26"/>
    <x:n v="5253.5574"/>
    <x:n v="303.6309588957056"/>
    <x:n v="0.05779530626156395"/>
  </x:r>
  <x:r>
    <x:s v="INV-01020"/>
    <x:x v="5"/>
    <x:s v="SUP09"/>
    <x:x v="0"/>
    <x:s v="Components"/>
    <x:d v="2026-02-05T00:00:00Z"/>
    <x:n v="46088"/>
    <x:x v="2"/>
    <x:n v="17750.43"/>
    <x:s v="Historical"/>
    <x:s v="SUP09-INV-01020"/>
    <x:n v="30"/>
    <x:s v="Thames Electronics Ltd"/>
    <x:n v="1.1798"/>
    <x:n v="1.3574962604993672"/>
    <x:n v="0.006373507644103505"/>
    <x:n v="1.3574962604993672"/>
    <x:x v="1019"/>
    <x:x v="6"/>
    <x:n v="1.249"/>
    <x:n v="22170.287070000002"/>
    <x:n v="1925.8552772557814"/>
    <x:n v="0.08686650160077432"/>
  </x:r>
  <x:r>
    <x:s v="INV-01021"/>
    <x:x v="6"/>
    <x:s v="SUP16"/>
    <x:x v="0"/>
    <x:s v="Components"/>
    <x:d v="2025-03-03T00:00:00Z"/>
    <x:n v="45749"/>
    <x:x v="1"/>
    <x:n v="1841110.25"/>
    <x:s v="Historical"/>
    <x:s v="SUP16-INV-01021"/>
    <x:n v="30"/>
    <x:s v="Kyoto Optical Instruments"/>
    <x:n v="1.0465"/>
    <x:n v="1.2680237489397794"/>
    <x:n v="0.0066096128339543985"/>
    <x:n v="0.0066096128339543985"/>
    <x:x v="1020"/>
    <x:x v="3"/>
    <x:n v="0.00656"/>
    <x:n v="12077.68324"/>
    <x:n v="91.34269712499008"/>
    <x:n v="0.007562932005243588"/>
  </x:r>
  <x:r>
    <x:s v="INV-01022"/>
    <x:x v="11"/>
    <x:s v="SUP14"/>
    <x:x v="0"/>
    <x:s v="Equipment"/>
    <x:d v="2026-05-31T00:00:00Z"/>
    <x:n v="46233"/>
    <x:x v="1"/>
    <x:n v="3180319.72"/>
    <x:s v="Historical"/>
    <x:s v="SUP14-INV-01022"/>
    <x:n v="60"/>
    <x:s v="Tokyo Automation Systems"/>
    <x:n v="1.1644"/>
    <x:n v="1.3426657288147321"/>
    <x:n v="0.006278781342679968"/>
    <x:n v="0.006278781342679968"/>
    <x:x v="1021"/>
    <x:x v="0"/>
    <x:n v="0.0066"/>
    <x:n v="20990.110152"/>
    <x:n v="-1021.5780303068204"/>
    <x:n v="-0.048669493533338194"/>
  </x:r>
  <x:r>
    <x:s v="INV-01023"/>
    <x:x v="10"/>
    <x:s v="SUP02"/>
    <x:x v="0"/>
    <x:s v="Equipment"/>
    <x:d v="2025-04-30T00:00:00Z"/>
    <x:n v="45822"/>
    <x:x v="0"/>
    <x:n v="79876.87"/>
    <x:s v="Historical"/>
    <x:s v="SUP02-INV-01023"/>
    <x:n v="45"/>
    <x:s v="Alpen Precision Systems"/>
    <x:n v="1.1373"/>
    <x:n v="1.3351725757220005"/>
    <x:n v="0.006991025325792967"/>
    <x:n v="1.1373"/>
    <x:x v="1022"/>
    <x:x v="5"/>
    <x:n v="1.07"/>
    <x:n v="85468.2509"/>
    <x:n v="5375.7133509999985"/>
    <x:n v="0.06289719626168222"/>
  </x:r>
  <x:r>
    <x:s v="INV-01024"/>
    <x:x v="8"/>
    <x:s v="SUP13"/>
    <x:x v="0"/>
    <x:s v="Components"/>
    <x:d v="2025-05-03T00:00:00Z"/>
    <x:n v="45825"/>
    <x:x v="1"/>
    <x:n v="2961354.36"/>
    <x:s v="Historical"/>
    <x:s v="SUP13-INV-01024"/>
    <x:n v="45"/>
    <x:s v="Osaka Microdevices"/>
    <x:n v="1.1782"/>
    <x:n v="1.3653957584888168"/>
    <x:n v="0.006947753272791602"/>
    <x:n v="0.006947753272791602"/>
    <x:x v="1023"/>
    <x:x v="5"/>
    <x:n v="0.0067"/>
    <x:n v="19841.074212"/>
    <x:n v="733.6852345856787"/>
    <x:n v="0.03697810041665695"/>
  </x:r>
  <x:r>
    <x:s v="INV-01025"/>
    <x:x v="4"/>
    <x:s v="SUP08"/>
    <x:x v="0"/>
    <x:s v="Components"/>
    <x:d v="2025-03-12T00:00:00Z"/>
    <x:n v="45758"/>
    <x:x v="0"/>
    <x:n v="5662.03"/>
    <x:s v="Historical"/>
    <x:s v="SUP08-INV-01025"/>
    <x:n v="30"/>
    <x:s v="Valencia Circuit Supply"/>
    <x:n v="1.0886"/>
    <x:n v="1.2947501129903185"/>
    <x:n v="0.006710226222030451"/>
    <x:n v="1.0886"/>
    <x:x v="1024"/>
    <x:x v="3"/>
    <x:n v="1.052"/>
    <x:n v="5956.45556"/>
    <x:n v="207.2302979999995"/>
    <x:n v="0.03479087452471474"/>
  </x:r>
  <x:r>
    <x:s v="INV-01026"/>
    <x:x v="10"/>
    <x:s v="SUP02"/>
    <x:x v="0"/>
    <x:s v="Equipment"/>
    <x:d v="2026-03-01T00:00:00Z"/>
    <x:n v="46127"/>
    <x:x v="0"/>
    <x:n v="26326.7"/>
    <x:s v="Historical"/>
    <x:s v="SUP02-INV-01026"/>
    <x:n v="45"/>
    <x:s v="Alpen Precision Systems"/>
    <x:n v="1.1555"/>
    <x:n v="1.3367963164349013"/>
    <x:n v="0.006298375667720483"/>
    <x:n v="1.1555"/>
    <x:x v="1025"/>
    <x:x v="6"/>
    <x:n v="1.065"/>
    <x:n v="28037.9355"/>
    <x:n v="2382.566350000001"/>
    <x:n v="0.08497652582159627"/>
  </x:r>
  <x:r>
    <x:s v="INV-01027"/>
    <x:x v="6"/>
    <x:s v="SUP16"/>
    <x:x v="0"/>
    <x:s v="Components"/>
    <x:d v="2026-12-30T00:00:00Z"/>
    <x:n v="46416"/>
    <x:x v="1"/>
    <x:n v="725978.39"/>
    <x:s v="Planned"/>
    <x:s v="SUP16-INV-01027"/>
    <x:n v="30"/>
    <x:s v="Kyoto Optical Instruments"/>
    <x:n v="1.1177"/>
    <x:n v="1.320456022210408"/>
    <x:n v="0.00632004523607577"/>
    <x:n v="0.00632004523607577"/>
    <x:x v="1026"/>
    <x:x v="2"/>
    <x:n v="0.00688"/>
    <x:n v="4994.7313232"/>
    <x:n v="-406.51505798654216"/>
    <x:n v="-0.08138877382619614"/>
  </x:r>
  <x:r>
    <x:s v="INV-01028"/>
    <x:x v="16"/>
    <x:s v="SUP12"/>
    <x:x v="0"/>
    <x:s v="Components"/>
    <x:d v="2025-12-13T00:00:00Z"/>
    <x:n v="46064"/>
    <x:x v="2"/>
    <x:n v="22501.1"/>
    <x:s v="Historical"/>
    <x:s v="SUP12-INV-01028"/>
    <x:n v="60"/>
    <x:s v="Oxford Technical Materials"/>
    <x:n v="1.1555"/>
    <x:n v="1.3367963164349013"/>
    <x:n v="0.006298375667720483"/>
    <x:n v="1.3367963164349013"/>
    <x:x v="1027"/>
    <x:x v="7"/>
    <x:n v="1.304"/>
    <x:n v="29341.4344"/>
    <x:n v="737.9531957333566"/>
    <x:n v="0.02515054941326783"/>
  </x:r>
  <x:r>
    <x:s v="INV-01029"/>
    <x:x v="10"/>
    <x:s v="SUP02"/>
    <x:x v="0"/>
    <x:s v="Equipment"/>
    <x:d v="2026-02-15T00:00:00Z"/>
    <x:n v="46113"/>
    <x:x v="0"/>
    <x:n v="73192.66"/>
    <x:s v="Historical"/>
    <x:s v="SUP02-INV-01029"/>
    <x:n v="45"/>
    <x:s v="Alpen Precision Systems"/>
    <x:n v="1.1555"/>
    <x:n v="1.3367963164349013"/>
    <x:n v="0.006298375667720483"/>
    <x:n v="1.1555"/>
    <x:x v="1028"/>
    <x:x v="6"/>
    <x:n v="1.065"/>
    <x:n v="77950.1829"/>
    <x:n v="6623.935729999997"/>
    <x:n v="0.0849765258215962"/>
  </x:r>
  <x:r>
    <x:s v="INV-01030"/>
    <x:x v="11"/>
    <x:s v="SUP14"/>
    <x:x v="0"/>
    <x:s v="Equipment"/>
    <x:d v="2025-10-30T00:00:00Z"/>
    <x:n v="46020"/>
    <x:x v="1"/>
    <x:n v="10975365.11"/>
    <x:s v="Historical"/>
    <x:s v="SUP14-INV-01030"/>
    <x:n v="60"/>
    <x:s v="Tokyo Automation Systems"/>
    <x:n v="1.155"/>
    <x:n v="1.312350869219407"/>
    <x:n v="0.006475304143073387"/>
    <x:n v="0.006475304143073387"/>
    <x:x v="1029"/>
    <x:x v="7"/>
    <x:n v="0.00698"/>
    <x:n v="76608.04846779999"/>
    <x:n v="-5539.221299273893"/>
    <x:n v="-0.07230599669435708"/>
  </x:r>
  <x:r>
    <x:s v="INV-01031"/>
    <x:x v="9"/>
    <x:s v="SUP05"/>
    <x:x v="0"/>
    <x:s v="Components"/>
    <x:d v="2026-06-02T00:00:00Z"/>
    <x:n v="46220"/>
    <x:x v="0"/>
    <x:n v="27067.74"/>
    <x:s v="Historical"/>
    <x:s v="SUP05-INV-01031"/>
    <x:n v="45"/>
    <x:s v="Lyon Industrial Controls"/>
    <x:n v="1.1649"/>
    <x:n v="1.3472503325044816"/>
    <x:n v="0.006259874254393036"/>
    <x:n v="1.1649"/>
    <x:x v="1030"/>
    <x:x v="0"/>
    <x:n v="1.083"/>
    <x:n v="29314.36242"/>
    <x:n v="2216.8479060000027"/>
    <x:n v="0.07562326869806103"/>
  </x:r>
  <x:r>
    <x:s v="INV-01032"/>
    <x:x v="2"/>
    <x:s v="SUP10"/>
    <x:x v="1"/>
    <x:s v="Services"/>
    <x:d v="2025-12-02T00:00:00Z"/>
    <x:n v="46038"/>
    <x:x v="2"/>
    <x:n v="13529.42"/>
    <x:s v="Historical"/>
    <x:s v="SUP10-INV-01032"/>
    <x:n v="45"/>
    <x:s v="Bristol Calibration Services"/>
    <x:n v="1.1614"/>
    <x:n v="1.3203728967712596"/>
    <x:n v="0.006407370627827431"/>
    <x:n v="1.3203728967712596"/>
    <x:x v="1031"/>
    <x:x v="7"/>
    <x:n v="1.304"/>
    <x:n v="17642.363680000002"/>
    <x:n v="221.51579703501193"/>
    <x:n v="0.012555902431947367"/>
  </x:r>
  <x:r>
    <x:s v="INV-01033"/>
    <x:x v="7"/>
    <x:s v="SUP03"/>
    <x:x v="0"/>
    <x:s v="Components"/>
    <x:d v="2025-06-05T00:00:00Z"/>
    <x:n v="45843"/>
    <x:x v="0"/>
    <x:n v="7602.69"/>
    <x:s v="Historical"/>
    <x:s v="SUP03-INV-01033"/>
    <x:n v="30"/>
    <x:s v="Benelux Sensor Works"/>
    <x:n v="1.1423"/>
    <x:n v="1.356811972918399"/>
    <x:n v="0.006979714041305146"/>
    <x:n v="1.1423"/>
    <x:x v="1032"/>
    <x:x v="5"/>
    <x:n v="1.07"/>
    <x:n v="8134.8783"/>
    <x:n v="549.6744870000002"/>
    <x:n v="0.06757009345794394"/>
  </x:r>
  <x:r>
    <x:s v="INV-01034"/>
    <x:x v="6"/>
    <x:s v="SUP16"/>
    <x:x v="0"/>
    <x:s v="Components"/>
    <x:d v="2025-12-17T00:00:00Z"/>
    <x:n v="46038"/>
    <x:x v="1"/>
    <x:n v="1460263.29"/>
    <x:s v="Historical"/>
    <x:s v="SUP16-INV-01034"/>
    <x:n v="30"/>
    <x:s v="Kyoto Optical Instruments"/>
    <x:n v="1.1722"/>
    <x:n v="1.3343198634035287"/>
    <x:n v="0.00642723982892861"/>
    <x:n v="0.00642723982892861"/>
    <x:x v="1033"/>
    <x:x v="7"/>
    <x:n v="0.00698"/>
    <x:n v="10192.6377642"/>
    <x:n v="-807.1753859896708"/>
    <x:n v="-0.07919200158615902"/>
  </x:r>
  <x:r>
    <x:s v="INV-01035"/>
    <x:x v="15"/>
    <x:s v="SUP18"/>
    <x:x v="1"/>
    <x:s v="Services"/>
    <x:d v="2026-09-19T00:00:00Z"/>
    <x:n v="46314"/>
    <x:x v="1"/>
    <x:n v="732412.82"/>
    <x:s v="Historical"/>
    <x:s v="SUP18-INV-01035"/>
    <x:n v="30"/>
    <x:s v="Yokohama Engineering Labs"/>
    <x:n v="1.146"/>
    <x:n v="1.3344201210992082"/>
    <x:n v="0.006333591245716812"/>
    <x:n v="0.006333591245716812"/>
    <x:x v="1034"/>
    <x:x v="4"/>
    <x:n v="0.00674"/>
    <x:n v="4936.4624068"/>
    <x:n v="-297.6589817972372"/>
    <x:n v="-0.060298034760116984"/>
  </x:r>
  <x:r>
    <x:s v="INV-01036"/>
    <x:x v="16"/>
    <x:s v="SUP12"/>
    <x:x v="0"/>
    <x:s v="Components"/>
    <x:d v="2025-07-15T00:00:00Z"/>
    <x:n v="45913"/>
    <x:x v="2"/>
    <x:n v="21324.92"/>
    <x:s v="Historical"/>
    <x:s v="SUP12-INV-01036"/>
    <x:n v="60"/>
    <x:s v="Oxford Technical Materials"/>
    <x:n v="1.1665"/>
    <x:n v="1.3440488535545572"/>
    <x:n v="0.006759184146482791"/>
    <x:n v="1.3440488535545572"/>
    <x:x v="1035"/>
    <x:x v="1"/>
    <x:n v="1.282"/>
    <x:n v="27338.54744"/>
    <x:n v="1323.1868381426466"/>
    <x:n v="0.048400041774225536"/>
  </x:r>
  <x:r>
    <x:s v="INV-01037"/>
    <x:x v="5"/>
    <x:s v="SUP09"/>
    <x:x v="0"/>
    <x:s v="Components"/>
    <x:d v="2025-02-15T00:00:00Z"/>
    <x:n v="45733"/>
    <x:x v="2"/>
    <x:n v="6892.21"/>
    <x:s v="Historical"/>
    <x:s v="SUP09-INV-01037"/>
    <x:n v="30"/>
    <x:s v="Thames Electronics Ltd"/>
    <x:n v="1.083"/>
    <x:n v="1.2927021413736304"/>
    <x:n v="0.006741782868525897"/>
    <x:n v="1.2927021413736304"/>
    <x:x v="1036"/>
    <x:x v="3"/>
    <x:n v="1.238"/>
    <x:n v="8532.55598"/>
    <x:n v="377.0186457967502"/>
    <x:n v="0.04418589771698753"/>
  </x:r>
  <x:r>
    <x:s v="INV-01038"/>
    <x:x v="5"/>
    <x:s v="SUP09"/>
    <x:x v="0"/>
    <x:s v="Components"/>
    <x:d v="2026-04-01T00:00:00Z"/>
    <x:n v="46143"/>
    <x:x v="2"/>
    <x:n v="23077.21"/>
    <x:s v="Historical"/>
    <x:s v="SUP09-INV-01038"/>
    <x:n v="30"/>
    <x:s v="Thames Electronics Ltd"/>
    <x:n v="1.1605"/>
    <x:n v="1.3321777461458109"/>
    <x:n v="0.006316333750612312"/>
    <x:n v="1.3321777461458109"/>
    <x:x v="1037"/>
    <x:x v="0"/>
    <x:n v="1.271"/>
    <x:n v="29331.133909999997"/>
    <x:n v="1411.8116951335687"/>
    <x:n v="0.04813355322251055"/>
  </x:r>
  <x:r>
    <x:s v="INV-01039"/>
    <x:x v="16"/>
    <x:s v="SUP12"/>
    <x:x v="0"/>
    <x:s v="Components"/>
    <x:d v="2026-11-07T00:00:00Z"/>
    <x:n v="46393"/>
    <x:x v="2"/>
    <x:n v="5445.21"/>
    <x:s v="Planned"/>
    <x:s v="SUP12-INV-01039"/>
    <x:n v="60"/>
    <x:s v="Oxford Technical Materials"/>
    <x:n v="1.1177"/>
    <x:n v="1.320456022210408"/>
    <x:n v="0.00632004523607577"/>
    <x:n v="1.320456022210408"/>
    <x:x v="1038"/>
    <x:x v="2"/>
    <x:n v="1.315"/>
    <x:n v="7160.45115"/>
    <x:n v="29.70918670033643"/>
    <x:n v="0.004149066319701997"/>
  </x:r>
  <x:r>
    <x:s v="INV-01040"/>
    <x:x v="7"/>
    <x:s v="SUP03"/>
    <x:x v="0"/>
    <x:s v="Components"/>
    <x:d v="2025-04-14T00:00:00Z"/>
    <x:n v="45791"/>
    <x:x v="0"/>
    <x:n v="5681.2"/>
    <x:s v="Historical"/>
    <x:s v="SUP03-INV-01040"/>
    <x:n v="30"/>
    <x:s v="Benelux Sensor Works"/>
    <x:n v="1.1377"/>
    <x:n v="1.3170415475267123"/>
    <x:n v="0.006981039455114438"/>
    <x:n v="1.1377"/>
    <x:x v="1039"/>
    <x:x v="5"/>
    <x:n v="1.07"/>
    <x:n v="6078.884"/>
    <x:n v="384.6172399999996"/>
    <x:n v="0.0632710280373831"/>
  </x:r>
  <x:r>
    <x:s v="INV-01041"/>
    <x:x v="5"/>
    <x:s v="SUP09"/>
    <x:x v="0"/>
    <x:s v="Components"/>
    <x:d v="2026-11-11T00:00:00Z"/>
    <x:n v="46367"/>
    <x:x v="2"/>
    <x:n v="36306.82"/>
    <x:s v="Planned"/>
    <x:s v="SUP09-INV-01041"/>
    <x:n v="30"/>
    <x:s v="Thames Electronics Ltd"/>
    <x:n v="1.1177"/>
    <x:n v="1.320456022210408"/>
    <x:n v="0.00632004523607577"/>
    <x:n v="1.320456022210408"/>
    <x:x v="1040"/>
    <x:x v="2"/>
    <x:n v="1.315"/>
    <x:n v="47743.4683"/>
    <x:n v="198.09081630928267"/>
    <x:n v="0.004149066319701845"/>
  </x:r>
  <x:r>
    <x:s v="INV-01042"/>
    <x:x v="17"/>
    <x:s v="SUP06"/>
    <x:x v="2"/>
    <x:s v="Software"/>
    <x:d v="2026-09-08T00:00:00Z"/>
    <x:n v="46303"/>
    <x:x v="0"/>
    <x:n v="9646.13"/>
    <x:s v="Historical"/>
    <x:s v="SUP06-INV-01042"/>
    <x:n v="30"/>
    <x:s v="Dublin Systems Licensing"/>
    <x:n v="1.1614"/>
    <x:n v="1.3545602985770935"/>
    <x:n v="0.006481026785714286"/>
    <x:n v="1.1614"/>
    <x:x v="1041"/>
    <x:x v="4"/>
    <x:n v="1.101"/>
    <x:n v="10620.38913"/>
    <x:n v="582.626252"/>
    <x:n v="0.054859218891916445"/>
  </x:r>
  <x:r>
    <x:s v="INV-01043"/>
    <x:x v="0"/>
    <x:s v="SUP01"/>
    <x:x v="0"/>
    <x:s v="Components"/>
    <x:d v="2026-07-11T00:00:00Z"/>
    <x:n v="46244"/>
    <x:x v="0"/>
    <x:n v="37538.07"/>
    <x:s v="Historical"/>
    <x:s v="SUP01-INV-01043"/>
    <x:n v="30"/>
    <x:s v="Rhein Circuit Components"/>
    <x:n v="1.143"/>
    <x:n v="1.3422582349832657"/>
    <x:n v="0.006177710517781861"/>
    <x:n v="1.143"/>
    <x:x v="1042"/>
    <x:x v="4"/>
    <x:n v="1.101"/>
    <x:n v="41329.415069999995"/>
    <x:n v="1576.5989400000035"/>
    <x:n v="0.03814713896457775"/>
  </x:r>
  <x:r>
    <x:s v="INV-01044"/>
    <x:x v="6"/>
    <x:s v="SUP16"/>
    <x:x v="0"/>
    <x:s v="Components"/>
    <x:d v="2026-03-30T00:00:00Z"/>
    <x:n v="46141"/>
    <x:x v="1"/>
    <x:n v="488494.56"/>
    <x:s v="Historical"/>
    <x:s v="SUP16-INV-01044"/>
    <x:n v="30"/>
    <x:s v="Kyoto Optical Instruments"/>
    <x:n v="1.1484"/>
    <x:n v="1.3229957489948505"/>
    <x:n v="0.00627129750982962"/>
    <x:n v="0.00627129750982962"/>
    <x:x v="1043"/>
    <x:x v="6"/>
    <x:n v="0.00646"/>
    <x:n v="3155.6748576"/>
    <x:n v="-92.18013990668442"/>
    <x:n v="-0.029210911791080596"/>
  </x:r>
  <x:r>
    <x:s v="INV-01045"/>
    <x:x v="13"/>
    <x:s v="SUP11"/>
    <x:x v="2"/>
    <x:s v="Software"/>
    <x:d v="2025-04-07T00:00:00Z"/>
    <x:n v="45784"/>
    <x:x v="2"/>
    <x:n v="5287.14"/>
    <x:s v="Historical"/>
    <x:s v="SUP11-INV-01045"/>
    <x:n v="30"/>
    <x:s v="Manchester Cloud Solutions"/>
    <x:n v="1.0967"/>
    <x:n v="1.281371220264523"/>
    <x:n v="0.006829617636069248"/>
    <x:n v="1.281371220264523"/>
    <x:x v="1044"/>
    <x:x v="5"/>
    <x:n v="1.26"/>
    <x:n v="6661.7964"/>
    <x:n v="112.99263350937053"/>
    <x:n v="0.01696128592422466"/>
  </x:r>
  <x:r>
    <x:s v="INV-01046"/>
    <x:x v="9"/>
    <x:s v="SUP05"/>
    <x:x v="0"/>
    <x:s v="Components"/>
    <x:d v="2026-03-29T00:00:00Z"/>
    <x:n v="46155"/>
    <x:x v="0"/>
    <x:n v="21994.37"/>
    <x:s v="Historical"/>
    <x:s v="SUP05-INV-01046"/>
    <x:n v="45"/>
    <x:s v="Lyon Industrial Controls"/>
    <x:n v="1.1517"/>
    <x:n v="1.3280673431734318"/>
    <x:n v="0.006253801042571677"/>
    <x:n v="1.1517"/>
    <x:x v="1045"/>
    <x:x v="6"/>
    <x:n v="1.065"/>
    <x:n v="23424.00405"/>
    <x:n v="1906.9118789999993"/>
    <x:n v="0.08140845070422532"/>
  </x:r>
  <x:r>
    <x:s v="INV-01047"/>
    <x:x v="8"/>
    <x:s v="SUP13"/>
    <x:x v="0"/>
    <x:s v="Components"/>
    <x:d v="2026-06-06T00:00:00Z"/>
    <x:n v="46224"/>
    <x:x v="1"/>
    <x:n v="3782364.89"/>
    <x:s v="Historical"/>
    <x:s v="SUP13-INV-01047"/>
    <x:n v="45"/>
    <x:s v="Osaka Microdevices"/>
    <x:n v="1.164"/>
    <x:n v="1.3467078546388531"/>
    <x:n v="0.006255374032674118"/>
    <x:n v="0.006255374032674118"/>
    <x:x v="1046"/>
    <x:x v="0"/>
    <x:n v="0.0066"/>
    <x:n v="24963.608274000002"/>
    <x:n v="-1303.501158995703"/>
    <x:n v="-0.052216055655436654"/>
  </x:r>
  <x:r>
    <x:s v="INV-01048"/>
    <x:x v="4"/>
    <x:s v="SUP08"/>
    <x:x v="0"/>
    <x:s v="Components"/>
    <x:d v="2025-09-05T00:00:00Z"/>
    <x:n v="45935"/>
    <x:x v="0"/>
    <x:n v="21243.5"/>
    <x:s v="Historical"/>
    <x:s v="SUP08-INV-01048"/>
    <x:n v="30"/>
    <x:s v="Valencia Circuit Supply"/>
    <x:n v="1.1697"/>
    <x:n v="1.347891219174925"/>
    <x:n v="0.006757756080651683"/>
    <x:n v="1.1697"/>
    <x:x v="1047"/>
    <x:x v="1"/>
    <x:n v="1.088"/>
    <x:n v="23112.928"/>
    <x:n v="1735.5939499999986"/>
    <x:n v="0.07509191176470582"/>
  </x:r>
  <x:r>
    <x:s v="INV-01049"/>
    <x:x v="5"/>
    <x:s v="SUP09"/>
    <x:x v="0"/>
    <x:s v="Components"/>
    <x:d v="2025-04-06T00:00:00Z"/>
    <x:n v="45783"/>
    <x:x v="2"/>
    <x:n v="6669.31"/>
    <x:s v="Historical"/>
    <x:s v="SUP09-INV-01049"/>
    <x:n v="30"/>
    <x:s v="Thames Electronics Ltd"/>
    <x:n v="1.1356"/>
    <x:n v="1.354969574036511"/>
    <x:n v="0.0069362325922306374"/>
    <x:n v="1.354969574036511"/>
    <x:x v="1048"/>
    <x:x v="5"/>
    <x:n v="1.26"/>
    <x:n v="8403.330600000001"/>
    <x:n v="633.3815298174432"/>
    <x:n v="0.07537267780675475"/>
  </x:r>
  <x:r>
    <x:s v="INV-01050"/>
    <x:x v="9"/>
    <x:s v="SUP05"/>
    <x:x v="0"/>
    <x:s v="Components"/>
    <x:d v="2026-10-07T00:00:00Z"/>
    <x:n v="46347"/>
    <x:x v="0"/>
    <x:n v="15784.72"/>
    <x:s v="Planned"/>
    <x:s v="SUP05-INV-01050"/>
    <x:n v="45"/>
    <x:s v="Lyon Industrial Controls"/>
    <x:n v="1.1177"/>
    <x:n v="1.320456022210408"/>
    <x:n v="0.00632004523607577"/>
    <x:n v="1.1177"/>
    <x:x v="1049"/>
    <x:x v="2"/>
    <x:n v="1.119"/>
    <x:n v="17663.10168"/>
    <x:n v="-20.52013600000282"/>
    <x:n v="-0.0011617515638964958"/>
  </x:r>
  <x:r>
    <x:s v="INV-01051"/>
    <x:x v="13"/>
    <x:s v="SUP11"/>
    <x:x v="2"/>
    <x:s v="Software"/>
    <x:d v="2025-10-31T00:00:00Z"/>
    <x:n v="45991"/>
    <x:x v="2"/>
    <x:n v="5987.04"/>
    <x:s v="Historical"/>
    <x:s v="SUP11-INV-01051"/>
    <x:n v="30"/>
    <x:s v="Manchester Cloud Solutions"/>
    <x:n v="1.1554"/>
    <x:n v="1.3105716878402902"/>
    <x:n v="0.006485909958459639"/>
    <x:n v="1.3105716878402902"/>
    <x:x v="1050"/>
    <x:x v="7"/>
    <x:n v="1.304"/>
    <x:n v="7807.10016"/>
    <x:n v="39.34495796733154"/>
    <x:n v="0.005039637914333039"/>
  </x:r>
  <x:r>
    <x:s v="INV-01052"/>
    <x:x v="8"/>
    <x:s v="SUP13"/>
    <x:x v="0"/>
    <x:s v="Components"/>
    <x:d v="2025-11-04T00:00:00Z"/>
    <x:n v="46010"/>
    <x:x v="1"/>
    <x:n v="2661181.08"/>
    <x:s v="Historical"/>
    <x:s v="SUP13-INV-01052"/>
    <x:n v="45"/>
    <x:s v="Osaka Microdevices"/>
    <x:n v="1.1491"/>
    <x:n v="1.3065378055713475"/>
    <x:n v="0.006514541640682579"/>
    <x:n v="0.006514541640682579"/>
    <x:x v="1051"/>
    <x:x v="7"/>
    <x:n v="0.00698"/>
    <x:n v="18575.043938400002"/>
    <x:n v="-1238.6689793433652"/>
    <x:n v="-0.06668457869877106"/>
  </x:r>
  <x:r>
    <x:s v="INV-01053"/>
    <x:x v="1"/>
    <x:s v="SUP15"/>
    <x:x v="1"/>
    <x:s v="Freight"/>
    <x:d v="2026-07-04T00:00:00Z"/>
    <x:n v="46237"/>
    <x:x v="1"/>
    <x:n v="235455.1"/>
    <x:s v="Historical"/>
    <x:s v="SUP15-INV-01053"/>
    <x:n v="30"/>
    <x:s v="Nagoya Logistics Partners"/>
    <x:n v="1.1448"/>
    <x:n v="1.3355109659356044"/>
    <x:n v="0.006205550737207286"/>
    <x:n v="0.006205550737207286"/>
    <x:x v="1052"/>
    <x:x v="4"/>
    <x:n v="0.00674"/>
    <x:n v="1586.967374"/>
    <x:n v="-125.83880461578474"/>
    <x:n v="-0.07929514284758367"/>
  </x:r>
  <x:r>
    <x:s v="INV-01054"/>
    <x:x v="5"/>
    <x:s v="SUP09"/>
    <x:x v="0"/>
    <x:s v="Components"/>
    <x:d v="2026-07-25T00:00:00Z"/>
    <x:n v="46258"/>
    <x:x v="2"/>
    <x:n v="17541.26"/>
    <x:s v="Historical"/>
    <x:s v="SUP09-INV-01054"/>
    <x:n v="30"/>
    <x:s v="Thames Electronics Ltd"/>
    <x:n v="1.1377"/>
    <x:n v="1.3323886260364455"/>
    <x:n v="0.006104195729155488"/>
    <x:n v="1.3323886260364455"/>
    <x:x v="1053"/>
    <x:x v="4"/>
    <x:n v="1.293"/>
    <x:n v="22680.849179999997"/>
    <x:n v="690.9261303480598"/>
    <x:n v="0.030462974506145008"/>
  </x:r>
  <x:r>
    <x:s v="INV-01055"/>
    <x:x v="14"/>
    <x:s v="SUP07"/>
    <x:x v="0"/>
    <x:s v="Equipment"/>
    <x:d v="2026-02-15T00:00:00Z"/>
    <x:n v="46128"/>
    <x:x v="0"/>
    <x:n v="64984.79"/>
    <x:s v="Historical"/>
    <x:s v="SUP07-INV-01055"/>
    <x:n v="60"/>
    <x:s v="Milan Assembly Robotics"/>
    <x:n v="1.1555"/>
    <x:n v="1.3367963164349013"/>
    <x:n v="0.006298375667720483"/>
    <x:n v="1.1555"/>
    <x:x v="1054"/>
    <x:x v="6"/>
    <x:n v="1.065"/>
    <x:n v="69208.80135"/>
    <x:n v="5881.123495000007"/>
    <x:n v="0.08497652582159636"/>
  </x:r>
  <x:r>
    <x:s v="INV-01056"/>
    <x:x v="16"/>
    <x:s v="SUP12"/>
    <x:x v="0"/>
    <x:s v="Components"/>
    <x:d v="2025-02-14T00:00:00Z"/>
    <x:n v="45762"/>
    <x:x v="2"/>
    <x:n v="15213.98"/>
    <x:s v="Historical"/>
    <x:s v="SUP12-INV-01056"/>
    <x:n v="60"/>
    <x:s v="Oxford Technical Materials"/>
    <x:n v="1.0478"/>
    <x:n v="1.2591479901460074"/>
    <x:n v="0.006545068399025548"/>
    <x:n v="1.2591479901460074"/>
    <x:x v="1055"/>
    <x:x v="3"/>
    <x:n v="1.238"/>
    <x:n v="18834.90724"/>
    <x:n v="321.7450991215519"/>
    <x:n v="0.017082382993543848"/>
  </x:r>
  <x:r>
    <x:s v="INV-01057"/>
    <x:x v="8"/>
    <x:s v="SUP13"/>
    <x:x v="0"/>
    <x:s v="Components"/>
    <x:d v="2025-06-01T00:00:00Z"/>
    <x:n v="45854"/>
    <x:x v="1"/>
    <x:n v="3950421.68"/>
    <x:s v="Historical"/>
    <x:s v="SUP13-INV-01057"/>
    <x:n v="45"/>
    <x:s v="Osaka Microdevices"/>
    <x:n v="1.1711"/>
    <x:n v="1.3568532035685321"/>
    <x:n v="0.006790166405751725"/>
    <x:n v="0.006790166405751725"/>
    <x:x v="1056"/>
    <x:x v="5"/>
    <x:n v="0.0067"/>
    <x:n v="26467.825256000004"/>
    <x:n v="356.19532408928717"/>
    <x:n v="0.013457672500257312"/>
  </x:r>
  <x:r>
    <x:s v="INV-01058"/>
    <x:x v="16"/>
    <x:s v="SUP12"/>
    <x:x v="0"/>
    <x:s v="Components"/>
    <x:d v="2026-02-19T00:00:00Z"/>
    <x:n v="46132"/>
    <x:x v="2"/>
    <x:n v="7983.46"/>
    <x:s v="Historical"/>
    <x:s v="SUP12-INV-01058"/>
    <x:n v="60"/>
    <x:s v="Oxford Technical Materials"/>
    <x:n v="1.1753"/>
    <x:n v="1.3450446326390477"/>
    <x:n v="0.006455918703652842"/>
    <x:n v="1.3450446326390477"/>
    <x:x v="1057"/>
    <x:x v="6"/>
    <x:n v="1.249"/>
    <x:n v="9971.341540000001"/>
    <x:n v="766.7684828885303"/>
    <x:n v="0.0768972238903503"/>
  </x:r>
  <x:r>
    <x:s v="INV-01059"/>
    <x:x v="4"/>
    <x:s v="SUP08"/>
    <x:x v="0"/>
    <x:s v="Components"/>
    <x:d v="2025-12-29T00:00:00Z"/>
    <x:n v="46050"/>
    <x:x v="0"/>
    <x:n v="6732.16"/>
    <x:s v="Historical"/>
    <x:s v="SUP08-INV-01059"/>
    <x:n v="30"/>
    <x:s v="Valencia Circuit Supply"/>
    <x:n v="1.1766"/>
    <x:n v="1.3483841393536558"/>
    <x:n v="0.006395607979561886"/>
    <x:n v="1.1766"/>
    <x:x v="1058"/>
    <x:x v="7"/>
    <x:n v="1.106"/>
    <x:n v="7445.76896"/>
    <x:n v="475.29049600000053"/>
    <x:n v="0.06383363471971074"/>
  </x:r>
  <x:r>
    <x:s v="INV-01060"/>
    <x:x v="14"/>
    <x:s v="SUP07"/>
    <x:x v="0"/>
    <x:s v="Equipment"/>
    <x:d v="2026-06-07T00:00:00Z"/>
    <x:n v="46240"/>
    <x:x v="0"/>
    <x:n v="58027.65"/>
    <x:s v="Historical"/>
    <x:s v="SUP07-INV-01060"/>
    <x:n v="60"/>
    <x:s v="Milan Assembly Robotics"/>
    <x:n v="1.164"/>
    <x:n v="1.3467078546388531"/>
    <x:n v="0.006255374032674118"/>
    <x:n v="1.164"/>
    <x:x v="1059"/>
    <x:x v="0"/>
    <x:n v="1.083"/>
    <x:n v="62843.94495"/>
    <x:n v="4700.239649999996"/>
    <x:n v="0.07479224376731296"/>
  </x:r>
  <x:r>
    <x:s v="INV-01061"/>
    <x:x v="3"/>
    <x:s v="SUP04"/>
    <x:x v="1"/>
    <x:s v="Packaging"/>
    <x:d v="2025-05-27T00:00:00Z"/>
    <x:n v="45834"/>
    <x:x v="0"/>
    <x:n v="13503.76"/>
    <x:s v="Historical"/>
    <x:s v="SUP04-INV-01061"/>
    <x:n v="30"/>
    <x:s v="Nordlicht Packaging"/>
    <x:n v="1.1356"/>
    <x:n v="1.354969574036511"/>
    <x:n v="0.0069362325922306374"/>
    <x:n v="1.1356"/>
    <x:x v="1060"/>
    <x:x v="5"/>
    <x:n v="1.07"/>
    <x:n v="14449.023200000001"/>
    <x:n v="885.8466559999979"/>
    <x:n v="0.06130841121495312"/>
  </x:r>
  <x:r>
    <x:s v="INV-01062"/>
    <x:x v="3"/>
    <x:s v="SUP04"/>
    <x:x v="1"/>
    <x:s v="Packaging"/>
    <x:d v="2026-08-03T00:00:00Z"/>
    <x:n v="46267"/>
    <x:x v="0"/>
    <x:n v="1886.89"/>
    <x:s v="Historical"/>
    <x:s v="SUP04-INV-01062"/>
    <x:n v="30"/>
    <x:s v="Nordlicht Packaging"/>
    <x:n v="1.1535"/>
    <x:n v="1.3470274310137447"/>
    <x:n v="0.006382448957007692"/>
    <x:n v="1.1535"/>
    <x:x v="1061"/>
    <x:x v="4"/>
    <x:n v="1.101"/>
    <x:n v="2077.46589"/>
    <x:n v="99.06172500000002"/>
    <x:n v="0.04768392370572208"/>
  </x:r>
  <x:r>
    <x:s v="INV-01063"/>
    <x:x v="4"/>
    <x:s v="SUP08"/>
    <x:x v="0"/>
    <x:s v="Components"/>
    <x:d v="2025-02-13T00:00:00Z"/>
    <x:n v="45731"/>
    <x:x v="0"/>
    <x:n v="23564.89"/>
    <x:s v="Historical"/>
    <x:s v="SUP08-INV-01063"/>
    <x:n v="30"/>
    <x:s v="Valencia Circuit Supply"/>
    <x:n v="1.039"/>
    <x:n v="1.247104293447601"/>
    <x:n v="0.006502284248075599"/>
    <x:n v="1.039"/>
    <x:x v="1062"/>
    <x:x v="3"/>
    <x:n v="1.052"/>
    <x:n v="24790.26428"/>
    <x:n v="-306.3435700000009"/>
    <x:n v="-0.012357414448669238"/>
  </x:r>
  <x:r>
    <x:s v="INV-01064"/>
    <x:x v="10"/>
    <x:s v="SUP02"/>
    <x:x v="0"/>
    <x:s v="Equipment"/>
    <x:d v="2026-08-22T00:00:00Z"/>
    <x:n v="46301"/>
    <x:x v="0"/>
    <x:n v="33229.08"/>
    <x:s v="Historical"/>
    <x:s v="SUP02-INV-01064"/>
    <x:n v="45"/>
    <x:s v="Alpen Precision Systems"/>
    <x:n v="1.1699"/>
    <x:n v="1.3655888875919224"/>
    <x:n v="0.006301303457933858"/>
    <x:n v="1.1699"/>
    <x:x v="1063"/>
    <x:x v="4"/>
    <x:n v="1.101"/>
    <x:n v="36585.21708"/>
    <x:n v="2289.4836119999964"/>
    <x:n v="0.0625794732061761"/>
  </x:r>
  <x:r>
    <x:s v="INV-01065"/>
    <x:x v="16"/>
    <x:s v="SUP12"/>
    <x:x v="0"/>
    <x:s v="Components"/>
    <x:d v="2026-10-18T00:00:00Z"/>
    <x:n v="46373"/>
    <x:x v="2"/>
    <x:n v="27150.92"/>
    <x:s v="Planned"/>
    <x:s v="SUP12-INV-01065"/>
    <x:n v="60"/>
    <x:s v="Oxford Technical Materials"/>
    <x:n v="1.1177"/>
    <x:n v="1.320456022210408"/>
    <x:n v="0.00632004523607577"/>
    <x:n v="1.320456022210408"/>
    <x:x v="1064"/>
    <x:x v="2"/>
    <x:n v="1.315"/>
    <x:n v="35703.4598"/>
    <x:n v="148.1360225530152"/>
    <x:n v="0.004149066319702026"/>
  </x:r>
  <x:r>
    <x:s v="INV-01066"/>
    <x:x v="7"/>
    <x:s v="SUP03"/>
    <x:x v="0"/>
    <x:s v="Components"/>
    <x:d v="2026-03-16T00:00:00Z"/>
    <x:n v="46127"/>
    <x:x v="0"/>
    <x:n v="20716.9"/>
    <x:s v="Historical"/>
    <x:s v="SUP03-INV-01066"/>
    <x:n v="30"/>
    <x:s v="Benelux Sensor Works"/>
    <x:n v="1.1478"/>
    <x:n v="1.328349226923433"/>
    <x:n v="0.006283805978320376"/>
    <x:n v="1.1478"/>
    <x:x v="1065"/>
    <x:x v="6"/>
    <x:n v="1.065"/>
    <x:n v="22063.4985"/>
    <x:n v="1715.3593199999996"/>
    <x:n v="0.0777464788732394"/>
  </x:r>
  <x:r>
    <x:s v="INV-01067"/>
    <x:x v="16"/>
    <x:s v="SUP12"/>
    <x:x v="0"/>
    <x:s v="Components"/>
    <x:d v="2025-11-10T00:00:00Z"/>
    <x:n v="46031"/>
    <x:x v="2"/>
    <x:n v="22443.56"/>
    <x:s v="Historical"/>
    <x:s v="SUP12-INV-01067"/>
    <x:n v="60"/>
    <x:s v="Oxford Technical Materials"/>
    <x:n v="1.1571"/>
    <x:n v="1.3181818181818181"/>
    <x:n v="0.006489260277045595"/>
    <x:n v="1.3181818181818181"/>
    <x:x v="1066"/>
    <x:x v="7"/>
    <x:n v="1.304"/>
    <x:n v="29266.402240000003"/>
    <x:n v="318.2904872727231"/>
    <x:n v="0.010875627440044475"/>
  </x:r>
  <x:r>
    <x:s v="INV-01068"/>
    <x:x v="7"/>
    <x:s v="SUP03"/>
    <x:x v="0"/>
    <x:s v="Components"/>
    <x:d v="2026-04-08T00:00:00Z"/>
    <x:n v="46150"/>
    <x:x v="0"/>
    <x:n v="20285.56"/>
    <x:s v="Historical"/>
    <x:s v="SUP03-INV-01068"/>
    <x:n v="30"/>
    <x:s v="Benelux Sensor Works"/>
    <x:n v="1.1706"/>
    <x:n v="1.3471741106878576"/>
    <x:n v="0.00632312429103873"/>
    <x:n v="1.1706"/>
    <x:x v="1067"/>
    <x:x v="0"/>
    <x:n v="1.083"/>
    <x:n v="21969.26148"/>
    <x:n v="1777.0150560000038"/>
    <x:n v="0.08088642659279796"/>
  </x:r>
  <x:r>
    <x:s v="INV-01069"/>
    <x:x v="8"/>
    <x:s v="SUP13"/>
    <x:x v="0"/>
    <x:s v="Components"/>
    <x:d v="2026-04-21T00:00:00Z"/>
    <x:n v="46178"/>
    <x:x v="1"/>
    <x:n v="2576348.5"/>
    <x:s v="Historical"/>
    <x:s v="SUP13-INV-01069"/>
    <x:n v="45"/>
    <x:s v="Osaka Microdevices"/>
    <x:n v="1.1767"/>
    <x:n v="1.351984833687597"/>
    <x:n v="0.00628780592070108"/>
    <x:n v="0.00628780592070108"/>
    <x:x v="1068"/>
    <x:x v="0"/>
    <x:n v="0.0066"/>
    <x:n v="17003.9001"/>
    <x:n v="-804.3207479106532"/>
    <x:n v="-0.04730213322710907"/>
  </x:r>
  <x:r>
    <x:s v="INV-01070"/>
    <x:x v="4"/>
    <x:s v="SUP08"/>
    <x:x v="0"/>
    <x:s v="Components"/>
    <x:d v="2026-08-12T00:00:00Z"/>
    <x:n v="46276"/>
    <x:x v="0"/>
    <x:n v="14024.34"/>
    <x:s v="Historical"/>
    <x:s v="SUP08-INV-01070"/>
    <x:n v="30"/>
    <x:s v="Valencia Circuit Supply"/>
    <x:n v="1.1545"/>
    <x:n v="1.3525387192764593"/>
    <x:n v="0.006285729841563675"/>
    <x:n v="1.1545"/>
    <x:x v="1069"/>
    <x:x v="4"/>
    <x:n v="1.101"/>
    <x:n v="15440.79834"/>
    <x:n v="750.3021900000022"/>
    <x:n v="0.04859218891916454"/>
  </x:r>
  <x:r>
    <x:s v="INV-01071"/>
    <x:x v="5"/>
    <x:s v="SUP09"/>
    <x:x v="0"/>
    <x:s v="Components"/>
    <x:d v="2026-10-18T00:00:00Z"/>
    <x:n v="46343"/>
    <x:x v="2"/>
    <x:n v="6542.23"/>
    <x:s v="Planned"/>
    <x:s v="SUP09-INV-01071"/>
    <x:n v="30"/>
    <x:s v="Thames Electronics Ltd"/>
    <x:n v="1.1177"/>
    <x:n v="1.320456022210408"/>
    <x:n v="0.00632004523607577"/>
    <x:n v="1.320456022210408"/>
    <x:x v="1070"/>
    <x:x v="2"/>
    <x:n v="1.315"/>
    <x:n v="8603.032449999999"/>
    <x:n v="35.694552185597786"/>
    <x:n v="0.0041490663197019315"/>
  </x:r>
  <x:r>
    <x:s v="INV-01072"/>
    <x:x v="10"/>
    <x:s v="SUP02"/>
    <x:x v="0"/>
    <x:s v="Equipment"/>
    <x:d v="2026-05-17T00:00:00Z"/>
    <x:n v="46204"/>
    <x:x v="0"/>
    <x:n v="32036.29"/>
    <x:s v="Historical"/>
    <x:s v="SUP02-INV-01072"/>
    <x:n v="45"/>
    <x:s v="Alpen Precision Systems"/>
    <x:n v="1.1628"/>
    <x:n v="1.3357840321654222"/>
    <x:n v="0.00630722499457583"/>
    <x:n v="1.1628"/>
    <x:x v="1071"/>
    <x:x v="0"/>
    <x:n v="1.083"/>
    <x:n v="34695.30207"/>
    <x:n v="2556.4959420000014"/>
    <x:n v="0.07368421052631584"/>
  </x:r>
  <x:r>
    <x:s v="INV-01073"/>
    <x:x v="6"/>
    <x:s v="SUP16"/>
    <x:x v="0"/>
    <x:s v="Components"/>
    <x:d v="2025-08-02T00:00:00Z"/>
    <x:n v="45901"/>
    <x:x v="1"/>
    <x:n v="3625865.57"/>
    <x:s v="Historical"/>
    <x:s v="SUP16-INV-01073"/>
    <x:n v="30"/>
    <x:s v="Kyoto Optical Instruments"/>
    <x:n v="1.1561"/>
    <x:n v="1.3121098626716603"/>
    <x:n v="0.006532007458048476"/>
    <x:n v="0.006532007458048476"/>
    <x:x v="1072"/>
    <x:x v="1"/>
    <x:n v="0.00684"/>
    <x:n v="24800.9204988"/>
    <x:n v="-1116.73955367881"/>
    <x:n v="-0.04502814940811748"/>
  </x:r>
  <x:r>
    <x:s v="INV-01074"/>
    <x:x v="4"/>
    <x:s v="SUP08"/>
    <x:x v="0"/>
    <x:s v="Components"/>
    <x:d v="2026-06-04T00:00:00Z"/>
    <x:n v="46207"/>
    <x:x v="0"/>
    <x:n v="3732.56"/>
    <x:s v="Historical"/>
    <x:s v="SUP08-INV-01074"/>
    <x:n v="30"/>
    <x:s v="Valencia Circuit Supply"/>
    <x:n v="1.164"/>
    <x:n v="1.345820326049254"/>
    <x:n v="0.00625772807913553"/>
    <x:n v="1.164"/>
    <x:x v="1073"/>
    <x:x v="0"/>
    <x:n v="1.083"/>
    <x:n v="4042.36248"/>
    <x:n v="302.33735999999953"/>
    <x:n v="0.0747922437673129"/>
  </x:r>
  <x:r>
    <x:s v="INV-01075"/>
    <x:x v="16"/>
    <x:s v="SUP12"/>
    <x:x v="0"/>
    <x:s v="Components"/>
    <x:d v="2025-11-03T00:00:00Z"/>
    <x:n v="46024"/>
    <x:x v="2"/>
    <x:n v="9514.85"/>
    <x:s v="Historical"/>
    <x:s v="SUP12-INV-01075"/>
    <x:n v="60"/>
    <x:s v="Oxford Technical Materials"/>
    <x:n v="1.1514"/>
    <x:n v="1.3136337706788364"/>
    <x:n v="0.006484203412738638"/>
    <x:n v="1.3136337706788364"/>
    <x:x v="1074"/>
    <x:x v="7"/>
    <x:n v="1.304"/>
    <x:n v="12407.3644"/>
    <x:n v="91.66388294352691"/>
    <x:n v="0.007387860950027946"/>
  </x:r>
  <x:r>
    <x:s v="INV-01076"/>
    <x:x v="3"/>
    <x:s v="SUP04"/>
    <x:x v="1"/>
    <x:s v="Packaging"/>
    <x:d v="2025-03-19T00:00:00Z"/>
    <x:n v="45765"/>
    <x:x v="0"/>
    <x:n v="7626.36"/>
    <x:s v="Historical"/>
    <x:s v="SUP04-INV-01076"/>
    <x:n v="30"/>
    <x:s v="Nordlicht Packaging"/>
    <x:n v="1.0897"/>
    <x:n v="1.2960584219415303"/>
    <x:n v="0.006674220616157285"/>
    <x:n v="1.0897"/>
    <x:x v="1075"/>
    <x:x v="3"/>
    <x:n v="1.052"/>
    <x:n v="8022.93072"/>
    <x:n v="287.5137719999984"/>
    <x:n v="0.03583650190114049"/>
  </x:r>
  <x:r>
    <x:s v="INV-01077"/>
    <x:x v="8"/>
    <x:s v="SUP13"/>
    <x:x v="0"/>
    <x:s v="Components"/>
    <x:d v="2025-10-26T00:00:00Z"/>
    <x:n v="46001"/>
    <x:x v="1"/>
    <x:n v="880251.36"/>
    <x:s v="Historical"/>
    <x:s v="SUP13-INV-01077"/>
    <x:n v="45"/>
    <x:s v="Osaka Microdevices"/>
    <x:n v="1.1581"/>
    <x:n v="1.3409677755520302"/>
    <x:n v="0.006306703697652889"/>
    <x:n v="0.006306703697652889"/>
    <x:x v="1076"/>
    <x:x v="7"/>
    <x:n v="0.00698"/>
    <x:n v="6144.1544928"/>
    <x:n v="-592.6699858240163"/>
    <x:n v="-0.09646078830187847"/>
  </x:r>
  <x:r>
    <x:s v="INV-01078"/>
    <x:x v="4"/>
    <x:s v="SUP08"/>
    <x:x v="0"/>
    <x:s v="Components"/>
    <x:d v="2025-03-14T00:00:00Z"/>
    <x:n v="45760"/>
    <x:x v="0"/>
    <x:n v="4659.43"/>
    <x:s v="Historical"/>
    <x:s v="SUP08-INV-01078"/>
    <x:n v="30"/>
    <x:s v="Valencia Circuit Supply"/>
    <x:n v="1.0889"/>
    <x:n v="1.2934915600536925"/>
    <x:n v="0.006726587595749938"/>
    <x:n v="1.0889"/>
    <x:x v="1077"/>
    <x:x v="3"/>
    <x:n v="1.052"/>
    <x:n v="4901.72036"/>
    <x:n v="171.93296699999973"/>
    <x:n v="0.03507604562737637"/>
  </x:r>
  <x:r>
    <x:s v="INV-01079"/>
    <x:x v="13"/>
    <x:s v="SUP11"/>
    <x:x v="2"/>
    <x:s v="Software"/>
    <x:d v="2025-03-29T00:00:00Z"/>
    <x:n v="45775"/>
    <x:x v="2"/>
    <x:n v="4370.61"/>
    <x:s v="Historical"/>
    <x:s v="SUP11-INV-01079"/>
    <x:n v="30"/>
    <x:s v="Manchester Cloud Solutions"/>
    <x:n v="1.1185"/>
    <x:n v="1.3277540360873694"/>
    <x:n v="0.0068493570116350275"/>
    <x:n v="1.3277540360873694"/>
    <x:x v="1078"/>
    <x:x v="3"/>
    <x:n v="1.238"/>
    <x:n v="5410.81518"/>
    <x:n v="392.27988766381804"/>
    <x:n v="0.0724992213952904"/>
  </x:r>
  <x:r>
    <x:s v="INV-01080"/>
    <x:x v="16"/>
    <x:s v="SUP12"/>
    <x:x v="0"/>
    <x:s v="Components"/>
    <x:d v="2025-06-11T00:00:00Z"/>
    <x:n v="45879"/>
    <x:x v="2"/>
    <x:n v="7986.13"/>
    <x:s v="Historical"/>
    <x:s v="SUP12-INV-01080"/>
    <x:n v="60"/>
    <x:s v="Oxford Technical Materials"/>
    <x:n v="1.1433"/>
    <x:n v="1.3488673902784332"/>
    <x:n v="0.00688030330384546"/>
    <x:n v="1.3488673902784332"/>
    <x:x v="1079"/>
    <x:x v="5"/>
    <x:n v="1.26"/>
    <x:n v="10062.5238"/>
    <x:n v="709.7065315243035"/>
    <x:n v="0.0705296748241533"/>
  </x:r>
  <x:r>
    <x:s v="INV-01081"/>
    <x:x v="2"/>
    <x:s v="SUP10"/>
    <x:x v="1"/>
    <x:s v="Services"/>
    <x:d v="2026-01-09T00:00:00Z"/>
    <x:n v="46076"/>
    <x:x v="2"/>
    <x:n v="3909.68"/>
    <x:s v="Historical"/>
    <x:s v="SUP10-INV-01081"/>
    <x:n v="45"/>
    <x:s v="Bristol Calibration Services"/>
    <x:n v="1.1642"/>
    <x:n v="1.341707963581883"/>
    <x:n v="0.006343722755013077"/>
    <x:n v="1.341707963581883"/>
    <x:x v="1080"/>
    <x:x v="6"/>
    <x:n v="1.249"/>
    <x:n v="4883.190320000001"/>
    <x:n v="362.45847105681514"/>
    <x:n v="0.0742257514666795"/>
  </x:r>
  <x:r>
    <x:s v="INV-01082"/>
    <x:x v="11"/>
    <x:s v="SUP14"/>
    <x:x v="0"/>
    <x:s v="Equipment"/>
    <x:d v="2025-01-17T00:00:00Z"/>
    <x:n v="45734"/>
    <x:x v="1"/>
    <x:n v="3626850.02"/>
    <x:s v="Historical"/>
    <x:s v="SUP14-INV-01082"/>
    <x:n v="60"/>
    <x:s v="Tokyo Automation Systems"/>
    <x:n v="1.0298"/>
    <x:n v="1.2193764579115012"/>
    <x:n v="0.006427011171441054"/>
    <x:n v="0.006427011171441054"/>
    <x:x v="1081"/>
    <x:x v="3"/>
    <x:n v="0.00656"/>
    <x:n v="23792.1361312"/>
    <x:n v="-482.3305355187913"/>
    <x:n v="-0.020272687280327193"/>
  </x:r>
  <x:r>
    <x:s v="INV-01083"/>
    <x:x v="6"/>
    <x:s v="SUP16"/>
    <x:x v="0"/>
    <x:s v="Components"/>
    <x:d v="2025-05-24T00:00:00Z"/>
    <x:n v="45831"/>
    <x:x v="1"/>
    <x:n v="1812550.81"/>
    <x:s v="Historical"/>
    <x:s v="SUP16-INV-01083"/>
    <x:n v="30"/>
    <x:s v="Kyoto Optical Instruments"/>
    <x:n v="1.1404"/>
    <x:n v="1.3160992498557416"/>
    <x:n v="0.006645300390420139"/>
    <x:n v="0.006645300390420139"/>
    <x:x v="1082"/>
    <x:x v="5"/>
    <x:n v="0.0067"/>
    <x:n v="12144.090427000001"/>
    <x:n v="-99.14582165066167"/>
    <x:n v="-0.008164120832815145"/>
  </x:r>
  <x:r>
    <x:s v="INV-01084"/>
    <x:x v="13"/>
    <x:s v="SUP11"/>
    <x:x v="2"/>
    <x:s v="Software"/>
    <x:d v="2025-04-16T00:00:00Z"/>
    <x:n v="45793"/>
    <x:x v="2"/>
    <x:n v="7330.95"/>
    <x:s v="Historical"/>
    <x:s v="SUP11-INV-01084"/>
    <x:n v="30"/>
    <x:s v="Manchester Cloud Solutions"/>
    <x:n v="1.1355"/>
    <x:n v="1.3262398093858767"/>
    <x:n v="0.007005367388487877"/>
    <x:n v="1.3262398093858767"/>
    <x:x v="1083"/>
    <x:x v="5"/>
    <x:n v="1.26"/>
    <x:n v="9236.997"/>
    <x:n v="485.6007306173924"/>
    <x:n v="0.0525712772903783"/>
  </x:r>
  <x:r>
    <x:s v="INV-01085"/>
    <x:x v="6"/>
    <x:s v="SUP16"/>
    <x:x v="0"/>
    <x:s v="Components"/>
    <x:d v="2025-07-17T00:00:00Z"/>
    <x:n v="45885"/>
    <x:x v="1"/>
    <x:n v="1120398.86"/>
    <x:s v="Historical"/>
    <x:s v="SUP16-INV-01085"/>
    <x:n v="30"/>
    <x:s v="Kyoto Optical Instruments"/>
    <x:n v="1.1579"/>
    <x:n v="1.3395418787598334"/>
    <x:n v="0.006721035523566287"/>
    <x:n v="0.006721035523566287"/>
    <x:x v="1084"/>
    <x:x v="1"/>
    <x:n v="0.00684"/>
    <x:n v="7663.528202400001"/>
    <x:n v="-133.2876637768295"/>
    <x:n v="-0.0173924673148704"/>
  </x:r>
  <x:r>
    <x:s v="INV-01086"/>
    <x:x v="15"/>
    <x:s v="SUP18"/>
    <x:x v="1"/>
    <x:s v="Services"/>
    <x:d v="2025-12-21T00:00:00Z"/>
    <x:n v="46042"/>
    <x:x v="1"/>
    <x:n v="835685.46"/>
    <x:s v="Historical"/>
    <x:s v="SUP18-INV-01086"/>
    <x:n v="30"/>
    <x:s v="Yokohama Engineering Labs"/>
    <x:n v="1.1555"/>
    <x:n v="1.3367963164349013"/>
    <x:n v="0.006298375667720483"/>
    <x:n v="0.006298375667720483"/>
    <x:x v="1085"/>
    <x:x v="7"/>
    <x:n v="0.00698"/>
    <x:n v="5833.084510799999"/>
    <x:n v="-569.6235436682009"/>
    <x:n v="-0.09765391579935773"/>
  </x:r>
  <x:r>
    <x:s v="INV-01087"/>
    <x:x v="7"/>
    <x:s v="SUP03"/>
    <x:x v="0"/>
    <x:s v="Components"/>
    <x:d v="2025-05-16T00:00:00Z"/>
    <x:n v="45823"/>
    <x:x v="0"/>
    <x:n v="21094.5"/>
    <x:s v="Historical"/>
    <x:s v="SUP03-INV-01087"/>
    <x:n v="30"/>
    <x:s v="Benelux Sensor Works"/>
    <x:n v="1.1194"/>
    <x:n v="1.3283493532692536"/>
    <x:n v="0.006865378718184605"/>
    <x:n v="1.1194"/>
    <x:x v="1086"/>
    <x:x v="5"/>
    <x:n v="1.07"/>
    <x:n v="22571.115"/>
    <x:n v="1042.068299999999"/>
    <x:n v="0.04616822429906537"/>
  </x:r>
  <x:r>
    <x:s v="INV-01088"/>
    <x:x v="4"/>
    <x:s v="SUP08"/>
    <x:x v="0"/>
    <x:s v="Components"/>
    <x:d v="2025-10-13T00:00:00Z"/>
    <x:n v="45973"/>
    <x:x v="0"/>
    <x:n v="22494.14"/>
    <x:s v="Historical"/>
    <x:s v="SUP08-INV-01088"/>
    <x:n v="30"/>
    <x:s v="Valencia Circuit Supply"/>
    <x:n v="1.1569"/>
    <x:n v="1.3332949175982483"/>
    <x:n v="0.006574042504830095"/>
    <x:n v="1.1569"/>
    <x:x v="1087"/>
    <x:x v="7"/>
    <x:n v="1.106"/>
    <x:n v="24878.51884"/>
    <x:n v="1144.9517259999993"/>
    <x:n v="0.04602169981916814"/>
  </x:r>
  <x:r>
    <x:s v="INV-01089"/>
    <x:x v="10"/>
    <x:s v="SUP02"/>
    <x:x v="0"/>
    <x:s v="Equipment"/>
    <x:d v="2025-04-11T00:00:00Z"/>
    <x:n v="45803"/>
    <x:x v="0"/>
    <x:n v="20824.33"/>
    <x:s v="Historical"/>
    <x:s v="SUP02-INV-01089"/>
    <x:n v="45"/>
    <x:s v="Alpen Precision Systems"/>
    <x:n v="1.1346"/>
    <x:n v="1.3089826714968043"/>
    <x:n v="0.0070006787190720066"/>
    <x:n v="1.1346"/>
    <x:x v="1088"/>
    <x:x v="5"/>
    <x:n v="1.07"/>
    <x:n v="22282.033100000004"/>
    <x:n v="1345.2517179999995"/>
    <x:n v="0.0603738317757009"/>
  </x:r>
  <x:r>
    <x:s v="INV-01089"/>
    <x:x v="0"/>
    <x:s v="SUP01"/>
    <x:x v="0"/>
    <x:s v="Components"/>
    <x:d v="2025-11-17T00:00:00Z"/>
    <x:n v="46008"/>
    <x:x v="0"/>
    <x:n v="14297.29"/>
    <x:s v="Historical"/>
    <x:s v="SUP01-INV-01089"/>
    <x:n v="30"/>
    <x:s v="Rhein Circuit Components"/>
    <x:n v="1.1593"/>
    <x:n v="1.3181353041500854"/>
    <x:n v="0.0064559781700729525"/>
    <x:n v="1.1593"/>
    <x:x v="1089"/>
    <x:x v="7"/>
    <x:n v="1.106"/>
    <x:n v="15812.802740000003"/>
    <x:n v="762.0455569999976"/>
    <x:n v="0.04819168173598538"/>
  </x:r>
  <x:r>
    <x:s v="INV-01090"/>
    <x:x v="2"/>
    <x:s v="SUP10"/>
    <x:x v="1"/>
    <x:s v="Services"/>
    <x:d v="2026-11-15T00:00:00Z"/>
    <x:n v="46386"/>
    <x:x v="2"/>
    <x:n v="11941.22"/>
    <x:s v="Planned"/>
    <x:s v="SUP10-INV-01090"/>
    <x:n v="45"/>
    <x:s v="Bristol Calibration Services"/>
    <x:n v="1.1177"/>
    <x:n v="1.320456022210408"/>
    <x:n v="0.00632004523607577"/>
    <x:n v="1.320456022210408"/>
    <x:x v="1090"/>
    <x:x v="2"/>
    <x:n v="1.315"/>
    <x:n v="15702.704299999998"/>
    <x:n v="65.15156153937096"/>
    <x:n v="0.004149066319702076"/>
  </x:r>
  <x:r>
    <x:s v="INV-01091"/>
    <x:x v="7"/>
    <x:s v="SUP03"/>
    <x:x v="0"/>
    <x:s v="Components"/>
    <x:d v="2026-11-03T00:00:00Z"/>
    <x:n v="46359"/>
    <x:x v="0"/>
    <x:n v="9813.94"/>
    <x:s v="Planned"/>
    <x:s v="SUP03-INV-01091"/>
    <x:n v="30"/>
    <x:s v="Benelux Sensor Works"/>
    <x:n v="1.1177"/>
    <x:n v="1.320456022210408"/>
    <x:n v="0.00632004523607577"/>
    <x:n v="1.1177"/>
    <x:x v="1091"/>
    <x:x v="2"/>
    <x:n v="1.119"/>
    <x:n v="10981.79886"/>
    <x:n v="-12.758122000001094"/>
    <x:n v="-0.0011617515638964356"/>
  </x:r>
  <x:r>
    <x:s v="INV-01092"/>
    <x:x v="6"/>
    <x:s v="SUP16"/>
    <x:x v="0"/>
    <x:s v="Components"/>
    <x:d v="2026-07-28T00:00:00Z"/>
    <x:n v="46261"/>
    <x:x v="1"/>
    <x:n v="1041240.67"/>
    <x:s v="Historical"/>
    <x:s v="SUP16-INV-01092"/>
    <x:n v="30"/>
    <x:s v="Kyoto Optical Instruments"/>
    <x:n v="1.1367"/>
    <x:n v="1.3286966686148451"/>
    <x:n v="0.006100794332331473"/>
    <x:n v="0.006100794332331473"/>
    <x:x v="1092"/>
    <x:x v="4"/>
    <x:n v="0.00674"/>
    <x:n v="7017.962115800001"/>
    <x:n v="-665.5669376709757"/>
    <x:n v="-0.09483763615260062"/>
  </x:r>
  <x:r>
    <x:s v="INV-01093"/>
    <x:x v="9"/>
    <x:s v="SUP05"/>
    <x:x v="0"/>
    <x:s v="Components"/>
    <x:d v="2026-06-16T00:00:00Z"/>
    <x:n v="46234"/>
    <x:x v="0"/>
    <x:n v="21181.98"/>
    <x:s v="Historical"/>
    <x:s v="SUP05-INV-01093"/>
    <x:n v="45"/>
    <x:s v="Lyon Industrial Controls"/>
    <x:n v="1.1594"/>
    <x:n v="1.3407963363439765"/>
    <x:n v="0.006235344734860708"/>
    <x:n v="1.1594"/>
    <x:x v="1093"/>
    <x:x v="0"/>
    <x:n v="1.083"/>
    <x:n v="22940.084339999998"/>
    <x:n v="1618.303272000001"/>
    <x:n v="0.07054478301015703"/>
  </x:r>
  <x:r>
    <x:s v="INV-01094"/>
    <x:x v="16"/>
    <x:s v="SUP12"/>
    <x:x v="0"/>
    <x:s v="Components"/>
    <x:d v="2025-01-02T00:00:00Z"/>
    <x:n v="45719"/>
    <x:x v="2"/>
    <x:n v="18898.54"/>
    <x:s v="Historical"/>
    <x:s v="SUP12-INV-01094"/>
    <x:n v="60"/>
    <x:s v="Oxford Technical Materials"/>
    <x:n v="1.0321"/>
    <x:n v="1.2417286267715777"/>
    <x:n v="0.006369414959269316"/>
    <x:n v="1.2417286267715777"/>
    <x:x v="1094"/>
    <x:x v="3"/>
    <x:n v="1.238"/>
    <x:n v="23396.39252"/>
    <x:n v="70.46560218773084"/>
    <x:n v="0.0030118148397234546"/>
  </x:r>
  <x:r>
    <x:s v="INV-01095"/>
    <x:x v="10"/>
    <x:s v="SUP02"/>
    <x:x v="0"/>
    <x:s v="Equipment"/>
    <x:d v="2026-12-12T00:00:00Z"/>
    <x:n v="46413"/>
    <x:x v="0"/>
    <x:n v="56163.08"/>
    <x:s v="Planned"/>
    <x:s v="SUP02-INV-01095"/>
    <x:n v="45"/>
    <x:s v="Alpen Precision Systems"/>
    <x:n v="1.1177"/>
    <x:n v="1.320456022210408"/>
    <x:n v="0.00632004523607577"/>
    <x:n v="1.1177"/>
    <x:x v="1095"/>
    <x:x v="2"/>
    <x:n v="1.119"/>
    <x:n v="62846.48652"/>
    <x:n v="-73.0120040000038"/>
    <x:n v="-0.0011617515638963965"/>
  </x:r>
  <x:r>
    <x:s v="INV-01096"/>
    <x:x v="1"/>
    <x:s v="SUP15"/>
    <x:x v="1"/>
    <x:s v="Freight"/>
    <x:d v="2025-10-24T00:00:00Z"/>
    <x:n v="45984"/>
    <x:x v="1"/>
    <x:n v="1048407.21"/>
    <x:s v="Historical"/>
    <x:s v="SUP15-INV-01096"/>
    <x:n v="30"/>
    <x:s v="Nagoya Logistics Partners"/>
    <x:n v="1.1612"/>
    <x:n v="1.3307357322942928"/>
    <x:n v="0.006540129540974373"/>
    <x:n v="0.006540129540974373"/>
    <x:x v="1096"/>
    <x:x v="7"/>
    <x:n v="0.00698"/>
    <x:n v="7317.8823258"/>
    <x:n v="-461.16336070847683"/>
    <x:n v="-0.06301869040481761"/>
  </x:r>
  <x:r>
    <x:s v="INV-01097"/>
    <x:x v="3"/>
    <x:s v="SUP04"/>
    <x:x v="1"/>
    <x:s v="Packaging"/>
    <x:d v="2025-07-19T00:00:00Z"/>
    <x:n v="45887"/>
    <x:x v="0"/>
    <x:n v="2611.42"/>
    <x:s v="Historical"/>
    <x:s v="SUP04-INV-01097"/>
    <x:n v="30"/>
    <x:s v="Nordlicht Packaging"/>
    <x:n v="1.1655"/>
    <x:n v="1.3410424577148774"/>
    <x:n v="0.006633088611917364"/>
    <x:n v="1.1655"/>
    <x:x v="1097"/>
    <x:x v="1"/>
    <x:n v="1.088"/>
    <x:n v="2841.2249600000005"/>
    <x:n v="202.3850499999994"/>
    <x:n v="0.0712316176470586"/>
  </x:r>
  <x:r>
    <x:s v="INV-01098"/>
    <x:x v="8"/>
    <x:s v="SUP13"/>
    <x:x v="0"/>
    <x:s v="Components"/>
    <x:d v="2025-10-31T00:00:00Z"/>
    <x:n v="46006"/>
    <x:x v="1"/>
    <x:n v="2474526.75"/>
    <x:s v="Historical"/>
    <x:s v="SUP13-INV-01098"/>
    <x:n v="45"/>
    <x:s v="Osaka Microdevices"/>
    <x:n v="1.1554"/>
    <x:n v="1.3105716878402902"/>
    <x:n v="0.006485909958459639"/>
    <x:n v="0.006485909958459639"/>
    <x:x v="1098"/>
    <x:x v="7"/>
    <x:n v="0.00698"/>
    <x:n v="17272.196715000002"/>
    <x:n v="-1222.6390247002364"/>
    <x:n v="-0.07078653890263062"/>
  </x:r>
  <x:r>
    <x:s v="INV-01099"/>
    <x:x v="7"/>
    <x:s v="SUP03"/>
    <x:x v="0"/>
    <x:s v="Components"/>
    <x:d v="2026-05-01T00:00:00Z"/>
    <x:n v="46173"/>
    <x:x v="0"/>
    <x:n v="9059.7"/>
    <x:s v="Historical"/>
    <x:s v="SUP03-INV-01099"/>
    <x:n v="30"/>
    <x:s v="Benelux Sensor Works"/>
    <x:n v="1.1702"/>
    <x:n v="1.3508802308802308"/>
    <x:n v="0.006387205938540472"/>
    <x:n v="1.1702"/>
    <x:x v="1099"/>
    <x:x v="0"/>
    <x:n v="1.083"/>
    <x:n v="9811.6551"/>
    <x:n v="790.0058399999998"/>
    <x:n v="0.08051708217913202"/>
  </x:r>
  <x:r>
    <x:s v="INV-01100"/>
    <x:x v="8"/>
    <x:s v="SUP13"/>
    <x:x v="0"/>
    <x:s v="Components"/>
    <x:d v="2026-03-14T00:00:00Z"/>
    <x:n v="46140"/>
    <x:x v="1"/>
    <x:n v="1131783.54"/>
    <x:s v="Historical"/>
    <x:s v="SUP13-INV-01100"/>
    <x:n v="45"/>
    <x:s v="Osaka Microdevices"/>
    <x:n v="1.1555"/>
    <x:n v="1.3367963164349013"/>
    <x:n v="0.006298375667720483"/>
    <x:n v="0.006298375667720483"/>
    <x:x v="1100"/>
    <x:x v="6"/>
    <x:n v="0.00646"/>
    <x:n v="7311.3216684"/>
    <x:n v="-182.92375893744702"/>
    <x:n v="-0.02501924648289723"/>
  </x:r>
  <x:r>
    <x:s v="INV-01101"/>
    <x:x v="10"/>
    <x:s v="SUP02"/>
    <x:x v="0"/>
    <x:s v="Equipment"/>
    <x:d v="2026-12-23T00:00:00Z"/>
    <x:n v="46424"/>
    <x:x v="0"/>
    <x:n v="81758.79"/>
    <x:s v="Planned"/>
    <x:s v="SUP02-INV-01101"/>
    <x:n v="45"/>
    <x:s v="Alpen Precision Systems"/>
    <x:n v="1.1177"/>
    <x:n v="1.320456022210408"/>
    <x:n v="0.00632004523607577"/>
    <x:n v="1.1177"/>
    <x:x v="1101"/>
    <x:x v="2"/>
    <x:n v="1.119"/>
    <x:n v="91488.08601"/>
    <x:n v="-106.28642700001365"/>
    <x:n v="-0.0011617515638964852"/>
  </x:r>
  <x:r>
    <x:s v="INV-01102"/>
    <x:x v="14"/>
    <x:s v="SUP07"/>
    <x:x v="0"/>
    <x:s v="Equipment"/>
    <x:d v="2025-11-22T00:00:00Z"/>
    <x:n v="46043"/>
    <x:x v="0"/>
    <x:n v="28656.45"/>
    <x:s v="Historical"/>
    <x:s v="SUP07-INV-01102"/>
    <x:n v="60"/>
    <x:s v="Milan Assembly Robotics"/>
    <x:n v="1.1555"/>
    <x:n v="1.3367963164349013"/>
    <x:n v="0.006298375667720483"/>
    <x:n v="1.1555"/>
    <x:x v="1102"/>
    <x:x v="7"/>
    <x:n v="1.106"/>
    <x:n v="31694.033700000004"/>
    <x:n v="1418.4942749999936"/>
    <x:n v="0.04475587703435784"/>
  </x:r>
  <x:r>
    <x:s v="INV-01103"/>
    <x:x v="10"/>
    <x:s v="SUP02"/>
    <x:x v="0"/>
    <x:s v="Equipment"/>
    <x:d v="2026-09-27T00:00:00Z"/>
    <x:n v="46337"/>
    <x:x v="0"/>
    <x:n v="30660.4"/>
    <x:s v="Historical"/>
    <x:s v="SUP02-INV-01103"/>
    <x:n v="45"/>
    <x:s v="Alpen Precision Systems"/>
    <x:n v="1.1403"/>
    <x:n v="1.3252367947004475"/>
    <x:n v="0.006345575959933223"/>
    <x:n v="1.1403"/>
    <x:x v="1103"/>
    <x:x v="4"/>
    <x:n v="1.101"/>
    <x:n v="33757.1004"/>
    <x:n v="1204.953720000005"/>
    <x:n v="0.035694822888283524"/>
  </x:r>
  <x:r>
    <x:s v="INV-01104"/>
    <x:x v="0"/>
    <x:s v="SUP01"/>
    <x:x v="0"/>
    <x:s v="Components"/>
    <x:d v="2025-11-25T00:00:00Z"/>
    <x:n v="46016"/>
    <x:x v="0"/>
    <x:n v="19596.22"/>
    <x:s v="Historical"/>
    <x:s v="SUP01-INV-01104"/>
    <x:n v="30"/>
    <x:s v="Rhein Circuit Components"/>
    <x:n v="1.1551"/>
    <x:n v="1.3144060081929905"/>
    <x:n v="0.006402283560580867"/>
    <x:n v="1.1551"/>
    <x:x v="1104"/>
    <x:x v="7"/>
    <x:n v="1.106"/>
    <x:n v="21673.419320000005"/>
    <x:n v="962.1744019999969"/>
    <x:n v="0.044394213381555005"/>
  </x:r>
  <x:r>
    <x:s v="INV-01105"/>
    <x:x v="15"/>
    <x:s v="SUP18"/>
    <x:x v="1"/>
    <x:s v="Services"/>
    <x:d v="2025-07-06T00:00:00Z"/>
    <x:n v="45874"/>
    <x:x v="1"/>
    <x:n v="3090945.32"/>
    <x:s v="Historical"/>
    <x:s v="SUP18-INV-01105"/>
    <x:n v="30"/>
    <x:s v="Yokohama Engineering Labs"/>
    <x:n v="1.1724"/>
    <x:n v="1.346966911764706"/>
    <x:n v="0.006797703948512785"/>
    <x:n v="0.006797703948512785"/>
    <x:x v="1105"/>
    <x:x v="1"/>
    <x:n v="0.00684"/>
    <x:n v="21142.065988799997"/>
    <x:n v="-130.73478239888573"/>
    <x:n v="-0.006183633258364743"/>
  </x:r>
  <x:r>
    <x:s v="INV-01106"/>
    <x:x v="11"/>
    <x:s v="SUP14"/>
    <x:x v="0"/>
    <x:s v="Equipment"/>
    <x:d v="2025-10-24T00:00:00Z"/>
    <x:n v="46014"/>
    <x:x v="1"/>
    <x:n v="1645560.08"/>
    <x:s v="Historical"/>
    <x:s v="SUP14-INV-01106"/>
    <x:n v="60"/>
    <x:s v="Tokyo Automation Systems"/>
    <x:n v="1.1612"/>
    <x:n v="1.3307357322942928"/>
    <x:n v="0.006540129540974373"/>
    <x:n v="0.006540129540974373"/>
    <x:x v="1106"/>
    <x:x v="7"/>
    <x:n v="0.00698"/>
    <x:n v="11486.0093584"/>
    <x:n v="-723.8332677438466"/>
    <x:n v="-0.06301869040481754"/>
  </x:r>
  <x:r>
    <x:s v="INV-01107"/>
    <x:x v="15"/>
    <x:s v="SUP18"/>
    <x:x v="1"/>
    <x:s v="Services"/>
    <x:d v="2026-08-11T00:00:00Z"/>
    <x:n v="46275"/>
    <x:x v="1"/>
    <x:n v="312794.33"/>
    <x:s v="Historical"/>
    <x:s v="SUP18-INV-01107"/>
    <x:n v="30"/>
    <x:s v="Yokohama Engineering Labs"/>
    <x:n v="1.154"/>
    <x:n v="1.3499760186235858"/>
    <x:n v="0.006281297626823426"/>
    <x:n v="0.006281297626823426"/>
    <x:x v="1107"/>
    <x:x v="4"/>
    <x:n v="0.00674"/>
    <x:n v="2108.2337842"/>
    <x:n v="-143.47950148717632"/>
    <x:n v="-0.06805673192530766"/>
  </x:r>
  <x:r>
    <x:s v="INV-01108"/>
    <x:x v="12"/>
    <x:s v="SUP17"/>
    <x:x v="1"/>
    <x:s v="Packaging"/>
    <x:d v="2025-09-25T00:00:00Z"/>
    <x:n v="45970"/>
    <x:x v="1"/>
    <x:n v="459687.84"/>
    <x:s v="Historical"/>
    <x:s v="SUP17-INV-01108"/>
    <x:n v="45"/>
    <x:s v="Kobe Industrial Packaging"/>
    <x:n v="1.1739"/>
    <x:n v="1.3419067215363512"/>
    <x:n v="0.006719519175729822"/>
    <x:n v="0.006719519175729822"/>
    <x:x v="1108"/>
    <x:x v="1"/>
    <x:n v="0.00684"/>
    <x:n v="3144.2648256"/>
    <x:n v="-55.38356987017778"/>
    <x:n v="-0.017614155595055286"/>
  </x:r>
  <x:r>
    <x:s v="INV-01109"/>
    <x:x v="14"/>
    <x:s v="SUP07"/>
    <x:x v="0"/>
    <x:s v="Equipment"/>
    <x:d v="2025-11-28T00:00:00Z"/>
    <x:n v="46049"/>
    <x:x v="0"/>
    <x:n v="35268.66"/>
    <x:s v="Historical"/>
    <x:s v="SUP07-INV-01109"/>
    <x:n v="60"/>
    <x:s v="Milan Assembly Robotics"/>
    <x:n v="1.1566"/>
    <x:n v="1.3215265082266912"/>
    <x:n v="0.006405272193609127"/>
    <x:n v="1.1566"/>
    <x:x v="1109"/>
    <x:x v="7"/>
    <x:n v="1.106"/>
    <x:n v="39007.13796000001"/>
    <x:n v="1784.5941959999982"/>
    <x:n v="0.04575045207956595"/>
  </x:r>
  <x:r>
    <x:s v="INV-01110"/>
    <x:x v="7"/>
    <x:s v="SUP03"/>
    <x:x v="0"/>
    <x:s v="Components"/>
    <x:d v="2026-09-25T00:00:00Z"/>
    <x:n v="46320"/>
    <x:x v="0"/>
    <x:n v="6178.78"/>
    <x:s v="Historical"/>
    <x:s v="SUP03-INV-01110"/>
    <x:n v="30"/>
    <x:s v="Benelux Sensor Works"/>
    <x:n v="1.1403"/>
    <x:n v="1.3252367947004475"/>
    <x:n v="0.006345575959933223"/>
    <x:n v="1.1403"/>
    <x:x v="1110"/>
    <x:x v="4"/>
    <x:n v="1.101"/>
    <x:n v="6802.83678"/>
    <x:n v="242.82605400000102"/>
    <x:n v="0.03569482288828353"/>
  </x:r>
  <x:r>
    <x:s v="INV-01111"/>
    <x:x v="16"/>
    <x:s v="SUP12"/>
    <x:x v="0"/>
    <x:s v="Components"/>
    <x:d v="2025-08-20T00:00:00Z"/>
    <x:n v="45949"/>
    <x:x v="2"/>
    <x:n v="21259.56"/>
    <x:s v="Historical"/>
    <x:s v="SUP12-INV-01111"/>
    <x:n v="60"/>
    <x:s v="Oxford Technical Materials"/>
    <x:n v="1.1651"/>
    <x:n v="1.3477154424522846"/>
    <x:n v="0.006782907376142516"/>
    <x:n v="1.3477154424522846"/>
    <x:x v="1111"/>
    <x:x v="1"/>
    <x:n v="1.282"/>
    <x:n v="27254.755920000003"/>
    <x:n v="1397.0813917408886"/>
    <x:n v="0.05126009551660254"/>
  </x:r>
  <x:r>
    <x:s v="INV-01112"/>
    <x:x v="13"/>
    <x:s v="SUP11"/>
    <x:x v="2"/>
    <x:s v="Software"/>
    <x:d v="2026-12-14T00:00:00Z"/>
    <x:n v="46400"/>
    <x:x v="2"/>
    <x:n v="4409.18"/>
    <x:s v="Planned"/>
    <x:s v="SUP11-INV-01112"/>
    <x:n v="30"/>
    <x:s v="Manchester Cloud Solutions"/>
    <x:n v="1.1177"/>
    <x:n v="1.320456022210408"/>
    <x:n v="0.00632004523607577"/>
    <x:n v="1.320456022210408"/>
    <x:x v="1112"/>
    <x:x v="2"/>
    <x:n v="1.315"/>
    <x:n v="5798.0717"/>
    <x:n v="24.056584009686958"/>
    <x:n v="0.0041490663197019375"/>
  </x:r>
  <x:r>
    <x:s v="INV-01113"/>
    <x:x v="9"/>
    <x:s v="SUP05"/>
    <x:x v="0"/>
    <x:s v="Components"/>
    <x:d v="2025-04-01T00:00:00Z"/>
    <x:n v="45793"/>
    <x:x v="0"/>
    <x:n v="19757.57"/>
    <x:s v="Historical"/>
    <x:s v="SUP05-INV-01113"/>
    <x:n v="45"/>
    <x:s v="Lyon Industrial Controls"/>
    <x:n v="1.0788"/>
    <x:n v="1.2894280762564991"/>
    <x:n v="0.006703535698751009"/>
    <x:n v="1.0788"/>
    <x:x v="1113"/>
    <x:x v="5"/>
    <x:n v="1.07"/>
    <x:n v="21140.5999"/>
    <x:n v="173.86661599999934"/>
    <x:n v="0.00822429906542053"/>
  </x:r>
  <x:r>
    <x:s v="INV-01114"/>
    <x:x v="6"/>
    <x:s v="SUP16"/>
    <x:x v="0"/>
    <x:s v="Components"/>
    <x:d v="2025-06-28T00:00:00Z"/>
    <x:n v="45866"/>
    <x:x v="1"/>
    <x:n v="893675.39"/>
    <x:s v="Historical"/>
    <x:s v="SUP16-INV-01114"/>
    <x:n v="30"/>
    <x:s v="Kyoto Optical Instruments"/>
    <x:n v="1.1736"/>
    <x:n v="1.3477262287551677"/>
    <x:n v="0.00675297773174521"/>
    <x:n v="0.00675297773174521"/>
    <x:x v="1114"/>
    <x:x v="5"/>
    <x:n v="0.0067"/>
    <x:n v="5987.625113"/>
    <x:n v="47.344895078716036"/>
    <x:n v="0.007907124141076137"/>
  </x:r>
  <x:r>
    <x:s v="INV-01116"/>
    <x:x v="3"/>
    <x:s v="SUP04"/>
    <x:x v="1"/>
    <x:s v="Packaging"/>
    <x:d v="2025-08-15T00:00:00Z"/>
    <x:n v="45914"/>
    <x:x v="0"/>
    <x:n v="6436.26"/>
    <x:s v="Historical"/>
    <x:s v="SUP04-INV-01116"/>
    <x:n v="30"/>
    <x:s v="Nordlicht Packaging"/>
    <x:n v="1.1688"/>
    <x:n v="1.3556019485038275"/>
    <x:n v="0.006802863628426751"/>
    <x:n v="1.1688"/>
    <x:x v="1115"/>
    <x:x v="1"/>
    <x:n v="1.088"/>
    <x:n v="7002.650880000001"/>
    <x:n v="520.0498079999998"/>
    <x:n v="0.0742647058823529"/>
  </x:r>
  <x:r>
    <x:s v="INV-01117"/>
    <x:x v="7"/>
    <x:s v="SUP03"/>
    <x:x v="0"/>
    <x:s v="Components"/>
    <x:d v="2025-01-13T00:00:00Z"/>
    <x:n v="45700"/>
    <x:x v="0"/>
    <x:n v="23070.03"/>
    <x:s v="Historical"/>
    <x:s v="SUP03-INV-01117"/>
    <x:n v="30"/>
    <x:s v="Benelux Sensor Works"/>
    <x:n v="1.0198"/>
    <x:n v="1.2117395437262357"/>
    <x:n v="0.006364998127574586"/>
    <x:n v="1.0198"/>
    <x:x v="1116"/>
    <x:x v="3"/>
    <x:n v="1.052"/>
    <x:n v="24269.67156"/>
    <x:n v="-742.854965999999"/>
    <x:n v="-0.030608365019011367"/>
  </x:r>
  <x:r>
    <x:s v="INV-01118"/>
    <x:x v="15"/>
    <x:s v="SUP18"/>
    <x:x v="1"/>
    <x:s v="Services"/>
    <x:d v="2026-06-08T00:00:00Z"/>
    <x:n v="46211"/>
    <x:x v="1"/>
    <x:n v="1184154.79"/>
    <x:s v="Historical"/>
    <x:s v="SUP18-INV-01118"/>
    <x:n v="30"/>
    <x:s v="Yokohama Engineering Labs"/>
    <x:n v="1.154"/>
    <x:n v="1.336266790180639"/>
    <x:n v="0.006251354279523293"/>
    <x:n v="0.006251354279523293"/>
    <x:x v="1117"/>
    <x:x v="0"/>
    <x:n v="0.0066"/>
    <x:n v="7815.421614"/>
    <x:n v="-412.85049991549295"/>
    <x:n v="-0.05282510916313733"/>
  </x:r>
  <x:r>
    <x:s v="INV-01119"/>
    <x:x v="1"/>
    <x:s v="SUP15"/>
    <x:x v="1"/>
    <x:s v="Freight"/>
    <x:d v="2025-06-07T00:00:00Z"/>
    <x:n v="45845"/>
    <x:x v="1"/>
    <x:n v="1137613.81"/>
    <x:s v="Historical"/>
    <x:s v="SUP15-INV-01119"/>
    <x:n v="30"/>
    <x:s v="Nagoya Logistics Partners"/>
    <x:n v="1.1639"/>
    <x:n v="1.3449272012941993"/>
    <x:n v="0.006763321517810447"/>
    <x:n v="0.006763321517810447"/>
    <x:x v="1118"/>
    <x:x v="5"/>
    <x:n v="0.0067"/>
    <x:n v="7622.012527000001"/>
    <x:n v="72.03543313132559"/>
    <x:n v="0.009450972807529419"/>
  </x:r>
  <x:r>
    <x:s v="INV-01120"/>
    <x:x v="8"/>
    <x:s v="SUP13"/>
    <x:x v="0"/>
    <x:s v="Components"/>
    <x:d v="2026-09-16T00:00:00Z"/>
    <x:n v="46326"/>
    <x:x v="1"/>
    <x:n v="4180541.17"/>
    <x:s v="Historical"/>
    <x:s v="SUP13-INV-01120"/>
    <x:n v="45"/>
    <x:s v="Osaka Microdevices"/>
    <x:n v="1.1537"/>
    <x:n v="1.3455796594355025"/>
    <x:n v="0.006449575134168157"/>
    <x:n v="0.006449575134168157"/>
    <x:x v="1119"/>
    <x:x v="4"/>
    <x:n v="0.00674"/>
    <x:n v="28176.8474858"/>
    <x:n v="-1214.1331084017438"/>
    <x:n v="-0.04308974270502114"/>
  </x:r>
  <x:r>
    <x:s v="INV-01121"/>
    <x:x v="3"/>
    <x:s v="SUP04"/>
    <x:x v="1"/>
    <x:s v="Packaging"/>
    <x:d v="2026-06-18T00:00:00Z"/>
    <x:n v="46221"/>
    <x:x v="0"/>
    <x:n v="2865.3"/>
    <x:s v="Historical"/>
    <x:s v="SUP04-INV-01121"/>
    <x:n v="30"/>
    <x:s v="Nordlicht Packaging"/>
    <x:n v="1.1461"/>
    <x:n v="1.3228606385188946"/>
    <x:n v="0.0062139449143352845"/>
    <x:n v="1.1461"/>
    <x:x v="1120"/>
    <x:x v="0"/>
    <x:n v="1.083"/>
    <x:n v="3103.1199"/>
    <x:n v="180.80042999999978"/>
    <x:n v="0.058264081255770934"/>
  </x:r>
  <x:r>
    <x:s v="INV-01122"/>
    <x:x v="9"/>
    <x:s v="SUP05"/>
    <x:x v="0"/>
    <x:s v="Components"/>
    <x:d v="2025-01-01T00:00:00Z"/>
    <x:n v="45703"/>
    <x:x v="0"/>
    <x:n v="7531.09"/>
    <x:s v="Historical"/>
    <x:s v="SUP05-INV-01122"/>
    <x:n v="45"/>
    <x:s v="Lyon Industrial Controls"/>
    <x:n v="1.0305"/>
    <x:n v="1.2295962199312713"/>
    <x:n v="0.006339197834645669"/>
    <x:n v="1.0305"/>
    <x:x v="1121"/>
    <x:x v="3"/>
    <x:n v="1.052"/>
    <x:n v="7922.70668"/>
    <x:n v="-161.9184350000005"/>
    <x:n v="-0.020437262357414512"/>
  </x:r>
  <x:r>
    <x:s v="INV-01123"/>
    <x:x v="9"/>
    <x:s v="SUP05"/>
    <x:x v="0"/>
    <x:s v="Components"/>
    <x:d v="2026-02-21T00:00:00Z"/>
    <x:n v="46119"/>
    <x:x v="0"/>
    <x:n v="20317.27"/>
    <x:s v="Historical"/>
    <x:s v="SUP05-INV-01123"/>
    <x:n v="45"/>
    <x:s v="Lyon Industrial Controls"/>
    <x:n v="1.1555"/>
    <x:n v="1.3367963164349013"/>
    <x:n v="0.006298375667720483"/>
    <x:n v="1.1555"/>
    <x:x v="1122"/>
    <x:x v="6"/>
    <x:n v="1.065"/>
    <x:n v="21637.89255"/>
    <x:n v="1838.7129349999996"/>
    <x:n v="0.08497652582159622"/>
  </x:r>
  <x:r>
    <x:s v="INV-01124"/>
    <x:x v="14"/>
    <x:s v="SUP07"/>
    <x:x v="0"/>
    <x:s v="Equipment"/>
    <x:d v="2025-03-04T00:00:00Z"/>
    <x:n v="45780"/>
    <x:x v="0"/>
    <x:n v="72076.11"/>
    <x:s v="Historical"/>
    <x:s v="SUP07-INV-01124"/>
    <x:n v="60"/>
    <x:s v="Milan Assembly Robotics"/>
    <x:n v="1.0557"/>
    <x:n v="1.2751848093926659"/>
    <x:n v="0.0067456869009584666"/>
    <x:n v="1.0557"/>
    <x:x v="1123"/>
    <x:x v="3"/>
    <x:n v="1.052"/>
    <x:n v="75824.06772"/>
    <x:n v="266.6816070000059"/>
    <x:n v="0.0035171102661597734"/>
  </x:r>
  <x:r>
    <x:s v="INV-01125"/>
    <x:x v="10"/>
    <x:s v="SUP02"/>
    <x:x v="0"/>
    <x:s v="Equipment"/>
    <x:d v="2025-08-28T00:00:00Z"/>
    <x:n v="45942"/>
    <x:x v="0"/>
    <x:n v="48469.6"/>
    <x:s v="Historical"/>
    <x:s v="SUP02-INV-01125"/>
    <x:n v="45"/>
    <x:s v="Alpen Precision Systems"/>
    <x:n v="1.1676"/>
    <x:n v="1.3518582841264328"/>
    <x:n v="0.006808957312806159"/>
    <x:n v="1.1676"/>
    <x:x v="1124"/>
    <x:x v="1"/>
    <x:n v="1.088"/>
    <x:n v="52734.9248"/>
    <x:n v="3858.1801599999962"/>
    <x:n v="0.07316176470588229"/>
  </x:r>
  <x:r>
    <x:s v="INV-01126"/>
    <x:x v="8"/>
    <x:s v="SUP13"/>
    <x:x v="0"/>
    <x:s v="Components"/>
    <x:d v="2026-06-16T00:00:00Z"/>
    <x:n v="46234"/>
    <x:x v="1"/>
    <x:n v="3311704.8"/>
    <x:s v="Historical"/>
    <x:s v="SUP13-INV-01126"/>
    <x:n v="45"/>
    <x:s v="Osaka Microdevices"/>
    <x:n v="1.1594"/>
    <x:n v="1.3407963363439765"/>
    <x:n v="0.006235344734860708"/>
    <x:n v="0.006235344734860708"/>
    <x:x v="1125"/>
    <x:x v="0"/>
    <x:n v="0.0066"/>
    <x:n v="21857.251679999998"/>
    <x:n v="-1207.6305919070655"/>
    <x:n v="-0.05525079774837756"/>
  </x:r>
  <x:r>
    <x:s v="INV-01127"/>
    <x:x v="16"/>
    <x:s v="SUP12"/>
    <x:x v="0"/>
    <x:s v="Components"/>
    <x:d v="2025-02-09T00:00:00Z"/>
    <x:n v="45757"/>
    <x:x v="2"/>
    <x:n v="26366.71"/>
    <x:s v="Historical"/>
    <x:s v="SUP12-INV-01127"/>
    <x:n v="60"/>
    <x:s v="Oxford Technical Materials"/>
    <x:n v="1.0694"/>
    <x:n v="1.2807185628742515"/>
    <x:n v="0.006679992504216378"/>
    <x:n v="1.2807185628742515"/>
    <x:x v="1126"/>
    <x:x v="3"/>
    <x:n v="1.238"/>
    <x:n v="32641.986979999998"/>
    <x:n v="1126.347958922157"/>
    <x:n v="0.034506108945275886"/>
  </x:r>
  <x:r>
    <x:s v="INV-01128"/>
    <x:x v="6"/>
    <x:s v="SUP16"/>
    <x:x v="0"/>
    <x:s v="Components"/>
    <x:d v="2025-03-12T00:00:00Z"/>
    <x:n v="45758"/>
    <x:x v="1"/>
    <x:n v="2979634.87"/>
    <x:s v="Historical"/>
    <x:s v="SUP16-INV-01128"/>
    <x:n v="30"/>
    <x:s v="Kyoto Optical Instruments"/>
    <x:n v="1.0886"/>
    <x:n v="1.2947501129903185"/>
    <x:n v="0.006710226222030451"/>
    <x:n v="0.006710226222030451"/>
    <x:x v="1127"/>
    <x:x v="3"/>
    <x:n v="0.00656"/>
    <x:n v="19546.404747200002"/>
    <x:n v="447.6192895502936"/>
    <x:n v="0.022900338724154094"/>
  </x:r>
  <x:r>
    <x:s v="INV-01129"/>
    <x:x v="8"/>
    <x:s v="SUP13"/>
    <x:x v="0"/>
    <x:s v="Components"/>
    <x:d v="2026-02-07T00:00:00Z"/>
    <x:n v="46105"/>
    <x:x v="1"/>
    <x:n v="2579912.75"/>
    <x:s v="Historical"/>
    <x:s v="SUP13-INV-01129"/>
    <x:n v="45"/>
    <x:s v="Osaka Microdevices"/>
    <x:n v="1.1555"/>
    <x:n v="1.3367963164349013"/>
    <x:n v="0.006298375667720483"/>
    <x:n v="0.006298375667720483"/>
    <x:x v="1128"/>
    <x:x v="6"/>
    <x:n v="0.00646"/>
    <x:n v="16666.236365"/>
    <x:n v="-416.97667555816224"/>
    <x:n v="-0.025019246482897353"/>
  </x:r>
  <x:r>
    <x:s v="INV-01130"/>
    <x:x v="6"/>
    <x:s v="SUP16"/>
    <x:x v="0"/>
    <x:s v="Components"/>
    <x:d v="2026-02-21T00:00:00Z"/>
    <x:n v="46104"/>
    <x:x v="1"/>
    <x:n v="4053787.73"/>
    <x:s v="Historical"/>
    <x:s v="SUP16-INV-01130"/>
    <x:n v="30"/>
    <x:s v="Kyoto Optical Instruments"/>
    <x:n v="1.1555"/>
    <x:n v="1.3367963164349013"/>
    <x:n v="0.006298375667720483"/>
    <x:n v="0.006298375667720483"/>
    <x:x v="1129"/>
    <x:x v="6"/>
    <x:n v="0.00646"/>
    <x:n v="26187.468735799997"/>
    <x:n v="-655.190735064145"/>
    <x:n v="-0.02501924648289722"/>
  </x:r>
  <x:r>
    <x:s v="INV-01131"/>
    <x:x v="0"/>
    <x:s v="SUP01"/>
    <x:x v="0"/>
    <x:s v="Components"/>
    <x:d v="2026-08-11T00:00:00Z"/>
    <x:n v="46275"/>
    <x:x v="0"/>
    <x:n v="14355.98"/>
    <x:s v="Historical"/>
    <x:s v="SUP01-INV-01131"/>
    <x:n v="30"/>
    <x:s v="Rhein Circuit Components"/>
    <x:n v="1.154"/>
    <x:n v="1.3499760186235858"/>
    <x:n v="0.006281297626823426"/>
    <x:n v="1.154"/>
    <x:x v="1130"/>
    <x:x v="4"/>
    <x:n v="1.101"/>
    <x:n v="15805.93398"/>
    <x:n v="760.8669399999981"/>
    <x:n v="0.04813805631244311"/>
  </x:r>
  <x:r>
    <x:s v="INV-01132"/>
    <x:x v="14"/>
    <x:s v="SUP07"/>
    <x:x v="0"/>
    <x:s v="Equipment"/>
    <x:d v="2025-10-31T00:00:00Z"/>
    <x:n v="46021"/>
    <x:x v="0"/>
    <x:n v="56313.23"/>
    <x:s v="Historical"/>
    <x:s v="SUP07-INV-01132"/>
    <x:n v="60"/>
    <x:s v="Milan Assembly Robotics"/>
    <x:n v="1.1554"/>
    <x:n v="1.3105716878402902"/>
    <x:n v="0.006485909958459639"/>
    <x:n v="1.1554"/>
    <x:x v="1131"/>
    <x:x v="7"/>
    <x:n v="1.106"/>
    <x:n v="62282.432380000006"/>
    <x:n v="2781.8735620000007"/>
    <x:n v="0.04466546112115733"/>
  </x:r>
  <x:r>
    <x:s v="INV-01133"/>
    <x:x v="12"/>
    <x:s v="SUP17"/>
    <x:x v="1"/>
    <x:s v="Packaging"/>
    <x:d v="2026-04-06T00:00:00Z"/>
    <x:n v="46163"/>
    <x:x v="1"/>
    <x:n v="921320.04"/>
    <x:s v="Historical"/>
    <x:s v="SUP17-INV-01133"/>
    <x:n v="45"/>
    <x:s v="Kobe Industrial Packaging"/>
    <x:n v="1.1525"/>
    <x:n v="1.3208714886594157"/>
    <x:n v="0.006265630096770686"/>
    <x:n v="0.006265630096770686"/>
    <x:x v="1132"/>
    <x:x v="0"/>
    <x:n v="0.0066"/>
    <x:n v="6080.712264"/>
    <x:n v="-308.0616926180264"/>
    <x:n v="-0.05066210654989585"/>
  </x:r>
  <x:r>
    <x:s v="INV-01134"/>
    <x:x v="0"/>
    <x:s v="SUP01"/>
    <x:x v="0"/>
    <x:s v="Components"/>
    <x:d v="2026-02-26T00:00:00Z"/>
    <x:n v="46109"/>
    <x:x v="0"/>
    <x:n v="20627.7"/>
    <x:s v="Historical"/>
    <x:s v="SUP01-INV-01134"/>
    <x:n v="30"/>
    <x:s v="Rhein Circuit Components"/>
    <x:n v="1.1814"/>
    <x:n v="1.354971900447299"/>
    <x:n v="0.006407766990291262"/>
    <x:n v="1.1814"/>
    <x:x v="1133"/>
    <x:x v="6"/>
    <x:n v="1.065"/>
    <x:n v="21968.5005"/>
    <x:n v="2401.0642800000023"/>
    <x:n v="0.10929577464788744"/>
  </x:r>
  <x:r>
    <x:s v="INV-01135"/>
    <x:x v="10"/>
    <x:s v="SUP02"/>
    <x:x v="0"/>
    <x:s v="Equipment"/>
    <x:d v="2025-04-13T00:00:00Z"/>
    <x:n v="45805"/>
    <x:x v="0"/>
    <x:n v="43019.43"/>
    <x:s v="Historical"/>
    <x:s v="SUP02-INV-01135"/>
    <x:n v="45"/>
    <x:s v="Alpen Precision Systems"/>
    <x:n v="1.1423"/>
    <x:n v="1.356811972918399"/>
    <x:n v="0.006979714041305146"/>
    <x:n v="1.1423"/>
    <x:x v="1134"/>
    <x:x v="5"/>
    <x:n v="1.07"/>
    <x:n v="46030.790100000006"/>
    <x:n v="3110.3047890000016"/>
    <x:n v="0.06757009345794396"/>
  </x:r>
  <x:r>
    <x:s v="INV-01136"/>
    <x:x v="10"/>
    <x:s v="SUP02"/>
    <x:x v="0"/>
    <x:s v="Equipment"/>
    <x:d v="2026-06-29T00:00:00Z"/>
    <x:n v="46247"/>
    <x:x v="0"/>
    <x:n v="26373.24"/>
    <x:s v="Historical"/>
    <x:s v="SUP02-INV-01136"/>
    <x:n v="45"/>
    <x:s v="Alpen Precision Systems"/>
    <x:n v="1.1406"/>
    <x:n v="1.3229716406657774"/>
    <x:n v="0.00617809554761131"/>
    <x:n v="1.1406"/>
    <x:x v="1135"/>
    <x:x v="0"/>
    <x:n v="1.083"/>
    <x:n v="28562.21892"/>
    <x:n v="1519.0986240000057"/>
    <x:n v="0.053185595567867235"/>
  </x:r>
  <x:r>
    <x:s v="INV-01137"/>
    <x:x v="16"/>
    <x:s v="SUP12"/>
    <x:x v="0"/>
    <x:s v="Components"/>
    <x:d v="2026-07-14T00:00:00Z"/>
    <x:n v="46277"/>
    <x:x v="2"/>
    <x:n v="18764.42"/>
    <x:s v="Historical"/>
    <x:s v="SUP12-INV-01137"/>
    <x:n v="60"/>
    <x:s v="Oxford Technical Materials"/>
    <x:n v="1.1405"/>
    <x:n v="1.338379393299302"/>
    <x:n v="0.006164531646938004"/>
    <x:n v="1.338379393299302"/>
    <x:x v="1136"/>
    <x:x v="4"/>
    <x:n v="1.293"/>
    <x:n v="24262.395059999995"/>
    <x:n v="851.5179952132894"/>
    <x:n v="0.03509620518120809"/>
  </x:r>
  <x:r>
    <x:s v="INV-01138"/>
    <x:x v="11"/>
    <x:s v="SUP14"/>
    <x:x v="0"/>
    <x:s v="Equipment"/>
    <x:d v="2026-03-24T00:00:00Z"/>
    <x:n v="46165"/>
    <x:x v="1"/>
    <x:n v="7606969.47"/>
    <x:s v="Historical"/>
    <x:s v="SUP14-INV-01138"/>
    <x:n v="60"/>
    <x:s v="Tokyo Automation Systems"/>
    <x:n v="1.1572"/>
    <x:n v="1.337169665245375"/>
    <x:n v="0.006292208145288456"/>
    <x:n v="0.006292208145288456"/>
    <x:x v="1137"/>
    <x:x v="6"/>
    <x:n v="0.00646"/>
    <x:n v="49141.02277619999"/>
    <x:n v="-1276.3875161053802"/>
    <x:n v="-0.02597397131757626"/>
  </x:r>
  <x:r>
    <x:s v="INV-01139"/>
    <x:x v="3"/>
    <x:s v="SUP04"/>
    <x:x v="1"/>
    <x:s v="Packaging"/>
    <x:d v="2025-08-25T00:00:00Z"/>
    <x:n v="45924"/>
    <x:x v="0"/>
    <x:n v="8682.02"/>
    <x:s v="Historical"/>
    <x:s v="SUP04-INV-01139"/>
    <x:n v="30"/>
    <x:s v="Nordlicht Packaging"/>
    <x:n v="1.1697"/>
    <x:n v="1.350848827809216"/>
    <x:n v="0.006786377349733116"/>
    <x:n v="1.1697"/>
    <x:x v="1138"/>
    <x:x v="1"/>
    <x:n v="1.088"/>
    <x:n v="9446.037760000001"/>
    <x:n v="709.3210339999987"/>
    <x:n v="0.07509191176470574"/>
  </x:r>
  <x:r>
    <x:s v="INV-01140"/>
    <x:x v="16"/>
    <x:s v="SUP12"/>
    <x:x v="0"/>
    <x:s v="Components"/>
    <x:d v="2025-06-24T00:00:00Z"/>
    <x:n v="45892"/>
    <x:x v="2"/>
    <x:n v="19397.92"/>
    <x:s v="Historical"/>
    <x:s v="SUP12-INV-01140"/>
    <x:n v="60"/>
    <x:s v="Oxford Technical Materials"/>
    <x:n v="1.1607"/>
    <x:n v="1.3612055822680897"/>
    <x:n v="0.006897842752718845"/>
    <x:n v="1.3612055822680897"/>
    <x:x v="1139"/>
    <x:x v="5"/>
    <x:n v="1.26"/>
    <x:n v="24441.3792"/>
    <x:n v="1963.1777883898212"/>
    <x:n v="0.08032189068896002"/>
  </x:r>
  <x:r>
    <x:s v="INV-01141"/>
    <x:x v="6"/>
    <x:s v="SUP16"/>
    <x:x v="0"/>
    <x:s v="Components"/>
    <x:d v="2026-02-08T00:00:00Z"/>
    <x:n v="46091"/>
    <x:x v="1"/>
    <x:n v="751819.9"/>
    <x:s v="Historical"/>
    <x:s v="SUP16-INV-01141"/>
    <x:n v="30"/>
    <x:s v="Kyoto Optical Instruments"/>
    <x:n v="1.1555"/>
    <x:n v="1.3367963164349013"/>
    <x:n v="0.006298375667720483"/>
    <x:n v="0.006298375667720483"/>
    <x:x v="1140"/>
    <x:x v="6"/>
    <x:n v="0.00646"/>
    <x:n v="4856.756554"/>
    <x:n v="-121.51238933195236"/>
    <x:n v="-0.02501924648289719"/>
  </x:r>
  <x:r>
    <x:s v="INV-01142"/>
    <x:x v="7"/>
    <x:s v="SUP03"/>
    <x:x v="0"/>
    <x:s v="Components"/>
    <x:d v="2026-03-07T00:00:00Z"/>
    <x:n v="46118"/>
    <x:x v="0"/>
    <x:n v="10353.65"/>
    <x:s v="Historical"/>
    <x:s v="SUP03-INV-01142"/>
    <x:n v="30"/>
    <x:s v="Benelux Sensor Works"/>
    <x:n v="1.1555"/>
    <x:n v="1.3367963164349013"/>
    <x:n v="0.006298375667720483"/>
    <x:n v="1.1555"/>
    <x:x v="1141"/>
    <x:x v="6"/>
    <x:n v="1.065"/>
    <x:n v="11026.63725"/>
    <x:n v="937.0053250000001"/>
    <x:n v="0.08497652582159626"/>
  </x:r>
  <x:r>
    <x:s v="INV-01143"/>
    <x:x v="4"/>
    <x:s v="SUP08"/>
    <x:x v="0"/>
    <x:s v="Components"/>
    <x:d v="2026-09-26T00:00:00Z"/>
    <x:n v="46321"/>
    <x:x v="0"/>
    <x:n v="23506.32"/>
    <x:s v="Historical"/>
    <x:s v="SUP08-INV-01143"/>
    <x:n v="30"/>
    <x:s v="Valencia Circuit Supply"/>
    <x:n v="1.1403"/>
    <x:n v="1.3252367947004475"/>
    <x:n v="0.006345575959933223"/>
    <x:n v="1.1403"/>
    <x:x v="1142"/>
    <x:x v="4"/>
    <x:n v="1.101"/>
    <x:n v="25880.458319999998"/>
    <x:n v="923.7983760000025"/>
    <x:n v="0.035694822888283476"/>
  </x:r>
  <x:r>
    <x:s v="INV-01144"/>
    <x:x v="11"/>
    <x:s v="SUP14"/>
    <x:x v="0"/>
    <x:s v="Equipment"/>
    <x:d v="2026-05-17T00:00:00Z"/>
    <x:n v="46219"/>
    <x:x v="1"/>
    <x:n v="12134135.94"/>
    <x:s v="Historical"/>
    <x:s v="SUP14-INV-01144"/>
    <x:n v="60"/>
    <x:s v="Tokyo Automation Systems"/>
    <x:n v="1.1628"/>
    <x:n v="1.3357840321654222"/>
    <x:n v="0.00630722499457583"/>
    <x:n v="0.00630722499457583"/>
    <x:x v="1143"/>
    <x:x v="0"/>
    <x:n v="0.0066"/>
    <x:n v="80085.297204"/>
    <x:n v="-3552.5717156511237"/>
    <x:n v="-0.04435984930669252"/>
  </x:r>
  <x:r>
    <x:s v="INV-01145"/>
    <x:x v="15"/>
    <x:s v="SUP18"/>
    <x:x v="1"/>
    <x:s v="Services"/>
    <x:d v="2025-07-10T00:00:00Z"/>
    <x:n v="45878"/>
    <x:x v="1"/>
    <x:n v="1448377.2"/>
    <x:s v="Historical"/>
    <x:s v="SUP18-INV-01145"/>
    <x:n v="30"/>
    <x:s v="Yokohama Engineering Labs"/>
    <x:n v="1.1709"/>
    <x:n v="1.357250492639388"/>
    <x:n v="0.006834179653300648"/>
    <x:n v="0.006834179653300648"/>
    <x:x v="1144"/>
    <x:x v="1"/>
    <x:n v="0.00684"/>
    <x:n v="9906.900048"/>
    <x:n v="-8.430057455436327"/>
    <x:n v="-0.0008509278800221855"/>
  </x:r>
  <x:r>
    <x:s v="INV-01146"/>
    <x:x v="13"/>
    <x:s v="SUP11"/>
    <x:x v="2"/>
    <x:s v="Software"/>
    <x:d v="2025-04-03T00:00:00Z"/>
    <x:n v="45780"/>
    <x:x v="2"/>
    <x:n v="5999.69"/>
    <x:s v="Historical"/>
    <x:s v="SUP11-INV-01146"/>
    <x:n v="30"/>
    <x:s v="Manchester Cloud Solutions"/>
    <x:n v="1.1097"/>
    <x:n v="1.3185128857098725"/>
    <x:n v="0.006842819263735586"/>
    <x:n v="1.3185128857098725"/>
    <x:x v="1145"/>
    <x:x v="5"/>
    <x:n v="1.26"/>
    <x:n v="7559.609399999999"/>
    <x:n v="351.0591752646651"/>
    <x:n v="0.04643879818243852"/>
  </x:r>
  <x:r>
    <x:s v="INV-01147"/>
    <x:x v="5"/>
    <x:s v="SUP09"/>
    <x:x v="0"/>
    <x:s v="Components"/>
    <x:d v="2025-07-17T00:00:00Z"/>
    <x:n v="45885"/>
    <x:x v="2"/>
    <x:n v="27503.79"/>
    <x:s v="Historical"/>
    <x:s v="SUP09-INV-01147"/>
    <x:n v="30"/>
    <x:s v="Thames Electronics Ltd"/>
    <x:n v="1.1579"/>
    <x:n v="1.3395418787598334"/>
    <x:n v="0.006721035523566287"/>
    <x:n v="1.3395418787598334"/>
    <x:x v="1146"/>
    <x:x v="1"/>
    <x:n v="1.282"/>
    <x:n v="35259.85878"/>
    <x:n v="1582.6197496159148"/>
    <x:n v="0.044884460811102395"/>
  </x:r>
  <x:r>
    <x:s v="INV-01148"/>
    <x:x v="5"/>
    <x:s v="SUP09"/>
    <x:x v="0"/>
    <x:s v="Components"/>
    <x:d v="2025-09-21T00:00:00Z"/>
    <x:n v="45951"/>
    <x:x v="2"/>
    <x:n v="24447.9"/>
    <x:s v="Historical"/>
    <x:s v="SUP09-INV-01148"/>
    <x:n v="30"/>
    <x:s v="Thames Electronics Ltd"/>
    <x:n v="1.1739"/>
    <x:n v="1.3425205855443734"/>
    <x:n v="0.006337526318630891"/>
    <x:n v="1.3425205855443734"/>
    <x:x v="1147"/>
    <x:x v="1"/>
    <x:n v="1.282"/>
    <x:n v="31342.207800000004"/>
    <x:n v="1479.6012233302827"/>
    <x:n v="0.047207945042412824"/>
  </x:r>
  <x:r>
    <x:s v="INV-01149"/>
    <x:x v="10"/>
    <x:s v="SUP02"/>
    <x:x v="0"/>
    <x:s v="Equipment"/>
    <x:d v="2026-11-07T00:00:00Z"/>
    <x:n v="46378"/>
    <x:x v="0"/>
    <x:n v="75101.79"/>
    <x:s v="Planned"/>
    <x:s v="SUP02-INV-01149"/>
    <x:n v="45"/>
    <x:s v="Alpen Precision Systems"/>
    <x:n v="1.1177"/>
    <x:n v="1.320456022210408"/>
    <x:n v="0.00632004523607577"/>
    <x:n v="1.1177"/>
    <x:x v="1148"/>
    <x:x v="2"/>
    <x:n v="1.119"/>
    <x:n v="84038.90301"/>
    <x:n v="-97.6323270000139"/>
    <x:n v="-0.0011617515638965015"/>
  </x:r>
  <x:r>
    <x:s v="INV-01150"/>
    <x:x v="11"/>
    <x:s v="SUP14"/>
    <x:x v="0"/>
    <x:s v="Equipment"/>
    <x:d v="2025-07-28T00:00:00Z"/>
    <x:n v="45926"/>
    <x:x v="1"/>
    <x:n v="9533954.95"/>
    <x:s v="Historical"/>
    <x:s v="SUP14-INV-01150"/>
    <x:n v="60"/>
    <x:s v="Tokyo Automation Systems"/>
    <x:n v="1.1654"/>
    <x:n v="1.3427814264316165"/>
    <x:n v="0.006750072400810889"/>
    <x:n v="0.006750072400810889"/>
    <x:x v="1149"/>
    <x:x v="1"/>
    <x:n v="0.00684"/>
    <x:n v="65212.25185799999"/>
    <x:n v="-857.3656794306371"/>
    <x:n v="-0.01314730982296939"/>
  </x:r>
  <x:r>
    <x:s v="INV-01151"/>
    <x:x v="2"/>
    <x:s v="SUP10"/>
    <x:x v="1"/>
    <x:s v="Services"/>
    <x:d v="2026-01-22T00:00:00Z"/>
    <x:n v="46089"/>
    <x:x v="2"/>
    <x:n v="3472.33"/>
    <x:s v="Historical"/>
    <x:s v="SUP10-INV-01151"/>
    <x:n v="45"/>
    <x:s v="Bristol Calibration Services"/>
    <x:n v="1.1706"/>
    <x:n v="1.3421233662004128"/>
    <x:n v="0.006297611362169142"/>
    <x:n v="1.3421233662004128"/>
    <x:x v="1150"/>
    <x:x v="6"/>
    <x:n v="1.249"/>
    <x:n v="4336.94017"/>
    <x:n v="323.35505815867964"/>
    <x:n v="0.07455833963203592"/>
  </x:r>
  <x:r>
    <x:s v="INV-01152"/>
    <x:x v="7"/>
    <x:s v="SUP03"/>
    <x:x v="0"/>
    <x:s v="Components"/>
    <x:d v="2025-09-11T00:00:00Z"/>
    <x:n v="45941"/>
    <x:x v="0"/>
    <x:n v="20910.17"/>
    <x:s v="Historical"/>
    <x:s v="SUP03-INV-01152"/>
    <x:n v="30"/>
    <x:s v="Benelux Sensor Works"/>
    <x:n v="1.1685"/>
    <x:n v="1.3513357233722678"/>
    <x:n v="0.0067590236001851"/>
    <x:n v="1.1685"/>
    <x:x v="1151"/>
    <x:x v="1"/>
    <x:n v="1.088"/>
    <x:n v="22750.26496"/>
    <x:n v="1683.268684999999"/>
    <x:n v="0.07398897058823525"/>
  </x:r>
  <x:r>
    <x:s v="INV-01153"/>
    <x:x v="3"/>
    <x:s v="SUP04"/>
    <x:x v="1"/>
    <x:s v="Packaging"/>
    <x:d v="2026-08-15T00:00:00Z"/>
    <x:n v="46279"/>
    <x:x v="0"/>
    <x:n v="9508.93"/>
    <x:s v="Historical"/>
    <x:s v="SUP04-INV-01153"/>
    <x:n v="30"/>
    <x:s v="Nordlicht Packaging"/>
    <x:n v="1.1567"/>
    <x:n v="1.353657109420714"/>
    <x:n v="0.006288805523840591"/>
    <x:n v="1.1567"/>
    <x:x v="1152"/>
    <x:x v="4"/>
    <x:n v="1.101"/>
    <x:n v="10469.33193"/>
    <x:n v="529.6474010000002"/>
    <x:n v="0.05059037238873753"/>
  </x:r>
  <x:r>
    <x:s v="INV-01154"/>
    <x:x v="10"/>
    <x:s v="SUP02"/>
    <x:x v="0"/>
    <x:s v="Equipment"/>
    <x:d v="2025-04-24T00:00:00Z"/>
    <x:n v="45816"/>
    <x:x v="0"/>
    <x:n v="44433.84"/>
    <x:s v="Historical"/>
    <x:s v="SUP02-INV-01154"/>
    <x:n v="45"/>
    <x:s v="Alpen Precision Systems"/>
    <x:n v="1.1376"/>
    <x:n v="1.3305263157894736"/>
    <x:n v="0.007015293537247163"/>
    <x:n v="1.1376"/>
    <x:x v="1153"/>
    <x:x v="5"/>
    <x:n v="1.07"/>
    <x:n v="47544.2088"/>
    <x:n v="3003.727583999993"/>
    <x:n v="0.0631775700934578"/>
  </x:r>
  <x:r>
    <x:s v="INV-01155"/>
    <x:x v="14"/>
    <x:s v="SUP07"/>
    <x:x v="0"/>
    <x:s v="Equipment"/>
    <x:d v="2026-02-27T00:00:00Z"/>
    <x:n v="46140"/>
    <x:x v="0"/>
    <x:n v="18149.11"/>
    <x:s v="Historical"/>
    <x:s v="SUP07-INV-01155"/>
    <x:n v="60"/>
    <x:s v="Milan Assembly Robotics"/>
    <x:n v="1.1805"/>
    <x:n v="1.347141389934954"/>
    <x:n v="0.006411231195351111"/>
    <x:n v="1.1805"/>
    <x:x v="1154"/>
    <x:x v="6"/>
    <x:n v="1.065"/>
    <x:n v="19328.80215"/>
    <x:n v="2096.222205000002"/>
    <x:n v="0.1084507042253522"/>
  </x:r>
  <x:r>
    <x:s v="INV-01156"/>
    <x:x v="1"/>
    <x:s v="SUP15"/>
    <x:x v="1"/>
    <x:s v="Freight"/>
    <x:d v="2026-03-05T00:00:00Z"/>
    <x:n v="46116"/>
    <x:x v="1"/>
    <x:n v="1664414.71"/>
    <x:s v="Historical"/>
    <x:s v="SUP15-INV-01156"/>
    <x:n v="30"/>
    <x:s v="Nagoya Logistics Partners"/>
    <x:n v="1.1618"/>
    <x:n v="1.3361702127659574"/>
    <x:n v="0.006347593290717368"/>
    <x:n v="0.006347593290717368"/>
    <x:x v="1155"/>
    <x:x v="6"/>
    <x:n v="0.00646"/>
    <x:n v="10752.1190266"/>
    <x:n v="-187.0913804327065"/>
    <x:n v="-0.01740041939359631"/>
  </x:r>
  <x:r>
    <x:s v="INV-01157"/>
    <x:x v="4"/>
    <x:s v="SUP08"/>
    <x:x v="0"/>
    <x:s v="Components"/>
    <x:d v="2026-10-27T00:00:00Z"/>
    <x:n v="46352"/>
    <x:x v="0"/>
    <x:n v="6093.57"/>
    <x:s v="Planned"/>
    <x:s v="SUP08-INV-01157"/>
    <x:n v="30"/>
    <x:s v="Valencia Circuit Supply"/>
    <x:n v="1.1177"/>
    <x:n v="1.320456022210408"/>
    <x:n v="0.00632004523607577"/>
    <x:n v="1.1177"/>
    <x:x v="1156"/>
    <x:x v="2"/>
    <x:n v="1.119"/>
    <x:n v="6818.70483"/>
    <x:n v="-7.921641000000818"/>
    <x:n v="-0.0011617515638964562"/>
  </x:r>
  <x:r>
    <x:s v="INV-01158"/>
    <x:x v="6"/>
    <x:s v="SUP16"/>
    <x:x v="0"/>
    <x:s v="Components"/>
    <x:d v="2025-11-14T00:00:00Z"/>
    <x:n v="46005"/>
    <x:x v="1"/>
    <x:n v="966462.79"/>
    <x:s v="Historical"/>
    <x:s v="SUP16-INV-01158"/>
    <x:n v="30"/>
    <x:s v="Kyoto Optical Instruments"/>
    <x:n v="1.1648"/>
    <x:n v="1.316753334840606"/>
    <x:n v="0.006499274634527397"/>
    <x:n v="0.006499274634527397"/>
    <x:x v="1157"/>
    <x:x v="7"/>
    <x:n v="0.00698"/>
    <x:n v="6745.9102742000005"/>
    <x:n v="-464.60317793842205"/>
    <x:n v="-0.06887182886426983"/>
  </x:r>
  <x:r>
    <x:s v="INV-01159"/>
    <x:x v="13"/>
    <x:s v="SUP11"/>
    <x:x v="2"/>
    <x:s v="Software"/>
    <x:d v="2026-03-23T00:00:00Z"/>
    <x:n v="46134"/>
    <x:x v="2"/>
    <x:n v="3720.69"/>
    <x:s v="Historical"/>
    <x:s v="SUP11-INV-01159"/>
    <x:n v="30"/>
    <x:s v="Manchester Cloud Solutions"/>
    <x:n v="1.1596"/>
    <x:n v="1.3418190233742189"/>
    <x:n v="0.006306972696616991"/>
    <x:n v="1.3418190233742189"/>
    <x:x v="1158"/>
    <x:x v="6"/>
    <x:n v="1.249"/>
    <x:n v="4647.14181"/>
    <x:n v="345.3508120782226"/>
    <x:n v="0.0743146704357237"/>
  </x:r>
  <x:r>
    <x:s v="INV-01160"/>
    <x:x v="16"/>
    <x:s v="SUP12"/>
    <x:x v="0"/>
    <x:s v="Components"/>
    <x:d v="2026-01-27T00:00:00Z"/>
    <x:n v="46109"/>
    <x:x v="2"/>
    <x:n v="16820.31"/>
    <x:s v="Historical"/>
    <x:s v="SUP12-INV-01160"/>
    <x:n v="60"/>
    <x:s v="Oxford Technical Materials"/>
    <x:n v="1.1929"/>
    <x:n v="1.3738339283657723"/>
    <x:n v="0.0065214301333916475"/>
    <x:n v="1.3738339283657723"/>
    <x:x v="1159"/>
    <x:x v="6"/>
    <x:n v="1.249"/>
    <x:n v="21008.567190000005"/>
    <x:n v="2099.7453736300813"/>
    <x:n v="0.09994710037291604"/>
  </x:r>
  <x:r>
    <x:s v="INV-01161"/>
    <x:x v="0"/>
    <x:s v="SUP01"/>
    <x:x v="0"/>
    <x:s v="Components"/>
    <x:d v="2026-06-16T00:00:00Z"/>
    <x:n v="46219"/>
    <x:x v="0"/>
    <x:n v="11309.4"/>
    <x:s v="Historical"/>
    <x:s v="SUP01-INV-01161"/>
    <x:n v="30"/>
    <x:s v="Rhein Circuit Components"/>
    <x:n v="1.1594"/>
    <x:n v="1.3407963363439765"/>
    <x:n v="0.006235344734860708"/>
    <x:n v="1.1594"/>
    <x:x v="1160"/>
    <x:x v="0"/>
    <x:n v="1.083"/>
    <x:n v="12248.080199999999"/>
    <x:n v="864.0381600000001"/>
    <x:n v="0.07054478301015699"/>
  </x:r>
  <x:r>
    <x:s v="INV-01162"/>
    <x:x v="9"/>
    <x:s v="SUP05"/>
    <x:x v="0"/>
    <x:s v="Components"/>
    <x:d v="2025-04-05T00:00:00Z"/>
    <x:n v="45797"/>
    <x:x v="0"/>
    <x:n v="28924.59"/>
    <x:s v="Historical"/>
    <x:s v="SUP05-INV-01162"/>
    <x:n v="45"/>
    <x:s v="Lyon Industrial Controls"/>
    <x:n v="1.1381"/>
    <x:n v="1.35617254528122"/>
    <x:n v="0.006998093832626206"/>
    <x:n v="1.1381"/>
    <x:x v="1161"/>
    <x:x v="5"/>
    <x:n v="1.07"/>
    <x:n v="30949.3113"/>
    <x:n v="1969.7645789999951"/>
    <x:n v="0.06364485981308396"/>
  </x:r>
  <x:r>
    <x:s v="INV-01163"/>
    <x:x v="11"/>
    <x:s v="SUP14"/>
    <x:x v="0"/>
    <x:s v="Equipment"/>
    <x:d v="2025-01-16T00:00:00Z"/>
    <x:n v="45733"/>
    <x:x v="1"/>
    <x:n v="3634421.46"/>
    <x:s v="Historical"/>
    <x:s v="SUP14-INV-01163"/>
    <x:n v="60"/>
    <x:s v="Tokyo Automation Systems"/>
    <x:n v="1.0272"/>
    <x:n v="1.2191127252011678"/>
    <x:n v="0.0064015954131870865"/>
    <x:n v="0.0064015954131870865"/>
    <x:x v="1162"/>
    <x:x v="3"/>
    <x:n v="0.00656"/>
    <x:n v="23841.8047776"/>
    <x:n v="-575.7090296752831"/>
    <x:n v="-0.024147040672700116"/>
  </x:r>
  <x:r>
    <x:s v="INV-01164"/>
    <x:x v="10"/>
    <x:s v="SUP02"/>
    <x:x v="0"/>
    <x:s v="Equipment"/>
    <x:d v="2025-10-18T00:00:00Z"/>
    <x:n v="45993"/>
    <x:x v="0"/>
    <x:n v="11724.19"/>
    <x:s v="Historical"/>
    <x:s v="SUP02-INV-01164"/>
    <x:n v="45"/>
    <x:s v="Alpen Precision Systems"/>
    <x:n v="1.1805"/>
    <x:n v="1.347141389934954"/>
    <x:n v="0.006411231195351111"/>
    <x:n v="1.1805"/>
    <x:x v="1163"/>
    <x:x v="7"/>
    <x:n v="1.106"/>
    <x:n v="12966.954140000002"/>
    <x:n v="873.4521550000009"/>
    <x:n v="0.06735985533453893"/>
  </x:r>
  <x:r>
    <x:s v="INV-01165"/>
    <x:x v="10"/>
    <x:s v="SUP02"/>
    <x:x v="0"/>
    <x:s v="Equipment"/>
    <x:d v="2026-07-17T00:00:00Z"/>
    <x:n v="46265"/>
    <x:x v="0"/>
    <x:n v="53901.16"/>
    <x:s v="Historical"/>
    <x:s v="SUP02-INV-01165"/>
    <x:n v="45"/>
    <x:s v="Alpen Precision Systems"/>
    <x:n v="1.1435"/>
    <x:n v="1.3437448588685985"/>
    <x:n v="0.006159439806086722"/>
    <x:n v="1.1435"/>
    <x:x v="1164"/>
    <x:x v="4"/>
    <x:n v="1.101"/>
    <x:n v="59345.17716"/>
    <x:n v="2290.799300000006"/>
    <x:n v="0.038601271571298924"/>
  </x:r>
  <x:r>
    <x:s v="INV-01166"/>
    <x:x v="3"/>
    <x:s v="SUP04"/>
    <x:x v="1"/>
    <x:s v="Packaging"/>
    <x:d v="2026-01-02T00:00:00Z"/>
    <x:n v="46054"/>
    <x:x v="0"/>
    <x:n v="3277.01"/>
    <x:s v="Historical"/>
    <x:s v="SUP04-INV-01166"/>
    <x:n v="30"/>
    <x:s v="Nordlicht Packaging"/>
    <x:n v="1.1721"/>
    <x:n v="1.3443055396261039"/>
    <x:n v="0.006372186582581276"/>
    <x:n v="1.1721"/>
    <x:x v="1165"/>
    <x:x v="6"/>
    <x:n v="1.065"/>
    <x:n v="3490.0156500000003"/>
    <x:n v="350.96777099999963"/>
    <x:n v="0.10056338028169003"/>
  </x:r>
  <x:r>
    <x:s v="INV-01167"/>
    <x:x v="2"/>
    <x:s v="SUP10"/>
    <x:x v="1"/>
    <x:s v="Services"/>
    <x:d v="2026-03-06T00:00:00Z"/>
    <x:n v="46132"/>
    <x:x v="2"/>
    <x:n v="1800.78"/>
    <x:s v="Historical"/>
    <x:s v="SUP10-INV-01167"/>
    <x:n v="45"/>
    <x:s v="Bristol Calibration Services"/>
    <x:n v="1.1561"/>
    <x:n v="1.3335563424959338"/>
    <x:n v="0.006332365667962973"/>
    <x:n v="1.3335563424959338"/>
    <x:x v="1166"/>
    <x:x v="6"/>
    <x:n v="1.249"/>
    <x:n v="2249.1742200000003"/>
    <x:n v="152.26737043982712"/>
    <x:n v="0.06769923338345354"/>
  </x:r>
  <x:r>
    <x:s v="INV-01168"/>
    <x:x v="6"/>
    <x:s v="SUP16"/>
    <x:x v="0"/>
    <x:s v="Components"/>
    <x:d v="2025-02-07T00:00:00Z"/>
    <x:n v="45725"/>
    <x:x v="1"/>
    <x:n v="3727188.17"/>
    <x:s v="Historical"/>
    <x:s v="SUP16-INV-01168"/>
    <x:n v="30"/>
    <x:s v="Kyoto Optical Instruments"/>
    <x:n v="1.0377"/>
    <x:n v="1.2449461926985232"/>
    <x:n v="0.0065772960638904735"/>
    <x:n v="0.0065772960638904735"/>
    <x:x v="1167"/>
    <x:x v="3"/>
    <x:n v="0.00656"/>
    <x:n v="24450.3543952"/>
    <x:n v="64.46568472013678"/>
    <x:n v="0.0026365951052550974"/>
  </x:r>
  <x:r>
    <x:s v="INV-01169"/>
    <x:x v="13"/>
    <x:s v="SUP11"/>
    <x:x v="2"/>
    <x:s v="Software"/>
    <x:d v="2025-03-06T00:00:00Z"/>
    <x:n v="45752"/>
    <x:x v="2"/>
    <x:n v="2742.43"/>
    <x:s v="Historical"/>
    <x:s v="SUP11-INV-01169"/>
    <x:n v="30"/>
    <x:s v="Manchester Cloud Solutions"/>
    <x:n v="1.0796"/>
    <x:n v="1.2884592433464612"/>
    <x:n v="0.006779703592062295"/>
    <x:n v="1.2884592433464612"/>
    <x:x v="1168"/>
    <x:x v="3"/>
    <x:n v="1.238"/>
    <x:n v="3395.1283399999998"/>
    <x:n v="138.38094273063552"/>
    <x:n v="0.04075867798583294"/>
  </x:r>
  <x:r>
    <x:s v="INV-01170"/>
    <x:x v="10"/>
    <x:s v="SUP02"/>
    <x:x v="0"/>
    <x:s v="Equipment"/>
    <x:d v="2025-12-15T00:00:00Z"/>
    <x:n v="46051"/>
    <x:x v="0"/>
    <x:n v="13638.46"/>
    <x:s v="Historical"/>
    <x:s v="SUP02-INV-01170"/>
    <x:n v="45"/>
    <x:s v="Alpen Precision Systems"/>
    <x:n v="1.1753"/>
    <x:n v="1.3387629570566124"/>
    <x:n v="0.006446358051777096"/>
    <x:n v="1.1753"/>
    <x:x v="1169"/>
    <x:x v="7"/>
    <x:n v="1.106"/>
    <x:n v="15084.13676"/>
    <x:n v="945.145278"/>
    <x:n v="0.06265822784810127"/>
  </x:r>
  <x:r>
    <x:s v="INV-01171"/>
    <x:x v="5"/>
    <x:s v="SUP09"/>
    <x:x v="0"/>
    <x:s v="Components"/>
    <x:d v="2026-01-29T00:00:00Z"/>
    <x:n v="46081"/>
    <x:x v="2"/>
    <x:n v="16021.09"/>
    <x:s v="Historical"/>
    <x:s v="SUP09-INV-01171"/>
    <x:n v="30"/>
    <x:s v="Thames Electronics Ltd"/>
    <x:n v="1.1968"/>
    <x:n v="1.3816670514892635"/>
    <x:n v="0.006522781774580337"/>
    <x:n v="1.3816670514892635"/>
    <x:x v="1170"/>
    <x:x v="6"/>
    <x:n v="1.249"/>
    <x:n v="20010.34141"/>
    <x:n v="2125.470771944125"/>
    <x:n v="0.10621861608427824"/>
  </x:r>
  <x:r>
    <x:s v="INV-01172"/>
    <x:x v="16"/>
    <x:s v="SUP12"/>
    <x:x v="0"/>
    <x:s v="Components"/>
    <x:d v="2025-05-31T00:00:00Z"/>
    <x:n v="45868"/>
    <x:x v="2"/>
    <x:n v="2999.8"/>
    <x:s v="Historical"/>
    <x:s v="SUP12-INV-01172"/>
    <x:n v="60"/>
    <x:s v="Oxford Technical Materials"/>
    <x:n v="1.1606"/>
    <x:n v="1.3462475350887368"/>
    <x:n v="0.0067359257109692395"/>
    <x:n v="1.3462475350887368"/>
    <x:x v="1171"/>
    <x:x v="5"/>
    <x:n v="1.26"/>
    <x:n v="3779.748"/>
    <x:n v="258.725355759193"/>
    <x:n v="0.06845042467360073"/>
  </x:r>
  <x:r>
    <x:s v="INV-01173"/>
    <x:x v="4"/>
    <x:s v="SUP08"/>
    <x:x v="0"/>
    <x:s v="Components"/>
    <x:d v="2025-06-07T00:00:00Z"/>
    <x:n v="45845"/>
    <x:x v="0"/>
    <x:n v="9056.26"/>
    <x:s v="Historical"/>
    <x:s v="SUP08-INV-01173"/>
    <x:n v="30"/>
    <x:s v="Valencia Circuit Supply"/>
    <x:n v="1.1639"/>
    <x:n v="1.3449272012941993"/>
    <x:n v="0.006763321517810447"/>
    <x:n v="1.1639"/>
    <x:x v="1172"/>
    <x:x v="5"/>
    <x:n v="1.07"/>
    <x:n v="9690.1982"/>
    <x:n v="850.3828139999987"/>
    <x:n v="0.08775700934579425"/>
  </x:r>
  <x:r>
    <x:s v="INV-01174"/>
    <x:x v="8"/>
    <x:s v="SUP13"/>
    <x:x v="0"/>
    <x:s v="Components"/>
    <x:d v="2025-06-17T00:00:00Z"/>
    <x:n v="45870"/>
    <x:x v="1"/>
    <x:n v="4133441.75"/>
    <x:s v="Historical"/>
    <x:s v="SUP13-INV-01174"/>
    <x:n v="45"/>
    <x:s v="Osaka Microdevices"/>
    <x:n v="1.1568"/>
    <x:n v="1.356950146627566"/>
    <x:n v="0.0069124589184344195"/>
    <x:n v="0.0069124589184344195"/>
    <x:x v="1173"/>
    <x:x v="5"/>
    <x:n v="0.0067"/>
    <x:n v="27694.059725"/>
    <x:n v="878.1865636166731"/>
    <x:n v="0.03171028633349541"/>
  </x:r>
  <x:r>
    <x:s v="INV-01175"/>
    <x:x v="0"/>
    <x:s v="SUP01"/>
    <x:x v="0"/>
    <x:s v="Components"/>
    <x:d v="2025-07-29T00:00:00Z"/>
    <x:n v="45897"/>
    <x:x v="0"/>
    <x:n v="24791.78"/>
    <x:s v="Historical"/>
    <x:s v="SUP01-INV-01175"/>
    <x:n v="30"/>
    <x:s v="Rhein Circuit Components"/>
    <x:n v="1.1533"/>
    <x:n v="1.3332947976878613"/>
    <x:n v="0.0067216458794731315"/>
    <x:n v="1.1533"/>
    <x:x v="1174"/>
    <x:x v="1"/>
    <x:n v="1.088"/>
    <x:n v="26973.45664"/>
    <x:n v="1618.9032339999976"/>
    <x:n v="0.06001838235294109"/>
  </x:r>
  <x:r>
    <x:s v="INV-01176"/>
    <x:x v="0"/>
    <x:s v="SUP01"/>
    <x:x v="0"/>
    <x:s v="Components"/>
    <x:d v="2025-05-17T00:00:00Z"/>
    <x:n v="45824"/>
    <x:x v="0"/>
    <x:n v="24490.61"/>
    <x:s v="Historical"/>
    <x:s v="SUP01-INV-01176"/>
    <x:n v="30"/>
    <x:s v="Rhein Circuit Components"/>
    <x:n v="1.1726"/>
    <x:n v="1.353260242354299"/>
    <x:n v="0.006836121961172973"/>
    <x:n v="1.1726"/>
    <x:x v="1175"/>
    <x:x v="5"/>
    <x:n v="1.07"/>
    <x:n v="26204.9527"/>
    <x:n v="2512.7365860000027"/>
    <x:n v="0.09588785046728981"/>
  </x:r>
  <x:r>
    <x:s v="INV-01177"/>
    <x:x v="8"/>
    <x:s v="SUP13"/>
    <x:x v="0"/>
    <x:s v="Components"/>
    <x:d v="2025-08-19T00:00:00Z"/>
    <x:n v="45933"/>
    <x:x v="1"/>
    <x:n v="4071437.05"/>
    <x:s v="Historical"/>
    <x:s v="SUP13-INV-01177"/>
    <x:n v="45"/>
    <x:s v="Osaka Microdevices"/>
    <x:n v="1.1682"/>
    <x:n v="1.3520833333333333"/>
    <x:n v="0.006765506457404297"/>
    <x:n v="0.006765506457404297"/>
    <x:x v="1176"/>
    <x:x v="1"/>
    <x:n v="0.00684"/>
    <x:n v="27848.629421999998"/>
    <x:n v="-303.2957693098979"/>
    <x:n v="-0.010890868800541357"/>
  </x:r>
  <x:r>
    <x:s v="INV-01178"/>
    <x:x v="5"/>
    <x:s v="SUP09"/>
    <x:x v="0"/>
    <x:s v="Components"/>
    <x:d v="2025-08-20T00:00:00Z"/>
    <x:n v="45919"/>
    <x:x v="2"/>
    <x:n v="12195.8"/>
    <x:s v="Historical"/>
    <x:s v="SUP09-INV-01178"/>
    <x:n v="30"/>
    <x:s v="Thames Electronics Ltd"/>
    <x:n v="1.1651"/>
    <x:n v="1.3477154424522846"/>
    <x:n v="0.006782907376142516"/>
    <x:n v="1.3477154424522846"/>
    <x:x v="1177"/>
    <x:x v="1"/>
    <x:n v="1.282"/>
    <x:n v="15635.015599999999"/>
    <x:n v="801.4523930595715"/>
    <x:n v="0.051260095516602586"/>
  </x:r>
  <x:r>
    <x:s v="INV-01179"/>
    <x:x v="8"/>
    <x:s v="SUP13"/>
    <x:x v="0"/>
    <x:s v="Components"/>
    <x:d v="2025-03-31T00:00:00Z"/>
    <x:n v="45792"/>
    <x:x v="1"/>
    <x:n v="3185105.95"/>
    <x:s v="Historical"/>
    <x:s v="SUP13-INV-01179"/>
    <x:n v="45"/>
    <x:s v="Osaka Microdevices"/>
    <x:n v="1.0815"/>
    <x:n v="1.294651407776288"/>
    <x:n v="0.006692450495049505"/>
    <x:n v="0.006692450495049505"/>
    <x:x v="1178"/>
    <x:x v="3"/>
    <x:n v="0.00656"/>
    <x:n v="20894.295032"/>
    <x:n v="421.8688598626213"/>
    <x:n v="0.020190624245351247"/>
  </x:r>
  <x:r>
    <x:s v="INV-01180"/>
    <x:x v="16"/>
    <x:s v="SUP12"/>
    <x:x v="0"/>
    <x:s v="Components"/>
    <x:d v="2026-10-07T00:00:00Z"/>
    <x:n v="46362"/>
    <x:x v="2"/>
    <x:n v="14907.89"/>
    <x:s v="Planned"/>
    <x:s v="SUP12-INV-01180"/>
    <x:n v="60"/>
    <x:s v="Oxford Technical Materials"/>
    <x:n v="1.1177"/>
    <x:n v="1.320456022210408"/>
    <x:n v="0.00632004523607577"/>
    <x:n v="1.320456022210408"/>
    <x:x v="1179"/>
    <x:x v="2"/>
    <x:n v="1.315"/>
    <x:n v="19603.87535"/>
    <x:n v="81.33777895032108"/>
    <x:n v="0.004149066319701991"/>
  </x:r>
  <x:r>
    <x:s v="INV-01181"/>
    <x:x v="8"/>
    <x:s v="SUP13"/>
    <x:x v="0"/>
    <x:s v="Components"/>
    <x:d v="2026-08-22T00:00:00Z"/>
    <x:n v="46301"/>
    <x:x v="1"/>
    <x:n v="2792984.63"/>
    <x:s v="Historical"/>
    <x:s v="SUP13-INV-01181"/>
    <x:n v="45"/>
    <x:s v="Osaka Microdevices"/>
    <x:n v="1.1699"/>
    <x:n v="1.3655888875919224"/>
    <x:n v="0.006301303457933858"/>
    <x:n v="0.006301303457933858"/>
    <x:x v="1180"/>
    <x:x v="4"/>
    <x:n v="0.00674"/>
    <x:n v="18824.7164062"/>
    <x:n v="-1225.2726992248863"/>
    <x:n v="-0.06508850772494705"/>
  </x:r>
  <x:r>
    <x:s v="INV-01182"/>
    <x:x v="11"/>
    <x:s v="SUP14"/>
    <x:x v="0"/>
    <x:s v="Equipment"/>
    <x:d v="2026-05-17T00:00:00Z"/>
    <x:n v="46219"/>
    <x:x v="1"/>
    <x:n v="4193510.33"/>
    <x:s v="Historical"/>
    <x:s v="SUP14-INV-01182"/>
    <x:n v="60"/>
    <x:s v="Tokyo Automation Systems"/>
    <x:n v="1.1628"/>
    <x:n v="1.3357840321654222"/>
    <x:n v="0.00630722499457583"/>
    <x:n v="0.00630722499457583"/>
    <x:x v="1181"/>
    <x:x v="0"/>
    <x:n v="0.0066"/>
    <x:n v="27677.168178"/>
    <x:n v="-1227.7550096120613"/>
    <x:n v="-0.044359849306692366"/>
  </x:r>
  <x:r>
    <x:s v="INV-01183"/>
    <x:x v="6"/>
    <x:s v="SUP16"/>
    <x:x v="0"/>
    <x:s v="Components"/>
    <x:d v="2026-12-24T00:00:00Z"/>
    <x:n v="46410"/>
    <x:x v="1"/>
    <x:n v="4878613.29"/>
    <x:s v="Planned"/>
    <x:s v="SUP16-INV-01183"/>
    <x:n v="30"/>
    <x:s v="Kyoto Optical Instruments"/>
    <x:n v="1.1177"/>
    <x:n v="1.320456022210408"/>
    <x:n v="0.00632004523607577"/>
    <x:n v="0.00632004523607577"/>
    <x:x v="1182"/>
    <x:x v="2"/>
    <x:n v="0.00688"/>
    <x:n v="33564.8594352"/>
    <x:n v="-2731.8027530795625"/>
    <x:n v="-0.08138877382619626"/>
  </x:r>
  <x:r>
    <x:s v="INV-01184"/>
    <x:x v="11"/>
    <x:s v="SUP14"/>
    <x:x v="0"/>
    <x:s v="Equipment"/>
    <x:d v="2026-03-16T00:00:00Z"/>
    <x:n v="46157"/>
    <x:x v="1"/>
    <x:n v="7219071.43"/>
    <x:s v="Historical"/>
    <x:s v="SUP14-INV-01184"/>
    <x:n v="60"/>
    <x:s v="Tokyo Automation Systems"/>
    <x:n v="1.1478"/>
    <x:n v="1.328349226923433"/>
    <x:n v="0.006283805978320376"/>
    <x:n v="0.006283805978320376"/>
    <x:x v="1183"/>
    <x:x v="6"/>
    <x:n v="0.00646"/>
    <x:n v="46635.201437799995"/>
    <x:n v="-1271.9572280441716"/>
    <x:n v="-0.02727461635907487"/>
  </x:r>
  <x:r>
    <x:s v="INV-01185"/>
    <x:x v="16"/>
    <x:s v="SUP12"/>
    <x:x v="0"/>
    <x:s v="Components"/>
    <x:d v="2025-10-20T00:00:00Z"/>
    <x:n v="46010"/>
    <x:x v="2"/>
    <x:n v="11567.98"/>
    <x:s v="Historical"/>
    <x:s v="SUP12-INV-01185"/>
    <x:n v="60"/>
    <x:s v="Oxford Technical Materials"/>
    <x:n v="1.1655"/>
    <x:n v="1.3410424577148774"/>
    <x:n v="0.006633088611917364"/>
    <x:n v="1.3410424577148774"/>
    <x:x v="1184"/>
    <x:x v="7"/>
    <x:n v="1.304"/>
    <x:n v="15084.64592"/>
    <x:n v="428.5064099965457"/>
    <x:n v="0.028406792726132855"/>
  </x:r>
  <x:r>
    <x:s v="INV-01186"/>
    <x:x v="3"/>
    <x:s v="SUP04"/>
    <x:x v="1"/>
    <x:s v="Packaging"/>
    <x:d v="2025-11-06T00:00:00Z"/>
    <x:n v="45997"/>
    <x:x v="0"/>
    <x:n v="4541.83"/>
    <x:s v="Historical"/>
    <x:s v="SUP04-INV-01186"/>
    <x:n v="30"/>
    <x:s v="Nordlicht Packaging"/>
    <x:n v="1.1533"/>
    <x:n v="1.3095265130010219"/>
    <x:n v="0.006510302003951454"/>
    <x:n v="1.1533"/>
    <x:x v="1185"/>
    <x:x v="7"/>
    <x:n v="1.106"/>
    <x:n v="5023.263980000001"/>
    <x:n v="214.8285589999996"/>
    <x:n v="0.04276672694394205"/>
  </x:r>
  <x:r>
    <x:s v="INV-01187"/>
    <x:x v="14"/>
    <x:s v="SUP07"/>
    <x:x v="0"/>
    <x:s v="Equipment"/>
    <x:d v="2025-09-20T00:00:00Z"/>
    <x:n v="45980"/>
    <x:x v="0"/>
    <x:n v="86265.54"/>
    <x:s v="Historical"/>
    <x:s v="SUP07-INV-01187"/>
    <x:n v="60"/>
    <x:s v="Milan Assembly Robotics"/>
    <x:n v="1.1728"/>
    <x:n v="1.3446457234579225"/>
    <x:n v="0.006333297332325305"/>
    <x:n v="1.1728"/>
    <x:x v="1186"/>
    <x:x v="1"/>
    <x:n v="1.088"/>
    <x:n v="93856.90752"/>
    <x:n v="7315.317792000002"/>
    <x:n v="0.07794117647058826"/>
  </x:r>
  <x:r>
    <x:s v="INV-01188"/>
    <x:x v="9"/>
    <x:s v="SUP05"/>
    <x:x v="0"/>
    <x:s v="Parts"/>
    <x:d v="2026-10-28T00:00:00Z"/>
    <x:n v="46368"/>
    <x:x v="0"/>
    <x:n v="18963.06"/>
    <x:s v="Planned"/>
    <x:s v="SUP05-INV-01188"/>
    <x:n v="45"/>
    <x:s v="Lyon Industrial Controls"/>
    <x:n v="1.1177"/>
    <x:n v="1.320456022210408"/>
    <x:n v="0.00632004523607577"/>
    <x:n v="1.1177"/>
    <x:x v="1187"/>
    <x:x v="2"/>
    <x:n v="1.119"/>
    <x:n v="21219.66414"/>
    <x:n v="-24.65197800000169"/>
    <x:n v="-0.0011617515638964156"/>
  </x:r>
  <x:r>
    <x:s v="INV-01189"/>
    <x:x v="6"/>
    <x:s v="SUP16"/>
    <x:x v="0"/>
    <x:s v="Components"/>
    <x:d v="2026-06-19T00:00:00Z"/>
    <x:n v="46222"/>
    <x:x v="1"/>
    <x:n v="531527.34"/>
    <x:s v="Historical"/>
    <x:s v="SUP16-INV-01189"/>
    <x:n v="30"/>
    <x:s v="Kyoto Optical Instruments"/>
    <x:n v="1.1467"/>
    <x:n v="1.3233240626406473"/>
    <x:n v="0.006202401557767201"/>
    <x:n v="0.006202401557767201"/>
    <x:x v="1188"/>
    <x:x v="0"/>
    <x:n v="0.0066"/>
    <x:n v="3508.0804439999997"/>
    <x:n v="-211.3344423881431"/>
    <x:n v="-0.0602421882170907"/>
  </x:r>
  <x:r>
    <x:s v="INV-01190"/>
    <x:x v="2"/>
    <x:s v="SUP10"/>
    <x:x v="1"/>
    <x:s v="Services"/>
    <x:d v="2025-03-30T00:00:00Z"/>
    <x:n v="45791"/>
    <x:x v="2"/>
    <x:n v="4605.72"/>
    <x:s v="Historical"/>
    <x:s v="SUP10-INV-01190"/>
    <x:n v="45"/>
    <x:s v="Bristol Calibration Services"/>
    <x:n v="1.1194"/>
    <x:n v="1.3283493532692536"/>
    <x:n v="0.006865378718184605"/>
    <x:n v="1.3283493532692536"/>
    <x:x v="1189"/>
    <x:x v="3"/>
    <x:n v="1.238"/>
    <x:n v="5701.88136"/>
    <x:n v="416.1238233392669"/>
    <x:n v="0.07298009149374285"/>
  </x:r>
  <x:r>
    <x:s v="INV-01191"/>
    <x:x v="0"/>
    <x:s v="SUP01"/>
    <x:x v="0"/>
    <x:s v="Components"/>
    <x:d v="2026-11-04T00:00:00Z"/>
    <x:n v="46360"/>
    <x:x v="0"/>
    <x:n v="27180.41"/>
    <x:s v="Planned"/>
    <x:s v="SUP01-INV-01191"/>
    <x:n v="30"/>
    <x:s v="Rhein Circuit Components"/>
    <x:n v="1.1177"/>
    <x:n v="1.320456022210408"/>
    <x:n v="0.00632004523607577"/>
    <x:n v="1.1177"/>
    <x:x v="1190"/>
    <x:x v="2"/>
    <x:n v="1.119"/>
    <x:n v="30414.87879"/>
    <x:n v="-35.3345330000011"/>
    <x:n v="-0.0011617515638963722"/>
  </x:r>
  <x:r>
    <x:s v="INV-01192"/>
    <x:x v="17"/>
    <x:s v="SUP06"/>
    <x:x v="2"/>
    <x:s v="Software"/>
    <x:d v="2025-12-09T00:00:00Z"/>
    <x:n v="46030"/>
    <x:x v="0"/>
    <x:n v="6184.87"/>
    <x:s v="Historical"/>
    <x:s v="SUP06-INV-01192"/>
    <x:n v="30"/>
    <x:s v="Dublin Systems Licensing"/>
    <x:n v="1.1637"/>
    <x:n v="1.3322266742987978"/>
    <x:n v="0.006395361617938008"/>
    <x:n v="1.1637"/>
    <x:x v="1191"/>
    <x:x v="7"/>
    <x:n v="1.106"/>
    <x:n v="6840.46622"/>
    <x:n v="356.86699899999894"/>
    <x:n v="0.0521699819168172"/>
  </x:r>
  <x:r>
    <x:s v="INV-01193"/>
    <x:x v="1"/>
    <x:s v="SUP15"/>
    <x:x v="1"/>
    <x:s v="Freight"/>
    <x:d v="2025-10-27T00:00:00Z"/>
    <x:n v="45987"/>
    <x:x v="1"/>
    <x:n v="1178796.19"/>
    <x:s v="Historical"/>
    <x:s v="SUP15-INV-01193"/>
    <x:n v="30"/>
    <x:s v="Nagoya Logistics Partners"/>
    <x:n v="1.164"/>
    <x:n v="1.3347093223254214"/>
    <x:n v="0.00654189849940988"/>
    <x:n v="0.00654189849940988"/>
    <x:x v="1192"/>
    <x:x v="7"/>
    <x:n v="0.00698"/>
    <x:n v="8227.9974062"/>
    <x:n v="-516.4323797289171"/>
    <x:n v="-0.06276525796420068"/>
  </x:r>
  <x:r>
    <x:s v="INV-01194"/>
    <x:x v="9"/>
    <x:s v="SUP05"/>
    <x:x v="0"/>
    <x:s v="Components"/>
    <x:d v="2026-02-19T00:00:00Z"/>
    <x:n v="46117"/>
    <x:x v="0"/>
    <x:n v="22422.19"/>
    <x:s v="Historical"/>
    <x:s v="SUP05-INV-01194"/>
    <x:n v="45"/>
    <x:s v="Lyon Industrial Controls"/>
    <x:n v="1.1753"/>
    <x:n v="1.3450446326390477"/>
    <x:n v="0.006455918703652842"/>
    <x:n v="1.1753"/>
    <x:x v="1193"/>
    <x:x v="6"/>
    <x:n v="1.065"/>
    <x:n v="23879.632349999996"/>
    <x:n v="2473.1675570000043"/>
    <x:n v="0.1035680751173711"/>
  </x:r>
  <x:r>
    <x:s v="INV-01195"/>
    <x:x v="3"/>
    <x:s v="SUP04"/>
    <x:x v="1"/>
    <x:s v="Packaging"/>
    <x:d v="2025-08-27T00:00:00Z"/>
    <x:n v="45926"/>
    <x:x v="0"/>
    <x:n v="11015.57"/>
    <x:s v="Historical"/>
    <x:s v="SUP04-INV-01195"/>
    <x:n v="30"/>
    <x:s v="Nordlicht Packaging"/>
    <x:n v="1.1593"/>
    <x:n v="1.3439601205657314"/>
    <x:n v="0.006754646623550661"/>
    <x:n v="1.1593"/>
    <x:x v="1194"/>
    <x:x v="1"/>
    <x:n v="1.088"/>
    <x:n v="11984.94016"/>
    <x:n v="785.4101410000003"/>
    <x:n v="0.06553308823529415"/>
  </x:r>
  <x:r>
    <x:s v="INV-01196"/>
    <x:x v="16"/>
    <x:s v="SUP12"/>
    <x:x v="0"/>
    <x:s v="Components"/>
    <x:d v="2025-11-22T00:00:00Z"/>
    <x:n v="46043"/>
    <x:x v="2"/>
    <x:n v="13995.21"/>
    <x:s v="Historical"/>
    <x:s v="SUP12-INV-01196"/>
    <x:n v="60"/>
    <x:s v="Oxford Technical Materials"/>
    <x:n v="1.1555"/>
    <x:n v="1.3367963164349013"/>
    <x:n v="0.006298375667720483"/>
    <x:n v="1.3367963164349013"/>
    <x:x v="1195"/>
    <x:x v="7"/>
    <x:n v="1.304"/>
    <x:n v="18249.75384"/>
    <x:n v="458.99133573289146"/>
    <x:n v="0.02515054941326767"/>
  </x:r>
  <x:r>
    <x:s v="INV-01197"/>
    <x:x v="8"/>
    <x:s v="SUP13"/>
    <x:x v="0"/>
    <x:s v="Components"/>
    <x:d v="2025-07-15T00:00:00Z"/>
    <x:n v="45898"/>
    <x:x v="1"/>
    <x:n v="3781795.12"/>
    <x:s v="Historical"/>
    <x:s v="SUP13-INV-01197"/>
    <x:n v="45"/>
    <x:s v="Osaka Microdevices"/>
    <x:n v="1.1665"/>
    <x:n v="1.3440488535545572"/>
    <x:n v="0.006759184146482791"/>
    <x:n v="0.006759184146482791"/>
    <x:x v="1196"/>
    <x:x v="1"/>
    <x:n v="0.00684"/>
    <x:n v="25867.4786208"/>
    <x:n v="-305.62900045001516"/>
    <x:n v="-0.011815183262749827"/>
  </x:r>
  <x:r>
    <x:s v="INV-01198"/>
    <x:x v="3"/>
    <x:s v="SUP04"/>
    <x:x v="1"/>
    <x:s v="Packaging"/>
    <x:d v="2026-10-09T00:00:00Z"/>
    <x:n v="46334"/>
    <x:x v="0"/>
    <x:n v="8397.04"/>
    <x:s v="Planned"/>
    <x:s v="SUP04-INV-01198"/>
    <x:n v="30"/>
    <x:s v="Nordlicht Packaging"/>
    <x:n v="1.1177"/>
    <x:n v="1.320456022210408"/>
    <x:n v="0.00632004523607577"/>
    <x:n v="1.1177"/>
    <x:x v="1197"/>
    <x:x v="2"/>
    <x:n v="1.119"/>
    <x:n v="9396.287760000001"/>
    <x:n v="-10.916152000001603"/>
    <x:n v="-0.0011617515638965065"/>
  </x:r>
  <x:r>
    <x:s v="INV-01199"/>
    <x:x v="12"/>
    <x:s v="SUP17"/>
    <x:x v="1"/>
    <x:s v="Packaging"/>
    <x:d v="2025-03-01T00:00:00Z"/>
    <x:n v="45762"/>
    <x:x v="1"/>
    <x:n v="407341.67"/>
    <x:s v="Historical"/>
    <x:s v="SUP17-INV-01199"/>
    <x:n v="45"/>
    <x:s v="Kobe Industrial Packaging"/>
    <x:n v="1.0803"/>
    <x:n v="1.294470073692409"/>
    <x:n v="0.006700781540751768"/>
    <x:n v="0.006700781540751768"/>
    <x:x v="1198"/>
    <x:x v="3"/>
    <x:n v="0.00656"/>
    <x:n v="2672.1613552"/>
    <x:n v="57.346187914998154"/>
    <x:n v="0.02146060072435485"/>
  </x:r>
  <x:r>
    <x:s v="INV-01200"/>
    <x:x v="5"/>
    <x:s v="SUP09"/>
    <x:x v="0"/>
    <x:s v="Components"/>
    <x:d v="2025-02-19T00:00:00Z"/>
    <x:n v="45737"/>
    <x:x v="2"/>
    <x:n v="8990.72"/>
    <x:s v="Historical"/>
    <x:s v="SUP09-INV-01200"/>
    <x:n v="30"/>
    <x:s v="Thames Electronics Ltd"/>
    <x:n v="1.0434"/>
    <x:n v="1.2595668654482244"/>
    <x:n v="0.006586705384761064"/>
    <x:n v="1.2595668654482244"/>
    <x:x v="1199"/>
    <x:x v="3"/>
    <x:n v="1.238"/>
    <x:n v="11130.511359999999"/>
    <x:n v="193.90164852266025"/>
    <x:n v="0.017420731379825867"/>
  </x:r>
  <x:r>
    <x:s v="INV-01201"/>
    <x:x v="4"/>
    <x:s v="SUP08"/>
    <x:x v="0"/>
    <x:s v="Components"/>
    <x:d v="2026-11-30T00:00:00Z"/>
    <x:n v="46386"/>
    <x:x v="0"/>
    <x:n v="23032.71"/>
    <x:s v="Planned"/>
    <x:s v="SUP08-INV-01201"/>
    <x:n v="30"/>
    <x:s v="Valencia Circuit Supply"/>
    <x:n v="1.1177"/>
    <x:n v="1.320456022210408"/>
    <x:n v="0.00632004523607577"/>
    <x:n v="1.1177"/>
    <x:x v="1200"/>
    <x:x v="2"/>
    <x:n v="1.119"/>
    <x:n v="25773.602489999997"/>
    <x:n v="-29.94252300000153"/>
    <x:n v="-0.0011617515638963954"/>
  </x:r>
  <x:r>
    <x:s v="INV-01203"/>
    <x:x v="7"/>
    <x:s v="SUP03"/>
    <x:x v="0"/>
    <x:s v="Components"/>
    <x:d v="2025-04-23T00:00:00Z"/>
    <x:n v="45800"/>
    <x:x v="0"/>
    <x:n v="11789.04"/>
    <x:s v="Historical"/>
    <x:s v="SUP03-INV-01203"/>
    <x:n v="30"/>
    <x:s v="Benelux Sensor Works"/>
    <x:n v="1.1415"/>
    <x:n v="1.3305281316657536"/>
    <x:n v="0.007060242454230578"/>
    <x:n v="1.1415"/>
    <x:x v="1201"/>
    <x:x v="5"/>
    <x:n v="1.07"/>
    <x:n v="12614.272800000002"/>
    <x:n v="842.9163599999974"/>
    <x:n v="0.06682242990654184"/>
  </x:r>
  <x:r>
    <x:s v="INV-01204"/>
    <x:x v="0"/>
    <x:s v="SUP01"/>
    <x:x v="0"/>
    <x:s v="Components"/>
    <x:d v="2026-08-29T00:00:00Z"/>
    <x:n v="46293"/>
    <x:x v="0"/>
    <x:n v="37373.85"/>
    <x:s v="Historical"/>
    <x:s v="SUP01-INV-01204"/>
    <x:n v="30"/>
    <x:s v="Rhein Circuit Components"/>
    <x:n v="1.1643"/>
    <x:n v="1.358259449370042"/>
    <x:n v="0.0062623709122203094"/>
    <x:n v="1.1643"/>
    <x:x v="1202"/>
    <x:x v="4"/>
    <x:n v="1.101"/>
    <x:n v="41148.60885"/>
    <x:n v="2365.764704999994"/>
    <x:n v="0.057493188010899046"/>
  </x:r>
  <x:r>
    <x:s v="INV-01205"/>
    <x:x v="17"/>
    <x:s v="SUP06"/>
    <x:x v="2"/>
    <x:s v="Software"/>
    <x:d v="2025-10-06T00:00:00Z"/>
    <x:n v="45966"/>
    <x:x v="0"/>
    <x:n v="9187.82"/>
    <x:s v="Historical"/>
    <x:s v="SUP06-INV-01205"/>
    <x:n v="30"/>
    <x:s v="Dublin Systems Licensing"/>
    <x:n v="1.1678"/>
    <x:n v="1.3430707303047726"/>
    <x:n v="0.006664764296313206"/>
    <x:n v="1.1678"/>
    <x:x v="1203"/>
    <x:x v="7"/>
    <x:n v="1.106"/>
    <x:n v="10161.728920000001"/>
    <x:n v="567.8072759999977"/>
    <x:n v="0.055877034358046786"/>
  </x:r>
  <x:r>
    <x:s v="INV-01206"/>
    <x:x v="3"/>
    <x:s v="SUP04"/>
    <x:x v="1"/>
    <x:s v="Packaging"/>
    <x:d v="2026-10-25T00:00:00Z"/>
    <x:n v="46350"/>
    <x:x v="0"/>
    <x:n v="5085.22"/>
    <x:s v="Planned"/>
    <x:s v="SUP04-INV-01206"/>
    <x:n v="30"/>
    <x:s v="Nordlicht Packaging"/>
    <x:n v="1.1177"/>
    <x:n v="1.320456022210408"/>
    <x:n v="0.00632004523607577"/>
    <x:n v="1.1177"/>
    <x:x v="1204"/>
    <x:x v="2"/>
    <x:n v="1.119"/>
    <x:n v="5690.36118"/>
    <x:n v="-6.610786000000189"/>
    <x:n v="-0.0011617515638963692"/>
  </x:r>
  <x:r>
    <x:s v="INV-01207"/>
    <x:x v="1"/>
    <x:s v="SUP15"/>
    <x:x v="1"/>
    <x:s v="Freight"/>
    <x:d v="2025-02-26T00:00:00Z"/>
    <x:n v="45744"/>
    <x:x v="1"/>
    <x:n v="1353843.04"/>
    <x:s v="Historical"/>
    <x:s v="SUP15-INV-01207"/>
    <x:n v="30"/>
    <x:s v="Nagoya Logistics Partners"/>
    <x:n v="1.0487"/>
    <x:n v="1.2655065887918135"/>
    <x:n v="0.0066924058710912575"/>
    <x:n v="0.0066924058710912575"/>
    <x:x v="1205"/>
    <x:x v="3"/>
    <x:n v="0.00656"/>
    <x:n v="8881.2103424"/>
    <x:n v="179.2567670320368"/>
    <x:n v="0.020183821812691766"/>
  </x:r>
  <x:r>
    <x:s v="INV-01208"/>
    <x:x v="0"/>
    <x:s v="SUP01"/>
    <x:x v="0"/>
    <x:s v="Components"/>
    <x:d v="2026-04-18T00:00:00Z"/>
    <x:n v="46160"/>
    <x:x v="0"/>
    <x:n v="39638.76"/>
    <x:s v="Historical"/>
    <x:s v="SUP01-INV-01208"/>
    <x:n v="30"/>
    <x:s v="Rhein Circuit Components"/>
    <x:n v="1.1797"/>
    <x:n v="1.3533636196769456"/>
    <x:n v="0.006284359684636693"/>
    <x:n v="1.1797"/>
    <x:x v="1206"/>
    <x:x v="0"/>
    <x:n v="1.083"/>
    <x:n v="42928.77708"/>
    <x:n v="3833.0680920000013"/>
    <x:n v="0.08928901200369348"/>
  </x:r>
  <x:r>
    <x:s v="INV-01209"/>
    <x:x v="12"/>
    <x:s v="SUP17"/>
    <x:x v="1"/>
    <x:s v="Packaging"/>
    <x:d v="2025-09-02T00:00:00Z"/>
    <x:n v="45947"/>
    <x:x v="1"/>
    <x:n v="1397942.73"/>
    <x:s v="Historical"/>
    <x:s v="SUP17-INV-01209"/>
    <x:n v="45"/>
    <x:s v="Kobe Industrial Packaging"/>
    <x:n v="1.1646"/>
    <x:n v="1.3383130314870146"/>
    <x:n v="0.006727902946273831"/>
    <x:n v="0.006727902946273831"/>
    <x:x v="1207"/>
    <x:x v="1"/>
    <x:n v="0.00684"/>
    <x:n v="9561.9282732"/>
    <x:n v="-156.7052613109172"/>
    <x:n v="-0.016388458147100715"/>
  </x:r>
  <x:r>
    <x:s v="INV-01210"/>
    <x:x v="13"/>
    <x:s v="SUP11"/>
    <x:x v="2"/>
    <x:s v="Software"/>
    <x:d v="2026-12-12T00:00:00Z"/>
    <x:n v="46398"/>
    <x:x v="2"/>
    <x:n v="1629.69"/>
    <x:s v="Planned"/>
    <x:s v="SUP11-INV-01210"/>
    <x:n v="30"/>
    <x:s v="Manchester Cloud Solutions"/>
    <x:n v="1.1177"/>
    <x:n v="1.320456022210408"/>
    <x:n v="0.00632004523607577"/>
    <x:n v="1.320456022210408"/>
    <x:x v="1208"/>
    <x:x v="2"/>
    <x:n v="1.315"/>
    <x:n v="2143.04235"/>
    <x:n v="8.8916248360797"/>
    <x:n v="0.004149066319701848"/>
  </x:r>
  <x:r>
    <x:s v="INV-01211"/>
    <x:x v="8"/>
    <x:s v="SUP13"/>
    <x:x v="0"/>
    <x:s v="Components"/>
    <x:d v="2026-05-19T00:00:00Z"/>
    <x:n v="46206"/>
    <x:x v="1"/>
    <x:n v="2186750.49"/>
    <x:s v="Historical"/>
    <x:s v="SUP13-INV-01211"/>
    <x:n v="45"/>
    <x:s v="Osaka Microdevices"/>
    <x:n v="1.162"/>
    <x:n v="1.3407021956594478"/>
    <x:n v="0.006284817999891828"/>
    <x:n v="0.006284817999891828"/>
    <x:x v="1209"/>
    <x:x v="0"/>
    <x:n v="0.0066"/>
    <x:n v="14432.553234"/>
    <x:n v="-689.2243931757239"/>
    <x:n v="-0.04775484850123809"/>
  </x:r>
  <x:r>
    <x:s v="INV-01212"/>
    <x:x v="11"/>
    <x:s v="SUP14"/>
    <x:x v="0"/>
    <x:s v="Equipment"/>
    <x:d v="2025-04-02T00:00:00Z"/>
    <x:n v="45809"/>
    <x:x v="1"/>
    <x:n v="8802664.77"/>
    <x:s v="Historical"/>
    <x:s v="SUP14-INV-01212"/>
    <x:n v="60"/>
    <x:s v="Tokyo Automation Systems"/>
    <x:n v="1.0803"/>
    <x:n v="1.294470073692409"/>
    <x:n v="0.006700781540751768"/>
    <x:n v="0.006700781540751768"/>
    <x:x v="1210"/>
    <x:x v="5"/>
    <x:n v="0.0067"/>
    <x:n v="58977.853959"/>
    <x:n v="6.879641241910576"/>
    <x:n v="0.0001166478733982613"/>
  </x:r>
  <x:r>
    <x:s v="INV-01212"/>
    <x:x v="10"/>
    <x:s v="SUP02"/>
    <x:x v="0"/>
    <x:s v="Equipment"/>
    <x:d v="2025-09-07T00:00:00Z"/>
    <x:n v="45952"/>
    <x:x v="0"/>
    <x:n v="51941.85"/>
    <x:s v="Historical"/>
    <x:s v="SUP02-INV-01212"/>
    <x:n v="45"/>
    <x:s v="Alpen Precision Systems"/>
    <x:n v="1.175"/>
    <x:n v="1.3465505386202155"/>
    <x:n v="0.006382747569123799"/>
    <x:n v="1.175"/>
    <x:x v="1211"/>
    <x:x v="1"/>
    <x:n v="1.088"/>
    <x:n v="56512.732800000005"/>
    <x:n v="4518.9409499999965"/>
    <x:n v="0.07996323529411757"/>
  </x:r>
  <x:r>
    <x:s v="INV-01213"/>
    <x:x v="12"/>
    <x:s v="SUP17"/>
    <x:x v="1"/>
    <x:s v="Packaging"/>
    <x:d v="2026-01-31T00:00:00Z"/>
    <x:n v="46098"/>
    <x:x v="1"/>
    <x:n v="1373403.79"/>
    <x:s v="Historical"/>
    <x:s v="SUP17-INV-01213"/>
    <x:n v="45"/>
    <x:s v="Kobe Industrial Packaging"/>
    <x:n v="1.1555"/>
    <x:n v="1.3367963164349013"/>
    <x:n v="0.006298375667720483"/>
    <x:n v="0.006298375667720483"/>
    <x:x v="1212"/>
    <x:x v="6"/>
    <x:n v="0.00646"/>
    <x:n v="8872.1884834"/>
    <x:n v="-221.97547050890716"/>
    <x:n v="-0.025019246482897276"/>
  </x:r>
  <x:r>
    <x:s v="INV-01214"/>
    <x:x v="2"/>
    <x:s v="SUP10"/>
    <x:x v="1"/>
    <x:s v="Services"/>
    <x:d v="2025-01-24T00:00:00Z"/>
    <x:n v="45726"/>
    <x:x v="2"/>
    <x:n v="6483.74"/>
    <x:s v="Historical"/>
    <x:s v="SUP10-INV-01214"/>
    <x:n v="45"/>
    <x:s v="Bristol Calibration Services"/>
    <x:n v="1.0472"/>
    <x:n v="1.2405672112115431"/>
    <x:n v="0.006389261744966442"/>
    <x:n v="1.2405672112115431"/>
    <x:x v="1213"/>
    <x:x v="3"/>
    <x:n v="1.238"/>
    <x:n v="8026.87012"/>
    <x:n v="16.645130020730903"/>
    <x:n v="0.0020736762613434317"/>
  </x:r>
  <x:r>
    <x:s v="INV-01215"/>
    <x:x v="2"/>
    <x:s v="SUP10"/>
    <x:x v="1"/>
    <x:s v="Services"/>
    <x:d v="2025-08-16T00:00:00Z"/>
    <x:n v="45930"/>
    <x:x v="2"/>
    <x:n v="4609.98"/>
    <x:s v="Historical"/>
    <x:s v="SUP10-INV-01215"/>
    <x:n v="45"/>
    <x:s v="Bristol Calibration Services"/>
    <x:n v="1.1586"/>
    <x:n v="1.3235092529129542"/>
    <x:n v="0.0063972171608414775"/>
    <x:n v="1.3235092529129542"/>
    <x:x v="1214"/>
    <x:x v="1"/>
    <x:n v="1.282"/>
    <x:n v="5909.99436"/>
    <x:n v="191.35682574366"/>
    <x:n v="0.03237851241260068"/>
  </x:r>
  <x:r>
    <x:s v="INV-01216"/>
    <x:x v="1"/>
    <x:s v="SUP15"/>
    <x:x v="1"/>
    <x:s v="Freight"/>
    <x:d v="2026-06-03T00:00:00Z"/>
    <x:n v="46206"/>
    <x:x v="1"/>
    <x:n v="1859141.71"/>
    <x:s v="Historical"/>
    <x:s v="SUP15-INV-01216"/>
    <x:n v="30"/>
    <x:s v="Nagoya Logistics Partners"/>
    <x:n v="1.1614"/>
    <x:n v="1.3446798656941068"/>
    <x:n v="0.006255520844554562"/>
    <x:n v="0.006255520844554562"/>
    <x:x v="1215"/>
    <x:x v="0"/>
    <x:n v="0.0066"/>
    <x:n v="12270.335286"/>
    <x:n v="-640.4355661141872"/>
    <x:n v="-0.05219381143112695"/>
  </x:r>
  <x:r>
    <x:s v="INV-01217"/>
    <x:x v="15"/>
    <x:s v="SUP18"/>
    <x:x v="1"/>
    <x:s v="Services"/>
    <x:d v="2026-11-22T00:00:00Z"/>
    <x:n v="46378"/>
    <x:x v="1"/>
    <x:n v="2471718.43"/>
    <x:s v="Planned"/>
    <x:s v="SUP18-INV-01217"/>
    <x:n v="30"/>
    <x:s v="Yokohama Engineering Labs"/>
    <x:n v="1.1177"/>
    <x:n v="1.320456022210408"/>
    <x:n v="0.00632004523607577"/>
    <x:n v="0.00632004523607577"/>
    <x:x v="1216"/>
    <x:x v="2"/>
    <x:n v="0.00688"/>
    <x:n v="17005.4227984"/>
    <x:n v="-1384.0505099578168"/>
    <x:n v="-0.08138877382619612"/>
  </x:r>
  <x:r>
    <x:s v="INV-01218"/>
    <x:x v="4"/>
    <x:s v="SUP08"/>
    <x:x v="0"/>
    <x:s v="Components"/>
    <x:d v="2025-01-24T00:00:00Z"/>
    <x:n v="45711"/>
    <x:x v="0"/>
    <x:n v="6621.63"/>
    <x:s v="Historical"/>
    <x:s v="SUP08-INV-01218"/>
    <x:n v="30"/>
    <x:s v="Valencia Circuit Supply"/>
    <x:n v="1.0472"/>
    <x:n v="1.2405672112115431"/>
    <x:n v="0.006389261744966442"/>
    <x:n v="1.0472"/>
    <x:x v="1217"/>
    <x:x v="3"/>
    <x:n v="1.052"/>
    <x:n v="6965.9547600000005"/>
    <x:n v="-31.783824000001005"/>
    <x:n v="-0.0045627376425856955"/>
  </x:r>
  <x:r>
    <x:s v="INV-01219"/>
    <x:x v="8"/>
    <x:s v="SUP13"/>
    <x:x v="0"/>
    <x:s v="Components"/>
    <x:d v="2025-12-26T00:00:00Z"/>
    <x:n v="46062"/>
    <x:x v="1"/>
    <x:n v="4977004.64"/>
    <x:s v="Historical"/>
    <x:s v="SUP13-INV-01219"/>
    <x:n v="45"/>
    <x:s v="Osaka Microdevices"/>
    <x:n v="1.1555"/>
    <x:n v="1.3367963164349013"/>
    <x:n v="0.006298375667720483"/>
    <x:n v="0.006298375667720483"/>
    <x:x v="1218"/>
    <x:x v="7"/>
    <x:n v="0.00698"/>
    <x:n v="34739.4923872"/>
    <x:n v="-3392.447464492059"/>
    <x:n v="-0.09765391579935777"/>
  </x:r>
  <x:r>
    <x:s v="INV-01220"/>
    <x:x v="8"/>
    <x:s v="SUP13"/>
    <x:x v="0"/>
    <x:s v="Components"/>
    <x:d v="2025-01-26T00:00:00Z"/>
    <x:n v="45728"/>
    <x:x v="1"/>
    <x:n v="836510.3"/>
    <x:s v="Historical"/>
    <x:s v="SUP13-INV-01220"/>
    <x:n v="45"/>
    <x:s v="Osaka Microdevices"/>
    <x:n v="1.039"/>
    <x:n v="1.247104293447601"/>
    <x:n v="0.006502284248075599"/>
    <x:n v="0.006502284248075599"/>
    <x:x v="1219"/>
    <x:x v="3"/>
    <x:n v="0.00656"/>
    <x:n v="5487.507568"/>
    <x:n v="-48.27982095700645"/>
    <x:n v="-0.008798132915305066"/>
  </x:r>
  <x:r>
    <x:s v="INV-01221"/>
    <x:x v="9"/>
    <x:s v="SUP05"/>
    <x:x v="0"/>
    <x:s v="Components"/>
    <x:d v="2026-07-11T00:00:00Z"/>
    <x:n v="46259"/>
    <x:x v="0"/>
    <x:n v="8181.76"/>
    <x:s v="Historical"/>
    <x:s v="SUP05-INV-01221"/>
    <x:n v="45"/>
    <x:s v="Lyon Industrial Controls"/>
    <x:n v="1.143"/>
    <x:n v="1.3422582349832657"/>
    <x:n v="0.006177710517781861"/>
    <x:n v="1.143"/>
    <x:x v="1220"/>
    <x:x v="4"/>
    <x:n v="1.101"/>
    <x:n v="9008.11776"/>
    <x:n v="343.63392000000204"/>
    <x:n v="0.03814713896457789"/>
  </x:r>
  <x:r>
    <x:s v="INV-01222"/>
    <x:x v="6"/>
    <x:s v="SUP16"/>
    <x:x v="0"/>
    <x:s v="Components"/>
    <x:d v="2026-03-14T00:00:00Z"/>
    <x:n v="46125"/>
    <x:x v="1"/>
    <x:n v="1850597.85"/>
    <x:s v="Historical"/>
    <x:s v="SUP16-INV-01222"/>
    <x:n v="30"/>
    <x:s v="Kyoto Optical Instruments"/>
    <x:n v="1.1555"/>
    <x:n v="1.3367963164349013"/>
    <x:n v="0.006298375667720483"/>
    <x:n v="0.006298375667720483"/>
    <x:x v="1221"/>
    <x:x v="6"/>
    <x:n v="0.00646"/>
    <x:n v="11954.862111"/>
    <x:n v="-299.10164182415974"/>
    <x:n v="-0.025019246482897366"/>
  </x:r>
  <x:r>
    <x:s v="INV-01223"/>
    <x:x v="0"/>
    <x:s v="SUP01"/>
    <x:x v="0"/>
    <x:s v="Components"/>
    <x:d v="2026-09-20T00:00:00Z"/>
    <x:n v="46315"/>
    <x:x v="0"/>
    <x:n v="31546.5"/>
    <x:s v="Historical"/>
    <x:s v="SUP01-INV-01223"/>
    <x:n v="30"/>
    <x:s v="Rhein Circuit Components"/>
    <x:n v="1.146"/>
    <x:n v="1.3344201210992082"/>
    <x:n v="0.006333591245716812"/>
    <x:n v="1.146"/>
    <x:x v="1222"/>
    <x:x v="4"/>
    <x:n v="1.101"/>
    <x:n v="34732.6965"/>
    <x:n v="1419.5924999999988"/>
    <x:n v="0.040871934604904604"/>
  </x:r>
  <x:r>
    <x:s v="INV-01224"/>
    <x:x v="7"/>
    <x:s v="SUP03"/>
    <x:x v="0"/>
    <x:s v="Components"/>
    <x:d v="2025-05-02T00:00:00Z"/>
    <x:n v="45809"/>
    <x:x v="0"/>
    <x:n v="4592.88"/>
    <x:s v="Historical"/>
    <x:s v="SUP03-INV-01224"/>
    <x:n v="30"/>
    <x:s v="Benelux Sensor Works"/>
    <x:n v="1.1343"/>
    <x:n v="1.3293097386616666"/>
    <x:n v="0.006919416824254255"/>
    <x:n v="1.1343"/>
    <x:x v="1223"/>
    <x:x v="5"/>
    <x:n v="1.07"/>
    <x:n v="4914.381600000001"/>
    <x:n v="295.32218399999965"/>
    <x:n v="0.060093457943925156"/>
  </x:r>
  <x:r>
    <x:s v="INV-01225"/>
    <x:x v="6"/>
    <x:s v="SUP16"/>
    <x:x v="0"/>
    <x:s v="Components"/>
    <x:d v="2026-10-15T00:00:00Z"/>
    <x:n v="46340"/>
    <x:x v="1"/>
    <x:n v="1027165.81"/>
    <x:s v="Planned"/>
    <x:s v="SUP16-INV-01225"/>
    <x:n v="30"/>
    <x:s v="Kyoto Optical Instruments"/>
    <x:n v="1.1177"/>
    <x:n v="1.320456022210408"/>
    <x:n v="0.00632004523607577"/>
    <x:n v="0.00632004523607577"/>
    <x:x v="1224"/>
    <x:x v="2"/>
    <x:n v="0.00688"/>
    <x:n v="7066.900772800001"/>
    <x:n v="-575.1663886495908"/>
    <x:n v="-0.08138877382619625"/>
  </x:r>
  <x:r>
    <x:s v="INV-01226"/>
    <x:x v="10"/>
    <x:s v="SUP02"/>
    <x:x v="0"/>
    <x:s v="Equipment"/>
    <x:d v="2026-06-12T00:00:00Z"/>
    <x:n v="46230"/>
    <x:x v="0"/>
    <x:n v="34673.57"/>
    <x:s v="Historical"/>
    <x:s v="SUP02-INV-01226"/>
    <x:n v="45"/>
    <x:s v="Alpen Precision Systems"/>
    <x:n v="1.1567"/>
    <x:n v="1.340246799142576"/>
    <x:n v="0.006242309767943875"/>
    <x:n v="1.1567"/>
    <x:x v="1225"/>
    <x:x v="0"/>
    <x:n v="1.083"/>
    <x:n v="37551.47631"/>
    <x:n v="2555.4421090000033"/>
    <x:n v="0.0680517082179133"/>
  </x:r>
  <x:r>
    <x:s v="INV-01227"/>
    <x:x v="7"/>
    <x:s v="SUP03"/>
    <x:x v="0"/>
    <x:s v="Components"/>
    <x:d v="2025-12-12T00:00:00Z"/>
    <x:n v="46033"/>
    <x:x v="0"/>
    <x:n v="28305"/>
    <x:s v="Historical"/>
    <x:s v="SUP03-INV-01227"/>
    <x:n v="30"/>
    <x:s v="Benelux Sensor Works"/>
    <x:n v="1.1731"/>
    <x:n v="1.338086004334436"/>
    <x:n v="0.0064107328269304336"/>
    <x:n v="1.1731"/>
    <x:x v="1226"/>
    <x:x v="7"/>
    <x:n v="1.106"/>
    <x:n v="31305.33"/>
    <x:n v="1899.2655000000013"/>
    <x:n v="0.060669077757685395"/>
  </x:r>
  <x:r>
    <x:s v="INV-01228"/>
    <x:x v="8"/>
    <x:s v="SUP13"/>
    <x:x v="0"/>
    <x:s v="Components"/>
    <x:d v="2025-01-21T00:00:00Z"/>
    <x:n v="45723"/>
    <x:x v="1"/>
    <x:n v="4887612.31"/>
    <x:s v="Historical"/>
    <x:s v="SUP13-INV-01228"/>
    <x:n v="45"/>
    <x:s v="Osaka Microdevices"/>
    <x:n v="1.0357"/>
    <x:n v="1.2249121852565847"/>
    <x:n v="0.006422547438918518"/>
    <x:n v="0.006422547438918518"/>
    <x:x v="1227"/>
    <x:x v="3"/>
    <x:n v="0.00656"/>
    <x:n v="32062.7367536"/>
    <x:n v="-671.8148295828796"/>
    <x:n v="-0.020953134311201566"/>
  </x:r>
  <x:r>
    <x:s v="INV-01229"/>
    <x:x v="0"/>
    <x:s v="SUP01"/>
    <x:x v="0"/>
    <x:s v="Components"/>
    <x:d v="2026-05-09T00:00:00Z"/>
    <x:n v="46181"/>
    <x:x v="0"/>
    <x:n v="29917"/>
    <x:s v="Historical"/>
    <x:s v="SUP01-INV-01229"/>
    <x:n v="30"/>
    <x:s v="Rhein Circuit Components"/>
    <x:n v="1.1761"/>
    <x:n v="1.3610693206804767"/>
    <x:n v="0.006379020448012149"/>
    <x:n v="1.1761"/>
    <x:x v="1228"/>
    <x:x v="0"/>
    <x:n v="1.083"/>
    <x:n v="32400.110999999997"/>
    <x:n v="2785.2727000000014"/>
    <x:n v="0.0859649122807018"/>
  </x:r>
  <x:r>
    <x:s v="INV-01230"/>
    <x:x v="11"/>
    <x:s v="SUP14"/>
    <x:x v="0"/>
    <x:s v="Equipment"/>
    <x:d v="2026-01-10T00:00:00Z"/>
    <x:n v="46092"/>
    <x:x v="1"/>
    <x:n v="4316684.55"/>
    <x:s v="Historical"/>
    <x:s v="SUP14-INV-01230"/>
    <x:n v="60"/>
    <x:s v="Tokyo Automation Systems"/>
    <x:n v="1.1555"/>
    <x:n v="1.3367963164349013"/>
    <x:n v="0.006298375667720483"/>
    <x:n v="0.006298375667720483"/>
    <x:x v="1229"/>
    <x:x v="6"/>
    <x:n v="0.00646"/>
    <x:n v="27885.782192999995"/>
    <x:n v="-697.6812580550541"/>
    <x:n v="-0.025019246482897255"/>
  </x:r>
  <x:r>
    <x:s v="INV-01231"/>
    <x:x v="7"/>
    <x:s v="SUP03"/>
    <x:x v="0"/>
    <x:s v="Components"/>
    <x:d v="2025-02-21T00:00:00Z"/>
    <x:n v="45739"/>
    <x:x v="0"/>
    <x:n v="5273.07"/>
    <x:s v="Historical"/>
    <x:s v="SUP03-INV-01231"/>
    <x:n v="30"/>
    <x:s v="Benelux Sensor Works"/>
    <x:n v="1.0465"/>
    <x:n v="1.264499758337361"/>
    <x:n v="0.006646132351073288"/>
    <x:n v="1.0465"/>
    <x:x v="1230"/>
    <x:x v="3"/>
    <x:n v="1.052"/>
    <x:n v="5547.2696399999995"/>
    <x:n v="-29.001884999999675"/>
    <x:n v="-0.005228136882129219"/>
  </x:r>
  <x:r>
    <x:s v="INV-01232"/>
    <x:x v="17"/>
    <x:s v="SUP06"/>
    <x:x v="2"/>
    <x:s v="Software"/>
    <x:d v="2026-06-18T00:00:00Z"/>
    <x:n v="46221"/>
    <x:x v="0"/>
    <x:n v="10872.81"/>
    <x:s v="Historical"/>
    <x:s v="SUP06-INV-01232"/>
    <x:n v="30"/>
    <x:s v="Dublin Systems Licensing"/>
    <x:n v="1.1461"/>
    <x:n v="1.3228606385188946"/>
    <x:n v="0.0062139449143352845"/>
    <x:n v="1.1461"/>
    <x:x v="1231"/>
    <x:x v="0"/>
    <x:n v="1.083"/>
    <x:n v="11775.253229999998"/>
    <x:n v="686.0743110000003"/>
    <x:n v="0.05826408125577104"/>
  </x:r>
  <x:r>
    <x:s v="INV-01233"/>
    <x:x v="0"/>
    <x:s v="SUP01"/>
    <x:x v="0"/>
    <x:s v="Components"/>
    <x:d v="2025-07-22T00:00:00Z"/>
    <x:n v="45890"/>
    <x:x v="0"/>
    <x:n v="20775.33"/>
    <x:s v="Historical"/>
    <x:s v="SUP01-INV-01233"/>
    <x:n v="30"/>
    <x:s v="Rhein Circuit Components"/>
    <x:n v="1.1699"/>
    <x:n v="1.3485878962536022"/>
    <x:n v="0.006795028169832143"/>
    <x:n v="1.1699"/>
    <x:x v="1232"/>
    <x:x v="1"/>
    <x:n v="1.088"/>
    <x:n v="22603.559040000004"/>
    <x:n v="1701.4995269999963"/>
    <x:n v="0.07527573529411748"/>
  </x:r>
  <x:r>
    <x:s v="INV-01234"/>
    <x:x v="1"/>
    <x:s v="SUP15"/>
    <x:x v="1"/>
    <x:s v="Freight"/>
    <x:d v="2025-01-02T00:00:00Z"/>
    <x:n v="45689"/>
    <x:x v="1"/>
    <x:n v="294843.63"/>
    <x:s v="Historical"/>
    <x:s v="SUP15-INV-01234"/>
    <x:n v="30"/>
    <x:s v="Nagoya Logistics Partners"/>
    <x:n v="1.0321"/>
    <x:n v="1.2417286267715777"/>
    <x:n v="0.006369414959269316"/>
    <x:n v="0.006369414959269316"/>
    <x:x v="1233"/>
    <x:x v="3"/>
    <x:n v="0.00656"/>
    <x:n v="1934.1742128"/>
    <x:n v="-56.192785232732604"/>
    <x:n v="-0.029052597672360302"/>
  </x:r>
  <x:r>
    <x:s v="INV-01235"/>
    <x:x v="13"/>
    <x:s v="SUP11"/>
    <x:x v="2"/>
    <x:s v="Software"/>
    <x:d v="2026-03-07T00:00:00Z"/>
    <x:n v="46118"/>
    <x:x v="2"/>
    <x:n v="4198.13"/>
    <x:s v="Historical"/>
    <x:s v="SUP11-INV-01235"/>
    <x:n v="30"/>
    <x:s v="Manchester Cloud Solutions"/>
    <x:n v="1.1555"/>
    <x:n v="1.3367963164349013"/>
    <x:n v="0.006298375667720483"/>
    <x:n v="1.3367963164349013"/>
    <x:x v="1234"/>
    <x:x v="6"/>
    <x:n v="1.249"/>
    <x:n v="5243.464370000001"/>
    <x:n v="368.58034991485147"/>
    <x:n v="0.0702932877781434"/>
  </x:r>
  <x:r>
    <x:s v="INV-01236"/>
    <x:x v="8"/>
    <x:s v="SUP13"/>
    <x:x v="0"/>
    <x:s v="Components"/>
    <x:d v="2026-11-23T00:00:00Z"/>
    <x:n v="46394"/>
    <x:x v="1"/>
    <x:n v="3159880.85"/>
    <x:s v="Planned"/>
    <x:s v="SUP13-INV-01236"/>
    <x:n v="45"/>
    <x:s v="Osaka Microdevices"/>
    <x:n v="1.1177"/>
    <x:n v="1.320456022210408"/>
    <x:n v="0.00632004523607577"/>
    <x:n v="0.00632004523607577"/>
    <x:x v="1235"/>
    <x:x v="2"/>
    <x:n v="0.00688"/>
    <x:n v="21739.980248"/>
    <x:n v="-1769.3903353904461"/>
    <x:n v="-0.08138877382619626"/>
  </x:r>
  <x:r>
    <x:s v="INV-01237"/>
    <x:x v="0"/>
    <x:s v="SUP01"/>
    <x:x v="0"/>
    <x:s v="Components"/>
    <x:d v="2026-10-02T00:00:00Z"/>
    <x:n v="46327"/>
    <x:x v="0"/>
    <x:n v="26973.65"/>
    <x:s v="Planned"/>
    <x:s v="SUP01-INV-01237"/>
    <x:n v="30"/>
    <x:s v="Rhein Circuit Components"/>
    <x:n v="1.1225"/>
    <x:n v="1.3200757353027648"/>
    <x:n v="0.006342166224080456"/>
    <x:n v="1.1225"/>
    <x:x v="1236"/>
    <x:x v="2"/>
    <x:n v="1.119"/>
    <x:n v="30183.51435"/>
    <x:n v="94.40777500000331"/>
    <x:n v="0.0031277926720287065"/>
  </x:r>
  <x:r>
    <x:s v="INV-01238"/>
    <x:x v="7"/>
    <x:s v="SUP03"/>
    <x:x v="0"/>
    <x:s v="Components"/>
    <x:d v="2025-11-08T00:00:00Z"/>
    <x:n v="45999"/>
    <x:x v="0"/>
    <x:n v="28237.62"/>
    <x:s v="Historical"/>
    <x:s v="SUP03-INV-01238"/>
    <x:n v="30"/>
    <x:s v="Benelux Sensor Works"/>
    <x:n v="1.1555"/>
    <x:n v="1.3367963164349013"/>
    <x:n v="0.006298375667720483"/>
    <x:n v="1.1555"/>
    <x:x v="1237"/>
    <x:x v="7"/>
    <x:n v="1.106"/>
    <x:n v="31230.80772"/>
    <x:n v="1397.7621899999976"/>
    <x:n v="0.04475587703435797"/>
  </x:r>
  <x:r>
    <x:s v="INV-01239"/>
    <x:x v="6"/>
    <x:s v="SUP16"/>
    <x:x v="0"/>
    <x:s v="Components"/>
    <x:d v="2025-07-24T00:00:00Z"/>
    <x:n v="45892"/>
    <x:x v="1"/>
    <x:n v="4245100"/>
    <x:s v="Historical"/>
    <x:s v="SUP16-INV-01239"/>
    <x:n v="30"/>
    <x:s v="Kyoto Optical Instruments"/>
    <x:n v="1.1756"/>
    <x:n v="1.355158501440922"/>
    <x:n v="0.006826152595517361"/>
    <x:n v="0.006826152595517361"/>
    <x:x v="1238"/>
    <x:x v="1"/>
    <x:n v="0.00684"/>
    <x:n v="29036.484"/>
    <x:n v="-58.78361676925124"/>
    <x:n v="-0.0020244743395671197"/>
  </x:r>
  <x:r>
    <x:s v="INV-01240"/>
    <x:x v="7"/>
    <x:s v="SUP03"/>
    <x:x v="0"/>
    <x:s v="Components"/>
    <x:d v="2026-05-13T00:00:00Z"/>
    <x:n v="46185"/>
    <x:x v="0"/>
    <x:n v="16157.62"/>
    <x:s v="Historical"/>
    <x:s v="SUP03-INV-01240"/>
    <x:n v="30"/>
    <x:s v="Benelux Sensor Works"/>
    <x:n v="1.1715"/>
    <x:n v="1.3510084993022962"/>
    <x:n v="0.006338256776497322"/>
    <x:n v="1.1715"/>
    <x:x v="1239"/>
    <x:x v="0"/>
    <x:n v="1.083"/>
    <x:n v="17498.70246"/>
    <x:n v="1429.949370000002"/>
    <x:n v="0.08171745152354583"/>
  </x:r>
  <x:r>
    <x:s v="INV-01241"/>
    <x:x v="2"/>
    <x:s v="SUP10"/>
    <x:x v="1"/>
    <x:s v="Services"/>
    <x:d v="2025-09-19T00:00:00Z"/>
    <x:n v="45964"/>
    <x:x v="2"/>
    <x:n v="14621.28"/>
    <x:s v="Historical"/>
    <x:s v="SUP10-INV-01241"/>
    <x:n v="45"/>
    <x:s v="Bristol Calibration Services"/>
    <x:n v="1.1736"/>
    <x:n v="1.3477262287551677"/>
    <x:n v="0.00675297773174521"/>
    <x:n v="1.3477262287551677"/>
    <x:x v="1240"/>
    <x:x v="1"/>
    <x:n v="1.282"/>
    <x:n v="18744.48096"/>
    <x:n v="961.0015939733566"/>
    <x:n v="0.051268509169397486"/>
  </x:r>
  <x:r>
    <x:s v="INV-01242"/>
    <x:x v="16"/>
    <x:s v="SUP12"/>
    <x:x v="0"/>
    <x:s v="Components"/>
    <x:d v="2025-12-17T00:00:00Z"/>
    <x:n v="46068"/>
    <x:x v="2"/>
    <x:n v="14867.67"/>
    <x:s v="Historical"/>
    <x:s v="SUP12-INV-01242"/>
    <x:n v="60"/>
    <x:s v="Oxford Technical Materials"/>
    <x:n v="1.1722"/>
    <x:n v="1.3343198634035287"/>
    <x:n v="0.00642723982892861"/>
    <x:n v="1.3343198634035287"/>
    <x:x v="1241"/>
    <x:x v="7"/>
    <x:n v="1.304"/>
    <x:n v="19387.44168"/>
    <x:n v="450.7857235287411"/>
    <x:n v="0.023251428990436095"/>
  </x:r>
  <x:r>
    <x:s v="INV-01243"/>
    <x:x v="10"/>
    <x:s v="SUP02"/>
    <x:x v="0"/>
    <x:s v="Equipment"/>
    <x:d v="2026-09-05T00:00:00Z"/>
    <x:n v="46315"/>
    <x:x v="0"/>
    <x:n v="38697.04"/>
    <x:s v="Historical"/>
    <x:s v="SUP02-INV-01243"/>
    <x:n v="45"/>
    <x:s v="Alpen Precision Systems"/>
    <x:n v="1.1622"/>
    <x:n v="1.3530000698502875"/>
    <x:n v="0.006400132165868164"/>
    <x:n v="1.1622"/>
    <x:x v="1242"/>
    <x:x v="4"/>
    <x:n v="1.101"/>
    <x:n v="42605.44104"/>
    <x:n v="2368.2588479999977"/>
    <x:n v="0.055585831062670246"/>
  </x:r>
  <x:r>
    <x:s v="INV-01245"/>
    <x:x v="6"/>
    <x:s v="SUP16"/>
    <x:x v="0"/>
    <x:s v="Components"/>
    <x:d v="2026-08-15T00:00:00Z"/>
    <x:n v="46279"/>
    <x:x v="1"/>
    <x:n v="784552.88"/>
    <x:s v="Historical"/>
    <x:s v="SUP16-INV-01245"/>
    <x:n v="30"/>
    <x:s v="Kyoto Optical Instruments"/>
    <x:n v="1.1567"/>
    <x:n v="1.353657109420714"/>
    <x:n v="0.006288805523840591"/>
    <x:n v="0.006288805523840591"/>
    <x:x v="1243"/>
    <x:x v="4"/>
    <x:n v="0.00674"/>
    <x:n v="5287.8864112"/>
    <x:n v="-353.9859257109556"/>
    <x:n v="-0.06694280061712299"/>
  </x:r>
  <x:r>
    <x:s v="INV-01246"/>
    <x:x v="1"/>
    <x:s v="SUP15"/>
    <x:x v="1"/>
    <x:s v="Freight"/>
    <x:d v="2026-11-12T00:00:00Z"/>
    <x:n v="46368"/>
    <x:x v="1"/>
    <x:n v="1816290.58"/>
    <x:s v="Planned"/>
    <x:s v="SUP15-INV-01246"/>
    <x:n v="30"/>
    <x:s v="Nagoya Logistics Partners"/>
    <x:n v="1.1177"/>
    <x:n v="1.320456022210408"/>
    <x:n v="0.00632004523607577"/>
    <x:n v="0.00632004523607577"/>
    <x:x v="1244"/>
    <x:x v="2"/>
    <x:n v="0.00688"/>
    <x:n v="12496.0791904"/>
    <x:n v="-1017.0405629417019"/>
    <x:n v="-0.08138877382619615"/>
  </x:r>
  <x:r>
    <x:s v="INV-01247"/>
    <x:x v="13"/>
    <x:s v="SUP11"/>
    <x:x v="2"/>
    <x:s v="Software"/>
    <x:d v="2025-02-12T00:00:00Z"/>
    <x:n v="45730"/>
    <x:x v="2"/>
    <x:n v="2277.15"/>
    <x:s v="Historical"/>
    <x:s v="SUP11-INV-01247"/>
    <x:n v="30"/>
    <x:s v="Manchester Cloud Solutions"/>
    <x:n v="1.037"/>
    <x:n v="1.2443303175022198"/>
    <x:n v="0.006513000879286522"/>
    <x:n v="1.2443303175022198"/>
    <x:x v="1245"/>
    <x:x v="3"/>
    <x:n v="1.238"/>
    <x:n v="2819.1117"/>
    <x:n v="14.415082500179778"/>
    <x:n v="0.005113342085799502"/>
  </x:r>
  <x:r>
    <x:s v="INV-01248"/>
    <x:x v="0"/>
    <x:s v="SUP01"/>
    <x:x v="0"/>
    <x:s v="Components"/>
    <x:d v="2025-02-17T00:00:00Z"/>
    <x:n v="45735"/>
    <x:x v="0"/>
    <x:n v="35053.69"/>
    <x:s v="Historical"/>
    <x:s v="SUP01-INV-01248"/>
    <x:n v="30"/>
    <x:s v="Rhein Circuit Components"/>
    <x:n v="1.0473"/>
    <x:n v="1.2597885316300386"/>
    <x:n v="0.006600491586311212"/>
    <x:n v="1.0473"/>
    <x:x v="1246"/>
    <x:x v="3"/>
    <x:n v="1.052"/>
    <x:n v="36876.48188000001"/>
    <x:n v="-164.7523430000074"/>
    <x:n v="-0.004467680608365218"/>
  </x:r>
  <x:r>
    <x:s v="INV-01249"/>
    <x:x v="8"/>
    <x:s v="SUP13"/>
    <x:x v="0"/>
    <x:s v="Components"/>
    <x:d v="2025-09-07T00:00:00Z"/>
    <x:n v="45952"/>
    <x:x v="1"/>
    <x:n v="1004020.15"/>
    <x:s v="Historical"/>
    <x:s v="SUP13-INV-01249"/>
    <x:n v="45"/>
    <x:s v="Osaka Microdevices"/>
    <x:n v="1.175"/>
    <x:n v="1.3465505386202155"/>
    <x:n v="0.006382747569123799"/>
    <x:n v="0.006382747569123799"/>
    <x:x v="1247"/>
    <x:x v="1"/>
    <x:n v="0.00684"/>
    <x:n v="6867.497826"/>
    <x:n v="-459.09065423618813"/>
    <x:n v="-0.06684977059593585"/>
  </x:r>
  <x:r>
    <x:s v="INV-01250"/>
    <x:x v="2"/>
    <x:s v="SUP10"/>
    <x:x v="1"/>
    <x:s v="Services"/>
    <x:d v="2026-05-17T00:00:00Z"/>
    <x:n v="46204"/>
    <x:x v="2"/>
    <x:n v="1726.66"/>
    <x:s v="Historical"/>
    <x:s v="SUP10-INV-01250"/>
    <x:n v="45"/>
    <x:s v="Bristol Calibration Services"/>
    <x:n v="1.1628"/>
    <x:n v="1.3357840321654222"/>
    <x:n v="0.00630722499457583"/>
    <x:n v="1.3357840321654222"/>
    <x:x v="1248"/>
    <x:x v="0"/>
    <x:n v="1.271"/>
    <x:n v="2194.58486"/>
    <x:n v="111.85999697874786"/>
    <x:n v="0.05097091437090651"/>
  </x:r>
  <x:r>
    <x:s v="INV-01251"/>
    <x:x v="0"/>
    <x:s v="SUP01"/>
    <x:x v="0"/>
    <x:s v="Components"/>
    <x:d v="2026-03-17T00:00:00Z"/>
    <x:n v="46128"/>
    <x:x v="0"/>
    <x:n v="35727.26"/>
    <x:s v="Historical"/>
    <x:s v="SUP01-INV-01251"/>
    <x:n v="30"/>
    <x:s v="Rhein Circuit Components"/>
    <x:n v="1.1531"/>
    <x:n v="1.334143237301863"/>
    <x:n v="0.006291123356429702"/>
    <x:n v="1.1531"/>
    <x:x v="1249"/>
    <x:x v="6"/>
    <x:n v="1.065"/>
    <x:n v="38049.5319"/>
    <x:n v="3147.5716059999977"/>
    <x:n v="0.08272300469483562"/>
  </x:r>
  <x:r>
    <x:s v="INV-01252"/>
    <x:x v="10"/>
    <x:s v="SUP02"/>
    <x:x v="0"/>
    <x:s v="Equipment"/>
    <x:d v="2025-03-11T00:00:00Z"/>
    <x:n v="45772"/>
    <x:x v="0"/>
    <x:n v="15167.75"/>
    <x:s v="Historical"/>
    <x:s v="SUP02-INV-01252"/>
    <x:n v="45"/>
    <x:s v="Alpen Precision Systems"/>
    <x:n v="1.0912"/>
    <x:n v="1.2932894019484673"/>
    <x:n v="0.006755819712729073"/>
    <x:n v="1.0912"/>
    <x:x v="1250"/>
    <x:x v="3"/>
    <x:n v="1.052"/>
    <x:n v="15956.473"/>
    <x:n v="594.5758000000005"/>
    <x:n v="0.0372623574144487"/>
  </x:r>
  <x:r>
    <x:s v="INV-01253"/>
    <x:x v="0"/>
    <x:s v="SUP01"/>
    <x:x v="0"/>
    <x:s v="Components"/>
    <x:d v="2026-09-11T00:00:00Z"/>
    <x:n v="46306"/>
    <x:x v="0"/>
    <x:n v="31157.74"/>
    <x:s v="Historical"/>
    <x:s v="SUP01-INV-01253"/>
    <x:n v="30"/>
    <x:s v="Rhein Circuit Components"/>
    <x:n v="1.1592"/>
    <x:n v="1.3508127949659152"/>
    <x:n v="0.0064919354838709675"/>
    <x:n v="1.1592"/>
    <x:x v="1251"/>
    <x:x v="4"/>
    <x:n v="1.101"/>
    <x:n v="34304.67174"/>
    <x:n v="1813.380468000003"/>
    <x:n v="0.05286103542234342"/>
  </x:r>
  <x:r>
    <x:s v="INV-01254"/>
    <x:x v="3"/>
    <x:s v="SUP04"/>
    <x:x v="1"/>
    <x:s v="Packaging"/>
    <x:d v="2026-10-29T00:00:00Z"/>
    <x:n v="46354"/>
    <x:x v="0"/>
    <x:n v="8277.79"/>
    <x:s v="Planned"/>
    <x:s v="SUP04-INV-01254"/>
    <x:n v="30"/>
    <x:s v="Nordlicht Packaging"/>
    <x:n v="1.1177"/>
    <x:n v="1.320456022210408"/>
    <x:n v="0.00632004523607577"/>
    <x:n v="1.1177"/>
    <x:x v="1252"/>
    <x:x v="2"/>
    <x:n v="1.119"/>
    <x:n v="9262.847010000001"/>
    <x:n v="-10.76112700000158"/>
    <x:n v="-0.0011617515638965062"/>
  </x:r>
  <x:r>
    <x:s v="INV-01255"/>
    <x:x v="5"/>
    <x:s v="SUP09"/>
    <x:x v="0"/>
    <x:s v="Components"/>
    <x:d v="2026-08-28T00:00:00Z"/>
    <x:n v="46292"/>
    <x:x v="2"/>
    <x:n v="25157.83"/>
    <x:s v="Historical"/>
    <x:s v="SUP09-INV-01255"/>
    <x:n v="30"/>
    <x:s v="Thames Electronics Ltd"/>
    <x:n v="1.1643"/>
    <x:n v="1.358259449370042"/>
    <x:n v="0.0062623709122203094"/>
    <x:n v="1.358259449370042"/>
    <x:x v="1253"/>
    <x:x v="4"/>
    <x:n v="1.293"/>
    <x:n v="32529.07419"/>
    <x:n v="1641.7861331451277"/>
    <x:n v="0.050471345220450235"/>
  </x:r>
  <x:r>
    <x:s v="INV-01257"/>
    <x:x v="6"/>
    <x:s v="SUP16"/>
    <x:x v="0"/>
    <x:s v="Components"/>
    <x:d v="2026-10-07T00:00:00Z"/>
    <x:n v="46332"/>
    <x:x v="1"/>
    <x:n v="1348598.44"/>
    <x:s v="Planned"/>
    <x:s v="SUP16-INV-01257"/>
    <x:n v="30"/>
    <x:s v="Kyoto Optical Instruments"/>
    <x:n v="1.1177"/>
    <x:n v="1.320456022210408"/>
    <x:n v="0.00632004523607577"/>
    <x:n v="0.00632004523607577"/>
    <x:x v="1254"/>
    <x:x v="2"/>
    <x:n v="0.00688"/>
    <x:n v="9278.3572672"/>
    <x:n v="-755.1541210987853"/>
    <x:n v="-0.08138877382619628"/>
  </x:r>
  <x:r>
    <x:s v="INV-01258"/>
    <x:x v="13"/>
    <x:s v="SUP11"/>
    <x:x v="2"/>
    <x:s v="Software"/>
    <x:d v="2026-11-03T00:00:00Z"/>
    <x:n v="46359"/>
    <x:x v="2"/>
    <x:n v="10252.86"/>
    <x:s v="Planned"/>
    <x:s v="SUP11-INV-01258"/>
    <x:n v="30"/>
    <x:s v="Manchester Cloud Solutions"/>
    <x:n v="1.1177"/>
    <x:n v="1.320456022210408"/>
    <x:n v="0.00632004523607577"/>
    <x:n v="1.320456022210408"/>
    <x:x v="1255"/>
    <x:x v="2"/>
    <x:n v="1.315"/>
    <x:n v="13482.5109"/>
    <x:n v="55.93983188020502"/>
    <x:n v="0.004149066319701994"/>
  </x:r>
  <x:r>
    <x:s v="INV-01259"/>
    <x:x v="14"/>
    <x:s v="SUP07"/>
    <x:x v="0"/>
    <x:s v="Equipment"/>
    <x:d v="2025-12-01T00:00:00Z"/>
    <x:n v="46052"/>
    <x:x v="0"/>
    <x:n v="30789.77"/>
    <x:s v="Historical"/>
    <x:s v="SUP07-INV-01259"/>
    <x:n v="60"/>
    <x:s v="Milan Assembly Robotics"/>
    <x:n v="1.1646"/>
    <x:n v="1.326725905673274"/>
    <x:n v="0.006459951187042379"/>
    <x:n v="1.1646"/>
    <x:x v="1256"/>
    <x:x v="7"/>
    <x:n v="1.106"/>
    <x:n v="34053.48562000001"/>
    <x:n v="1804.2805219999937"/>
    <x:n v="0.052983725135623674"/>
  </x:r>
  <x:r>
    <x:s v="INV-01260"/>
    <x:x v="0"/>
    <x:s v="SUP01"/>
    <x:x v="0"/>
    <x:s v="Components"/>
    <x:d v="2026-03-16T00:00:00Z"/>
    <x:n v="46127"/>
    <x:x v="0"/>
    <x:n v="5896.64"/>
    <x:s v="Historical"/>
    <x:s v="SUP01-INV-01260"/>
    <x:n v="30"/>
    <x:s v="Rhein Circuit Components"/>
    <x:n v="1.1478"/>
    <x:n v="1.328349226923433"/>
    <x:n v="0.006283805978320376"/>
    <x:n v="1.1478"/>
    <x:x v="1257"/>
    <x:x v="6"/>
    <x:n v="1.065"/>
    <x:n v="6279.9216"/>
    <x:n v="488.2417920000007"/>
    <x:n v="0.07774647887323956"/>
  </x:r>
  <x:r>
    <x:s v="INV-01261"/>
    <x:x v="7"/>
    <x:s v="SUP03"/>
    <x:x v="0"/>
    <x:s v="Components"/>
    <x:d v="2026-02-25T00:00:00Z"/>
    <x:n v="46108"/>
    <x:x v="0"/>
    <x:n v="20248.67"/>
    <x:s v="Historical"/>
    <x:s v="SUP03-INV-01261"/>
    <x:n v="30"/>
    <x:s v="Benelux Sensor Works"/>
    <x:n v="1.1784"/>
    <x:n v="1.3523066330043607"/>
    <x:n v="0.006380075798592312"/>
    <x:n v="1.1784"/>
    <x:x v="1258"/>
    <x:x v="6"/>
    <x:n v="1.065"/>
    <x:n v="21564.833549999996"/>
    <x:n v="2296.199177999999"/>
    <x:n v="0.1064788732394366"/>
  </x:r>
  <x:r>
    <x:s v="INV-01262"/>
    <x:x v="0"/>
    <x:s v="SUP01"/>
    <x:x v="0"/>
    <x:s v="Components"/>
    <x:d v="2026-06-14T00:00:00Z"/>
    <x:n v="46217"/>
    <x:x v="0"/>
    <x:n v="46832.12"/>
    <x:s v="Historical"/>
    <x:s v="SUP01-INV-01262"/>
    <x:n v="30"/>
    <x:s v="Rhein Circuit Components"/>
    <x:n v="1.1567"/>
    <x:n v="1.340246799142576"/>
    <x:n v="0.006242309767943875"/>
    <x:n v="1.1567"/>
    <x:x v="1259"/>
    <x:x v="0"/>
    <x:n v="1.083"/>
    <x:n v="50719.18596"/>
    <x:n v="3451.5272440000044"/>
    <x:n v="0.06805170821791329"/>
  </x:r>
  <x:r>
    <x:s v="INV-01263"/>
    <x:x v="8"/>
    <x:s v="SUP13"/>
    <x:x v="0"/>
    <x:s v="Components"/>
    <x:d v="2025-07-22T00:00:00Z"/>
    <x:n v="45905"/>
    <x:x v="1"/>
    <x:n v="3683893.26"/>
    <x:s v="Historical"/>
    <x:s v="SUP13-INV-01263"/>
    <x:n v="45"/>
    <x:s v="Osaka Microdevices"/>
    <x:n v="1.1699"/>
    <x:n v="1.3485878962536022"/>
    <x:n v="0.006795028169832143"/>
    <x:n v="0.006795028169832143"/>
    <x:x v="1260"/>
    <x:x v="1"/>
    <x:n v="0.00684"/>
    <x:n v="25197.829898399996"/>
    <x:n v="-165.67142204523043"/>
    <x:n v="-0.006574828971908814"/>
  </x:r>
  <x:r>
    <x:s v="INV-01264"/>
    <x:x v="10"/>
    <x:s v="SUP02"/>
    <x:x v="0"/>
    <x:s v="Equipment"/>
    <x:d v="2025-01-19T00:00:00Z"/>
    <x:n v="45721"/>
    <x:x v="0"/>
    <x:n v="78852.9"/>
    <x:s v="Historical"/>
    <x:s v="SUP02-INV-01264"/>
    <x:n v="45"/>
    <x:s v="Alpen Precision Systems"/>
    <x:n v="1.0335"/>
    <x:n v="1.2423666875030055"/>
    <x:n v="0.00643845003737852"/>
    <x:n v="1.0335"/>
    <x:x v="1261"/>
    <x:x v="3"/>
    <x:n v="1.052"/>
    <x:n v="82953.2508"/>
    <x:n v="-1458.778649999993"/>
    <x:n v="-0.017585551330798393"/>
  </x:r>
  <x:r>
    <x:s v="INV-01265"/>
    <x:x v="3"/>
    <x:s v="SUP04"/>
    <x:x v="1"/>
    <x:s v="Packaging"/>
    <x:d v="2026-06-18T00:00:00Z"/>
    <x:n v="46221"/>
    <x:x v="0"/>
    <x:n v="7522.33"/>
    <x:s v="Historical"/>
    <x:s v="SUP04-INV-01265"/>
    <x:n v="30"/>
    <x:s v="Nordlicht Packaging"/>
    <x:n v="1.1461"/>
    <x:n v="1.3228606385188946"/>
    <x:n v="0.0062139449143352845"/>
    <x:n v="1.1461"/>
    <x:x v="1262"/>
    <x:x v="0"/>
    <x:n v="1.083"/>
    <x:n v="8146.683389999999"/>
    <x:n v="474.65902299999925"/>
    <x:n v="0.05826408125577092"/>
  </x:r>
  <x:r>
    <x:s v="INV-01266"/>
    <x:x v="8"/>
    <x:s v="SUP13"/>
    <x:x v="0"/>
    <x:s v="Components"/>
    <x:d v="2025-09-10T00:00:00Z"/>
    <x:n v="45955"/>
    <x:x v="1"/>
    <x:n v="5229795.91"/>
    <x:s v="Historical"/>
    <x:s v="SUP13-INV-01266"/>
    <x:n v="45"/>
    <x:s v="Osaka Microdevices"/>
    <x:n v="1.1707"/>
    <x:n v="1.3534104046242776"/>
    <x:n v="0.006779984942375631"/>
    <x:n v="0.006779984942375631"/>
    <x:x v="1263"/>
    <x:x v="1"/>
    <x:n v="0.00684"/>
    <x:n v="35771.8040244"/>
    <x:n v="-313.86650290233956"/>
    <x:n v="-0.008774131231632901"/>
  </x:r>
  <x:r>
    <x:s v="INV-01267"/>
    <x:x v="10"/>
    <x:s v="SUP02"/>
    <x:x v="0"/>
    <x:s v="Equipment"/>
    <x:d v="2025-05-28T00:00:00Z"/>
    <x:n v="45850"/>
    <x:x v="0"/>
    <x:n v="16104.03"/>
    <x:s v="Historical"/>
    <x:s v="SUP02-INV-01267"/>
    <x:n v="45"/>
    <x:s v="Alpen Precision Systems"/>
    <x:n v="1.1317"/>
    <x:n v="1.347582757799476"/>
    <x:n v="0.006924677231842378"/>
    <x:n v="1.1317"/>
    <x:x v="1264"/>
    <x:x v="5"/>
    <x:n v="1.07"/>
    <x:n v="17231.312100000003"/>
    <x:n v="993.618650999997"/>
    <x:n v="0.057663551401868976"/>
  </x:r>
  <x:r>
    <x:s v="INV-01268"/>
    <x:x v="1"/>
    <x:s v="SUP15"/>
    <x:x v="1"/>
    <x:s v="Freight"/>
    <x:d v="2025-04-19T00:00:00Z"/>
    <x:n v="45796"/>
    <x:x v="1"/>
    <x:n v="1816199.72"/>
    <x:s v="Historical"/>
    <x:s v="SUP15-INV-01268"/>
    <x:n v="30"/>
    <x:s v="Nagoya Logistics Partners"/>
    <x:n v="1.1512"/>
    <x:n v="1.3535567313345092"/>
    <x:n v="0.006937447270097626"/>
    <x:n v="0.006937447270097626"/>
    <x:x v="1265"/>
    <x:x v="5"/>
    <x:n v="0.0067"/>
    <x:n v="12168.538124"/>
    <x:n v="431.25166546607215"/>
    <x:n v="0.03543989105934712"/>
  </x:r>
  <x:r>
    <x:s v="INV-01269"/>
    <x:x v="2"/>
    <x:s v="SUP10"/>
    <x:x v="1"/>
    <x:s v="Services"/>
    <x:d v="2025-02-06T00:00:00Z"/>
    <x:n v="45739"/>
    <x:x v="2"/>
    <x:n v="2699.57"/>
    <x:s v="Historical"/>
    <x:s v="SUP10-INV-01269"/>
    <x:n v="45"/>
    <x:s v="Bristol Calibration Services"/>
    <x:n v="1.036"/>
    <x:n v="1.2379313641143295"/>
    <x:n v="0.006559037670148782"/>
    <x:n v="1.2379313641143295"/>
    <x:x v="1266"/>
    <x:x v="3"/>
    <x:n v="1.238"/>
    <x:n v="3342.06766"/>
    <x:n v="-0.18528737787937644"/>
    <x:n v="-5.544094157548457E-05"/>
  </x:r>
  <x:r>
    <x:s v="INV-01270"/>
    <x:x v="3"/>
    <x:s v="SUP04"/>
    <x:x v="1"/>
    <x:s v="Packaging"/>
    <x:d v="2026-10-04T00:00:00Z"/>
    <x:n v="46329"/>
    <x:x v="0"/>
    <x:n v="9612.56"/>
    <x:s v="Planned"/>
    <x:s v="SUP04-INV-01270"/>
    <x:n v="30"/>
    <x:s v="Nordlicht Packaging"/>
    <x:n v="1.1225"/>
    <x:n v="1.3200757353027648"/>
    <x:n v="0.006342166224080456"/>
    <x:n v="1.1225"/>
    <x:x v="1267"/>
    <x:x v="2"/>
    <x:n v="1.119"/>
    <x:n v="10756.45464"/>
    <x:n v="33.643959999999424"/>
    <x:n v="0.0031277926720285434"/>
  </x:r>
  <x:r>
    <x:s v="INV-01271"/>
    <x:x v="4"/>
    <x:s v="SUP08"/>
    <x:x v="0"/>
    <x:s v="Components"/>
    <x:d v="2025-11-17T00:00:00Z"/>
    <x:n v="46008"/>
    <x:x v="0"/>
    <x:n v="5028.73"/>
    <x:s v="Historical"/>
    <x:s v="SUP08-INV-01271"/>
    <x:n v="30"/>
    <x:s v="Valencia Circuit Supply"/>
    <x:n v="1.1593"/>
    <x:n v="1.3181353041500854"/>
    <x:n v="0.0064559781700729525"/>
    <x:n v="1.1593"/>
    <x:x v="1268"/>
    <x:x v="7"/>
    <x:n v="1.106"/>
    <x:n v="5561.77538"/>
    <x:n v="268.03130899999906"/>
    <x:n v="0.04819168173598536"/>
  </x:r>
  <x:r>
    <x:s v="INV-01272"/>
    <x:x v="6"/>
    <x:s v="SUP16"/>
    <x:x v="0"/>
    <x:s v="Components"/>
    <x:d v="2026-06-17T00:00:00Z"/>
    <x:n v="46220"/>
    <x:x v="1"/>
    <x:n v="2213617.97"/>
    <x:s v="Historical"/>
    <x:s v="SUP16-INV-01272"/>
    <x:n v="30"/>
    <x:s v="Kyoto Optical Instruments"/>
    <x:n v="1.1591"/>
    <x:n v="1.3405734244705827"/>
    <x:n v="0.006237756969109892"/>
    <x:n v="0.006237756969109892"/>
    <x:x v="1269"/>
    <x:x v="0"/>
    <x:n v="0.0066"/>
    <x:n v="14609.878602"/>
    <x:n v="-801.8676826856081"/>
    <x:n v="-0.054885307710622416"/>
  </x:r>
  <x:r>
    <x:s v="INV-01273"/>
    <x:x v="0"/>
    <x:s v="SUP01"/>
    <x:x v="0"/>
    <x:s v="Components"/>
    <x:d v="2025-12-26T00:00:00Z"/>
    <x:n v="46047"/>
    <x:x v="0"/>
    <x:n v="13045.32"/>
    <x:s v="Historical"/>
    <x:s v="SUP01-INV-01273"/>
    <x:n v="30"/>
    <x:s v="Rhein Circuit Components"/>
    <x:n v="1.1555"/>
    <x:n v="1.3367963164349013"/>
    <x:n v="0.006298375667720483"/>
    <x:n v="1.1555"/>
    <x:x v="1270"/>
    <x:x v="7"/>
    <x:n v="1.106"/>
    <x:n v="14428.12392"/>
    <x:n v="645.7433399999991"/>
    <x:n v="0.04475587703435798"/>
  </x:r>
  <x:r>
    <x:s v="INV-01274"/>
    <x:x v="8"/>
    <x:s v="SUP13"/>
    <x:x v="0"/>
    <x:s v="Components"/>
    <x:d v="2026-06-05T00:00:00Z"/>
    <x:n v="46223"/>
    <x:x v="1"/>
    <x:n v="1091032.02"/>
    <x:s v="Historical"/>
    <x:s v="SUP13-INV-01274"/>
    <x:n v="45"/>
    <x:s v="Osaka Microdevices"/>
    <x:n v="1.164"/>
    <x:n v="1.3467078546388531"/>
    <x:n v="0.006255374032674118"/>
    <x:n v="0.006255374032674118"/>
    <x:x v="1271"/>
    <x:x v="0"/>
    <x:n v="0.0066"/>
    <x:n v="7200.811332"/>
    <x:n v="-375.9979652760112"/>
    <x:n v="-0.05221605565543669"/>
  </x:r>
  <x:r>
    <x:s v="INV-01276"/>
    <x:x v="12"/>
    <x:s v="SUP17"/>
    <x:x v="1"/>
    <x:s v="Packaging"/>
    <x:d v="2026-10-30T00:00:00Z"/>
    <x:n v="46370"/>
    <x:x v="1"/>
    <x:n v="1069162.58"/>
    <x:s v="Planned"/>
    <x:s v="SUP17-INV-01276"/>
    <x:n v="45"/>
    <x:s v="Kobe Industrial Packaging"/>
    <x:n v="1.1177"/>
    <x:n v="1.320456022210408"/>
    <x:n v="0.00632004523607577"/>
    <x:n v="0.00632004523607577"/>
    <x:x v="1272"/>
    <x:x v="2"/>
    <x:n v="0.00688"/>
    <x:n v="7355.838550400001"/>
    <x:n v="-598.6826800805211"/>
    <x:n v="-0.08138877382619628"/>
  </x:r>
  <x:r>
    <x:s v="INV-01277"/>
    <x:x v="16"/>
    <x:s v="SUP12"/>
    <x:x v="0"/>
    <x:s v="Components"/>
    <x:d v="2025-02-14T00:00:00Z"/>
    <x:n v="45762"/>
    <x:x v="2"/>
    <x:n v="30334.58"/>
    <x:s v="Historical"/>
    <x:s v="SUP12-INV-01277"/>
    <x:n v="60"/>
    <x:s v="Oxford Technical Materials"/>
    <x:n v="1.0478"/>
    <x:n v="1.2591479901460074"/>
    <x:n v="0.006545068399025548"/>
    <x:n v="1.2591479901460074"/>
    <x:x v="1273"/>
    <x:x v="3"/>
    <x:n v="1.238"/>
    <x:n v="37554.210040000005"/>
    <x:n v="641.5153989232713"/>
    <x:n v="0.01708238299354389"/>
  </x:r>
  <x:r>
    <x:s v="INV-01278"/>
    <x:x v="7"/>
    <x:s v="SUP03"/>
    <x:x v="0"/>
    <x:s v="Components"/>
    <x:d v="2026-07-18T00:00:00Z"/>
    <x:n v="46251"/>
    <x:x v="0"/>
    <x:n v="22339.82"/>
    <x:s v="Historical"/>
    <x:s v="SUP03-INV-01278"/>
    <x:n v="30"/>
    <x:s v="Benelux Sensor Works"/>
    <x:n v="1.1435"/>
    <x:n v="1.3437448588685985"/>
    <x:n v="0.006159439806086722"/>
    <x:n v="1.1435"/>
    <x:x v="1274"/>
    <x:x v="4"/>
    <x:n v="1.101"/>
    <x:n v="24596.14182"/>
    <x:n v="949.4423499999975"/>
    <x:n v="0.038601271571298716"/>
  </x:r>
  <x:r>
    <x:s v="INV-01279"/>
    <x:x v="10"/>
    <x:s v="SUP02"/>
    <x:x v="0"/>
    <x:s v="Equipment"/>
    <x:d v="2025-04-08T00:00:00Z"/>
    <x:n v="45800"/>
    <x:x v="0"/>
    <x:n v="16400.43"/>
    <x:s v="Historical"/>
    <x:s v="SUP02-INV-01279"/>
    <x:n v="45"/>
    <x:s v="Alpen Precision Systems"/>
    <x:n v="1.095"/>
    <x:n v="1.2785484096959507"/>
    <x:n v="0.006816059757236227"/>
    <x:n v="1.095"/>
    <x:x v="1275"/>
    <x:x v="5"/>
    <x:n v="1.07"/>
    <x:n v="17548.4601"/>
    <x:n v="410.0107500000013"/>
    <x:n v="0.023364485981308483"/>
  </x:r>
  <x:r>
    <x:s v="INV-01280"/>
    <x:x v="6"/>
    <x:s v="SUP16"/>
    <x:x v="0"/>
    <x:s v="Components"/>
    <x:d v="2025-07-03T00:00:00Z"/>
    <x:n v="45871"/>
    <x:x v="1"/>
    <x:n v="2369740.78"/>
    <x:s v="Historical"/>
    <x:s v="SUP16-INV-01280"/>
    <x:n v="30"/>
    <x:s v="Kyoto Optical Instruments"/>
    <x:n v="1.1782"/>
    <x:n v="1.3653957584888168"/>
    <x:n v="0.006947753272791602"/>
    <x:n v="0.006947753272791602"/>
    <x:x v="1276"/>
    <x:x v="1"/>
    <x:n v="0.00684"/>
    <x:n v="16209.026935199998"/>
    <x:n v="255.347324712724"/>
    <x:n v="0.015753402454912593"/>
  </x:r>
  <x:r>
    <x:s v="INV-01281"/>
    <x:x v="4"/>
    <x:s v="SUP08"/>
    <x:x v="0"/>
    <x:s v="Components"/>
    <x:d v="2025-01-26T00:00:00Z"/>
    <x:n v="45713"/>
    <x:x v="0"/>
    <x:n v="7738.18"/>
    <x:s v="Historical"/>
    <x:s v="SUP08-INV-01281"/>
    <x:n v="30"/>
    <x:s v="Valencia Circuit Supply"/>
    <x:n v="1.039"/>
    <x:n v="1.247104293447601"/>
    <x:n v="0.006502284248075599"/>
    <x:n v="1.039"/>
    <x:x v="1277"/>
    <x:x v="3"/>
    <x:n v="1.052"/>
    <x:n v="8140.5653600000005"/>
    <x:n v="-100.59634000000096"/>
    <x:n v="-0.01235741444866932"/>
  </x:r>
  <x:r>
    <x:s v="INV-01282"/>
    <x:x v="0"/>
    <x:s v="SUP01"/>
    <x:x v="0"/>
    <x:s v="Components"/>
    <x:d v="2025-04-29T00:00:00Z"/>
    <x:n v="45806"/>
    <x:x v="0"/>
    <x:n v="17102.77"/>
    <x:s v="Historical"/>
    <x:s v="SUP01-INV-01282"/>
    <x:n v="30"/>
    <x:s v="Rhein Circuit Components"/>
    <x:n v="1.1373"/>
    <x:n v="1.3383148976229702"/>
    <x:n v="0.007008257333004683"/>
    <x:n v="1.1373"/>
    <x:x v="1278"/>
    <x:x v="5"/>
    <x:n v="1.07"/>
    <x:n v="18299.963900000002"/>
    <x:n v="1151.0164209999966"/>
    <x:n v="0.06289719626168205"/>
  </x:r>
  <x:r>
    <x:s v="INV-01283"/>
    <x:x v="9"/>
    <x:s v="SUP05"/>
    <x:x v="0"/>
    <x:s v="Components"/>
    <x:d v="2025-09-22T00:00:00Z"/>
    <x:n v="45967"/>
    <x:x v="0"/>
    <x:n v="21277.24"/>
    <x:s v="Historical"/>
    <x:s v="SUP05-INV-01283"/>
    <x:n v="45"/>
    <x:s v="Lyon Industrial Controls"/>
    <x:n v="1.1781"/>
    <x:n v="1.3496391339214113"/>
    <x:n v="0.006764081070218752"/>
    <x:n v="1.1781"/>
    <x:x v="1279"/>
    <x:x v="1"/>
    <x:n v="1.088"/>
    <x:n v="23149.637120000003"/>
    <x:n v="1917.0793239999985"/>
    <x:n v="0.08281249999999993"/>
  </x:r>
  <x:r>
    <x:s v="INV-01284"/>
    <x:x v="7"/>
    <x:s v="SUP03"/>
    <x:x v="0"/>
    <x:s v="Components"/>
    <x:d v="2025-11-09T00:00:00Z"/>
    <x:n v="46000"/>
    <x:x v="0"/>
    <x:n v="16768.02"/>
    <x:s v="Historical"/>
    <x:s v="SUP03-INV-01284"/>
    <x:n v="30"/>
    <x:s v="Benelux Sensor Works"/>
    <x:n v="1.1555"/>
    <x:n v="1.3367963164349013"/>
    <x:n v="0.006298375667720483"/>
    <x:n v="1.1555"/>
    <x:x v="1280"/>
    <x:x v="7"/>
    <x:n v="1.106"/>
    <x:n v="18545.43012"/>
    <x:n v="830.0169900000001"/>
    <x:n v="0.04475587703435805"/>
  </x:r>
  <x:r>
    <x:s v="INV-01285"/>
    <x:x v="5"/>
    <x:s v="SUP09"/>
    <x:x v="0"/>
    <x:s v="Components"/>
    <x:d v="2026-06-26T00:00:00Z"/>
    <x:n v="46229"/>
    <x:x v="2"/>
    <x:n v="12413.68"/>
    <x:s v="Historical"/>
    <x:s v="SUP09-INV-01285"/>
    <x:n v="30"/>
    <x:s v="Thames Electronics Ltd"/>
    <x:n v="1.1401"/>
    <x:n v="1.3218090964951943"/>
    <x:n v="0.006186109603906673"/>
    <x:n v="1.3218090964951943"/>
    <x:x v="1281"/>
    <x:x v="0"/>
    <x:n v="1.271"/>
    <x:n v="15777.787279999999"/>
    <x:n v="630.7278649804666"/>
    <x:n v="0.03997568567678564"/>
  </x:r>
  <x:r>
    <x:s v="INV-01286"/>
    <x:x v="13"/>
    <x:s v="SUP11"/>
    <x:x v="2"/>
    <x:s v="Software"/>
    <x:d v="2025-06-06T00:00:00Z"/>
    <x:n v="45844"/>
    <x:x v="2"/>
    <x:n v="9955.55"/>
    <x:s v="Historical"/>
    <x:s v="SUP11-INV-01286"/>
    <x:n v="30"/>
    <x:s v="Manchester Cloud Solutions"/>
    <x:n v="1.1411"/>
    <x:n v="1.3542606218846427"/>
    <x:n v="0.006931721540517555"/>
    <x:n v="1.3542606218846427"/>
    <x:x v="1282"/>
    <x:x v="5"/>
    <x:n v="1.26"/>
    <x:n v="12543.992999999999"/>
    <x:n v="938.4163342036554"/>
    <x:n v="0.07481001736876412"/>
  </x:r>
  <x:r>
    <x:s v="INV-01287"/>
    <x:x v="12"/>
    <x:s v="SUP17"/>
    <x:x v="1"/>
    <x:s v="Packaging"/>
    <x:d v="2025-05-05T00:00:00Z"/>
    <x:n v="45827"/>
    <x:x v="1"/>
    <x:n v="880086.72"/>
    <x:s v="Historical"/>
    <x:s v="SUP17-INV-01287"/>
    <x:n v="45"/>
    <x:s v="Kobe Industrial Packaging"/>
    <x:n v="1.1343"/>
    <x:n v="1.3321197886083382"/>
    <x:n v="0.006950793553526565"/>
    <x:n v="0.006950793553526565"/>
    <x:x v="1283"/>
    <x:x v="5"/>
    <x:n v="0.0067"/>
    <x:n v="5896.581024"/>
    <x:n v="220.7200759203388"/>
    <x:n v="0.037431873660681306"/>
  </x:r>
  <x:r>
    <x:s v="INV-01288"/>
    <x:x v="16"/>
    <x:s v="SUP12"/>
    <x:x v="0"/>
    <x:s v="Components"/>
    <x:d v="2026-10-02T00:00:00Z"/>
    <x:n v="46357"/>
    <x:x v="2"/>
    <x:n v="7340.39"/>
    <x:s v="Planned"/>
    <x:s v="SUP12-INV-01288"/>
    <x:n v="60"/>
    <x:s v="Oxford Technical Materials"/>
    <x:n v="1.1225"/>
    <x:n v="1.3200757353027648"/>
    <x:n v="0.006342166224080456"/>
    <x:n v="1.3200757353027648"/>
    <x:x v="1284"/>
    <x:x v="2"/>
    <x:n v="1.315"/>
    <x:n v="9652.61285"/>
    <x:n v="37.257876659063186"/>
    <x:n v="0.0038598747549543734"/>
  </x:r>
  <x:r>
    <x:s v="INV-01289"/>
    <x:x v="10"/>
    <x:s v="SUP02"/>
    <x:x v="0"/>
    <x:s v="Equipment"/>
    <x:d v="2026-08-25T00:00:00Z"/>
    <x:n v="46304"/>
    <x:x v="0"/>
    <x:n v="54707"/>
    <x:s v="Historical"/>
    <x:s v="SUP02-INV-01289"/>
    <x:n v="45"/>
    <x:s v="Alpen Precision Systems"/>
    <x:n v="1.1662"/>
    <x:n v="1.3631794272355346"/>
    <x:n v="0.00628002154011847"/>
    <x:n v="1.1662"/>
    <x:x v="1285"/>
    <x:x v="4"/>
    <x:n v="1.101"/>
    <x:n v="60232.407"/>
    <x:n v="3566.896399999998"/>
    <x:n v="0.059218891916439566"/>
  </x:r>
  <x:r>
    <x:s v="INV-01290"/>
    <x:x v="0"/>
    <x:s v="SUP01"/>
    <x:x v="0"/>
    <x:s v="Components"/>
    <x:d v="2025-03-06T00:00:00Z"/>
    <x:n v="45752"/>
    <x:x v="0"/>
    <x:n v="21208.73"/>
    <x:s v="Historical"/>
    <x:s v="SUP01-INV-01290"/>
    <x:n v="30"/>
    <x:s v="Rhein Circuit Components"/>
    <x:n v="1.0796"/>
    <x:n v="1.2884592433464612"/>
    <x:n v="0.006779703592062295"/>
    <x:n v="1.0796"/>
    <x:x v="1286"/>
    <x:x v="3"/>
    <x:n v="1.052"/>
    <x:n v="22311.58396"/>
    <x:n v="585.3609479999977"/>
    <x:n v="0.02623574144486682"/>
  </x:r>
  <x:r>
    <x:s v="INV-01291"/>
    <x:x v="7"/>
    <x:s v="SUP03"/>
    <x:x v="0"/>
    <x:s v="Components"/>
    <x:d v="2026-11-20T00:00:00Z"/>
    <x:n v="46376"/>
    <x:x v="0"/>
    <x:n v="27843.84"/>
    <x:s v="Planned"/>
    <x:s v="SUP03-INV-01291"/>
    <x:n v="30"/>
    <x:s v="Benelux Sensor Works"/>
    <x:n v="1.1177"/>
    <x:n v="1.320456022210408"/>
    <x:n v="0.00632004523607577"/>
    <x:n v="1.1177"/>
    <x:x v="1287"/>
    <x:x v="2"/>
    <x:n v="1.119"/>
    <x:n v="31157.25696"/>
    <x:n v="-36.196992000001046"/>
    <x:n v="-0.0011617515638963696"/>
  </x:r>
  <x:r>
    <x:s v="INV-01292"/>
    <x:x v="2"/>
    <x:s v="SUP10"/>
    <x:x v="1"/>
    <x:s v="Services"/>
    <x:d v="2025-10-10T00:00:00Z"/>
    <x:n v="45985"/>
    <x:x v="2"/>
    <x:n v="1658.48"/>
    <x:s v="Historical"/>
    <x:s v="SUP10-INV-01292"/>
    <x:n v="45"/>
    <x:s v="Bristol Calibration Services"/>
    <x:n v="1.1568"/>
    <x:n v="1.3282810885291079"/>
    <x:n v="0.006555593335600136"/>
    <x:n v="1.3282810885291079"/>
    <x:x v="1288"/>
    <x:x v="7"/>
    <x:n v="1.304"/>
    <x:n v="2162.65792"/>
    <x:n v="40.26969970375467"/>
    <x:n v="0.01862046666342621"/>
  </x:r>
  <x:r>
    <x:s v="INV-01293"/>
    <x:x v="14"/>
    <x:s v="SUP07"/>
    <x:x v="0"/>
    <x:s v="Equipment"/>
    <x:d v="2025-05-20T00:00:00Z"/>
    <x:n v="45857"/>
    <x:x v="0"/>
    <x:n v="76427.65"/>
    <x:s v="Historical"/>
    <x:s v="SUP07-INV-01293"/>
    <x:n v="60"/>
    <x:s v="Milan Assembly Robotics"/>
    <x:n v="1.1241"/>
    <x:n v="1.335352815395581"/>
    <x:n v="0.006913709330217111"/>
    <x:n v="1.1241"/>
    <x:x v="1289"/>
    <x:x v="5"/>
    <x:n v="1.07"/>
    <x:n v="81777.5855"/>
    <x:n v="4134.735864999995"/>
    <x:n v="0.05056074766355134"/>
  </x:r>
  <x:r>
    <x:s v="INV-01294"/>
    <x:x v="6"/>
    <x:s v="SUP16"/>
    <x:x v="0"/>
    <x:s v="Components"/>
    <x:d v="2025-07-06T00:00:00Z"/>
    <x:n v="45874"/>
    <x:x v="1"/>
    <x:n v="1489724.93"/>
    <x:s v="Historical"/>
    <x:s v="SUP16-INV-01294"/>
    <x:n v="30"/>
    <x:s v="Kyoto Optical Instruments"/>
    <x:n v="1.1724"/>
    <x:n v="1.346966911764706"/>
    <x:n v="0.006797703948512785"/>
    <x:n v="0.006797703948512785"/>
    <x:x v="1290"/>
    <x:x v="1"/>
    <x:n v="0.00684"/>
    <x:n v="10189.718521199999"/>
    <x:n v="-63.00948234106727"/>
    <x:n v="-0.0061836332583647185"/>
  </x:r>
  <x:r>
    <x:s v="INV-01295"/>
    <x:x v="11"/>
    <x:s v="SUP14"/>
    <x:x v="0"/>
    <x:s v="Equipment"/>
    <x:d v="2026-07-24T00:00:00Z"/>
    <x:n v="46287"/>
    <x:x v="1"/>
    <x:n v="10311045.75"/>
    <x:s v="Historical"/>
    <x:s v="SUP14-INV-01295"/>
    <x:n v="60"/>
    <x:s v="Tokyo Automation Systems"/>
    <x:n v="1.1377"/>
    <x:n v="1.3323886260364455"/>
    <x:n v="0.006104195729155488"/>
    <x:n v="0.006104195729155488"/>
    <x:x v="1291"/>
    <x:x v="4"/>
    <x:n v="0.00674"/>
    <x:n v="69496.448355"/>
    <x:n v="-6555.806924723154"/>
    <x:n v="-0.09433297787010564"/>
  </x:r>
  <x:r>
    <x:s v="INV-01296"/>
    <x:x v="16"/>
    <x:s v="SUP12"/>
    <x:x v="0"/>
    <x:s v="Components"/>
    <x:d v="2026-03-22T00:00:00Z"/>
    <x:n v="46163"/>
    <x:x v="2"/>
    <x:n v="21773.99"/>
    <x:s v="Historical"/>
    <x:s v="SUP12-INV-01296"/>
    <x:n v="60"/>
    <x:s v="Oxford Technical Materials"/>
    <x:n v="1.1555"/>
    <x:n v="1.3367963164349013"/>
    <x:n v="0.006298375667720483"/>
    <x:n v="1.3367963164349013"/>
    <x:x v="1292"/>
    <x:x v="6"/>
    <x:n v="1.249"/>
    <x:n v="27195.713510000005"/>
    <x:n v="1911.6761160903734"/>
    <x:n v="0.07029328777814342"/>
  </x:r>
  <x:r>
    <x:s v="INV-01297"/>
    <x:x v="6"/>
    <x:s v="SUP16"/>
    <x:x v="0"/>
    <x:s v="Components"/>
    <x:d v="2026-04-09T00:00:00Z"/>
    <x:n v="46151"/>
    <x:x v="1"/>
    <x:n v="2717415.21"/>
    <x:s v="Historical"/>
    <x:s v="SUP16-INV-01297"/>
    <x:n v="30"/>
    <x:s v="Kyoto Optical Instruments"/>
    <x:n v="1.1685"/>
    <x:n v="1.3422857339781513"/>
    <x:n v="0.006292407108239096"/>
    <x:n v="0.006292407108239096"/>
    <x:x v="1293"/>
    <x:x v="0"/>
    <x:n v="0.0066"/>
    <x:n v="17934.940386"/>
    <x:n v="-835.8576025589609"/>
    <x:n v="-0.04660498360013679"/>
  </x:r>
  <x:r>
    <x:s v="INV-01298"/>
    <x:x v="4"/>
    <x:s v="SUP08"/>
    <x:x v="0"/>
    <x:s v="Components"/>
    <x:d v="2025-12-22T00:00:00Z"/>
    <x:n v="46043"/>
    <x:x v="0"/>
    <x:n v="14695.41"/>
    <x:s v="Historical"/>
    <x:s v="SUP08-INV-01298"/>
    <x:n v="30"/>
    <x:s v="Valencia Circuit Supply"/>
    <x:n v="1.1745"/>
    <x:n v="1.3435140700068635"/>
    <x:n v="0.006356551388212372"/>
    <x:n v="1.1745"/>
    <x:x v="1294"/>
    <x:x v="7"/>
    <x:n v="1.106"/>
    <x:n v="16253.12346"/>
    <x:n v="1006.6355850000018"/>
    <x:n v="0.06193490054249559"/>
  </x:r>
  <x:r>
    <x:s v="INV-01299"/>
    <x:x v="6"/>
    <x:s v="SUP16"/>
    <x:x v="0"/>
    <x:s v="Components"/>
    <x:d v="2025-11-15T00:00:00Z"/>
    <x:n v="46006"/>
    <x:x v="1"/>
    <x:n v="1847613.07"/>
    <x:s v="Historical"/>
    <x:s v="SUP16-INV-01299"/>
    <x:n v="30"/>
    <x:s v="Kyoto Optical Instruments"/>
    <x:n v="1.1555"/>
    <x:n v="1.3367963164349013"/>
    <x:n v="0.006298375667720483"/>
    <x:n v="0.006298375667720483"/>
    <x:x v="1295"/>
    <x:x v="7"/>
    <x:n v="0.00698"/>
    <x:n v="12896.3392286"/>
    <x:n v="-1259.3780251496573"/>
    <x:n v="-0.09765391579935764"/>
  </x:r>
  <x:r>
    <x:s v="INV-01299"/>
    <x:x v="1"/>
    <x:s v="SUP15"/>
    <x:x v="1"/>
    <x:s v="Freight"/>
    <x:d v="2025-04-23T00:00:00Z"/>
    <x:n v="45800"/>
    <x:x v="1"/>
    <x:n v="1202749.04"/>
    <x:s v="Historical"/>
    <x:s v="SUP15-INV-01299"/>
    <x:n v="30"/>
    <x:s v="Nagoya Logistics Partners"/>
    <x:n v="1.1415"/>
    <x:n v="1.3305281316657536"/>
    <x:n v="0.007060242454230578"/>
    <x:n v="0.007060242454230578"/>
    <x:x v="1296"/>
    <x:x v="5"/>
    <x:n v="0.0067"/>
    <x:n v="8058.418568000001"/>
    <x:n v="433.28126599307143"/>
    <x:n v="0.05376753048217579"/>
  </x:r>
  <x:r>
    <x:s v="INV-01300"/>
    <x:x v="0"/>
    <x:s v="SUP01"/>
    <x:x v="0"/>
    <x:s v="Components"/>
    <x:d v="2026-06-12T00:00:00Z"/>
    <x:n v="46215"/>
    <x:x v="0"/>
    <x:n v="15409.91"/>
    <x:s v="Historical"/>
    <x:s v="SUP01-INV-01300"/>
    <x:n v="30"/>
    <x:s v="Rhein Circuit Components"/>
    <x:n v="1.1567"/>
    <x:n v="1.340246799142576"/>
    <x:n v="0.006242309767943875"/>
    <x:n v="1.1567"/>
    <x:x v="1297"/>
    <x:x v="0"/>
    <x:n v="1.083"/>
    <x:n v="16688.93253"/>
    <x:n v="1135.7103670000033"/>
    <x:n v="0.06805170821791341"/>
  </x:r>
  <x:r>
    <x:s v="INV-01301"/>
    <x:x v="3"/>
    <x:s v="SUP04"/>
    <x:x v="1"/>
    <x:s v="Packaging"/>
    <x:d v="2026-09-19T00:00:00Z"/>
    <x:n v="46314"/>
    <x:x v="0"/>
    <x:n v="2235.4"/>
    <x:s v="Historical"/>
    <x:s v="SUP04-INV-01301"/>
    <x:n v="30"/>
    <x:s v="Nordlicht Packaging"/>
    <x:n v="1.146"/>
    <x:n v="1.3344201210992082"/>
    <x:n v="0.006333591245716812"/>
    <x:n v="1.146"/>
    <x:x v="1298"/>
    <x:x v="4"/>
    <x:n v="1.101"/>
    <x:n v="2461.1754"/>
    <x:n v="100.59299999999985"/>
    <x:n v="0.04087193460490457"/>
  </x:r>
  <x:r>
    <x:s v="INV-01302"/>
    <x:x v="4"/>
    <x:s v="SUP08"/>
    <x:x v="0"/>
    <x:s v="Components"/>
    <x:d v="2025-06-05T00:00:00Z"/>
    <x:n v="45843"/>
    <x:x v="0"/>
    <x:n v="24572.36"/>
    <x:s v="Historical"/>
    <x:s v="SUP08-INV-01302"/>
    <x:n v="30"/>
    <x:s v="Valencia Circuit Supply"/>
    <x:n v="1.1423"/>
    <x:n v="1.356811972918399"/>
    <x:n v="0.006979714041305146"/>
    <x:n v="1.1423"/>
    <x:x v="1299"/>
    <x:x v="5"/>
    <x:n v="1.07"/>
    <x:n v="26292.4252"/>
    <x:n v="1776.581628"/>
    <x:n v="0.06757009345794392"/>
  </x:r>
  <x:r>
    <x:s v="INV-01303"/>
    <x:x v="10"/>
    <x:s v="SUP02"/>
    <x:x v="0"/>
    <x:s v="Equipment"/>
    <x:d v="2026-03-20T00:00:00Z"/>
    <x:n v="46146"/>
    <x:x v="0"/>
    <x:n v="54670.78"/>
    <x:s v="Historical"/>
    <x:s v="SUP02-INV-01303"/>
    <x:n v="45"/>
    <x:s v="Alpen Precision Systems"/>
    <x:n v="1.1555"/>
    <x:n v="1.3367963164349013"/>
    <x:n v="0.006298375667720483"/>
    <x:n v="1.1555"/>
    <x:x v="1300"/>
    <x:x v="6"/>
    <x:n v="1.065"/>
    <x:n v="58224.380699999994"/>
    <x:n v="4947.705590000005"/>
    <x:n v="0.08497652582159634"/>
  </x:r>
  <x:r>
    <x:s v="INV-01304"/>
    <x:x v="0"/>
    <x:s v="SUP01"/>
    <x:x v="0"/>
    <x:s v="Components"/>
    <x:d v="2025-09-12T00:00:00Z"/>
    <x:n v="45942"/>
    <x:x v="0"/>
    <x:n v="16388.1"/>
    <x:s v="Historical"/>
    <x:s v="SUP01-INV-01304"/>
    <x:n v="30"/>
    <x:s v="Rhein Circuit Components"/>
    <x:n v="1.1718"/>
    <x:n v="1.3542124118802727"/>
    <x:n v="0.006760514625281254"/>
    <x:n v="1.1718"/>
    <x:x v="1301"/>
    <x:x v="1"/>
    <x:n v="1.088"/>
    <x:n v="17830.2528"/>
    <x:n v="1373.3227799999986"/>
    <x:n v="0.07702205882352935"/>
  </x:r>
  <x:r>
    <x:s v="INV-01305"/>
    <x:x v="2"/>
    <x:s v="SUP10"/>
    <x:x v="1"/>
    <x:s v="Services"/>
    <x:d v="2025-08-31T00:00:00Z"/>
    <x:n v="45945"/>
    <x:x v="2"/>
    <x:n v="1402.49"/>
    <x:s v="Historical"/>
    <x:s v="SUP10-INV-01305"/>
    <x:n v="45"/>
    <x:s v="Bristol Calibration Services"/>
    <x:n v="1.1719"/>
    <x:n v="1.33992682369083"/>
    <x:n v="0.006419611065461517"/>
    <x:n v="1.33992682369083"/>
    <x:x v="1302"/>
    <x:x v="1"/>
    <x:n v="1.282"/>
    <x:n v="1797.99218"/>
    <x:n v="81.24179095815202"/>
    <x:n v="0.04518472986804204"/>
  </x:r>
  <x:r>
    <x:s v="INV-01306"/>
    <x:x v="6"/>
    <x:s v="SUP16"/>
    <x:x v="0"/>
    <x:s v="Components"/>
    <x:d v="2026-05-03T00:00:00Z"/>
    <x:n v="46175"/>
    <x:x v="1"/>
    <x:n v="958849.3"/>
    <x:s v="Historical"/>
    <x:s v="SUP16-INV-01306"/>
    <x:n v="30"/>
    <x:s v="Kyoto Optical Instruments"/>
    <x:n v="1.1702"/>
    <x:n v="1.3508802308802308"/>
    <x:n v="0.006387205938540472"/>
    <x:n v="0.006387205938540472"/>
    <x:x v="1303"/>
    <x:x v="0"/>
    <x:n v="0.0066"/>
    <x:n v="6328.40538"/>
    <x:n v="-204.0374368746252"/>
    <x:n v="-0.03224152446356482"/>
  </x:r>
  <x:r>
    <x:s v="INV-01307"/>
    <x:x v="0"/>
    <x:s v="SUP01"/>
    <x:x v="0"/>
    <x:s v="Components"/>
    <x:d v="2026-10-18T00:00:00Z"/>
    <x:n v="46343"/>
    <x:x v="0"/>
    <x:n v="35097.21"/>
    <x:s v="Planned"/>
    <x:s v="SUP01-INV-01307"/>
    <x:n v="30"/>
    <x:s v="Rhein Circuit Components"/>
    <x:n v="1.1177"/>
    <x:n v="1.320456022210408"/>
    <x:n v="0.00632004523607577"/>
    <x:n v="1.1177"/>
    <x:x v="1304"/>
    <x:x v="2"/>
    <x:n v="1.119"/>
    <x:n v="39273.77799"/>
    <x:n v="-45.626373000006424"/>
    <x:n v="-0.0011617515638964995"/>
  </x:r>
  <x:r>
    <x:s v="INV-01308"/>
    <x:x v="6"/>
    <x:s v="SUP16"/>
    <x:x v="0"/>
    <x:s v="Components"/>
    <x:d v="2026-08-24T00:00:00Z"/>
    <x:n v="46288"/>
    <x:x v="1"/>
    <x:n v="4769710.79"/>
    <x:s v="Historical"/>
    <x:s v="SUP16-INV-01308"/>
    <x:n v="30"/>
    <x:s v="Kyoto Optical Instruments"/>
    <x:n v="1.1664"/>
    <x:n v="1.3634132086499124"/>
    <x:n v="0.006284482758620691"/>
    <x:n v="0.006284482758620691"/>
    <x:x v="1305"/>
    <x:x v="4"/>
    <x:n v="0.00674"/>
    <x:n v="32147.8507246"/>
    <x:n v="-2172.6855012379274"/>
    <x:n v="-0.06758416044203407"/>
  </x:r>
  <x:r>
    <x:s v="INV-01309"/>
    <x:x v="9"/>
    <x:s v="SUP05"/>
    <x:x v="0"/>
    <x:s v="Components"/>
    <x:d v="2025-08-12T00:00:00Z"/>
    <x:n v="45926"/>
    <x:x v="0"/>
    <x:n v="5522.55"/>
    <x:s v="Historical"/>
    <x:s v="SUP05-INV-01309"/>
    <x:n v="45"/>
    <x:s v="Lyon Industrial Controls"/>
    <x:n v="1.1606"/>
    <x:n v="1.3462475350887368"/>
    <x:n v="0.0067359257109692395"/>
    <x:n v="1.1606"/>
    <x:x v="1306"/>
    <x:x v="1"/>
    <x:n v="1.088"/>
    <x:n v="6008.5344000000005"/>
    <x:n v="400.93713000000025"/>
    <x:n v="0.06672794117647063"/>
  </x:r>
  <x:r>
    <x:s v="INV-01310"/>
    <x:x v="5"/>
    <x:s v="SUP09"/>
    <x:x v="0"/>
    <x:s v="Components"/>
    <x:d v="2026-03-08T00:00:00Z"/>
    <x:n v="46119"/>
    <x:x v="2"/>
    <x:n v="15123.81"/>
    <x:s v="Historical"/>
    <x:s v="SUP09-INV-01310"/>
    <x:n v="30"/>
    <x:s v="Thames Electronics Ltd"/>
    <x:n v="1.1555"/>
    <x:n v="1.3367963164349013"/>
    <x:n v="0.006298375667720483"/>
    <x:n v="1.3367963164349013"/>
    <x:x v="1307"/>
    <x:x v="6"/>
    <x:n v="1.249"/>
    <x:n v="18889.63869"/>
    <x:n v="1327.814808461324"/>
    <x:n v="0.07029328777814352"/>
  </x:r>
  <x:r>
    <x:s v="INV-01311"/>
    <x:x v="4"/>
    <x:s v="SUP08"/>
    <x:x v="0"/>
    <x:s v="Components"/>
    <x:d v="2025-07-16T00:00:00Z"/>
    <x:n v="45884"/>
    <x:x v="0"/>
    <x:n v="6881.95"/>
    <x:s v="Historical"/>
    <x:s v="SUP08-INV-01311"/>
    <x:n v="30"/>
    <x:s v="Valencia Circuit Supply"/>
    <x:n v="1.1602"/>
    <x:n v="1.33987758401663"/>
    <x:n v="0.006723458507185906"/>
    <x:n v="1.1602"/>
    <x:x v="1308"/>
    <x:x v="1"/>
    <x:n v="1.088"/>
    <x:n v="7487.5616"/>
    <x:n v="496.87678999999935"/>
    <x:n v="0.06636029411764698"/>
  </x:r>
  <x:r>
    <x:s v="INV-01312"/>
    <x:x v="13"/>
    <x:s v="SUP11"/>
    <x:x v="2"/>
    <x:s v="IT Software"/>
    <x:d v="2025-05-04T00:00:00Z"/>
    <x:n v="45811"/>
    <x:x v="2"/>
    <x:n v="7054.9"/>
    <x:s v="Historical"/>
    <x:s v="SUP11-INV-01312"/>
    <x:n v="30"/>
    <x:s v="Manchester Cloud Solutions"/>
    <x:n v="1.1767"/>
    <x:n v="1.3642898550724638"/>
    <x:n v="0.006925023540489643"/>
    <x:n v="1.3642898550724638"/>
    <x:x v="1309"/>
    <x:x v="5"/>
    <x:n v="1.26"/>
    <x:n v="8889.173999999999"/>
    <x:n v="735.7544985507247"/>
    <x:n v="0.08276972624798713"/>
  </x:r>
  <x:r>
    <x:s v="INV-01313"/>
    <x:x v="6"/>
    <x:s v="SUP16"/>
    <x:x v="0"/>
    <x:s v="Components"/>
    <x:d v="2026-03-28T00:00:00Z"/>
    <x:n v="46139"/>
    <x:x v="1"/>
    <x:n v="1156218.52"/>
    <x:s v="Historical"/>
    <x:s v="SUP16-INV-01313"/>
    <x:n v="30"/>
    <x:s v="Kyoto Optical Instruments"/>
    <x:n v="1.1517"/>
    <x:n v="1.3280673431734318"/>
    <x:n v="0.006253801042571677"/>
    <x:n v="0.006253801042571677"/>
    <x:x v="1310"/>
    <x:x v="6"/>
    <x:n v="0.00646"/>
    <x:n v="7469.1716392"/>
    <x:n v="-238.41105338331818"/>
    <x:n v="-0.0319193432551583"/>
  </x:r>
  <x:r>
    <x:s v="INV-01315"/>
    <x:x v="7"/>
    <x:s v="SUP03"/>
    <x:x v="0"/>
    <x:s v="Components"/>
    <x:d v="2025-01-09T00:00:00Z"/>
    <x:n v="45696"/>
    <x:x v="0"/>
    <x:n v="9951.92"/>
    <x:s v="Historical"/>
    <x:s v="SUP03-INV-01315"/>
    <x:n v="30"/>
    <x:s v="Benelux Sensor Works"/>
    <x:n v="1.0305"/>
    <x:n v="1.2295962199312713"/>
    <x:n v="0.006339197834645669"/>
    <x:n v="1.0305"/>
    <x:x v="1311"/>
    <x:x v="3"/>
    <x:n v="1.052"/>
    <x:n v="10469.41984"/>
    <x:n v="-213.96628000000055"/>
    <x:n v="-0.020437262357414502"/>
  </x:r>
  <x:r>
    <x:s v="INV-01316"/>
    <x:x v="10"/>
    <x:s v="SUP02"/>
    <x:x v="0"/>
    <x:s v="Equipment"/>
    <x:d v="2025-06-21T00:00:00Z"/>
    <x:n v="45874"/>
    <x:x v="0"/>
    <x:n v="16499.99"/>
    <x:s v="Historical"/>
    <x:s v="SUP02-INV-01316"/>
    <x:n v="45"/>
    <x:s v="Alpen Precision Systems"/>
    <x:n v="1.1707"/>
    <x:n v="1.3534104046242776"/>
    <x:n v="0.006779984942375631"/>
    <x:n v="1.1707"/>
    <x:x v="1312"/>
    <x:x v="5"/>
    <x:n v="1.07"/>
    <x:n v="17654.9893"/>
    <x:n v="1661.5489930000003"/>
    <x:n v="0.0941121495327103"/>
  </x:r>
  <x:r>
    <x:s v="INV-01317"/>
    <x:x v="15"/>
    <x:s v="SUP18"/>
    <x:x v="1"/>
    <x:s v="Services"/>
    <x:d v="2026-01-08T00:00:00Z"/>
    <x:n v="46060"/>
    <x:x v="1"/>
    <x:n v="508821.65"/>
    <x:s v="Historical"/>
    <x:s v="SUP18-INV-01317"/>
    <x:n v="30"/>
    <x:s v="Yokohama Engineering Labs"/>
    <x:n v="1.1675"/>
    <x:n v="1.343962242431219"/>
    <x:n v="0.006380827458053233"/>
    <x:n v="0.006380827458053233"/>
    <x:x v="1313"/>
    <x:x v="6"/>
    <x:n v="0.00646"/>
    <x:n v="3286.987859"/>
    <x:n v="-40.28470342804803"/>
    <x:n v="-0.012255811446867907"/>
  </x:r>
  <x:r>
    <x:s v="INV-01318"/>
    <x:x v="12"/>
    <x:s v="SUP17"/>
    <x:x v="1"/>
    <x:s v="Packaging"/>
    <x:d v="2026-10-03T00:00:00Z"/>
    <x:n v="46343"/>
    <x:x v="1"/>
    <x:n v="1076254.84"/>
    <x:s v="Planned"/>
    <x:s v="SUP17-INV-01318"/>
    <x:n v="45"/>
    <x:s v="Kobe Industrial Packaging"/>
    <x:n v="1.1225"/>
    <x:n v="1.3200757353027648"/>
    <x:n v="0.006342166224080456"/>
    <x:n v="0.006342166224080456"/>
    <x:x v="1314"/>
    <x:x v="2"/>
    <x:n v="0.00688"/>
    <x:n v="7404.633299200001"/>
    <x:n v="-578.8462044488842"/>
    <x:n v="-0.07817351394179411"/>
  </x:r>
  <x:r>
    <x:s v="INV-01319"/>
    <x:x v="12"/>
    <x:s v="SUP17"/>
    <x:x v="1"/>
    <x:s v="Packaging"/>
    <x:d v="2025-01-26T00:00:00Z"/>
    <x:n v="45728"/>
    <x:x v="1"/>
    <x:n v="751568.31"/>
    <x:s v="Historical"/>
    <x:s v="SUP17-INV-01319"/>
    <x:n v="45"/>
    <x:s v="Kobe Industrial Packaging"/>
    <x:n v="1.039"/>
    <x:n v="1.247104293447601"/>
    <x:n v="0.006502284248075599"/>
    <x:n v="0.006502284248075599"/>
    <x:x v="1315"/>
    <x:x v="3"/>
    <x:n v="0.00656"/>
    <x:n v="4930.2881136000005"/>
    <x:n v="-43.37733013420166"/>
    <x:n v="-0.008798132915305101"/>
  </x:r>
  <x:r>
    <x:s v="INV-01320"/>
    <x:x v="2"/>
    <x:s v="SUP10"/>
    <x:x v="1"/>
    <x:s v="Services"/>
    <x:d v="2025-02-25T00:00:00Z"/>
    <x:n v="45758"/>
    <x:x v="2"/>
    <x:n v="1865.43"/>
    <x:s v="Historical"/>
    <x:s v="SUP10-INV-01320"/>
    <x:n v="45"/>
    <x:s v="Bristol Calibration Services"/>
    <x:n v="1.0497"/>
    <x:n v="1.2661021855550731"/>
    <x:n v="0.006677905719193334"/>
    <x:n v="1.2661021855550731"/>
    <x:x v="1316"/>
    <x:x v="3"/>
    <x:n v="1.238"/>
    <x:n v="2309.40234"/>
    <x:n v="52.42266000000018"/>
    <x:n v="0.022699665230269134"/>
  </x:r>
  <x:r>
    <x:s v="INV-01321"/>
    <x:x v="12"/>
    <x:s v="SUP17"/>
    <x:x v="1"/>
    <x:s v="Packaging"/>
    <x:d v="2026-05-24T00:00:00Z"/>
    <x:n v="46211"/>
    <x:x v="1"/>
    <x:n v="1324692.68"/>
    <x:s v="Historical"/>
    <x:s v="SUP17-INV-01321"/>
    <x:n v="45"/>
    <x:s v="Kobe Industrial Packaging"/>
    <x:n v="1.1595"/>
    <x:n v="1.3417343608970353"/>
    <x:n v="0.006283531133149081"/>
    <x:n v="0.006283531133149081"/>
    <x:x v="1317"/>
    <x:x v="0"/>
    <x:n v="0.0066"/>
    <x:n v="8742.971688"/>
    <x:n v="-419.2239913653066"/>
    <x:n v="-0.04794982831074525"/>
  </x:r>
  <x:r>
    <x:s v="INV-01322"/>
    <x:x v="16"/>
    <x:s v="SUP12"/>
    <x:x v="0"/>
    <x:s v="Components"/>
    <x:d v="2026-09-25T00:00:00Z"/>
    <x:n v="46350"/>
    <x:x v="2"/>
    <x:n v="23326.85"/>
    <x:s v="Historical"/>
    <x:s v="SUP12-INV-01322"/>
    <x:n v="60"/>
    <x:s v="Oxford Technical Materials"/>
    <x:n v="1.1403"/>
    <x:n v="1.3252367947004475"/>
    <x:n v="0.006345575959933223"/>
    <x:n v="1.3252367947004475"/>
    <x:x v="1318"/>
    <x:x v="4"/>
    <x:n v="1.293"/>
    <x:n v="30161.617049999997"/>
    <x:n v="751.9828744581355"/>
    <x:n v="0.024931782444275002"/>
  </x:r>
  <x:r>
    <x:s v="INV-01323"/>
    <x:x v="8"/>
    <x:s v="SUP13"/>
    <x:x v="0"/>
    <x:s v="Components"/>
    <x:d v="2026-07-29T00:00:00Z"/>
    <x:n v="46277"/>
    <x:x v="1"/>
    <x:n v="3252871.09"/>
    <x:s v="Historical"/>
    <x:s v="SUP13-INV-01323"/>
    <x:n v="45"/>
    <x:s v="Osaka Microdevices"/>
    <x:n v="1.138"/>
    <x:n v="1.3288958953698837"/>
    <x:n v="0.006109411069952219"/>
    <x:n v="0.006109411069952219"/>
    <x:x v="1319"/>
    <x:x v="4"/>
    <x:n v="0.00674"/>
    <x:n v="21924.3511466"/>
    <x:n v="-2051.224500226461"/>
    <x:n v="-0.09355918843438894"/>
  </x:r>
  <x:r>
    <x:s v="INV-01324"/>
    <x:x v="7"/>
    <x:s v="SUP03"/>
    <x:x v="0"/>
    <x:s v="Components"/>
    <x:d v="2026-11-24T00:00:00Z"/>
    <x:n v="46380"/>
    <x:x v="0"/>
    <x:n v="7822.97"/>
    <x:s v="Planned"/>
    <x:s v="SUP03-INV-01324"/>
    <x:n v="30"/>
    <x:s v="Benelux Sensor Works"/>
    <x:n v="1.1177"/>
    <x:n v="1.320456022210408"/>
    <x:n v="0.00632004523607577"/>
    <x:n v="1.1177"/>
    <x:x v="1320"/>
    <x:x v="2"/>
    <x:n v="1.119"/>
    <x:n v="8753.90343"/>
    <x:n v="-10.16986100000031"/>
    <x:n v="-0.0011617515638963714"/>
  </x:r>
  <x:r>
    <x:s v="INV-01325"/>
    <x:x v="5"/>
    <x:s v="SUP09"/>
    <x:x v="0"/>
    <x:s v="Components"/>
    <x:d v="2025-02-18T00:00:00Z"/>
    <x:n v="45736"/>
    <x:x v="2"/>
    <x:n v="10873.21"/>
    <x:s v="Historical"/>
    <x:s v="SUP09-INV-01325"/>
    <x:n v="30"/>
    <x:s v="Thames Electronics Ltd"/>
    <x:n v="1.0447"/>
    <x:n v="1.2582956940680516"/>
    <x:n v="0.006589088615578681"/>
    <x:n v="1.2582956940680516"/>
    <x:x v="1321"/>
    <x:x v="3"/>
    <x:n v="1.238"/>
    <x:n v="13461.033979999998"/>
    <x:n v="220.67934369768045"/>
    <x:n v="0.01639393705012254"/>
  </x:r>
  <x:r>
    <x:s v="INV-01326"/>
    <x:x v="8"/>
    <x:s v="SUP13"/>
    <x:x v="0"/>
    <x:s v="Components"/>
    <x:d v="2026-01-02T00:00:00Z"/>
    <x:n v="46069"/>
    <x:x v="1"/>
    <x:n v="1325412.01"/>
    <x:s v="Historical"/>
    <x:s v="SUP13-INV-01326"/>
    <x:n v="45"/>
    <x:s v="Osaka Microdevices"/>
    <x:n v="1.1721"/>
    <x:n v="1.3443055396261039"/>
    <x:n v="0.006372186582581276"/>
    <x:n v="0.006372186582581276"/>
    <x:x v="1322"/>
    <x:x v="6"/>
    <x:n v="0.00646"/>
    <x:n v="8562.1615846"/>
    <x:n v="-116.38895808592133"/>
    <x:n v="-0.013593408269152478"/>
  </x:r>
  <x:r>
    <x:s v="INV-01327"/>
    <x:x v="12"/>
    <x:s v="SUP17"/>
    <x:x v="1"/>
    <x:s v="Packaging"/>
    <x:d v="2026-02-21T00:00:00Z"/>
    <x:n v="46119"/>
    <x:x v="1"/>
    <x:n v="1508037.08"/>
    <x:s v="Historical"/>
    <x:s v="SUP17-INV-01327"/>
    <x:n v="45"/>
    <x:s v="Kobe Industrial Packaging"/>
    <x:n v="1.1555"/>
    <x:n v="1.3367963164349013"/>
    <x:n v="0.006298375667720483"/>
    <x:n v="0.006298375667720483"/>
    <x:x v="1323"/>
    <x:x v="6"/>
    <x:n v="0.00646"/>
    <x:n v="9741.9195368"/>
    <x:n v="-243.73548610775106"/>
    <x:n v="-0.025019246482897214"/>
  </x:r>
  <x:r>
    <x:s v="INV-01328"/>
    <x:x v="16"/>
    <x:s v="SUP12"/>
    <x:x v="0"/>
    <x:s v="Components"/>
    <x:d v="2025-07-31T00:00:00Z"/>
    <x:n v="45929"/>
    <x:x v="2"/>
    <x:n v="7361.38"/>
    <x:s v="Historical"/>
    <x:s v="SUP12-INV-01328"/>
    <x:n v="60"/>
    <x:s v="Oxford Technical Materials"/>
    <x:n v="1.1446"/>
    <x:n v="1.3233899872817667"/>
    <x:n v="0.006673274253731343"/>
    <x:n v="1.3233899872817667"/>
    <x:x v="1324"/>
    <x:x v="1"/>
    <x:n v="1.282"/>
    <x:n v="9437.28916"/>
    <x:n v="304.68742457625194"/>
    <x:n v="0.03228548149903801"/>
  </x:r>
  <x:r>
    <x:s v="INV-01329"/>
    <x:x v="1"/>
    <x:s v="SUP15"/>
    <x:x v="1"/>
    <x:s v="Freight"/>
    <x:d v="2026-02-08T00:00:00Z"/>
    <x:n v="46091"/>
    <x:x v="1"/>
    <x:n v="365217.67"/>
    <x:s v="Historical"/>
    <x:s v="SUP15-INV-01329"/>
    <x:n v="30"/>
    <x:s v="Nagoya Logistics Partners"/>
    <x:n v="1.1555"/>
    <x:n v="1.3367963164349013"/>
    <x:n v="0.006298375667720483"/>
    <x:n v="0.006298375667720483"/>
    <x:x v="1325"/>
    <x:x v="6"/>
    <x:n v="0.00646"/>
    <x:n v="2359.3061482"/>
    <x:n v="-59.02806205043089"/>
    <x:n v="-0.025019246482897328"/>
  </x:r>
  <x:r>
    <x:s v="INV-01330"/>
    <x:x v="5"/>
    <x:s v="SUP09"/>
    <x:x v="0"/>
    <x:s v="Components"/>
    <x:d v="2026-01-24T00:00:00Z"/>
    <x:n v="46076"/>
    <x:x v="2"/>
    <x:n v="8278.72"/>
    <x:s v="Historical"/>
    <x:s v="SUP09-INV-01330"/>
    <x:n v="30"/>
    <x:s v="Thames Electronics Ltd"/>
    <x:n v="1.1555"/>
    <x:n v="1.3367963164349013"/>
    <x:n v="0.006298375667720483"/>
    <x:n v="1.3367963164349013"/>
    <x:x v="1326"/>
    <x:x v="6"/>
    <x:n v="1.249"/>
    <x:n v="10340.12128"/>
    <x:n v="726.8411207959452"/>
    <x:n v="0.07029328777814348"/>
  </x:r>
  <x:r>
    <x:s v="INV-01331"/>
    <x:x v="0"/>
    <x:s v="SUP01"/>
    <x:x v="0"/>
    <x:s v="Components"/>
    <x:d v="2025-05-23T00:00:00Z"/>
    <x:n v="45830"/>
    <x:x v="0"/>
    <x:n v="16890.41"/>
    <x:s v="Historical"/>
    <x:s v="SUP01-INV-01331"/>
    <x:n v="30"/>
    <x:s v="Rhein Circuit Components"/>
    <x:n v="1.1301"/>
    <x:n v="1.3482462419470296"/>
    <x:n v="0.007013591509960902"/>
    <x:n v="1.1301"/>
    <x:x v="1327"/>
    <x:x v="5"/>
    <x:n v="1.07"/>
    <x:n v="18072.7387"/>
    <x:n v="1015.1136409999999"/>
    <x:n v="0.056168224299065414"/>
  </x:r>
  <x:r>
    <x:s v="INV-01332"/>
    <x:x v="0"/>
    <x:s v="SUP01"/>
    <x:x v="0"/>
    <x:s v="Components"/>
    <x:d v="2026-04-18T00:00:00Z"/>
    <x:n v="46160"/>
    <x:x v="0"/>
    <x:n v="14560.57"/>
    <x:s v="Historical"/>
    <x:s v="SUP01-INV-01332"/>
    <x:n v="30"/>
    <x:s v="Rhein Circuit Components"/>
    <x:n v="1.1797"/>
    <x:n v="1.3533636196769456"/>
    <x:n v="0.006284359684636693"/>
    <x:n v="1.1797"/>
    <x:x v="1328"/>
    <x:x v="0"/>
    <x:n v="1.083"/>
    <x:n v="15769.09731"/>
    <x:n v="1408.0071189999999"/>
    <x:n v="0.08928901200369344"/>
  </x:r>
  <x:r>
    <x:s v="INV-01333"/>
    <x:x v="7"/>
    <x:s v="SUP03"/>
    <x:x v="0"/>
    <x:s v="Components"/>
    <x:d v="2026-12-16T00:00:00Z"/>
    <x:n v="46402"/>
    <x:x v="0"/>
    <x:n v="17587.79"/>
    <x:s v="Planned"/>
    <x:s v="SUP03-INV-01333"/>
    <x:n v="30"/>
    <x:s v="Benelux Sensor Works"/>
    <x:n v="1.1177"/>
    <x:n v="1.320456022210408"/>
    <x:n v="0.00632004523607577"/>
    <x:n v="1.1177"/>
    <x:x v="1329"/>
    <x:x v="2"/>
    <x:n v="1.119"/>
    <x:n v="19680.73701"/>
    <x:n v="-22.864127000000735"/>
    <x:n v="-0.0011617515638963733"/>
  </x:r>
  <x:r>
    <x:s v="INV-01334"/>
    <x:x v="4"/>
    <x:s v="SUP08"/>
    <x:x v="0"/>
    <x:s v="Components"/>
    <x:d v="2025-07-21T00:00:00Z"/>
    <x:n v="45889"/>
    <x:x v="0"/>
    <x:n v="13444.34"/>
    <x:s v="Historical"/>
    <x:s v="SUP08-INV-01334"/>
    <x:n v="30"/>
    <x:s v="Valencia Circuit Supply"/>
    <x:n v="1.1667"/>
    <x:n v="1.3478512014787432"/>
    <x:n v="0.006782350889431461"/>
    <x:n v="1.1667"/>
    <x:x v="1330"/>
    <x:x v="1"/>
    <x:n v="1.088"/>
    <x:n v="14627.441920000001"/>
    <x:n v="1058.0695579999992"/>
    <x:n v="0.07233455882352935"/>
  </x:r>
  <x:r>
    <x:s v="INV-01335"/>
    <x:x v="5"/>
    <x:s v="SUP09"/>
    <x:x v="0"/>
    <x:s v="Components"/>
    <x:d v="2025-01-05T00:00:00Z"/>
    <x:n v="45692"/>
    <x:x v="2"/>
    <x:n v="17554.47"/>
    <x:s v="Historical"/>
    <x:s v="SUP09-INV-01335"/>
    <x:n v="30"/>
    <x:s v="Thames Electronics Ltd"/>
    <x:n v="1.03"/>
    <x:n v="1.2216384187491844"/>
    <x:n v="0.006367851622874807"/>
    <x:n v="1.2216384187491844"/>
    <x:x v="1331"/>
    <x:x v="3"/>
    <x:n v="1.238"/>
    <x:n v="21732.43386"/>
    <x:n v="-287.2188872200022"/>
    <x:n v="-0.013216139944115869"/>
  </x:r>
  <x:r>
    <x:s v="INV-01336"/>
    <x:x v="3"/>
    <x:s v="SUP04"/>
    <x:x v="1"/>
    <x:s v="Packaging"/>
    <x:d v="2026-03-03T00:00:00Z"/>
    <x:n v="46114"/>
    <x:x v="0"/>
    <x:n v="8288.36"/>
    <x:s v="Historical"/>
    <x:s v="SUP04-INV-01336"/>
    <x:n v="30"/>
    <x:s v="Nordlicht Packaging"/>
    <x:n v="1.1606"/>
    <x:n v="1.3314213605598257"/>
    <x:n v="0.0063427697016067335"/>
    <x:n v="1.1606"/>
    <x:x v="1332"/>
    <x:x v="6"/>
    <x:n v="1.065"/>
    <x:n v="8827.1034"/>
    <x:n v="792.3672160000006"/>
    <x:n v="0.0897652582159625"/>
  </x:r>
  <x:r>
    <x:s v="INV-01337"/>
    <x:x v="0"/>
    <x:s v="SUP01"/>
    <x:x v="0"/>
    <x:s v="Components"/>
    <x:d v="2026-10-07T00:00:00Z"/>
    <x:n v="46332"/>
    <x:x v="0"/>
    <x:n v="22931.24"/>
    <x:s v="Planned"/>
    <x:s v="SUP01-INV-01337"/>
    <x:n v="30"/>
    <x:s v="Rhein Circuit Components"/>
    <x:n v="1.1177"/>
    <x:n v="1.320456022210408"/>
    <x:n v="0.00632004523607577"/>
    <x:n v="1.1177"/>
    <x:x v="1333"/>
    <x:x v="2"/>
    <x:n v="1.119"/>
    <x:n v="25660.05756"/>
    <x:n v="-29.81061200000113"/>
    <x:n v="-0.00116175156389638"/>
  </x:r>
  <x:r>
    <x:s v="INV-01338"/>
    <x:x v="4"/>
    <x:s v="SUP08"/>
    <x:x v="0"/>
    <x:s v="Components"/>
    <x:d v="2026-11-14T00:00:00Z"/>
    <x:n v="46370"/>
    <x:x v="0"/>
    <x:n v="6476.3"/>
    <x:s v="Planned"/>
    <x:s v="SUP08-INV-01338"/>
    <x:n v="30"/>
    <x:s v="Valencia Circuit Supply"/>
    <x:n v="1.1177"/>
    <x:n v="1.320456022210408"/>
    <x:n v="0.00632004523607577"/>
    <x:n v="1.1177"/>
    <x:x v="1334"/>
    <x:x v="2"/>
    <x:n v="1.119"/>
    <x:n v="7246.9797"/>
    <x:n v="-8.419190000000526"/>
    <x:n v="-0.0011617515638964087"/>
  </x:r>
  <x:r>
    <x:s v="INV-01339"/>
    <x:x v="14"/>
    <x:s v="SUP07"/>
    <x:x v="0"/>
    <x:s v="Equipment"/>
    <x:d v="2025-03-22T00:00:00Z"/>
    <x:n v="45798"/>
    <x:x v="0"/>
    <x:n v="61936.96"/>
    <x:s v="Historical"/>
    <x:s v="SUP07-INV-01339"/>
    <x:n v="60"/>
    <x:s v="Milan Assembly Robotics"/>
    <x:n v="1.1325"/>
    <x:n v="1.3372298972724053"/>
    <x:n v="0.007006310319227915"/>
    <x:n v="1.1325"/>
    <x:x v="1335"/>
    <x:x v="3"/>
    <x:n v="1.052"/>
    <x:n v="65157.68192"/>
    <x:n v="4985.925279999996"/>
    <x:n v="0.07652091254752845"/>
  </x:r>
  <x:r>
    <x:s v="INV-01340"/>
    <x:x v="5"/>
    <x:s v="SUP09"/>
    <x:x v="0"/>
    <x:s v="Components"/>
    <x:d v="2025-03-20T00:00:00Z"/>
    <x:n v="45766"/>
    <x:x v="2"/>
    <x:n v="5557.93"/>
    <x:s v="Historical"/>
    <x:s v="SUP09-INV-01340"/>
    <x:n v="30"/>
    <x:s v="Thames Electronics Ltd"/>
    <x:n v="1.0833"/>
    <x:n v="1.2944198829011828"/>
    <x:n v="0.006734846129934722"/>
    <x:n v="1.2944198829011828"/>
    <x:x v="1336"/>
    <x:x v="3"/>
    <x:n v="1.238"/>
    <x:n v="6880.71734"/>
    <x:n v="313.57775977297115"/>
    <x:n v="0.04557341106719131"/>
  </x:r>
  <x:r>
    <x:s v="INV-01341"/>
    <x:x v="3"/>
    <x:s v="SUP04"/>
    <x:x v="1"/>
    <x:s v="Packaging"/>
    <x:d v="2026-02-26T00:00:00Z"/>
    <x:n v="46109"/>
    <x:x v="0"/>
    <x:n v="9796.32"/>
    <x:s v="Historical"/>
    <x:s v="SUP04-INV-01341"/>
    <x:n v="30"/>
    <x:s v="Nordlicht Packaging"/>
    <x:n v="1.1814"/>
    <x:n v="1.354971900447299"/>
    <x:n v="0.006407766990291262"/>
    <x:n v="1.1814"/>
    <x:x v="1337"/>
    <x:x v="6"/>
    <x:n v="1.065"/>
    <x:n v="10433.0808"/>
    <x:n v="1140.2916480000004"/>
    <x:n v="0.10929577464788737"/>
  </x:r>
  <x:r>
    <x:s v="INV-01341"/>
    <x:x v="1"/>
    <x:s v="SUP15"/>
    <x:x v="1"/>
    <x:s v="Freight"/>
    <x:d v="2026-06-24T00:00:00Z"/>
    <x:n v="46227"/>
    <x:x v="1"/>
    <x:n v="1234843.85"/>
    <x:s v="Historical"/>
    <x:s v="SUP15-INV-01341"/>
    <x:n v="30"/>
    <x:s v="Nagoya Logistics Partners"/>
    <x:n v="1.134"/>
    <x:n v="1.3160796146927405"/>
    <x:n v="0.006184892282519771"/>
    <x:n v="0.006184892282519771"/>
    <x:x v="1338"/>
    <x:x v="0"/>
    <x:n v="0.0066"/>
    <x:n v="8149.969410000001"/>
    <x:n v="-512.5932120179987"/>
    <x:n v="-0.06289510870912565"/>
  </x:r>
  <x:r>
    <x:s v="INV-01342"/>
    <x:x v="0"/>
    <x:s v="SUP01"/>
    <x:x v="0"/>
    <x:s v="Components"/>
    <x:d v="2026-04-12T00:00:00Z"/>
    <x:n v="46154"/>
    <x:x v="0"/>
    <x:n v="14941.19"/>
    <x:s v="Historical"/>
    <x:s v="SUP01-INV-01342"/>
    <x:n v="30"/>
    <x:s v="Rhein Circuit Components"/>
    <x:n v="1.1711"/>
    <x:n v="1.344469318638425"/>
    <x:n v="0.006281714316365392"/>
    <x:n v="1.1711"/>
    <x:x v="1339"/>
    <x:x v="0"/>
    <x:n v="1.083"/>
    <x:n v="16181.30877"/>
    <x:n v="1316.3188390000032"/>
    <x:n v="0.08134810710988016"/>
  </x:r>
  <x:r>
    <x:s v="INV-01343"/>
    <x:x v="3"/>
    <x:s v="SUP04"/>
    <x:x v="1"/>
    <x:s v="Packaging"/>
    <x:d v="2025-01-28T00:00:00Z"/>
    <x:n v="45715"/>
    <x:x v="0"/>
    <x:n v="1933.56"/>
    <x:s v="Historical"/>
    <x:s v="SUP04-INV-01343"/>
    <x:n v="30"/>
    <x:s v="Nordlicht Packaging"/>
    <x:n v="1.0421"/>
    <x:n v="1.2425478132303143"/>
    <x:n v="0.0064382799950574564"/>
    <x:n v="1.0421"/>
    <x:x v="1340"/>
    <x:x v="3"/>
    <x:n v="1.052"/>
    <x:n v="2034.10512"/>
    <x:n v="-19.14224399999989"/>
    <x:n v="-0.009410646387832646"/>
  </x:r>
  <x:r>
    <x:s v="INV-01344"/>
    <x:x v="5"/>
    <x:s v="SUP09"/>
    <x:x v="0"/>
    <x:s v="Components"/>
    <x:d v="2025-04-21T00:00:00Z"/>
    <x:n v="45798"/>
    <x:x v="2"/>
    <x:n v="7844.76"/>
    <x:s v="Historical"/>
    <x:s v="SUP09-INV-01344"/>
    <x:n v="30"/>
    <x:s v="Thames Electronics Ltd"/>
    <x:n v="1.1568"/>
    <x:n v="1.356950146627566"/>
    <x:n v="0.0069124589184344195"/>
    <x:n v="1.356950146627566"/>
    <x:x v="1341"/>
    <x:x v="5"/>
    <x:n v="1.26"/>
    <x:n v="9884.3976"/>
    <x:n v="760.5506322580641"/>
    <x:n v="0.07694456081552851"/>
  </x:r>
  <x:r>
    <x:s v="INV-01345"/>
    <x:x v="15"/>
    <x:s v="SUP18"/>
    <x:x v="1"/>
    <x:s v="Services"/>
    <x:d v="2026-06-19T00:00:00Z"/>
    <x:n v="46222"/>
    <x:x v="1"/>
    <x:n v="1585016.55"/>
    <x:s v="Historical"/>
    <x:s v="SUP18-INV-01345"/>
    <x:n v="30"/>
    <x:s v="Yokohama Engineering Labs"/>
    <x:n v="1.1467"/>
    <x:n v="1.3233240626406473"/>
    <x:n v="0.006202401557767201"/>
    <x:n v="0.006202401557767201"/>
    <x:x v="1342"/>
    <x:x v="0"/>
    <x:n v="0.0066"/>
    <x:n v="10461.10923"/>
    <x:n v="-630.2001111932041"/>
    <x:n v="-0.06024218821709063"/>
  </x:r>
  <x:r>
    <x:s v="INV-01346"/>
    <x:x v="6"/>
    <x:s v="SUP16"/>
    <x:x v="0"/>
    <x:s v="Components"/>
    <x:d v="2025-12-14T00:00:00Z"/>
    <x:n v="46035"/>
    <x:x v="1"/>
    <x:n v="1215710.76"/>
    <x:s v="Historical"/>
    <x:s v="SUP16-INV-01346"/>
    <x:n v="30"/>
    <x:s v="Kyoto Optical Instruments"/>
    <x:n v="1.1555"/>
    <x:n v="1.3367963164349013"/>
    <x:n v="0.006298375667720483"/>
    <x:n v="0.006298375667720483"/>
    <x:x v="1343"/>
    <x:x v="7"/>
    <x:n v="0.00698"/>
    <x:n v="8485.6611048"/>
    <x:n v="-828.6580350300237"/>
    <x:n v="-0.09765391579935769"/>
  </x:r>
  <x:r>
    <x:s v="INV-01347"/>
    <x:x v="4"/>
    <x:s v="SUP08"/>
    <x:x v="0"/>
    <x:s v="Components"/>
    <x:d v="2026-07-20T00:00:00Z"/>
    <x:n v="46253"/>
    <x:x v="0"/>
    <x:n v="5107.86"/>
    <x:s v="Historical"/>
    <x:s v="SUP08-INV-01347"/>
    <x:n v="30"/>
    <x:s v="Valencia Circuit Supply"/>
    <x:n v="1.1426"/>
    <x:n v="1.346008858731505"/>
    <x:n v="0.006158240810606878"/>
    <x:n v="1.1426"/>
    <x:x v="1344"/>
    <x:x v="4"/>
    <x:n v="1.101"/>
    <x:n v="5623.75386"/>
    <x:n v="212.48697600000014"/>
    <x:n v="0.03778383287920075"/>
  </x:r>
  <x:r>
    <x:s v="INV-01348"/>
    <x:x v="9"/>
    <x:s v="SUP05"/>
    <x:x v="0"/>
    <x:s v="Components"/>
    <x:d v="2025-12-28T00:00:00Z"/>
    <x:n v="46064"/>
    <x:x v="0"/>
    <x:n v="16655.34"/>
    <x:s v="Historical"/>
    <x:s v="SUP05-INV-01348"/>
    <x:n v="45"/>
    <x:s v="Lyon Industrial Controls"/>
    <x:n v="1.1555"/>
    <x:n v="1.3367963164349013"/>
    <x:n v="0.006298375667720483"/>
    <x:n v="1.1555"/>
    <x:x v="1345"/>
    <x:x v="7"/>
    <x:n v="1.106"/>
    <x:n v="18420.806040000003"/>
    <x:n v="824.4393299999974"/>
    <x:n v="0.0447558770343579"/>
  </x:r>
  <x:r>
    <x:s v="INV-01349"/>
    <x:x v="4"/>
    <x:s v="SUP08"/>
    <x:x v="0"/>
    <x:s v="Components"/>
    <x:d v="2026-10-07T00:00:00Z"/>
    <x:n v="46332"/>
    <x:x v="0"/>
    <x:n v="21605.25"/>
    <x:s v="Planned"/>
    <x:s v="SUP08-INV-01349"/>
    <x:n v="30"/>
    <x:s v="Valencia Circuit Supply"/>
    <x:n v="1.1177"/>
    <x:n v="1.320456022210408"/>
    <x:n v="0.00632004523607577"/>
    <x:n v="1.1177"/>
    <x:x v="1346"/>
    <x:x v="2"/>
    <x:n v="1.119"/>
    <x:n v="24176.27475"/>
    <x:n v="-28.086825000002136"/>
    <x:n v="-0.0011617515638964243"/>
  </x:r>
  <x:r>
    <x:s v="INV-01350"/>
    <x:x v="16"/>
    <x:s v="SUP12"/>
    <x:x v="0"/>
    <x:s v="Components"/>
    <x:d v="2025-05-26T00:00:00Z"/>
    <x:n v="45863"/>
    <x:x v="2"/>
    <x:n v="14476.65"/>
    <x:s v="Historical"/>
    <x:s v="SUP12-INV-01350"/>
    <x:n v="60"/>
    <x:s v="Oxford Technical Materials"/>
    <x:n v="1.1381"/>
    <x:n v="1.35617254528122"/>
    <x:n v="0.006998093832626206"/>
    <x:n v="1.35617254528122"/>
    <x:x v="1347"/>
    <x:x v="5"/>
    <x:n v="1.26"/>
    <x:n v="18240.578999999998"/>
    <x:n v="1392.2562776453778"/>
    <x:n v="0.07632741688985739"/>
  </x:r>
  <x:r>
    <x:s v="INV-01351"/>
    <x:x v="10"/>
    <x:s v="SUP02"/>
    <x:x v="0"/>
    <x:s v="Equipment"/>
    <x:d v="2025-02-02T00:00:00Z"/>
    <x:n v="45735"/>
    <x:x v="0"/>
    <x:n v="42649.43"/>
    <x:s v="Historical"/>
    <x:s v="SUP02-INV-01351"/>
    <x:n v="45"/>
    <x:s v="Alpen Precision Systems"/>
    <x:n v="1.0466"/>
    <x:n v="1.2635518531932874"/>
    <x:n v="0.0066743192398443976"/>
    <x:n v="1.0466"/>
    <x:x v="1348"/>
    <x:x v="3"/>
    <x:n v="1.052"/>
    <x:n v="44867.20036"/>
    <x:n v="-230.3069220000034"/>
    <x:n v="-0.005133079847908821"/>
  </x:r>
  <x:r>
    <x:s v="INV-01352"/>
    <x:x v="5"/>
    <x:s v="SUP09"/>
    <x:x v="0"/>
    <x:s v="Components"/>
    <x:d v="2026-02-17T00:00:00Z"/>
    <x:n v="46100"/>
    <x:x v="2"/>
    <x:n v="19685.17"/>
    <x:s v="Historical"/>
    <x:s v="SUP09-INV-01352"/>
    <x:n v="30"/>
    <x:s v="Thames Electronics Ltd"/>
    <x:n v="1.1826"/>
    <x:n v="1.3541738234283753"/>
    <x:n v="0.0065315365072351715"/>
    <x:n v="1.3541738234283753"/>
    <x:x v="1349"/>
    <x:x v="6"/>
    <x:n v="1.249"/>
    <x:n v="24586.77733"/>
    <x:n v="2070.3645937375477"/>
    <x:n v="0.08420642388180556"/>
  </x:r>
  <x:r>
    <x:s v="INV-01353"/>
    <x:x v="14"/>
    <x:s v="SUP07"/>
    <x:x v="0"/>
    <x:s v="Equipment"/>
    <x:d v="2026-05-30T00:00:00Z"/>
    <x:n v="46232"/>
    <x:x v="0"/>
    <x:n v="49309.84"/>
    <x:s v="Historical"/>
    <x:s v="SUP07-INV-01353"/>
    <x:n v="60"/>
    <x:s v="Milan Assembly Robotics"/>
    <x:n v="1.1644"/>
    <x:n v="1.3426657288147321"/>
    <x:n v="0.006278781342679968"/>
    <x:n v="1.1644"/>
    <x:x v="1350"/>
    <x:x v="0"/>
    <x:n v="1.083"/>
    <x:n v="53402.55671999999"/>
    <x:n v="4013.82097600001"/>
    <x:n v="0.07516158818097896"/>
  </x:r>
  <x:r>
    <x:s v="INV-01353"/>
    <x:x v="5"/>
    <x:s v="SUP09"/>
    <x:x v="0"/>
    <x:s v="Components"/>
    <x:d v="2025-06-24T00:00:00Z"/>
    <x:n v="45862"/>
    <x:x v="2"/>
    <x:n v="9631.91"/>
    <x:s v="Historical"/>
    <x:s v="SUP09-INV-01353"/>
    <x:n v="30"/>
    <x:s v="Thames Electronics Ltd"/>
    <x:n v="1.1607"/>
    <x:n v="1.3612055822680897"/>
    <x:n v="0.006897842752718845"/>
    <x:n v="1.3612055822680897"/>
    <x:x v="1351"/>
    <x:x v="5"/>
    <x:n v="1.26"/>
    <x:n v="12136.2066"/>
    <x:n v="974.8030599038357"/>
    <x:n v="0.08032189068896006"/>
  </x:r>
  <x:r>
    <x:s v="INV-01354"/>
    <x:x v="8"/>
    <x:s v="SUP13"/>
    <x:x v="0"/>
    <x:s v="Components"/>
    <x:d v="2025-11-19T00:00:00Z"/>
    <x:n v="46025"/>
    <x:x v="1"/>
    <x:n v="1367020.36"/>
    <x:s v="Historical"/>
    <x:s v="SUP13-INV-01354"/>
    <x:n v="45"/>
    <x:s v="Osaka Microdevices"/>
    <x:n v="1.1583"/>
    <x:n v="1.3122238586156112"/>
    <x:n v="0.00640475532209013"/>
    <x:n v="0.00640475532209013"/>
    <x:x v="1352"/>
    <x:x v="7"/>
    <x:n v="0.00698"/>
    <x:n v="9541.8021128"/>
    <x:n v="-786.3711866844333"/>
    <x:n v="-0.08241327763751706"/>
  </x:r>
  <x:r>
    <x:s v="INV-01355"/>
    <x:x v="11"/>
    <x:s v="SUP14"/>
    <x:x v="0"/>
    <x:s v="Equipment"/>
    <x:d v="2026-08-02T00:00:00Z"/>
    <x:n v="46296"/>
    <x:x v="1"/>
    <x:n v="11427496.23"/>
    <x:s v="Historical"/>
    <x:s v="SUP14-INV-01355"/>
    <x:n v="60"/>
    <x:s v="Tokyo Automation Systems"/>
    <x:n v="1.1485"/>
    <x:n v="1.3421289425402874"/>
    <x:n v="0.006240830299407705"/>
    <x:n v="0.006240830299407705"/>
    <x:x v="1353"/>
    <x:x v="4"/>
    <x:n v="0.00674"/>
    <x:n v="77021.3245902"/>
    <x:n v="-5704.259871648683"/>
    <x:n v="-0.074060786438026"/>
  </x:r>
  <x:r>
    <x:s v="INV-01356"/>
    <x:x v="10"/>
    <x:s v="SUP02"/>
    <x:x v="0"/>
    <x:s v="Equipment"/>
    <x:d v="2025-12-10T00:00:00Z"/>
    <x:n v="46046"/>
    <x:x v="0"/>
    <x:n v="65575.01"/>
    <x:s v="Historical"/>
    <x:s v="SUP02-INV-01356"/>
    <x:n v="45"/>
    <x:s v="Alpen Precision Systems"/>
    <x:n v="1.1634"/>
    <x:n v="1.3309689966823017"/>
    <x:n v="0.006381088196577446"/>
    <x:n v="1.1634"/>
    <x:x v="1354"/>
    <x:x v="7"/>
    <x:n v="1.106"/>
    <x:n v="72525.96106"/>
    <x:n v="3764.0055739999952"/>
    <x:n v="0.051898734177215126"/>
  </x:r>
  <x:r>
    <x:s v="INV-01357"/>
    <x:x v="16"/>
    <x:s v="SUP12"/>
    <x:x v="0"/>
    <x:s v="Components"/>
    <x:d v="2025-02-16T00:00:00Z"/>
    <x:n v="45764"/>
    <x:x v="2"/>
    <x:n v="16382.19"/>
    <x:s v="Historical"/>
    <x:s v="SUP12-INV-01357"/>
    <x:n v="60"/>
    <x:s v="Oxford Technical Materials"/>
    <x:n v="1.0889"/>
    <x:n v="1.2934915600536925"/>
    <x:n v="0.006726587595749938"/>
    <x:n v="1.2934915600536925"/>
    <x:x v="1355"/>
    <x:x v="3"/>
    <x:n v="1.238"/>
    <x:n v="20281.15122"/>
    <x:n v="909.0732801960003"/>
    <x:n v="0.04482355416291799"/>
  </x:r>
  <x:r>
    <x:s v="INV-01358"/>
    <x:x v="2"/>
    <x:s v="SUP10"/>
    <x:x v="1"/>
    <x:s v="Services"/>
    <x:d v="2026-10-14T00:00:00Z"/>
    <x:n v="46354"/>
    <x:x v="2"/>
    <x:n v="6849.42"/>
    <x:s v="Planned"/>
    <x:s v="SUP10-INV-01358"/>
    <x:n v="45"/>
    <x:s v="Bristol Calibration Services"/>
    <x:n v="1.1177"/>
    <x:n v="1.320456022210408"/>
    <x:n v="0.00632004523607577"/>
    <x:n v="1.320456022210408"/>
    <x:x v="1356"/>
    <x:x v="2"/>
    <x:n v="1.315"/>
    <x:n v="9006.987299999999"/>
    <x:n v="37.370587648414585"/>
    <x:n v="0.004149066319702104"/>
  </x:r>
  <x:r>
    <x:s v="INV-01359"/>
    <x:x v="7"/>
    <x:s v="SUP03"/>
    <x:x v="0"/>
    <x:s v="Components"/>
    <x:d v="2026-08-03T00:00:00Z"/>
    <x:n v="46267"/>
    <x:x v="0"/>
    <x:n v="33582.42"/>
    <x:s v="Historical"/>
    <x:s v="SUP03-INV-01359"/>
    <x:n v="30"/>
    <x:s v="Benelux Sensor Works"/>
    <x:n v="1.1535"/>
    <x:n v="1.3470274310137447"/>
    <x:n v="0.006382448957007692"/>
    <x:n v="1.1535"/>
    <x:x v="1357"/>
    <x:x v="4"/>
    <x:n v="1.101"/>
    <x:n v="36974.244419999995"/>
    <x:n v="1763.0770499999999"/>
    <x:n v="0.047683923705722074"/>
  </x:r>
  <x:r>
    <x:s v="INV-01360"/>
    <x:x v="10"/>
    <x:s v="SUP02"/>
    <x:x v="0"/>
    <x:s v="Equipment"/>
    <x:d v="2026-10-02T00:00:00Z"/>
    <x:n v="46342"/>
    <x:x v="0"/>
    <x:n v="33775.1"/>
    <x:s v="Planned"/>
    <x:s v="SUP02-INV-01360"/>
    <x:n v="45"/>
    <x:s v="Alpen Precision Systems"/>
    <x:n v="1.1225"/>
    <x:n v="1.3200757353027648"/>
    <x:n v="0.006342166224080456"/>
    <x:n v="1.1225"/>
    <x:x v="1358"/>
    <x:x v="2"/>
    <x:n v="1.119"/>
    <x:n v="37794.336899999995"/>
    <x:n v="118.21285000000353"/>
    <x:n v="0.003127792672028691"/>
  </x:r>
  <x:r>
    <x:s v="INV-01361"/>
    <x:x v="0"/>
    <x:s v="SUP01"/>
    <x:x v="0"/>
    <x:s v="Parts"/>
    <x:d v="2025-06-19T00:00:00Z"/>
    <x:n v="45857"/>
    <x:x v="0"/>
    <x:n v="11620.08"/>
    <x:s v="Historical"/>
    <x:s v="SUP01-INV-01361"/>
    <x:n v="30"/>
    <x:s v="Rhein Circuit Components"/>
    <x:n v="1.1478"/>
    <x:n v="1.3438707411310151"/>
    <x:n v="0.006864832535885167"/>
    <x:n v="1.1478"/>
    <x:x v="1359"/>
    <x:x v="5"/>
    <x:n v="1.07"/>
    <x:n v="12433.4856"/>
    <x:n v="904.0422239999989"/>
    <x:n v="0.07271028037383169"/>
  </x:r>
  <x:r>
    <x:s v="INV-01362"/>
    <x:x v="12"/>
    <x:s v="SUP17"/>
    <x:x v="1"/>
    <x:s v="Packaging"/>
    <x:d v="2025-10-02T00:00:00Z"/>
    <x:n v="45977"/>
    <x:x v="1"/>
    <x:n v="612364.47"/>
    <x:s v="Historical"/>
    <x:s v="SUP17-INV-01362"/>
    <x:n v="45"/>
    <x:s v="Kobe Industrial Packaging"/>
    <x:n v="1.1754"/>
    <x:n v="1.347781217750258"/>
    <x:n v="0.0068127282211789255"/>
    <x:n v="0.0068127282211789255"/>
    <x:x v="1360"/>
    <x:x v="7"/>
    <x:n v="0.00698"/>
    <x:n v="4274.3040006"/>
    <x:n v="-102.43129418372519"/>
    <x:n v="-0.023964438226515127"/>
  </x:r>
  <x:r>
    <x:s v="INV-01363"/>
    <x:x v="16"/>
    <x:s v="SUP12"/>
    <x:x v="0"/>
    <x:s v="Components"/>
    <x:d v="2025-12-23T00:00:00Z"/>
    <x:n v="46074"/>
    <x:x v="2"/>
    <x:n v="20181.57"/>
    <x:s v="Historical"/>
    <x:s v="SUP12-INV-01363"/>
    <x:n v="60"/>
    <x:s v="Oxford Technical Materials"/>
    <x:n v="1.1786"/>
    <x:n v="1.3502119372207584"/>
    <x:n v="0.00640926640926641"/>
    <x:n v="1.3502119372207584"/>
    <x:x v="1361"/>
    <x:x v="7"/>
    <x:n v="1.304"/>
    <x:n v="26316.76728"/>
    <x:n v="932.6294458563389"/>
    <x:n v="0.035438602163158195"/>
  </x:r>
  <x:r>
    <x:s v="INV-01364"/>
    <x:x v="2"/>
    <x:s v="SUP10"/>
    <x:x v="1"/>
    <x:s v="Services"/>
    <x:d v="2026-02-20T00:00:00Z"/>
    <x:n v="46118"/>
    <x:x v="2"/>
    <x:n v="7987.06"/>
    <x:s v="Historical"/>
    <x:s v="SUP10-INV-01364"/>
    <x:n v="45"/>
    <x:s v="Bristol Calibration Services"/>
    <x:n v="1.1767"/>
    <x:n v="1.3481897341888176"/>
    <x:n v="0.0064430816404752785"/>
    <x:n v="1.3481897341888176"/>
    <x:x v="1362"/>
    <x:x v="6"/>
    <x:n v="1.249"/>
    <x:n v="9975.837940000001"/>
    <x:n v="792.234358350137"/>
    <x:n v="0.0794153196067394"/>
  </x:r>
  <x:r>
    <x:s v="INV-01365"/>
    <x:x v="8"/>
    <x:s v="SUP13"/>
    <x:x v="0"/>
    <x:s v="Components"/>
    <x:d v="2025-05-16T00:00:00Z"/>
    <x:n v="45838"/>
    <x:x v="1"/>
    <x:n v="5373251.37"/>
    <x:s v="Historical"/>
    <x:s v="SUP13-INV-01365"/>
    <x:n v="45"/>
    <x:s v="Osaka Microdevices"/>
    <x:n v="1.1194"/>
    <x:n v="1.3283493532692536"/>
    <x:n v="0.006865378718184605"/>
    <x:n v="0.006865378718184605"/>
    <x:x v="1363"/>
    <x:x v="5"/>
    <x:n v="0.0067"/>
    <x:n v="36000.784179"/>
    <x:n v="888.6214240542686"/>
    <x:n v="0.024683390773821524"/>
  </x:r>
  <x:r>
    <x:s v="INV-01366"/>
    <x:x v="4"/>
    <x:s v="SUP08"/>
    <x:x v="0"/>
    <x:s v="Components"/>
    <x:d v="2025-10-30T00:00:00Z"/>
    <x:n v="45990"/>
    <x:x v="0"/>
    <x:n v="19129.57"/>
    <x:s v="Historical"/>
    <x:s v="SUP08-INV-01366"/>
    <x:n v="30"/>
    <x:s v="Valencia Circuit Supply"/>
    <x:n v="1.155"/>
    <x:n v="1.312350869219407"/>
    <x:n v="0.006475304143073387"/>
    <x:n v="1.155"/>
    <x:x v="1364"/>
    <x:x v="7"/>
    <x:n v="1.106"/>
    <x:n v="21157.30442"/>
    <x:n v="937.3489300000001"/>
    <x:n v="0.04430379746835444"/>
  </x:r>
  <x:r>
    <x:s v="INV-01367"/>
    <x:x v="4"/>
    <x:s v="SUP08"/>
    <x:x v="0"/>
    <x:s v="Components"/>
    <x:d v="2025-10-05T00:00:00Z"/>
    <x:n v="45965"/>
    <x:x v="0"/>
    <x:n v="6796.72"/>
    <x:s v="Historical"/>
    <x:s v="SUP08-INV-01367"/>
    <x:n v="30"/>
    <x:s v="Valencia Circuit Supply"/>
    <x:n v="1.1894"/>
    <x:n v="1.3679125934445082"/>
    <x:n v="0.006446263075172078"/>
    <x:n v="1.1894"/>
    <x:x v="1365"/>
    <x:x v="7"/>
    <x:n v="1.106"/>
    <x:n v="7517.172320000001"/>
    <x:n v="566.8464480000002"/>
    <x:n v="0.07540687160940328"/>
  </x:r>
  <x:r>
    <x:s v="INV-01368"/>
    <x:x v="7"/>
    <x:s v="SUP03"/>
    <x:x v="0"/>
    <x:s v="Components"/>
    <x:d v="2025-03-13T00:00:00Z"/>
    <x:n v="45759"/>
    <x:x v="0"/>
    <x:n v="3092.68"/>
    <x:s v="Historical"/>
    <x:s v="SUP03-INV-01368"/>
    <x:n v="30"/>
    <x:s v="Benelux Sensor Works"/>
    <x:n v="1.083"/>
    <x:n v="1.2927021413736304"/>
    <x:n v="0.006741782868525897"/>
    <x:n v="1.083"/>
    <x:x v="1366"/>
    <x:x v="3"/>
    <x:n v="1.052"/>
    <x:n v="3253.49936"/>
    <x:n v="95.87307999999985"/>
    <x:n v="0.029467680608364973"/>
  </x:r>
  <x:r>
    <x:s v="INV-01369"/>
    <x:x v="3"/>
    <x:s v="SUP04"/>
    <x:x v="1"/>
    <x:s v="Packaging"/>
    <x:d v="2026-07-24T00:00:00Z"/>
    <x:n v="46257"/>
    <x:x v="0"/>
    <x:n v="13202.92"/>
    <x:s v="Historical"/>
    <x:s v="SUP04-INV-01369"/>
    <x:n v="30"/>
    <x:s v="Nordlicht Packaging"/>
    <x:n v="1.1377"/>
    <x:n v="1.3323886260364455"/>
    <x:n v="0.006104195729155488"/>
    <x:n v="1.1377"/>
    <x:x v="1367"/>
    <x:x v="4"/>
    <x:n v="1.101"/>
    <x:n v="14536.41492"/>
    <x:n v="484.5471639999996"/>
    <x:n v="0.033333333333333305"/>
  </x:r>
  <x:r>
    <x:s v="INV-01370"/>
    <x:x v="5"/>
    <x:s v="SUP09"/>
    <x:x v="0"/>
    <x:s v="Components"/>
    <x:d v="2025-08-27T00:00:00Z"/>
    <x:n v="45926"/>
    <x:x v="2"/>
    <x:n v="21323.66"/>
    <x:s v="Historical"/>
    <x:s v="SUP09-INV-01370"/>
    <x:n v="30"/>
    <x:s v="Thames Electronics Ltd"/>
    <x:n v="1.1593"/>
    <x:n v="1.3439601205657314"/>
    <x:n v="0.006754646623550661"/>
    <x:n v="1.3439601205657314"/>
    <x:x v="1368"/>
    <x:x v="1"/>
    <x:n v="1.282"/>
    <x:n v="27336.93212"/>
    <x:n v="1321.2165445026621"/>
    <x:n v="0.048330827274361395"/>
  </x:r>
  <x:r>
    <x:s v="INV-01371"/>
    <x:x v="9"/>
    <x:s v="SUP05"/>
    <x:x v="0"/>
    <x:s v="Components"/>
    <x:d v="2026-12-06T00:00:00Z"/>
    <x:n v="46407"/>
    <x:x v="0"/>
    <x:n v="15572.88"/>
    <x:s v="Planned"/>
    <x:s v="SUP05-INV-01371"/>
    <x:n v="45"/>
    <x:s v="Lyon Industrial Controls"/>
    <x:n v="1.1177"/>
    <x:n v="1.320456022210408"/>
    <x:n v="0.00632004523607577"/>
    <x:n v="1.1177"/>
    <x:x v="1369"/>
    <x:x v="2"/>
    <x:n v="1.119"/>
    <x:n v="17426.05272"/>
    <x:n v="-20.244744000003266"/>
    <x:n v="-0.0011617515638965234"/>
  </x:r>
  <x:r>
    <x:s v="INV-01372"/>
    <x:x v="7"/>
    <x:s v="SUP03"/>
    <x:x v="0"/>
    <x:s v="Components"/>
    <x:d v="2025-11-07T00:00:00Z"/>
    <x:n v="45998"/>
    <x:x v="0"/>
    <x:n v="9627.05"/>
    <x:s v="Historical"/>
    <x:s v="SUP03-INV-01372"/>
    <x:n v="30"/>
    <x:s v="Benelux Sensor Works"/>
    <x:n v="1.1561"/>
    <x:n v="1.3121098626716603"/>
    <x:n v="0.006532007458048476"/>
    <x:n v="1.1561"/>
    <x:x v="1370"/>
    <x:x v="7"/>
    <x:n v="1.106"/>
    <x:n v="10647.5173"/>
    <x:n v="482.31520499999897"/>
    <x:n v="0.04529837251356229"/>
  </x:r>
  <x:r>
    <x:s v="INV-01372"/>
    <x:x v="10"/>
    <x:s v="SUP02"/>
    <x:x v="0"/>
    <x:s v="Equipment"/>
    <x:d v="2026-07-01T00:00:00Z"/>
    <x:n v="46249"/>
    <x:x v="0"/>
    <x:n v="60070.79"/>
    <x:s v="Historical"/>
    <x:s v="SUP02-INV-01372"/>
    <x:n v="45"/>
    <x:s v="Alpen Precision Systems"/>
    <x:n v="1.1383"/>
    <x:n v="1.3240203319646866"/>
    <x:n v="0.006145996436477512"/>
    <x:n v="1.1383"/>
    <x:x v="1371"/>
    <x:x v="4"/>
    <x:n v="1.101"/>
    <x:n v="66137.93979"/>
    <x:n v="2240.6404670000047"/>
    <x:n v="0.0338782924613988"/>
  </x:r>
  <x:r>
    <x:s v="INV-01373"/>
    <x:x v="11"/>
    <x:s v="SUP14"/>
    <x:x v="0"/>
    <x:s v="Equipment"/>
    <x:d v="2026-05-22T00:00:00Z"/>
    <x:n v="46224"/>
    <x:x v="1"/>
    <x:n v="8764087.63"/>
    <x:s v="Historical"/>
    <x:s v="SUP14-INV-01373"/>
    <x:n v="60"/>
    <x:s v="Tokyo Automation Systems"/>
    <x:n v="1.1595"/>
    <x:n v="1.3417343608970353"/>
    <x:n v="0.006283531133149081"/>
    <x:n v="0.006283531133149081"/>
    <x:x v="1372"/>
    <x:x v="0"/>
    <x:n v="0.0066"/>
    <x:n v="57842.97835800001"/>
    <x:n v="-2773.5608812482533"/>
    <x:n v="-0.04794982831074524"/>
  </x:r>
  <x:r>
    <x:s v="INV-01374"/>
    <x:x v="12"/>
    <x:s v="SUP17"/>
    <x:x v="1"/>
    <x:s v="Packaging"/>
    <x:d v="2025-07-21T00:00:00Z"/>
    <x:n v="45904"/>
    <x:x v="1"/>
    <x:n v="1474479.32"/>
    <x:s v="Historical"/>
    <x:s v="SUP17-INV-01374"/>
    <x:n v="45"/>
    <x:s v="Kobe Industrial Packaging"/>
    <x:n v="1.1667"/>
    <x:n v="1.3478512014787432"/>
    <x:n v="0.006782350889431461"/>
    <x:n v="0.006782350889431461"/>
    <x:x v="1373"/>
    <x:x v="1"/>
    <x:n v="0.00684"/>
    <x:n v="10085.4385488"/>
    <x:n v="-85.00242134970358"/>
    <x:n v="-0.008428232539260026"/>
  </x:r>
  <x:r>
    <x:s v="INV-01375"/>
    <x:x v="10"/>
    <x:s v="SUP02"/>
    <x:x v="0"/>
    <x:s v="Equipment"/>
    <x:d v="2025-12-10T00:00:00Z"/>
    <x:n v="46046"/>
    <x:x v="0"/>
    <x:n v="68444.25"/>
    <x:s v="Historical"/>
    <x:s v="SUP02-INV-01375"/>
    <x:n v="45"/>
    <x:s v="Alpen Precision Systems"/>
    <x:n v="1.1634"/>
    <x:n v="1.3309689966823017"/>
    <x:n v="0.006381088196577446"/>
    <x:n v="1.1634"/>
    <x:x v="1374"/>
    <x:x v="7"/>
    <x:n v="1.106"/>
    <x:n v="75699.3405"/>
    <x:n v="3928.6999499999947"/>
    <x:n v="0.05189873417721512"/>
  </x:r>
  <x:r>
    <x:s v="INV-01376"/>
    <x:x v="12"/>
    <x:s v="SUP17"/>
    <x:x v="1"/>
    <x:s v="Packaging"/>
    <x:d v="2025-06-19T00:00:00Z"/>
    <x:n v="45872"/>
    <x:x v="1"/>
    <x:n v="547878.89"/>
    <x:s v="Historical"/>
    <x:s v="SUP17-INV-01376"/>
    <x:n v="45"/>
    <x:s v="Kobe Industrial Packaging"/>
    <x:n v="1.1478"/>
    <x:n v="1.3438707411310151"/>
    <x:n v="0.006864832535885167"/>
    <x:n v="0.006864832535885167"/>
    <x:x v="1375"/>
    <x:x v="5"/>
    <x:n v="0.0067"/>
    <x:n v="3670.788563"/>
    <x:n v="90.30826679665051"/>
    <x:n v="0.02460187102763688"/>
  </x:r>
  <x:r>
    <x:s v="INV-01377"/>
    <x:x v="0"/>
    <x:s v="SUP01"/>
    <x:x v="0"/>
    <x:s v="Components"/>
    <x:d v="2026-09-13T00:00:00Z"/>
    <x:n v="46308"/>
    <x:x v="0"/>
    <x:n v="47346.65"/>
    <x:s v="Historical"/>
    <x:s v="SUP01-INV-01377"/>
    <x:n v="30"/>
    <x:s v="Rhein Circuit Components"/>
    <x:n v="1.1592"/>
    <x:n v="1.3508127949659152"/>
    <x:n v="0.0064919354838709675"/>
    <x:n v="1.1592"/>
    <x:x v="1376"/>
    <x:x v="4"/>
    <x:n v="1.101"/>
    <x:n v="52128.66165"/>
    <x:n v="2755.57503"/>
    <x:n v="0.05286103542234332"/>
  </x:r>
  <x:r>
    <x:s v="INV-01378"/>
    <x:x v="11"/>
    <x:s v="SUP14"/>
    <x:x v="0"/>
    <x:s v="Equipment"/>
    <x:d v="2025-07-05T00:00:00Z"/>
    <x:n v="45903"/>
    <x:x v="1"/>
    <x:n v="10407117.34"/>
    <x:s v="Historical"/>
    <x:s v="SUP14-INV-01378"/>
    <x:n v="60"/>
    <x:s v="Tokyo Automation Systems"/>
    <x:n v="1.1741"/>
    <x:n v="1.344286695672086"/>
    <x:n v="0.006757021178637201"/>
    <x:n v="0.006757021178637201"/>
    <x:x v="1377"/>
    <x:x v="1"/>
    <x:n v="0.00684"/>
    <x:n v="71184.6826056"/>
    <x:n v="-863.5703306575451"/>
    <x:n v="-0.012131406631988119"/>
  </x:r>
  <x:r>
    <x:s v="INV-01379"/>
    <x:x v="8"/>
    <x:s v="SUP13"/>
    <x:x v="0"/>
    <x:s v="Components"/>
    <x:d v="2026-02-18T00:00:00Z"/>
    <x:n v="46116"/>
    <x:x v="1"/>
    <x:n v="2001849.18"/>
    <x:s v="Historical"/>
    <x:s v="SUP13-INV-01379"/>
    <x:n v="45"/>
    <x:s v="Osaka Microdevices"/>
    <x:n v="1.1845"/>
    <x:n v="1.3577487391104999"/>
    <x:n v="0.0065085993735919554"/>
    <x:n v="0.0065085993735919554"/>
    <x:x v="1378"/>
    <x:x v="6"/>
    <x:n v="0.00646"/>
    <x:n v="12931.945702799998"/>
    <x:n v="97.28861617357143"/>
    <x:n v="0.007523122847052064"/>
  </x:r>
  <x:r>
    <x:s v="INV-01380"/>
    <x:x v="7"/>
    <x:s v="SUP03"/>
    <x:x v="0"/>
    <x:s v="Components"/>
    <x:d v="2026-07-15T00:00:00Z"/>
    <x:n v="46248"/>
    <x:x v="0"/>
    <x:n v="14943.11"/>
    <x:s v="Historical"/>
    <x:s v="SUP03-INV-01380"/>
    <x:n v="30"/>
    <x:s v="Benelux Sensor Works"/>
    <x:n v="1.1406"/>
    <x:n v="1.3404157803814651"/>
    <x:n v="0.00615808228053126"/>
    <x:n v="1.1406"/>
    <x:x v="1379"/>
    <x:x v="4"/>
    <x:n v="1.101"/>
    <x:n v="16452.36411"/>
    <x:n v="591.7471560000013"/>
    <x:n v="0.035967302452316156"/>
  </x:r>
  <x:r>
    <x:s v="INV-01381"/>
    <x:x v="16"/>
    <x:s v="SUP12"/>
    <x:x v="0"/>
    <x:s v="Components"/>
    <x:d v="2025-08-21T00:00:00Z"/>
    <x:n v="45950"/>
    <x:x v="2"/>
    <x:n v="11046.04"/>
    <x:s v="Historical"/>
    <x:s v="SUP12-INV-01381"/>
    <x:n v="60"/>
    <x:s v="Oxford Technical Materials"/>
    <x:n v="1.1639"/>
    <x:n v="1.3449272012941993"/>
    <x:n v="0.006763321517810447"/>
    <x:n v="1.3449272012941993"/>
    <x:x v="1380"/>
    <x:x v="1"/>
    <x:n v="1.282"/>
    <x:n v="14161.023280000001"/>
    <x:n v="695.0963825837771"/>
    <x:n v="0.049085180416692104"/>
  </x:r>
  <x:r>
    <x:s v="INV-01382"/>
    <x:x v="0"/>
    <x:s v="SUP01"/>
    <x:x v="0"/>
    <x:s v="Components"/>
    <x:d v="2026-11-25T00:00:00Z"/>
    <x:n v="46381"/>
    <x:x v="0"/>
    <x:n v="41264.95"/>
    <x:s v="Planned"/>
    <x:s v="SUP01-INV-01382"/>
    <x:n v="30"/>
    <x:s v="Rhein Circuit Components"/>
    <x:n v="1.1177"/>
    <x:n v="1.320456022210408"/>
    <x:n v="0.00632004523607577"/>
    <x:n v="1.1177"/>
    <x:x v="1381"/>
    <x:x v="2"/>
    <x:n v="1.119"/>
    <x:n v="46175.479049999994"/>
    <x:n v="-53.64443500000198"/>
    <x:n v="-0.001161751563896379"/>
  </x:r>
  <x:r>
    <x:s v="INV-01383"/>
    <x:x v="10"/>
    <x:s v="SUP02"/>
    <x:x v="0"/>
    <x:s v="Equipment"/>
    <x:d v="2025-08-02T00:00:00Z"/>
    <x:n v="45916"/>
    <x:x v="0"/>
    <x:n v="28189.04"/>
    <x:s v="Historical"/>
    <x:s v="SUP02-INV-01383"/>
    <x:n v="45"/>
    <x:s v="Alpen Precision Systems"/>
    <x:n v="1.1561"/>
    <x:n v="1.3121098626716603"/>
    <x:n v="0.006532007458048476"/>
    <x:n v="1.1561"/>
    <x:x v="1382"/>
    <x:x v="1"/>
    <x:n v="1.088"/>
    <x:n v="30669.675520000004"/>
    <x:n v="1919.6736239999955"/>
    <x:n v="0.06259191176470573"/>
  </x:r>
  <x:r>
    <x:s v="INV-01384"/>
    <x:x v="17"/>
    <x:s v="SUP06"/>
    <x:x v="2"/>
    <x:s v="Software"/>
    <x:d v="2025-10-31T00:00:00Z"/>
    <x:n v="45991"/>
    <x:x v="0"/>
    <x:n v="930.63"/>
    <x:s v="Historical"/>
    <x:s v="SUP06-INV-01384"/>
    <x:n v="30"/>
    <x:s v="Dublin Systems Licensing"/>
    <x:n v="1.1554"/>
    <x:n v="1.3105716878402902"/>
    <x:n v="0.006485909958459639"/>
    <x:n v="1.1554"/>
    <x:x v="1383"/>
    <x:x v="7"/>
    <x:n v="1.106"/>
    <x:n v="1029.2767800000001"/>
    <x:n v="45.973121999999876"/>
    <x:n v="0.0446654611211572"/>
  </x:r>
  <x:r>
    <x:s v="INV-01385"/>
    <x:x v="7"/>
    <x:s v="SUP03"/>
    <x:x v="0"/>
    <x:s v="Components"/>
    <x:d v="2026-04-16T00:00:00Z"/>
    <x:n v="46158"/>
    <x:x v="0"/>
    <x:n v="29747.4"/>
    <x:s v="Historical"/>
    <x:s v="SUP03-INV-01385"/>
    <x:n v="30"/>
    <x:s v="Benelux Sensor Works"/>
    <x:n v="1.1782"/>
    <x:n v="1.354361845205936"/>
    <x:n v="0.006290107308739522"/>
    <x:n v="1.1782"/>
    <x:x v="1384"/>
    <x:x v="0"/>
    <x:n v="1.083"/>
    <x:n v="32216.4342"/>
    <x:n v="2831.9524799999963"/>
    <x:n v="0.08790397045244679"/>
  </x:r>
  <x:r>
    <x:s v="INV-01386"/>
    <x:x v="6"/>
    <x:s v="SUP16"/>
    <x:x v="0"/>
    <x:s v="Components"/>
    <x:d v="2026-08-13T00:00:00Z"/>
    <x:n v="46277"/>
    <x:x v="1"/>
    <x:n v="1601160.33"/>
    <x:s v="Historical"/>
    <x:s v="SUP16-INV-01386"/>
    <x:n v="30"/>
    <x:s v="Kyoto Optical Instruments"/>
    <x:n v="1.1534"/>
    <x:n v="1.3491636448707451"/>
    <x:n v="0.006276323665451379"/>
    <x:n v="0.006276323665451379"/>
    <x:x v="1385"/>
    <x:x v="4"/>
    <x:n v="0.00674"/>
    <x:n v="10791.820624200001"/>
    <x:n v="-742.4201528390604"/>
    <x:n v="-0.06879470839000311"/>
  </x:r>
  <x:r>
    <x:s v="INV-01387"/>
    <x:x v="7"/>
    <x:s v="SUP03"/>
    <x:x v="0"/>
    <x:s v="Components"/>
    <x:d v="2026-03-13T00:00:00Z"/>
    <x:n v="46124"/>
    <x:x v="0"/>
    <x:n v="17704.09"/>
    <x:s v="Historical"/>
    <x:s v="SUP03-INV-01387"/>
    <x:n v="30"/>
    <x:s v="Benelux Sensor Works"/>
    <x:n v="1.1476"/>
    <x:n v="1.3266591910107164"/>
    <x:n v="0.0062761826633852885"/>
    <x:n v="1.1476"/>
    <x:x v="1386"/>
    <x:x v="6"/>
    <x:n v="1.065"/>
    <x:n v="18854.85585"/>
    <x:n v="1462.3578339999985"/>
    <x:n v="0.07755868544600932"/>
  </x:r>
  <x:r>
    <x:s v="INV-01388"/>
    <x:x v="7"/>
    <x:s v="SUP03"/>
    <x:x v="0"/>
    <x:s v="Parts"/>
    <x:d v="2025-12-02T00:00:00Z"/>
    <x:n v="46023"/>
    <x:x v="0"/>
    <x:n v="9987.01"/>
    <x:s v="Historical"/>
    <x:s v="SUP03-INV-01388"/>
    <x:n v="30"/>
    <x:s v="Benelux Sensor Works"/>
    <x:n v="1.1614"/>
    <x:n v="1.3203728967712596"/>
    <x:n v="0.006407370627827431"/>
    <x:n v="1.1614"/>
    <x:x v="1387"/>
    <x:x v="7"/>
    <x:n v="1.106"/>
    <x:n v="11045.633060000002"/>
    <x:n v="553.2803539999986"/>
    <x:n v="0.05009041591320059"/>
  </x:r>
  <x:r>
    <x:s v="INV-01389"/>
    <x:x v="17"/>
    <x:s v="SUP06"/>
    <x:x v="2"/>
    <x:s v="Software"/>
    <x:d v="2026-02-11T00:00:00Z"/>
    <x:n v="46094"/>
    <x:x v="0"/>
    <x:n v="5254.62"/>
    <x:s v="Historical"/>
    <x:s v="SUP06-INV-01389"/>
    <x:n v="30"/>
    <x:s v="Dublin Systems Licensing"/>
    <x:n v="1.19"/>
    <x:n v="1.3679733302678467"/>
    <x:n v="0.006510202965151267"/>
    <x:n v="1.19"/>
    <x:x v="1388"/>
    <x:x v="6"/>
    <x:n v="1.065"/>
    <x:n v="5596.1703"/>
    <x:n v="656.8274999999994"/>
    <x:n v="0.11737089201877925"/>
  </x:r>
  <x:r>
    <x:s v="INV-01390"/>
    <x:x v="10"/>
    <x:s v="SUP02"/>
    <x:x v="0"/>
    <x:s v="Equipment"/>
    <x:d v="2026-04-06T00:00:00Z"/>
    <x:n v="46163"/>
    <x:x v="0"/>
    <x:n v="22574.5"/>
    <x:s v="Historical"/>
    <x:s v="SUP02-INV-01390"/>
    <x:n v="45"/>
    <x:s v="Alpen Precision Systems"/>
    <x:n v="1.1525"/>
    <x:n v="1.3208714886594157"/>
    <x:n v="0.006265630096770686"/>
    <x:n v="1.1525"/>
    <x:x v="1389"/>
    <x:x v="0"/>
    <x:n v="1.083"/>
    <x:n v="24448.1835"/>
    <x:n v="1568.9277500000026"/>
    <x:n v="0.06417359187442301"/>
  </x:r>
  <x:r>
    <x:s v="INV-01391"/>
    <x:x v="4"/>
    <x:s v="SUP08"/>
    <x:x v="0"/>
    <x:s v="Components"/>
    <x:d v="2025-04-13T00:00:00Z"/>
    <x:n v="45790"/>
    <x:x v="0"/>
    <x:n v="19563.36"/>
    <x:s v="Historical"/>
    <x:s v="SUP08-INV-01391"/>
    <x:n v="30"/>
    <x:s v="Valencia Circuit Supply"/>
    <x:n v="1.1423"/>
    <x:n v="1.356811972918399"/>
    <x:n v="0.006979714041305146"/>
    <x:n v="1.1423"/>
    <x:x v="1390"/>
    <x:x v="5"/>
    <x:n v="1.07"/>
    <x:n v="20932.7952"/>
    <x:n v="1414.4309280000016"/>
    <x:n v="0.067570093457944"/>
  </x:r>
  <x:r>
    <x:s v="INV-01392"/>
    <x:x v="6"/>
    <x:s v="SUP16"/>
    <x:x v="0"/>
    <x:s v="Components"/>
    <x:d v="2026-12-22T00:00:00Z"/>
    <x:n v="46408"/>
    <x:x v="1"/>
    <x:n v="2591039.78"/>
    <x:s v="Planned"/>
    <x:s v="SUP16-INV-01392"/>
    <x:n v="30"/>
    <x:s v="Kyoto Optical Instruments"/>
    <x:n v="1.1177"/>
    <x:n v="1.320456022210408"/>
    <x:n v="0.00632004523607577"/>
    <x:n v="0.00632004523607577"/>
    <x:x v="1391"/>
    <x:x v="2"/>
    <x:n v="0.00688"/>
    <x:n v="17826.353686399998"/>
    <x:n v="-1450.8650683281885"/>
    <x:n v="-0.0813887738261962"/>
  </x:r>
  <x:r>
    <x:s v="INV-01393"/>
    <x:x v="17"/>
    <x:s v="SUP06"/>
    <x:x v="2"/>
    <x:s v="Software"/>
    <x:d v="2025-06-13T00:00:00Z"/>
    <x:n v="45851"/>
    <x:x v="0"/>
    <x:n v="3992"/>
    <x:s v="Historical"/>
    <x:s v="SUP06-INV-01393"/>
    <x:n v="30"/>
    <x:s v="Dublin Systems Licensing"/>
    <x:n v="1.1512"/>
    <x:n v="1.3535567313345092"/>
    <x:n v="0.006937447270097626"/>
    <x:n v="1.1512"/>
    <x:x v="1392"/>
    <x:x v="5"/>
    <x:n v="1.07"/>
    <x:n v="4271.4400000000005"/>
    <x:n v="324.15039999999954"/>
    <x:n v="0.0758878504672896"/>
  </x:r>
  <x:r>
    <x:s v="INV-01394"/>
    <x:x v="2"/>
    <x:s v="SUP10"/>
    <x:x v="1"/>
    <x:s v="Services"/>
    <x:d v="2025-04-13T00:00:00Z"/>
    <x:n v="45805"/>
    <x:x v="2"/>
    <x:n v="1340.49"/>
    <x:s v="Historical"/>
    <x:s v="SUP10-INV-01394"/>
    <x:n v="45"/>
    <x:s v="Bristol Calibration Services"/>
    <x:n v="1.1423"/>
    <x:n v="1.356811972918399"/>
    <x:n v="0.006979714041305146"/>
    <x:n v="1.356811972918399"/>
    <x:x v="1393"/>
    <x:x v="5"/>
    <x:n v="1.26"/>
    <x:n v="1689.0174"/>
    <x:n v="129.77548157738465"/>
    <x:n v="0.07683489914158649"/>
  </x:r>
  <x:r>
    <x:s v="INV-01395"/>
    <x:x v="10"/>
    <x:s v="SUP02"/>
    <x:x v="0"/>
    <x:s v="Equipment"/>
    <x:d v="2025-05-12T00:00:00Z"/>
    <x:n v="45834"/>
    <x:x v="0"/>
    <x:n v="36694.05"/>
    <x:s v="Historical"/>
    <x:s v="SUP02-INV-01395"/>
    <x:n v="45"/>
    <x:s v="Alpen Precision Systems"/>
    <x:n v="1.1106"/>
    <x:n v="1.3175940206430181"/>
    <x:n v="0.006753009850419555"/>
    <x:n v="1.1106"/>
    <x:x v="1394"/>
    <x:x v="5"/>
    <x:n v="1.07"/>
    <x:n v="39262.6335"/>
    <x:n v="1489.7784299999985"/>
    <x:n v="0.037943925233644815"/>
  </x:r>
  <x:r>
    <x:s v="INV-01396"/>
    <x:x v="9"/>
    <x:s v="SUP05"/>
    <x:x v="0"/>
    <x:s v="Components"/>
    <x:d v="2026-02-02T00:00:00Z"/>
    <x:n v="46100"/>
    <x:x v="0"/>
    <x:n v="4750.71"/>
    <x:s v="Historical"/>
    <x:s v="SUP05-INV-01396"/>
    <x:n v="45"/>
    <x:s v="Lyon Industrial Controls"/>
    <x:n v="1.184"/>
    <x:n v="1.3675213675213673"/>
    <x:n v="0.006449153003976251"/>
    <x:n v="1.184"/>
    <x:x v="1395"/>
    <x:x v="6"/>
    <x:n v="1.065"/>
    <x:n v="5059.50615"/>
    <x:n v="565.3344899999993"/>
    <x:n v="0.11173708920187779"/>
  </x:r>
  <x:r>
    <x:s v="INV-01397"/>
    <x:x v="4"/>
    <x:s v="SUP08"/>
    <x:x v="0"/>
    <x:s v="Components"/>
    <x:d v="2026-10-30T00:00:00Z"/>
    <x:n v="46355"/>
    <x:x v="0"/>
    <x:n v="22376.89"/>
    <x:s v="Planned"/>
    <x:s v="SUP08-INV-01397"/>
    <x:n v="30"/>
    <x:s v="Valencia Circuit Supply"/>
    <x:n v="1.1177"/>
    <x:n v="1.320456022210408"/>
    <x:n v="0.00632004523607577"/>
    <x:n v="1.1177"/>
    <x:x v="1396"/>
    <x:x v="2"/>
    <x:n v="1.119"/>
    <x:n v="25039.73991"/>
    <x:n v="-29.08995700000378"/>
    <x:n v="-0.001161751563896487"/>
  </x:r>
  <x:r>
    <x:s v="INV-01398"/>
    <x:x v="11"/>
    <x:s v="SUP14"/>
    <x:x v="0"/>
    <x:s v="Equipment"/>
    <x:d v="2025-09-20T00:00:00Z"/>
    <x:n v="45980"/>
    <x:x v="1"/>
    <x:n v="11507026.6"/>
    <x:s v="Historical"/>
    <x:s v="SUP14-INV-01398"/>
    <x:n v="60"/>
    <x:s v="Tokyo Automation Systems"/>
    <x:n v="1.1728"/>
    <x:n v="1.3446457234579225"/>
    <x:n v="0.006333297332325305"/>
    <x:n v="0.006333297332325305"/>
    <x:x v="1397"/>
    <x:x v="1"/>
    <x:n v="0.00684"/>
    <x:n v="78708.061944"/>
    <x:n v="-5830.64107522367"/>
    <x:n v="-0.0740793373793413"/>
  </x:r>
  <x:r>
    <x:s v="INV-01399"/>
    <x:x v="3"/>
    <x:s v="SUP04"/>
    <x:x v="1"/>
    <x:s v="Packaging"/>
    <x:d v="2026-08-24T00:00:00Z"/>
    <x:n v="46288"/>
    <x:x v="0"/>
    <x:n v="9513.5"/>
    <x:s v="Historical"/>
    <x:s v="SUP04-INV-01399"/>
    <x:n v="30"/>
    <x:s v="Nordlicht Packaging"/>
    <x:n v="1.1664"/>
    <x:n v="1.3634132086499124"/>
    <x:n v="0.006284482758620691"/>
    <x:n v="1.1664"/>
    <x:x v="1398"/>
    <x:x v="4"/>
    <x:n v="1.101"/>
    <x:n v="10474.3635"/>
    <x:n v="622.1829000000016"/>
    <x:n v="0.05940054495912822"/>
  </x:r>
  <x:r>
    <x:s v="INV-01400"/>
    <x:x v="2"/>
    <x:s v="SUP10"/>
    <x:x v="1"/>
    <x:s v="Services"/>
    <x:d v="2025-11-02T00:00:00Z"/>
    <x:n v="46008"/>
    <x:x v="2"/>
    <x:n v="2180.47"/>
    <x:s v="Historical"/>
    <x:s v="SUP10-INV-01400"/>
    <x:n v="45"/>
    <x:s v="Bristol Calibration Services"/>
    <x:n v="1.1555"/>
    <x:n v="1.3367963164349013"/>
    <x:n v="0.006298375667720483"/>
    <x:n v="1.3367963164349013"/>
    <x:x v="1399"/>
    <x:x v="7"/>
    <x:n v="1.304"/>
    <x:n v="2843.33288"/>
    <x:n v="71.5113840968088"/>
    <x:n v="0.025150549413267713"/>
  </x:r>
  <x:r>
    <x:s v="INV-01401"/>
    <x:x v="10"/>
    <x:s v="SUP02"/>
    <x:x v="0"/>
    <x:s v="Equipment"/>
    <x:d v="2026-07-10T00:00:00Z"/>
    <x:n v="46258"/>
    <x:x v="0"/>
    <x:n v="50364.21"/>
    <x:s v="Historical"/>
    <x:s v="SUP02-INV-01401"/>
    <x:n v="45"/>
    <x:s v="Alpen Precision Systems"/>
    <x:n v="1.143"/>
    <x:n v="1.3422582349832657"/>
    <x:n v="0.006177710517781861"/>
    <x:n v="1.143"/>
    <x:x v="1400"/>
    <x:x v="4"/>
    <x:n v="1.101"/>
    <x:n v="55450.99521"/>
    <x:n v="2115.296819999996"/>
    <x:n v="0.03814713896457758"/>
  </x:r>
  <x:r>
    <x:s v="INV-01402"/>
    <x:x v="16"/>
    <x:s v="SUP12"/>
    <x:x v="0"/>
    <x:s v="Components"/>
    <x:d v="2026-02-17T00:00:00Z"/>
    <x:n v="46130"/>
    <x:x v="2"/>
    <x:n v="10070.21"/>
    <x:s v="Historical"/>
    <x:s v="SUP12-INV-01402"/>
    <x:n v="60"/>
    <x:s v="Oxford Technical Materials"/>
    <x:n v="1.1826"/>
    <x:n v="1.3541738234283753"/>
    <x:n v="0.0065315365072351715"/>
    <x:n v="1.3541738234283753"/>
    <x:x v="1401"/>
    <x:x v="6"/>
    <x:n v="1.249"/>
    <x:n v="12577.69229"/>
    <x:n v="1059.1224884266576"/>
    <x:n v="0.08420642388180555"/>
  </x:r>
  <x:r>
    <x:s v="INV-01403"/>
    <x:x v="6"/>
    <x:s v="SUP16"/>
    <x:x v="0"/>
    <x:s v="Components"/>
    <x:d v="2025-06-29T00:00:00Z"/>
    <x:n v="45867"/>
    <x:x v="1"/>
    <x:n v="1970602.5"/>
    <x:s v="Historical"/>
    <x:s v="SUP16-INV-01403"/>
    <x:n v="30"/>
    <x:s v="Kyoto Optical Instruments"/>
    <x:n v="1.1781"/>
    <x:n v="1.3496391339214113"/>
    <x:n v="0.006764081070218752"/>
    <x:n v="0.006764081070218752"/>
    <x:x v="1402"/>
    <x:x v="5"/>
    <x:n v="0.0067"/>
    <x:n v="13203.036750000001"/>
    <x:n v="126.27831717574736"/>
    <x:n v="0.009564338838619634"/>
  </x:r>
  <x:r>
    <x:s v="INV-01404"/>
    <x:x v="2"/>
    <x:s v="SUP10"/>
    <x:x v="1"/>
    <x:s v="Services"/>
    <x:d v="2025-12-28T00:00:00Z"/>
    <x:n v="46064"/>
    <x:x v="2"/>
    <x:n v="8736.75"/>
    <x:s v="Historical"/>
    <x:s v="SUP10-INV-01404"/>
    <x:n v="45"/>
    <x:s v="Bristol Calibration Services"/>
    <x:n v="1.1555"/>
    <x:n v="1.3367963164349013"/>
    <x:n v="0.006298375667720483"/>
    <x:n v="1.3367963164349013"/>
    <x:x v="1403"/>
    <x:x v="7"/>
    <x:n v="1.304"/>
    <x:n v="11392.722"/>
    <x:n v="286.53321761262305"/>
    <x:n v="0.02515054941326779"/>
  </x:r>
  <x:r>
    <x:s v="INV-01405"/>
    <x:x v="1"/>
    <x:s v="SUP15"/>
    <x:x v="1"/>
    <x:s v="Freight"/>
    <x:d v="2025-03-22T00:00:00Z"/>
    <x:n v="45768"/>
    <x:x v="1"/>
    <x:n v="2257539.24"/>
    <x:s v="Historical"/>
    <x:s v="SUP15-INV-01405"/>
    <x:n v="30"/>
    <x:s v="Nagoya Logistics Partners"/>
    <x:n v="1.1325"/>
    <x:n v="1.3372298972724053"/>
    <x:n v="0.007006310319227915"/>
    <x:n v="0.007006310319227915"/>
    <x:x v="1404"/>
    <x:x v="3"/>
    <x:n v="0.00656"/>
    <x:n v="14809.457414400002"/>
    <x:n v="1007.5630588739441"/>
    <x:n v="0.06803510963840163"/>
  </x:r>
  <x:r>
    <x:s v="INV-01406"/>
    <x:x v="6"/>
    <x:s v="SUP16"/>
    <x:x v="0"/>
    <x:s v="Components"/>
    <x:d v="2025-04-05T00:00:00Z"/>
    <x:n v="45782"/>
    <x:x v="1"/>
    <x:n v="913171.57"/>
    <x:s v="Historical"/>
    <x:s v="SUP16-INV-01406"/>
    <x:n v="30"/>
    <x:s v="Kyoto Optical Instruments"/>
    <x:n v="1.1381"/>
    <x:n v="1.35617254528122"/>
    <x:n v="0.006998093832626206"/>
    <x:n v="0.006998093832626206"/>
    <x:x v="1405"/>
    <x:x v="5"/>
    <x:n v="0.0067"/>
    <x:n v="6118.249519"/>
    <x:n v="272.2108131465893"/>
    <x:n v="0.044491616809881424"/>
  </x:r>
  <x:r>
    <x:s v="INV-01407"/>
    <x:x v="12"/>
    <x:s v="SUP17"/>
    <x:x v="1"/>
    <x:s v="Packaging"/>
    <x:d v="2025-06-10T00:00:00Z"/>
    <x:n v="45863"/>
    <x:x v="1"/>
    <x:n v="791668.38"/>
    <x:s v="Historical"/>
    <x:s v="SUP17-INV-01407"/>
    <x:n v="45"/>
    <x:s v="Kobe Industrial Packaging"/>
    <x:n v="1.1429"/>
    <x:n v="1.3503071833648392"/>
    <x:n v="0.006917024753374085"/>
    <x:n v="0.006917024753374085"/>
    <x:x v="1406"/>
    <x:x v="5"/>
    <x:n v="0.0067"/>
    <x:n v="5304.178146"/>
    <x:n v="171.81163492356154"/>
    <x:n v="0.032391754234938085"/>
  </x:r>
  <x:r>
    <x:s v="INV-01408"/>
    <x:x v="13"/>
    <x:s v="SUP11"/>
    <x:x v="2"/>
    <x:s v="Software"/>
    <x:d v="2025-07-16T00:00:00Z"/>
    <x:n v="45884"/>
    <x:x v="2"/>
    <x:n v="2127.5"/>
    <x:s v="Historical"/>
    <x:s v="SUP11-INV-01408"/>
    <x:n v="30"/>
    <x:s v="Manchester Cloud Solutions"/>
    <x:n v="1.1602"/>
    <x:n v="1.33987758401663"/>
    <x:n v="0.006723458507185906"/>
    <x:n v="1.33987758401663"/>
    <x:x v="1407"/>
    <x:x v="1"/>
    <x:n v="1.282"/>
    <x:n v="2727.455"/>
    <x:n v="123.13455999538019"/>
    <x:n v="0.04514632138582678"/>
  </x:r>
  <x:r>
    <x:s v="INV-01409"/>
    <x:x v="9"/>
    <x:s v="SUP05"/>
    <x:x v="0"/>
    <x:s v="Components"/>
    <x:d v="2025-06-23T00:00:00Z"/>
    <x:n v="45876"/>
    <x:x v="0"/>
    <x:n v="6759.6"/>
    <x:s v="Historical"/>
    <x:s v="SUP05-INV-01409"/>
    <x:n v="45"/>
    <x:s v="Lyon Industrial Controls"/>
    <x:n v="1.1472"/>
    <x:n v="1.3390918641298004"/>
    <x:n v="0.0067773379807408276"/>
    <x:n v="1.1472"/>
    <x:x v="1408"/>
    <x:x v="5"/>
    <x:n v="1.07"/>
    <x:n v="7232.772000000001"/>
    <x:n v="521.8411199999991"/>
    <x:n v="0.07214953271028024"/>
  </x:r>
  <x:r>
    <x:s v="INV-01410"/>
    <x:x v="10"/>
    <x:s v="SUP02"/>
    <x:x v="0"/>
    <x:s v="Equipment"/>
    <x:d v="2025-02-04T00:00:00Z"/>
    <x:n v="45737"/>
    <x:x v="0"/>
    <x:n v="63916.53"/>
    <x:s v="Historical"/>
    <x:s v="SUP02-INV-01410"/>
    <x:n v="45"/>
    <x:s v="Alpen Precision Systems"/>
    <x:n v="1.0335"/>
    <x:n v="1.2423666875030055"/>
    <x:n v="0.00643845003737852"/>
    <x:n v="1.0335"/>
    <x:x v="1409"/>
    <x:x v="3"/>
    <x:n v="1.052"/>
    <x:n v="67240.18956"/>
    <x:n v="-1182.4558049999905"/>
    <x:n v="-0.017585551330798338"/>
  </x:r>
  <x:r>
    <x:s v="INV-01411"/>
    <x:x v="17"/>
    <x:s v="SUP06"/>
    <x:x v="2"/>
    <x:s v="Software"/>
    <x:d v="2026-05-12T00:00:00Z"/>
    <x:n v="46184"/>
    <x:x v="0"/>
    <x:n v="10360.63"/>
    <x:s v="Historical"/>
    <x:s v="SUP06-INV-01411"/>
    <x:n v="30"/>
    <x:s v="Dublin Systems Licensing"/>
    <x:n v="1.1738"/>
    <x:n v="1.352257410458164"/>
    <x:n v="0.006345550870364364"/>
    <x:n v="1.1738"/>
    <x:x v="1410"/>
    <x:x v="0"/>
    <x:n v="1.083"/>
    <x:n v="11220.562289999998"/>
    <x:n v="940.7452040000007"/>
    <x:n v="0.08384118190212381"/>
  </x:r>
  <x:r>
    <x:s v="INV-01411"/>
    <x:x v="0"/>
    <x:s v="SUP01"/>
    <x:x v="0"/>
    <x:s v="Components"/>
    <x:d v="2025-10-02T00:00:00Z"/>
    <x:n v="45962"/>
    <x:x v="0"/>
    <x:n v="7161.98"/>
    <x:s v="Historical"/>
    <x:s v="SUP01-INV-01411"/>
    <x:n v="30"/>
    <x:s v="Rhein Circuit Components"/>
    <x:n v="1.1754"/>
    <x:n v="1.347781217750258"/>
    <x:n v="0.0068127282211789255"/>
    <x:n v="1.1754"/>
    <x:x v="1411"/>
    <x:x v="7"/>
    <x:n v="1.106"/>
    <x:n v="7921.14988"/>
    <x:n v="497.0414119999996"/>
    <x:n v="0.06274864376130193"/>
  </x:r>
  <x:r>
    <x:s v="INV-01412"/>
    <x:x v="16"/>
    <x:s v="SUP12"/>
    <x:x v="0"/>
    <x:s v="Components"/>
    <x:d v="2025-05-02T00:00:00Z"/>
    <x:n v="45839"/>
    <x:x v="2"/>
    <x:n v="25824.98"/>
    <x:s v="Historical"/>
    <x:s v="SUP12-INV-01412"/>
    <x:n v="60"/>
    <x:s v="Oxford Technical Materials"/>
    <x:n v="1.1343"/>
    <x:n v="1.3293097386616666"/>
    <x:n v="0.006919416824254255"/>
    <x:n v="1.3293097386616666"/>
    <x:x v="1412"/>
    <x:x v="5"/>
    <x:n v="1.26"/>
    <x:n v="32539.4748"/>
    <x:n v="1789.9226147427653"/>
    <x:n v="0.05500772909656075"/>
  </x:r>
  <x:r>
    <x:s v="INV-01413"/>
    <x:x v="0"/>
    <x:s v="SUP01"/>
    <x:x v="0"/>
    <x:s v="Components"/>
    <x:d v="2026-07-24T00:00:00Z"/>
    <x:n v="46257"/>
    <x:x v="0"/>
    <x:n v="28004.96"/>
    <x:s v="Historical"/>
    <x:s v="SUP01-INV-01413"/>
    <x:n v="30"/>
    <x:s v="Rhein Circuit Components"/>
    <x:n v="1.1377"/>
    <x:n v="1.3323886260364455"/>
    <x:n v="0.006104195729155488"/>
    <x:n v="1.1377"/>
    <x:x v="1413"/>
    <x:x v="4"/>
    <x:n v="1.101"/>
    <x:n v="30833.460959999997"/>
    <x:n v="1027.7820319999992"/>
    <x:n v="0.03333333333333331"/>
  </x:r>
  <x:r>
    <x:s v="INV-01414"/>
    <x:x v="7"/>
    <x:s v="SUP03"/>
    <x:x v="0"/>
    <x:s v="Components"/>
    <x:d v="2025-06-06T00:00:00Z"/>
    <x:n v="45844"/>
    <x:x v="0"/>
    <x:n v="26447.06"/>
    <x:s v="Historical"/>
    <x:s v="SUP03-INV-01414"/>
    <x:n v="30"/>
    <x:s v="Benelux Sensor Works"/>
    <x:n v="1.1411"/>
    <x:n v="1.3542606218846427"/>
    <x:n v="0.006931721540517555"/>
    <x:n v="1.1411"/>
    <x:x v="1414"/>
    <x:x v="5"/>
    <x:n v="1.07"/>
    <x:n v="28298.3542"/>
    <x:n v="1880.3859660000016"/>
    <x:n v="0.06644859813084118"/>
  </x:r>
  <x:r>
    <x:s v="INV-01415"/>
    <x:x v="3"/>
    <x:s v="SUP04"/>
    <x:x v="1"/>
    <x:s v="Packaging"/>
    <x:d v="2026-07-29T00:00:00Z"/>
    <x:n v="46262"/>
    <x:x v="0"/>
    <x:n v="11962.79"/>
    <x:s v="Historical"/>
    <x:s v="SUP04-INV-01415"/>
    <x:n v="30"/>
    <x:s v="Nordlicht Packaging"/>
    <x:n v="1.138"/>
    <x:n v="1.3288958953698837"/>
    <x:n v="0.006109411069952219"/>
    <x:n v="1.138"/>
    <x:x v="1415"/>
    <x:x v="4"/>
    <x:n v="1.101"/>
    <x:n v="13171.031790000001"/>
    <x:n v="442.62322999999924"/>
    <x:n v="0.03360581289736597"/>
  </x:r>
  <x:r>
    <x:s v="INV-01416"/>
    <x:x v="16"/>
    <x:s v="SUP12"/>
    <x:x v="0"/>
    <x:s v="Components"/>
    <x:d v="2026-06-23T00:00:00Z"/>
    <x:n v="46256"/>
    <x:x v="2"/>
    <x:n v="12463.36"/>
    <x:s v="Historical"/>
    <x:s v="SUP12-INV-01416"/>
    <x:n v="60"/>
    <x:s v="Oxford Technical Materials"/>
    <x:n v="1.1392"/>
    <x:n v="1.3215777262180974"/>
    <x:n v="0.0061906314531029235"/>
    <x:n v="1.3215777262180974"/>
    <x:x v="1416"/>
    <x:x v="0"/>
    <x:n v="1.271"/>
    <x:n v="15840.930559999999"/>
    <x:n v="630.368409837587"/>
    <x:n v="0.03979364769323167"/>
  </x:r>
  <x:r>
    <x:s v="INV-01417"/>
    <x:x v="10"/>
    <x:s v="SUP02"/>
    <x:x v="0"/>
    <x:s v="Equipment"/>
    <x:d v="2025-08-23T00:00:00Z"/>
    <x:n v="45937"/>
    <x:x v="0"/>
    <x:n v="24308.48"/>
    <x:s v="Historical"/>
    <x:s v="SUP02-INV-01417"/>
    <x:n v="45"/>
    <x:s v="Alpen Precision Systems"/>
    <x:n v="1.1655"/>
    <x:n v="1.3326091927738395"/>
    <x:n v="0.006428926030117492"/>
    <x:n v="1.1655"/>
    <x:x v="1417"/>
    <x:x v="1"/>
    <x:n v="1.088"/>
    <x:n v="26447.62624"/>
    <x:n v="1883.9071999999978"/>
    <x:n v="0.07123161764705874"/>
  </x:r>
  <x:r>
    <x:s v="INV-01418"/>
    <x:x v="6"/>
    <x:s v="SUP16"/>
    <x:x v="0"/>
    <x:s v="Components"/>
    <x:d v="2026-06-17T00:00:00Z"/>
    <x:n v="46220"/>
    <x:x v="1"/>
    <x:n v="2298302.32"/>
    <x:s v="Historical"/>
    <x:s v="SUP16-INV-01418"/>
    <x:n v="30"/>
    <x:s v="Kyoto Optical Instruments"/>
    <x:n v="1.1591"/>
    <x:n v="1.3405734244705827"/>
    <x:n v="0.006237756969109892"/>
    <x:n v="0.006237756969109892"/>
    <x:x v="1418"/>
    <x:x v="0"/>
    <x:n v="0.0066"/>
    <x:n v="15168.795311999998"/>
    <x:n v="-832.5439982985663"/>
    <x:n v="-0.05488530771062239"/>
  </x:r>
  <x:r>
    <x:s v="INV-01419"/>
    <x:x v="12"/>
    <x:s v="SUP17"/>
    <x:x v="1"/>
    <x:s v="Packaging"/>
    <x:d v="2026-12-10T00:00:00Z"/>
    <x:n v="46411"/>
    <x:x v="1"/>
    <x:n v="609487.95"/>
    <x:s v="Planned"/>
    <x:s v="SUP17-INV-01419"/>
    <x:n v="45"/>
    <x:s v="Kobe Industrial Packaging"/>
    <x:n v="1.1177"/>
    <x:n v="1.320456022210408"/>
    <x:n v="0.00632004523607577"/>
    <x:n v="0.00632004523607577"/>
    <x:x v="1419"/>
    <x:x v="2"/>
    <x:n v="0.00688"/>
    <x:n v="4193.277096"/>
    <x:n v="-341.28568115691314"/>
    <x:n v="-0.08138877382619629"/>
  </x:r>
  <x:r>
    <x:s v="INV-01420"/>
    <x:x v="3"/>
    <x:s v="SUP04"/>
    <x:x v="1"/>
    <x:s v="Packaging"/>
    <x:d v="2026-11-23T00:00:00Z"/>
    <x:n v="46379"/>
    <x:x v="0"/>
    <x:n v="9009.74"/>
    <x:s v="Planned"/>
    <x:s v="SUP04-INV-01420"/>
    <x:n v="30"/>
    <x:s v="Nordlicht Packaging"/>
    <x:n v="1.1177"/>
    <x:n v="1.320456022210408"/>
    <x:n v="0.00632004523607577"/>
    <x:n v="1.1177"/>
    <x:x v="1420"/>
    <x:x v="2"/>
    <x:n v="1.119"/>
    <x:n v="10081.89906"/>
    <x:n v="-11.71266199999991"/>
    <x:n v="-0.0011617515638963271"/>
  </x:r>
  <x:r>
    <x:s v="INV-01421"/>
    <x:x v="8"/>
    <x:s v="SUP13"/>
    <x:x v="0"/>
    <x:s v="Components"/>
    <x:d v="2026-11-25T00:00:00Z"/>
    <x:n v="46396"/>
    <x:x v="1"/>
    <x:n v="2830124.88"/>
    <x:s v="Planned"/>
    <x:s v="SUP13-INV-01421"/>
    <x:n v="45"/>
    <x:s v="Osaka Microdevices"/>
    <x:n v="1.1177"/>
    <x:n v="1.320456022210408"/>
    <x:n v="0.00632004523607577"/>
    <x:n v="0.00632004523607577"/>
    <x:x v="1421"/>
    <x:x v="2"/>
    <x:n v="0.00688"/>
    <x:n v="19471.2591744"/>
    <x:n v="-1584.7419090564908"/>
    <x:n v="-0.08138877382619629"/>
  </x:r>
  <x:r>
    <x:s v="INV-01422"/>
    <x:x v="7"/>
    <x:s v="SUP03"/>
    <x:x v="0"/>
    <x:s v="Components"/>
    <x:d v="2026-06-10T00:00:00Z"/>
    <x:n v="46213"/>
    <x:x v="0"/>
    <x:n v="6337.83"/>
    <x:s v="Historical"/>
    <x:s v="SUP03-INV-01422"/>
    <x:n v="30"/>
    <x:s v="Benelux Sensor Works"/>
    <x:n v="1.1539"/>
    <x:n v="1.3381964095189496"/>
    <x:n v="0.006230897996652086"/>
    <x:n v="1.1539"/>
    <x:x v="1422"/>
    <x:x v="0"/>
    <x:n v="1.083"/>
    <x:n v="6863.86989"/>
    <x:n v="449.3521469999996"/>
    <x:n v="0.06546629732225294"/>
  </x:r>
  <x:r>
    <x:s v="INV-01423"/>
    <x:x v="8"/>
    <x:s v="SUP13"/>
    <x:x v="0"/>
    <x:s v="Components"/>
    <x:d v="2025-05-31T00:00:00Z"/>
    <x:n v="45853"/>
    <x:x v="1"/>
    <x:n v="555213.91"/>
    <x:s v="Historical"/>
    <x:s v="SUP13-INV-01423"/>
    <x:n v="45"/>
    <x:s v="Osaka Microdevices"/>
    <x:n v="1.1606"/>
    <x:n v="1.3462475350887368"/>
    <x:n v="0.0067359257109692395"/>
    <x:n v="0.0067359257109692395"/>
    <x:x v="1423"/>
    <x:x v="5"/>
    <x:n v="0.0067"/>
    <x:n v="3719.9331970000003"/>
    <x:n v="19.94645445676133"/>
    <x:n v="0.005362046413319322"/>
  </x:r>
  <x:r>
    <x:s v="INV-01424"/>
    <x:x v="10"/>
    <x:s v="SUP02"/>
    <x:x v="0"/>
    <x:s v="Equipment"/>
    <x:d v="2026-11-17T00:00:00Z"/>
    <x:n v="46388"/>
    <x:x v="0"/>
    <x:n v="15231.33"/>
    <x:s v="Planned"/>
    <x:s v="SUP02-INV-01424"/>
    <x:n v="45"/>
    <x:s v="Alpen Precision Systems"/>
    <x:n v="1.1177"/>
    <x:n v="1.320456022210408"/>
    <x:n v="0.00632004523607577"/>
    <x:n v="1.1177"/>
    <x:x v="1424"/>
    <x:x v="2"/>
    <x:n v="1.119"/>
    <x:n v="17043.85827"/>
    <x:n v="-19.80072900000232"/>
    <x:n v="-0.0011617515638964722"/>
  </x:r>
  <x:r>
    <x:s v="INV-01425"/>
    <x:x v="10"/>
    <x:s v="SUP02"/>
    <x:x v="0"/>
    <x:s v="Equipment"/>
    <x:d v="2026-01-22T00:00:00Z"/>
    <x:n v="46089"/>
    <x:x v="0"/>
    <x:n v="96551.04"/>
    <x:s v="Historical"/>
    <x:s v="SUP02-INV-01425"/>
    <x:n v="45"/>
    <x:s v="Alpen Precision Systems"/>
    <x:n v="1.1706"/>
    <x:n v="1.3421233662004128"/>
    <x:n v="0.006297611362169142"/>
    <x:n v="1.1706"/>
    <x:x v="1425"/>
    <x:x v="6"/>
    <x:n v="1.065"/>
    <x:n v="102826.85759999999"/>
    <x:n v="10195.789824000007"/>
    <x:n v="0.09915492957746487"/>
  </x:r>
  <x:r>
    <x:s v="INV-01426"/>
    <x:x v="4"/>
    <x:s v="SUP08"/>
    <x:x v="0"/>
    <x:s v="Components"/>
    <x:d v="2025-09-22T00:00:00Z"/>
    <x:n v="45952"/>
    <x:x v="0"/>
    <x:n v="2780.75"/>
    <x:s v="Historical"/>
    <x:s v="SUP08-INV-01426"/>
    <x:n v="30"/>
    <x:s v="Valencia Circuit Supply"/>
    <x:n v="1.1781"/>
    <x:n v="1.3496391339214113"/>
    <x:n v="0.006764081070218752"/>
    <x:n v="1.1781"/>
    <x:x v="1426"/>
    <x:x v="1"/>
    <x:n v="1.088"/>
    <x:n v="3025.456"/>
    <x:n v="250.54557499999964"/>
    <x:n v="0.08281249999999987"/>
  </x:r>
  <x:r>
    <x:s v="INV-01427"/>
    <x:x v="5"/>
    <x:s v="SUP09"/>
    <x:x v="0"/>
    <x:s v="Components"/>
    <x:d v="2025-05-27T00:00:00Z"/>
    <x:n v="45834"/>
    <x:x v="2"/>
    <x:n v="31888.73"/>
    <x:s v="Historical"/>
    <x:s v="SUP09-INV-01427"/>
    <x:n v="30"/>
    <x:s v="Thames Electronics Ltd"/>
    <x:n v="1.1356"/>
    <x:n v="1.354969574036511"/>
    <x:n v="0.0069362325922306374"/>
    <x:n v="1.354969574036511"/>
    <x:x v="1427"/>
    <x:x v="5"/>
    <x:n v="1.26"/>
    <x:n v="40179.7998"/>
    <x:n v="3028.4591046653077"/>
    <x:n v="0.07537267780675472"/>
  </x:r>
  <x:r>
    <x:s v="INV-01428"/>
    <x:x v="1"/>
    <x:s v="SUP15"/>
    <x:x v="1"/>
    <x:s v="Freight"/>
    <x:d v="2025-10-05T00:00:00Z"/>
    <x:n v="45965"/>
    <x:x v="1"/>
    <x:n v="1689673.97"/>
    <x:s v="Historical"/>
    <x:s v="SUP15-INV-01428"/>
    <x:n v="30"/>
    <x:s v="Nagoya Logistics Partners"/>
    <x:n v="1.1894"/>
    <x:n v="1.3679125934445082"/>
    <x:n v="0.006446263075172078"/>
    <x:n v="0.006446263075172078"/>
    <x:x v="1428"/>
    <x:x v="7"/>
    <x:n v="0.00698"/>
    <x:n v="11793.9243106"/>
    <x:n v="-901.8413887095867"/>
    <x:n v="-0.07646660814153612"/>
  </x:r>
  <x:r>
    <x:s v="INV-01429"/>
    <x:x v="9"/>
    <x:s v="SUP05"/>
    <x:x v="0"/>
    <x:s v="Components"/>
    <x:d v="2026-06-15T00:00:00Z"/>
    <x:n v="46233"/>
    <x:x v="0"/>
    <x:n v="17470.64"/>
    <x:s v="Historical"/>
    <x:s v="SUP05-INV-01429"/>
    <x:n v="45"/>
    <x:s v="Lyon Industrial Controls"/>
    <x:n v="1.1607"/>
    <x:n v="1.3421134789496203"/>
    <x:n v="0.0062426719733232935"/>
    <x:n v="1.1607"/>
    <x:x v="1429"/>
    <x:x v="0"/>
    <x:n v="1.083"/>
    <x:n v="18920.70312"/>
    <x:n v="1357.4687280000035"/>
    <x:n v="0.07174515235457082"/>
  </x:r>
  <x:r>
    <x:s v="INV-01430"/>
    <x:x v="10"/>
    <x:s v="SUP02"/>
    <x:x v="0"/>
    <x:s v="Equipment"/>
    <x:d v="2026-10-14T00:00:00Z"/>
    <x:n v="46354"/>
    <x:x v="0"/>
    <x:n v="24070.9"/>
    <x:s v="Planned"/>
    <x:s v="SUP02-INV-01430"/>
    <x:n v="45"/>
    <x:s v="Alpen Precision Systems"/>
    <x:n v="1.1177"/>
    <x:n v="1.320456022210408"/>
    <x:n v="0.00632004523607577"/>
    <x:n v="1.1177"/>
    <x:x v="1430"/>
    <x:x v="2"/>
    <x:n v="1.119"/>
    <x:n v="26935.3371"/>
    <x:n v="-31.292170000000624"/>
    <x:n v="-0.0011617515638963592"/>
  </x:r>
  <x:r>
    <x:s v="INV-01431"/>
    <x:x v="9"/>
    <x:s v="SUP05"/>
    <x:x v="0"/>
    <x:s v="Components"/>
    <x:d v="2025-02-13T00:00:00Z"/>
    <x:n v="45746"/>
    <x:x v="0"/>
    <x:n v="15379.43"/>
    <x:s v="Historical"/>
    <x:s v="SUP05-INV-01431"/>
    <x:n v="45"/>
    <x:s v="Lyon Industrial Controls"/>
    <x:n v="1.039"/>
    <x:n v="1.247104293447601"/>
    <x:n v="0.006502284248075599"/>
    <x:n v="1.039"/>
    <x:x v="1431"/>
    <x:x v="3"/>
    <x:n v="1.052"/>
    <x:n v="16179.160360000002"/>
    <x:n v="-199.93259000000216"/>
    <x:n v="-0.012357414448669333"/>
  </x:r>
  <x:r>
    <x:s v="INV-01432"/>
    <x:x v="15"/>
    <x:s v="SUP18"/>
    <x:x v="1"/>
    <x:s v="Services"/>
    <x:d v="2025-11-28T00:00:00Z"/>
    <x:n v="46019"/>
    <x:x v="1"/>
    <x:n v="1826026.95"/>
    <x:s v="Historical"/>
    <x:s v="SUP18-INV-01432"/>
    <x:n v="30"/>
    <x:s v="Yokohama Engineering Labs"/>
    <x:n v="1.1566"/>
    <x:n v="1.3215265082266912"/>
    <x:n v="0.006405272193609127"/>
    <x:n v="0.006405272193609127"/>
    <x:x v="1432"/>
    <x:x v="7"/>
    <x:n v="0.00698"/>
    <x:n v="12745.668110999999"/>
    <x:n v="-1049.4684633841152"/>
    <x:n v="-0.08233922727662929"/>
  </x:r>
  <x:r>
    <x:s v="INV-01433"/>
    <x:x v="4"/>
    <x:s v="SUP08"/>
    <x:x v="0"/>
    <x:s v="Components"/>
    <x:d v="2026-12-05T00:00:00Z"/>
    <x:n v="46391"/>
    <x:x v="0"/>
    <x:n v="9362.83"/>
    <x:s v="Planned"/>
    <x:s v="SUP08-INV-01433"/>
    <x:n v="30"/>
    <x:s v="Valencia Circuit Supply"/>
    <x:n v="1.1177"/>
    <x:n v="1.320456022210408"/>
    <x:n v="0.00632004523607577"/>
    <x:n v="1.1177"/>
    <x:x v="1433"/>
    <x:x v="2"/>
    <x:n v="1.119"/>
    <x:n v="10477.00677"/>
    <x:n v="-12.17167900000095"/>
    <x:n v="-0.0011617515638964267"/>
  </x:r>
  <x:r>
    <x:s v="INV-01434"/>
    <x:x v="6"/>
    <x:s v="SUP16"/>
    <x:x v="0"/>
    <x:s v="Components"/>
    <x:d v="2025-09-23T00:00:00Z"/>
    <x:n v="45953"/>
    <x:x v="1"/>
    <x:n v="817297.16"/>
    <x:s v="Historical"/>
    <x:s v="SUP16-INV-01434"/>
    <x:n v="30"/>
    <x:s v="Kyoto Optical Instruments"/>
    <x:n v="1.1793"/>
    <x:n v="1.3510138618398442"/>
    <x:n v="0.00676592082616179"/>
    <x:n v="0.00676592082616179"/>
    <x:x v="1434"/>
    <x:x v="1"/>
    <x:n v="0.00684"/>
    <x:n v="5590.3125744"/>
    <x:n v="-60.54469839311514"/>
    <x:n v="-0.010830288572837686"/>
  </x:r>
  <x:r>
    <x:s v="INV-01435"/>
    <x:x v="5"/>
    <x:s v="SUP09"/>
    <x:x v="0"/>
    <x:s v="Components"/>
    <x:d v="2026-06-24T00:00:00Z"/>
    <x:n v="46227"/>
    <x:x v="2"/>
    <x:n v="20223.59"/>
    <x:s v="Historical"/>
    <x:s v="SUP09-INV-01435"/>
    <x:n v="30"/>
    <x:s v="Thames Electronics Ltd"/>
    <x:n v="1.134"/>
    <x:n v="1.3160796146927405"/>
    <x:n v="0.006184892282519771"/>
    <x:n v="1.3160796146927405"/>
    <x:x v="1435"/>
    <x:x v="0"/>
    <x:n v="1.271"/>
    <x:n v="25704.18289"/>
    <x:n v="911.6716449039595"/>
    <x:n v="0.035467832173674656"/>
  </x:r>
  <x:r>
    <x:s v="INV-01436"/>
    <x:x v="4"/>
    <x:s v="SUP08"/>
    <x:x v="0"/>
    <x:s v="Components"/>
    <x:d v="2025-08-10T00:00:00Z"/>
    <x:n v="45909"/>
    <x:x v="0"/>
    <x:n v="22576.26"/>
    <x:s v="Historical"/>
    <x:s v="SUP08-INV-01436"/>
    <x:n v="30"/>
    <x:s v="Valencia Circuit Supply"/>
    <x:n v="1.1583"/>
    <x:n v="1.3122238586156112"/>
    <x:n v="0.00640475532209013"/>
    <x:n v="1.1583"/>
    <x:x v="1436"/>
    <x:x v="1"/>
    <x:n v="1.088"/>
    <x:n v="24562.97088"/>
    <x:n v="1587.111077999998"/>
    <x:n v="0.06461397058823522"/>
  </x:r>
  <x:r>
    <x:s v="INV-01437"/>
    <x:x v="4"/>
    <x:s v="SUP08"/>
    <x:x v="0"/>
    <x:s v="Components"/>
    <x:d v="2026-09-14T00:00:00Z"/>
    <x:n v="46309"/>
    <x:x v="0"/>
    <x:n v="11558.98"/>
    <x:s v="Historical"/>
    <x:s v="SUP08-INV-01437"/>
    <x:n v="30"/>
    <x:s v="Valencia Circuit Supply"/>
    <x:n v="1.1551"/>
    <x:n v="1.3494474169957242"/>
    <x:n v="0.006470423481962805"/>
    <x:n v="1.1551"/>
    <x:x v="1437"/>
    <x:x v="4"/>
    <x:n v="1.101"/>
    <x:n v="12726.436979999999"/>
    <x:n v="625.3408180000006"/>
    <x:n v="0.049137148047229844"/>
  </x:r>
  <x:r>
    <x:s v="INV-01438"/>
    <x:x v="5"/>
    <x:s v="SUP09"/>
    <x:x v="0"/>
    <x:s v="Components"/>
    <x:d v="2025-02-18T00:00:00Z"/>
    <x:n v="45736"/>
    <x:x v="2"/>
    <x:n v="10528.35"/>
    <x:s v="Historical"/>
    <x:s v="SUP09-INV-01438"/>
    <x:n v="30"/>
    <x:s v="Thames Electronics Ltd"/>
    <x:n v="1.0447"/>
    <x:n v="1.2582956940680516"/>
    <x:n v="0.006589088615578681"/>
    <x:n v="1.2582956940680516"/>
    <x:x v="1438"/>
    <x:x v="3"/>
    <x:n v="1.238"/>
    <x:n v="13034.0973"/>
    <x:n v="213.68017064137166"/>
    <x:n v="0.0163939370501225"/>
  </x:r>
  <x:r>
    <x:s v="INV-01439"/>
    <x:x v="8"/>
    <x:s v="SUP13"/>
    <x:x v="0"/>
    <x:s v="Components"/>
    <x:d v="2026-09-26T00:00:00Z"/>
    <x:n v="46336"/>
    <x:x v="1"/>
    <x:n v="932901.61"/>
    <x:s v="Historical"/>
    <x:s v="SUP13-INV-01439"/>
    <x:n v="45"/>
    <x:s v="Osaka Microdevices"/>
    <x:n v="1.1403"/>
    <x:n v="1.3252367947004475"/>
    <x:n v="0.006345575959933223"/>
    <x:n v="0.006345575959933223"/>
    <x:x v="1439"/>
    <x:x v="4"/>
    <x:n v="0.00674"/>
    <x:n v="6287.7568514"/>
    <x:n v="-367.95882200100095"/>
    <x:n v="-0.05851988725026368"/>
  </x:r>
  <x:r>
    <x:s v="INV-01440"/>
    <x:x v="15"/>
    <x:s v="SUP18"/>
    <x:x v="1"/>
    <x:s v="Services"/>
    <x:d v="2025-05-04T00:00:00Z"/>
    <x:n v="45811"/>
    <x:x v="1"/>
    <x:n v="2334281.26"/>
    <x:s v="Historical"/>
    <x:s v="SUP18-INV-01440"/>
    <x:n v="30"/>
    <x:s v="Yokohama Engineering Labs"/>
    <x:n v="1.1767"/>
    <x:n v="1.3642898550724638"/>
    <x:n v="0.006925023540489643"/>
    <x:n v="0.006925023540489643"/>
    <x:x v="1440"/>
    <x:x v="5"/>
    <x:n v="0.0067"/>
    <x:n v="15639.684442"/>
    <x:n v="525.2682336238249"/>
    <x:n v="0.03358560305815567"/>
  </x:r>
  <x:r>
    <x:s v="INV-01441"/>
    <x:x v="0"/>
    <x:s v="SUP01"/>
    <x:x v="0"/>
    <x:s v="Components"/>
    <x:d v="2026-05-23T00:00:00Z"/>
    <x:n v="46195"/>
    <x:x v="0"/>
    <x:n v="27996.77"/>
    <x:s v="Historical"/>
    <x:s v="SUP01-INV-01441"/>
    <x:n v="30"/>
    <x:s v="Rhein Circuit Components"/>
    <x:n v="1.1595"/>
    <x:n v="1.3417343608970353"/>
    <x:n v="0.006283531133149081"/>
    <x:n v="1.1595"/>
    <x:x v="1441"/>
    <x:x v="0"/>
    <x:n v="1.083"/>
    <x:n v="30320.50191"/>
    <x:n v="2141.752905000001"/>
    <x:n v="0.07063711911357345"/>
  </x:r>
  <x:r>
    <x:s v="INV-01442"/>
    <x:x v="6"/>
    <x:s v="SUP16"/>
    <x:x v="0"/>
    <x:s v="Components"/>
    <x:d v="2026-03-05T00:00:00Z"/>
    <x:n v="46116"/>
    <x:x v="1"/>
    <x:n v="3516031.77"/>
    <x:s v="Historical"/>
    <x:s v="SUP16-INV-01442"/>
    <x:n v="30"/>
    <x:s v="Kyoto Optical Instruments"/>
    <x:n v="1.1618"/>
    <x:n v="1.3361702127659574"/>
    <x:n v="0.006347593290717368"/>
    <x:n v="0.006347593290717368"/>
    <x:x v="1442"/>
    <x:x v="6"/>
    <x:n v="0.00646"/>
    <x:n v="22713.5652342"/>
    <x:n v="-395.22556099888607"/>
    <x:n v="-0.017400419393596198"/>
  </x:r>
  <x:r>
    <x:s v="INV-01443"/>
    <x:x v="10"/>
    <x:s v="SUP02"/>
    <x:x v="0"/>
    <x:s v="Equipment"/>
    <x:d v="2026-05-20T00:00:00Z"/>
    <x:n v="46207"/>
    <x:x v="0"/>
    <x:n v="98218.66"/>
    <x:s v="Historical"/>
    <x:s v="SUP02-INV-01443"/>
    <x:n v="45"/>
    <x:s v="Alpen Precision Systems"/>
    <x:n v="1.16"/>
    <x:n v="1.340188319565594"/>
    <x:n v="0.006287944492627927"/>
    <x:n v="1.16"/>
    <x:x v="1443"/>
    <x:x v="0"/>
    <x:n v="1.083"/>
    <x:n v="106370.80878"/>
    <x:n v="7562.836819999997"/>
    <x:n v="0.07109879963065555"/>
  </x:r>
  <x:r>
    <x:s v="INV-01444"/>
    <x:x v="0"/>
    <x:s v="SUP01"/>
    <x:x v="0"/>
    <x:s v="Components"/>
    <x:d v="2025-01-09T00:00:00Z"/>
    <x:n v="45696"/>
    <x:x v="0"/>
    <x:n v="36251.05"/>
    <x:s v="Historical"/>
    <x:s v="SUP01-INV-01444"/>
    <x:n v="30"/>
    <x:s v="Rhein Circuit Components"/>
    <x:n v="1.0305"/>
    <x:n v="1.2295962199312713"/>
    <x:n v="0.006339197834645669"/>
    <x:n v="1.0305"/>
    <x:x v="1444"/>
    <x:x v="3"/>
    <x:n v="1.052"/>
    <x:n v="38136.104600000006"/>
    <x:n v="-779.3975750000027"/>
    <x:n v="-0.020437262357414516"/>
  </x:r>
  <x:r>
    <x:s v="INV-01445"/>
    <x:x v="0"/>
    <x:s v="SUP01"/>
    <x:x v="0"/>
    <x:s v="Components"/>
    <x:d v="2025-06-04T00:00:00Z"/>
    <x:n v="45842"/>
    <x:x v="0"/>
    <x:n v="23485.49"/>
    <x:s v="Historical"/>
    <x:s v="SUP01-INV-01445"/>
    <x:n v="30"/>
    <x:s v="Rhein Circuit Components"/>
    <x:n v="1.1384"/>
    <x:n v="1.3518584491153072"/>
    <x:n v="0.00693512031678343"/>
    <x:n v="1.1384"/>
    <x:x v="1445"/>
    <x:x v="5"/>
    <x:n v="1.07"/>
    <x:n v="25129.4743"/>
    <x:n v="1606.407516000003"/>
    <x:n v="0.06392523364485993"/>
  </x:r>
  <x:r>
    <x:s v="INV-01446"/>
    <x:x v="3"/>
    <x:s v="SUP04"/>
    <x:x v="1"/>
    <x:s v="Packaging"/>
    <x:d v="2026-10-21T00:00:00Z"/>
    <x:n v="46346"/>
    <x:x v="0"/>
    <x:n v="8367.86"/>
    <x:s v="Planned"/>
    <x:s v="SUP04-INV-01446"/>
    <x:n v="30"/>
    <x:s v="Nordlicht Packaging"/>
    <x:n v="1.1177"/>
    <x:n v="1.320456022210408"/>
    <x:n v="0.00632004523607577"/>
    <x:n v="1.1177"/>
    <x:x v="1446"/>
    <x:x v="2"/>
    <x:n v="1.119"/>
    <x:n v="9363.63534"/>
    <x:n v="-10.878218000001652"/>
    <x:n v="-0.0011617515638965123"/>
  </x:r>
  <x:r>
    <x:s v="INV-01447"/>
    <x:x v="2"/>
    <x:s v="SUP10"/>
    <x:x v="1"/>
    <x:s v="Services"/>
    <x:d v="2025-11-08T00:00:00Z"/>
    <x:n v="46014"/>
    <x:x v="2"/>
    <x:n v="1336.25"/>
    <x:s v="Historical"/>
    <x:s v="SUP10-INV-01447"/>
    <x:n v="45"/>
    <x:s v="Bristol Calibration Services"/>
    <x:n v="1.1555"/>
    <x:n v="1.3367963164349013"/>
    <x:n v="0.006298375667720483"/>
    <x:n v="1.3367963164349013"/>
    <x:x v="1447"/>
    <x:x v="7"/>
    <x:n v="1.304"/>
    <x:n v="1742.47"/>
    <x:n v="43.824077836136894"/>
    <x:n v="0.025150549413267886"/>
  </x:r>
  <x:r>
    <x:s v="INV-01448"/>
    <x:x v="8"/>
    <x:s v="SUP13"/>
    <x:x v="0"/>
    <x:s v="Components"/>
    <x:d v="2026-05-15T00:00:00Z"/>
    <x:n v="46202"/>
    <x:x v="1"/>
    <x:n v="2341652.57"/>
    <x:s v="Historical"/>
    <x:s v="SUP13-INV-01448"/>
    <x:n v="45"/>
    <x:s v="Osaka Microdevices"/>
    <x:n v="1.1628"/>
    <x:n v="1.3357840321654222"/>
    <x:n v="0.00630722499457583"/>
    <x:n v="0.00630722499457583"/>
    <x:x v="1448"/>
    <x:x v="0"/>
    <x:n v="0.0066"/>
    <x:n v="15454.906962"/>
    <x:n v="-685.577343883273"/>
    <x:n v="-0.04435984930669252"/>
  </x:r>
  <x:r>
    <x:s v="INV-01449"/>
    <x:x v="12"/>
    <x:s v="SUP17"/>
    <x:x v="1"/>
    <x:s v="Packaging"/>
    <x:d v="2026-05-05T00:00:00Z"/>
    <x:n v="46192"/>
    <x:x v="1"/>
    <x:n v="1391603.77"/>
    <x:s v="Historical"/>
    <x:s v="SUP17-INV-01449"/>
    <x:n v="45"/>
    <x:s v="Kobe Industrial Packaging"/>
    <x:n v="1.1686"/>
    <x:n v="1.353439190206502"/>
    <x:n v="0.006336622925929943"/>
    <x:n v="0.006336622925929943"/>
    <x:x v="1449"/>
    <x:x v="0"/>
    <x:n v="0.0066"/>
    <x:n v="9184.584882"/>
    <x:n v="-366.5165292074598"/>
    <x:n v="-0.039905617283341896"/>
  </x:r>
  <x:r>
    <x:s v="INV-01450"/>
    <x:x v="15"/>
    <x:s v="SUP18"/>
    <x:x v="1"/>
    <x:s v="Services"/>
    <x:d v="2026-01-27T00:00:00Z"/>
    <x:n v="46079"/>
    <x:x v="1"/>
    <x:n v="1943162.02"/>
    <x:s v="Historical"/>
    <x:s v="SUP18-INV-01450"/>
    <x:n v="30"/>
    <x:s v="Yokohama Engineering Labs"/>
    <x:n v="1.1929"/>
    <x:n v="1.3738339283657723"/>
    <x:n v="0.0065214301333916475"/>
    <x:n v="0.0065214301333916475"/>
    <x:x v="1450"/>
    <x:x v="6"/>
    <x:n v="0.00646"/>
    <x:n v="12552.826649199998"/>
    <x:n v="119.36870209018525"/>
    <x:n v="0.009509308574558601"/>
  </x:r>
  <x:r>
    <x:s v="INV-01451"/>
    <x:x v="0"/>
    <x:s v="SUP01"/>
    <x:x v="0"/>
    <x:s v="Components"/>
    <x:d v="2025-08-29T00:00:00Z"/>
    <x:n v="45928"/>
    <x:x v="0"/>
    <x:n v="26968.24"/>
    <x:s v="Historical"/>
    <x:s v="SUP01-INV-01451"/>
    <x:n v="30"/>
    <x:s v="Rhein Circuit Components"/>
    <x:n v="1.1658"/>
    <x:n v="1.3449469312413473"/>
    <x:n v="0.006788958770090846"/>
    <x:n v="1.1658"/>
    <x:x v="1451"/>
    <x:x v="1"/>
    <x:n v="1.088"/>
    <x:n v="29341.445120000004"/>
    <x:n v="2098.129071999996"/>
    <x:n v="0.07150735294117633"/>
  </x:r>
  <x:r>
    <x:s v="INV-01452"/>
    <x:x v="8"/>
    <x:s v="SUP13"/>
    <x:x v="0"/>
    <x:s v="Components"/>
    <x:d v="2025-09-17T00:00:00Z"/>
    <x:n v="45962"/>
    <x:x v="1"/>
    <x:n v="1811307.14"/>
    <x:s v="Historical"/>
    <x:s v="SUP13-INV-01452"/>
    <x:n v="45"/>
    <x:s v="Osaka Microdevices"/>
    <x:n v="1.1837"/>
    <x:n v="1.3644956772334293"/>
    <x:n v="0.006831140350877193"/>
    <x:n v="0.006831140350877193"/>
    <x:x v="1452"/>
    <x:x v="1"/>
    <x:n v="0.00684"/>
    <x:n v="12389.340837599999"/>
    <x:n v="-16.04754571403464"/>
    <x:n v="-0.0012952703395916333"/>
  </x:r>
  <x:r>
    <x:s v="INV-01454"/>
    <x:x v="8"/>
    <x:s v="SUP13"/>
    <x:x v="0"/>
    <x:s v="Components"/>
    <x:d v="2025-08-05T00:00:00Z"/>
    <x:n v="45919"/>
    <x:x v="1"/>
    <x:n v="1212831.06"/>
    <x:s v="Historical"/>
    <x:s v="SUP13-INV-01454"/>
    <x:n v="45"/>
    <x:s v="Osaka Microdevices"/>
    <x:n v="1.1546"/>
    <x:n v="1.3281950995053493"/>
    <x:n v="0.006775026405351486"/>
    <x:n v="0.006775026405351486"/>
    <x:x v="1453"/>
    <x:x v="1"/>
    <x:n v="0.00684"/>
    <x:n v="8295.7644504"/>
    <x:n v="-78.80199366956731"/>
    <x:n v="-0.009499063545104356"/>
  </x:r>
  <x:r>
    <x:s v="INV-01455"/>
    <x:x v="7"/>
    <x:s v="SUP03"/>
    <x:x v="0"/>
    <x:s v="Components"/>
    <x:d v="2025-01-30T00:00:00Z"/>
    <x:n v="45717"/>
    <x:x v="0"/>
    <x:n v="21203.64"/>
    <x:s v="Historical"/>
    <x:s v="SUP03-INV-01455"/>
    <x:n v="30"/>
    <x:s v="Benelux Sensor Works"/>
    <x:n v="1.0403"/>
    <x:n v="1.2431140586724025"/>
    <x:n v="0.006488897205588822"/>
    <x:n v="1.0403"/>
    <x:x v="1454"/>
    <x:x v="3"/>
    <x:n v="1.052"/>
    <x:n v="22306.22928"/>
    <x:n v="-248.08258800000112"/>
    <x:n v="-0.011121673003802332"/>
  </x:r>
  <x:r>
    <x:s v="INV-01456"/>
    <x:x v="7"/>
    <x:s v="SUP03"/>
    <x:x v="0"/>
    <x:s v="Components"/>
    <x:d v="2025-11-19T00:00:00Z"/>
    <x:n v="46010"/>
    <x:x v="0"/>
    <x:n v="4336.09"/>
    <x:s v="Historical"/>
    <x:s v="SUP03-INV-01456"/>
    <x:n v="30"/>
    <x:s v="Benelux Sensor Works"/>
    <x:n v="1.1583"/>
    <x:n v="1.3122238586156112"/>
    <x:n v="0.00640475532209013"/>
    <x:n v="1.1583"/>
    <x:x v="1455"/>
    <x:x v="7"/>
    <x:n v="1.106"/>
    <x:n v="4795.71554"/>
    <x:n v="226.7775070000007"/>
    <x:n v="0.04728752260397844"/>
  </x:r>
  <x:r>
    <x:s v="INV-01457"/>
    <x:x v="4"/>
    <x:s v="SUP08"/>
    <x:x v="0"/>
    <x:s v="Components"/>
    <x:d v="2026-08-24T00:00:00Z"/>
    <x:n v="46288"/>
    <x:x v="0"/>
    <x:n v="8035.89"/>
    <x:s v="Historical"/>
    <x:s v="SUP08-INV-01457"/>
    <x:n v="30"/>
    <x:s v="Valencia Circuit Supply"/>
    <x:n v="1.1664"/>
    <x:n v="1.3634132086499124"/>
    <x:n v="0.006284482758620691"/>
    <x:n v="1.1664"/>
    <x:x v="1456"/>
    <x:x v="4"/>
    <x:n v="1.101"/>
    <x:n v="8847.51489"/>
    <x:n v="525.5472060000011"/>
    <x:n v="0.059400544959128186"/>
  </x:r>
  <x:r>
    <x:s v="INV-01458"/>
    <x:x v="11"/>
    <x:s v="SUP14"/>
    <x:x v="0"/>
    <x:s v="Equipment"/>
    <x:d v="2026-06-21T00:00:00Z"/>
    <x:n v="46254"/>
    <x:x v="1"/>
    <x:n v="11667556.42"/>
    <x:s v="Historical"/>
    <x:s v="SUP14-INV-01458"/>
    <x:n v="60"/>
    <x:s v="Tokyo Automation Systems"/>
    <x:n v="1.1467"/>
    <x:n v="1.3233240626406473"/>
    <x:n v="0.006202401557767201"/>
    <x:n v="0.006202401557767201"/>
    <x:x v="1457"/>
    <x:x v="0"/>
    <x:n v="0.0066"/>
    <x:n v="77005.872372"/>
    <x:n v="-4639.002257255284"/>
    <x:n v="-0.060242188217090646"/>
  </x:r>
  <x:r>
    <x:s v="INV-01459"/>
    <x:x v="4"/>
    <x:s v="SUP08"/>
    <x:x v="0"/>
    <x:s v="Components"/>
    <x:d v="2026-12-27T00:00:00Z"/>
    <x:n v="46413"/>
    <x:x v="0"/>
    <x:n v="30870.05"/>
    <x:s v="Planned"/>
    <x:s v="SUP08-INV-01459"/>
    <x:n v="30"/>
    <x:s v="Valencia Circuit Supply"/>
    <x:n v="1.1177"/>
    <x:n v="1.320456022210408"/>
    <x:n v="0.00632004523607577"/>
    <x:n v="1.1177"/>
    <x:x v="1458"/>
    <x:x v="2"/>
    <x:n v="1.119"/>
    <x:n v="34543.58595"/>
    <x:n v="-40.1310650000014"/>
    <x:n v="-0.0011617515638963766"/>
  </x:r>
  <x:r>
    <x:s v="INV-01460"/>
    <x:x v="2"/>
    <x:s v="SUP10"/>
    <x:x v="1"/>
    <x:s v="Services"/>
    <x:d v="2026-01-09T00:00:00Z"/>
    <x:n v="46076"/>
    <x:x v="2"/>
    <x:n v="1407.85"/>
    <x:s v="Historical"/>
    <x:s v="SUP10-INV-01460"/>
    <x:n v="45"/>
    <x:s v="Bristol Calibration Services"/>
    <x:n v="1.1642"/>
    <x:n v="1.341707963581883"/>
    <x:n v="0.006343722755013077"/>
    <x:n v="1.341707963581883"/>
    <x:x v="1459"/>
    <x:x v="6"/>
    <x:n v="1.249"/>
    <x:n v="1758.40465"/>
    <x:n v="130.51890652875386"/>
    <x:n v="0.07422575146667967"/>
  </x:r>
  <x:r>
    <x:s v="INV-01461"/>
    <x:x v="10"/>
    <x:s v="SUP02"/>
    <x:x v="0"/>
    <x:s v="Equipment"/>
    <x:d v="2025-07-25T00:00:00Z"/>
    <x:n v="45908"/>
    <x:x v="0"/>
    <x:n v="50198.6"/>
    <x:s v="Historical"/>
    <x:s v="SUP02-INV-01461"/>
    <x:n v="45"/>
    <x:s v="Alpen Precision Systems"/>
    <x:n v="1.1724"/>
    <x:n v="1.3452667814113597"/>
    <x:n v="0.006772572352839235"/>
    <x:n v="1.1724"/>
    <x:x v="1460"/>
    <x:x v="1"/>
    <x:n v="1.088"/>
    <x:n v="54616.0768"/>
    <x:n v="4236.761839999999"/>
    <x:n v="0.0775735294117647"/>
  </x:r>
  <x:r>
    <x:s v="INV-01462"/>
    <x:x v="5"/>
    <x:s v="SUP09"/>
    <x:x v="0"/>
    <x:s v="Components"/>
    <x:d v="2026-09-22T00:00:00Z"/>
    <x:n v="46317"/>
    <x:x v="2"/>
    <x:n v="6221.24"/>
    <x:s v="Historical"/>
    <x:s v="SUP09-INV-01462"/>
    <x:n v="30"/>
    <x:s v="Thames Electronics Ltd"/>
    <x:n v="1.1463"/>
    <x:n v="1.3363254837957568"/>
    <x:n v="0.006362324471332631"/>
    <x:n v="1.3363254837957568"/>
    <x:x v="1461"/>
    <x:x v="4"/>
    <x:n v="1.293"/>
    <x:n v="8044.063319999999"/>
    <x:n v="269.53823280951474"/>
    <x:n v="0.033507721419765595"/>
  </x:r>
  <x:r>
    <x:s v="INV-01463"/>
    <x:x v="9"/>
    <x:s v="SUP05"/>
    <x:x v="0"/>
    <x:s v="Components"/>
    <x:d v="2025-11-28T00:00:00Z"/>
    <x:n v="46034"/>
    <x:x v="0"/>
    <x:n v="8924.34"/>
    <x:s v="Historical"/>
    <x:s v="SUP05-INV-01463"/>
    <x:n v="45"/>
    <x:s v="Lyon Industrial Controls"/>
    <x:n v="1.1566"/>
    <x:n v="1.3215265082266912"/>
    <x:n v="0.006405272193609127"/>
    <x:n v="1.1566"/>
    <x:x v="1462"/>
    <x:x v="7"/>
    <x:n v="1.106"/>
    <x:n v="9870.32004"/>
    <x:n v="451.57160400000066"/>
    <x:n v="0.045750452079566066"/>
  </x:r>
  <x:r>
    <x:s v="INV-01464"/>
    <x:x v="12"/>
    <x:s v="SUP17"/>
    <x:x v="1"/>
    <x:s v="Packaging"/>
    <x:d v="2025-03-29T00:00:00Z"/>
    <x:n v="45790"/>
    <x:x v="1"/>
    <x:n v="269414.49"/>
    <x:s v="Historical"/>
    <x:s v="SUP17-INV-01464"/>
    <x:n v="45"/>
    <x:s v="Kobe Industrial Packaging"/>
    <x:n v="1.1185"/>
    <x:n v="1.3277540360873694"/>
    <x:n v="0.0068493570116350275"/>
    <x:n v="0.0068493570116350275"/>
    <x:x v="1463"/>
    <x:x v="3"/>
    <x:n v="0.00656"/>
    <x:n v="1767.3590543999999"/>
    <x:n v="77.95697171757502"/>
    <x:n v="0.04410930055412006"/>
  </x:r>
  <x:r>
    <x:s v="INV-01465"/>
    <x:x v="7"/>
    <x:s v="SUP03"/>
    <x:x v="0"/>
    <x:s v="Components"/>
    <x:d v="2026-07-10T00:00:00Z"/>
    <x:n v="46243"/>
    <x:x v="0"/>
    <x:n v="16570.33"/>
    <x:s v="Historical"/>
    <x:s v="SUP03-INV-01465"/>
    <x:n v="30"/>
    <x:s v="Benelux Sensor Works"/>
    <x:n v="1.143"/>
    <x:n v="1.3422582349832657"/>
    <x:n v="0.006177710517781861"/>
    <x:n v="1.143"/>
    <x:x v="1464"/>
    <x:x v="4"/>
    <x:n v="1.101"/>
    <x:n v="18243.93333"/>
    <x:n v="695.9538600000014"/>
    <x:n v="0.038147138964577734"/>
  </x:r>
  <x:r>
    <x:s v="INV-01466"/>
    <x:x v="7"/>
    <x:s v="SUP03"/>
    <x:x v="0"/>
    <x:s v="Components"/>
    <x:d v="2026-07-09T00:00:00Z"/>
    <x:n v="46242"/>
    <x:x v="0"/>
    <x:n v="29757.12"/>
    <x:s v="Historical"/>
    <x:s v="SUP03-INV-01466"/>
    <x:n v="30"/>
    <x:s v="Benelux Sensor Works"/>
    <x:n v="1.1435"/>
    <x:n v="1.3395733514520343"/>
    <x:n v="0.006157118242515615"/>
    <x:n v="1.1435"/>
    <x:x v="1465"/>
    <x:x v="4"/>
    <x:n v="1.101"/>
    <x:n v="32762.589119999997"/>
    <x:n v="1264.6776000000027"/>
    <x:n v="0.038601271571298904"/>
  </x:r>
  <x:r>
    <x:s v="INV-01467"/>
    <x:x v="8"/>
    <x:s v="SUP13"/>
    <x:x v="0"/>
    <x:s v="Components"/>
    <x:d v="2025-08-07T00:00:00Z"/>
    <x:n v="45921"/>
    <x:x v="1"/>
    <x:n v="3517180.07"/>
    <x:s v="Historical"/>
    <x:s v="SUP13-INV-01467"/>
    <x:n v="45"/>
    <x:s v="Osaka Microdevices"/>
    <x:n v="1.1643"/>
    <x:n v="1.3424420615703907"/>
    <x:n v="0.006784965034965035"/>
    <x:n v="0.006784965034965035"/>
    <x:x v="1466"/>
    <x:x v="1"/>
    <x:n v="0.00684"/>
    <x:n v="24057.511678799998"/>
    <x:n v="-193.56788217412395"/>
    <x:n v="-0.00804604751973165"/>
  </x:r>
  <x:r>
    <x:s v="INV-01468"/>
    <x:x v="13"/>
    <x:s v="SUP11"/>
    <x:x v="2"/>
    <x:s v="Software"/>
    <x:d v="2026-10-09T00:00:00Z"/>
    <x:n v="46334"/>
    <x:x v="2"/>
    <x:n v="11411.72"/>
    <x:s v="Planned"/>
    <x:s v="SUP11-INV-01468"/>
    <x:n v="30"/>
    <x:s v="Manchester Cloud Solutions"/>
    <x:n v="1.1177"/>
    <x:n v="1.320456022210408"/>
    <x:n v="0.00632004523607577"/>
    <x:n v="1.320456022210408"/>
    <x:x v="1467"/>
    <x:x v="2"/>
    <x:n v="1.315"/>
    <x:n v="15006.411799999998"/>
    <x:n v="62.26259777895939"/>
    <x:n v="0.0041490663197020486"/>
  </x:r>
  <x:r>
    <x:s v="INV-01469"/>
    <x:x v="6"/>
    <x:s v="SUP16"/>
    <x:x v="0"/>
    <x:s v="Components"/>
    <x:d v="2025-09-24T00:00:00Z"/>
    <x:n v="45954"/>
    <x:x v="1"/>
    <x:n v="995461.14"/>
    <x:s v="Historical"/>
    <x:s v="SUP16-INV-01469"/>
    <x:n v="30"/>
    <x:s v="Kyoto Optical Instruments"/>
    <x:n v="1.1756"/>
    <x:n v="1.3464666132172718"/>
    <x:n v="0.006736576700475618"/>
    <x:n v="0.006736576700475618"/>
    <x:x v="1468"/>
    <x:x v="1"/>
    <x:n v="0.00684"/>
    <x:n v="6808.9541976"/>
    <x:n v="-102.9538756471029"/>
    <x:n v="-0.015120365427541249"/>
  </x:r>
  <x:r>
    <x:s v="INV-01470"/>
    <x:x v="3"/>
    <x:s v="SUP04"/>
    <x:x v="1"/>
    <x:s v="Packaging"/>
    <x:d v="2026-07-12T00:00:00Z"/>
    <x:n v="46245"/>
    <x:x v="0"/>
    <x:n v="4515.47"/>
    <x:s v="Historical"/>
    <x:s v="SUP04-INV-01470"/>
    <x:n v="30"/>
    <x:s v="Nordlicht Packaging"/>
    <x:n v="1.143"/>
    <x:n v="1.3422582349832657"/>
    <x:n v="0.006177710517781861"/>
    <x:n v="1.143"/>
    <x:x v="1469"/>
    <x:x v="4"/>
    <x:n v="1.101"/>
    <x:n v="4971.53247"/>
    <x:n v="189.64973999999984"/>
    <x:n v="0.03814713896457762"/>
  </x:r>
  <x:r>
    <x:s v="INV-01471"/>
    <x:x v="1"/>
    <x:s v="SUP15"/>
    <x:x v="1"/>
    <x:s v="Freight"/>
    <x:d v="2025-12-23T00:00:00Z"/>
    <x:n v="46044"/>
    <x:x v="1"/>
    <x:n v="1409433.31"/>
    <x:s v="Historical"/>
    <x:s v="SUP15-INV-01471"/>
    <x:n v="30"/>
    <x:s v="Nagoya Logistics Partners"/>
    <x:n v="1.1786"/>
    <x:n v="1.3502119372207584"/>
    <x:n v="0.00640926640926641"/>
    <x:n v="0.00640926640926641"/>
    <x:x v="1470"/>
    <x:x v="7"/>
    <x:n v="0.00698"/>
    <x:n v="9837.8445038"/>
    <x:n v="-804.4109339158294"/>
    <x:n v="-0.08176699007644558"/>
  </x:r>
  <x:r>
    <x:s v="INV-01472"/>
    <x:x v="8"/>
    <x:s v="SUP13"/>
    <x:x v="0"/>
    <x:s v="Components"/>
    <x:d v="2026-03-30T00:00:00Z"/>
    <x:n v="46156"/>
    <x:x v="1"/>
    <x:n v="2562853.76"/>
    <x:s v="Historical"/>
    <x:s v="SUP13-INV-01472"/>
    <x:n v="45"/>
    <x:s v="Osaka Microdevices"/>
    <x:n v="1.1484"/>
    <x:n v="1.3229957489948505"/>
    <x:n v="0.00627129750982962"/>
    <x:n v="0.00627129750982962"/>
    <x:x v="1471"/>
    <x:x v="6"/>
    <x:n v="0.00646"/>
    <x:n v="16556.035289599997"/>
    <x:n v="-483.6168864545198"/>
    <x:n v="-0.0292109117910804"/>
  </x:r>
  <x:r>
    <x:s v="INV-01473"/>
    <x:x v="10"/>
    <x:s v="SUP02"/>
    <x:x v="0"/>
    <x:s v="Equipment"/>
    <x:d v="2025-07-19T00:00:00Z"/>
    <x:n v="45902"/>
    <x:x v="0"/>
    <x:n v="49818.57"/>
    <x:s v="Historical"/>
    <x:s v="SUP02-INV-01473"/>
    <x:n v="45"/>
    <x:s v="Alpen Precision Systems"/>
    <x:n v="1.1655"/>
    <x:n v="1.3410424577148774"/>
    <x:n v="0.006633088611917364"/>
    <x:n v="1.1655"/>
    <x:x v="1472"/>
    <x:x v="1"/>
    <x:n v="1.088"/>
    <x:n v="54202.60416"/>
    <x:n v="3860.9391749999995"/>
    <x:n v="0.0712316176470588"/>
  </x:r>
  <x:r>
    <x:s v="INV-01474"/>
    <x:x v="15"/>
    <x:s v="SUP18"/>
    <x:x v="1"/>
    <x:s v="Services"/>
    <x:d v="2026-10-17T00:00:00Z"/>
    <x:n v="46342"/>
    <x:x v="1"/>
    <x:n v="443336.67"/>
    <x:s v="Planned"/>
    <x:s v="SUP18-INV-01474"/>
    <x:n v="30"/>
    <x:s v="Yokohama Engineering Labs"/>
    <x:n v="1.1177"/>
    <x:n v="1.320456022210408"/>
    <x:n v="0.00632004523607577"/>
    <x:n v="0.00632004523607577"/>
    <x:x v="1473"/>
    <x:x v="2"/>
    <x:n v="0.00688"/>
    <x:n v="3050.1562896"/>
    <x:n v="-248.24848038880464"/>
    <x:n v="-0.08138877382619635"/>
  </x:r>
  <x:r>
    <x:s v="INV-01475"/>
    <x:x v="1"/>
    <x:s v="SUP15"/>
    <x:x v="1"/>
    <x:s v="Freight"/>
    <x:d v="2025-06-08T00:00:00Z"/>
    <x:n v="45846"/>
    <x:x v="1"/>
    <x:n v="884547.13"/>
    <x:s v="Historical"/>
    <x:s v="SUP15-INV-01475"/>
    <x:n v="30"/>
    <x:s v="Nagoya Logistics Partners"/>
    <x:n v="1.1608"/>
    <x:n v="1.3415000577834277"/>
    <x:n v="0.006725376593279259"/>
    <x:n v="0.006725376593279259"/>
    <x:x v="1474"/>
    <x:x v="5"/>
    <x:n v="0.0067"/>
    <x:n v="5926.465771"/>
    <x:n v="22.44679275434555"/>
    <x:n v="0.0037875512357102505"/>
  </x:r>
  <x:r>
    <x:s v="INV-01476"/>
    <x:x v="3"/>
    <x:s v="SUP04"/>
    <x:x v="1"/>
    <x:s v="Packaging"/>
    <x:d v="2025-03-14T00:00:00Z"/>
    <x:n v="45760"/>
    <x:x v="0"/>
    <x:n v="4066.62"/>
    <x:s v="Historical"/>
    <x:s v="SUP04-INV-01476"/>
    <x:n v="30"/>
    <x:s v="Nordlicht Packaging"/>
    <x:n v="1.0889"/>
    <x:n v="1.2934915600536925"/>
    <x:n v="0.006726587595749938"/>
    <x:n v="1.0889"/>
    <x:x v="1475"/>
    <x:x v="3"/>
    <x:n v="1.052"/>
    <x:n v="4278.08424"/>
    <x:n v="150.05827799999952"/>
    <x:n v="0.03507604562737631"/>
  </x:r>
  <x:r>
    <x:s v="INV-01477"/>
    <x:x v="16"/>
    <x:s v="SUP12"/>
    <x:x v="0"/>
    <x:s v="Components"/>
    <x:d v="2026-02-23T00:00:00Z"/>
    <x:n v="46136"/>
    <x:x v="2"/>
    <x:n v="20544.9"/>
    <x:s v="Historical"/>
    <x:s v="SUP12-INV-01477"/>
    <x:n v="60"/>
    <x:s v="Oxford Technical Materials"/>
    <x:n v="1.1784"/>
    <x:n v="1.3492099839706893"/>
    <x:n v="0.006459109844332383"/>
    <x:n v="1.3492099839706893"/>
    <x:x v="1476"/>
    <x:x v="6"/>
    <x:n v="1.249"/>
    <x:n v="25660.580100000003"/>
    <x:n v="2058.8040996794116"/>
    <x:n v="0.08023217291488322"/>
  </x:r>
  <x:r>
    <x:s v="INV-01478"/>
    <x:x v="8"/>
    <x:s v="SUP13"/>
    <x:x v="0"/>
    <x:s v="Components"/>
    <x:d v="2026-06-22T00:00:00Z"/>
    <x:n v="46240"/>
    <x:x v="1"/>
    <x:n v="1401192.49"/>
    <x:s v="Historical"/>
    <x:s v="SUP13-INV-01478"/>
    <x:n v="45"/>
    <x:s v="Osaka Microdevices"/>
    <x:n v="1.1456"/>
    <x:n v="1.324883193782671"/>
    <x:n v="0.006181406140398208"/>
    <x:n v="0.006181406140398208"/>
    <x:x v="1477"/>
    <x:x v="0"/>
    <x:n v="0.0066"/>
    <x:n v="9247.870434"/>
    <x:n v="-586.5305724341451"/>
    <x:n v="-0.06342331206087755"/>
  </x:r>
  <x:r>
    <x:s v="INV-01479"/>
    <x:x v="6"/>
    <x:s v="SUP16"/>
    <x:x v="0"/>
    <x:s v="Components"/>
    <x:d v="2025-06-19T00:00:00Z"/>
    <x:n v="45857"/>
    <x:x v="1"/>
    <x:n v="3006666.84"/>
    <x:s v="Historical"/>
    <x:s v="SUP16-INV-01479"/>
    <x:n v="30"/>
    <x:s v="Kyoto Optical Instruments"/>
    <x:n v="1.1478"/>
    <x:n v="1.3438707411310151"/>
    <x:n v="0.006864832535885167"/>
    <x:n v="0.006864832535885167"/>
    <x:x v="1478"/>
    <x:x v="5"/>
    <x:n v="0.0067"/>
    <x:n v="20144.667828"/>
    <x:n v="495.59651979904083"/>
    <x:n v="0.024601871027636824"/>
  </x:r>
  <x:r>
    <x:s v="INV-01480"/>
    <x:x v="0"/>
    <x:s v="SUP01"/>
    <x:x v="0"/>
    <x:s v="Components"/>
    <x:d v="2026-04-02T00:00:00Z"/>
    <x:n v="46144"/>
    <x:x v="0"/>
    <x:n v="10824.2"/>
    <x:s v="Historical"/>
    <x:s v="SUP01-INV-01480"/>
    <x:n v="30"/>
    <x:s v="Rhein Circuit Components"/>
    <x:n v="1.1525"/>
    <x:n v="1.3208714886594157"/>
    <x:n v="0.006265630096770686"/>
    <x:n v="1.1525"/>
    <x:x v="1479"/>
    <x:x v="0"/>
    <x:n v="1.083"/>
    <x:n v="11722.6086"/>
    <x:n v="752.2819000000018"/>
    <x:n v="0.06417359187442305"/>
  </x:r>
  <x:r>
    <x:s v="INV-01481"/>
    <x:x v="15"/>
    <x:s v="SUP18"/>
    <x:x v="1"/>
    <x:s v="Services"/>
    <x:d v="2026-04-05T00:00:00Z"/>
    <x:n v="46147"/>
    <x:x v="1"/>
    <x:n v="1988529.16"/>
    <x:s v="Historical"/>
    <x:s v="SUP18-INV-01481"/>
    <x:n v="30"/>
    <x:s v="Yokohama Engineering Labs"/>
    <x:n v="1.1525"/>
    <x:n v="1.3208714886594157"/>
    <x:n v="0.006265630096770686"/>
    <x:n v="0.006265630096770686"/>
    <x:x v="1480"/>
    <x:x v="0"/>
    <x:n v="0.0066"/>
    <x:n v="13124.292456"/>
    <x:n v="-664.9043027978678"/>
    <x:n v="-0.05066210654989597"/>
  </x:r>
  <x:r>
    <x:s v="INV-01482"/>
    <x:x v="13"/>
    <x:s v="SUP11"/>
    <x:x v="2"/>
    <x:s v="Software"/>
    <x:d v="2025-06-22T00:00:00Z"/>
    <x:n v="45860"/>
    <x:x v="2"/>
    <x:n v="1793.48"/>
    <x:s v="Historical"/>
    <x:s v="SUP11-INV-01482"/>
    <x:n v="30"/>
    <x:s v="Manchester Cloud Solutions"/>
    <x:n v="1.1685"/>
    <x:n v="1.3513357233722678"/>
    <x:n v="0.0067590236001851"/>
    <x:n v="1.3513357233722678"/>
    <x:x v="1481"/>
    <x:x v="5"/>
    <x:n v="1.26"/>
    <x:n v="2259.7848"/>
    <x:n v="163.8087931536952"/>
    <x:n v="0.07248866934306984"/>
  </x:r>
  <x:r>
    <x:s v="INV-01483"/>
    <x:x v="0"/>
    <x:s v="SUP01"/>
    <x:x v="0"/>
    <x:s v="Components"/>
    <x:d v="2025-05-24T00:00:00Z"/>
    <x:n v="45831"/>
    <x:x v="0"/>
    <x:n v="42954.65"/>
    <x:s v="Historical"/>
    <x:s v="SUP01-INV-01483"/>
    <x:n v="30"/>
    <x:s v="Rhein Circuit Components"/>
    <x:n v="1.1404"/>
    <x:n v="1.3160992498557416"/>
    <x:n v="0.006645300390420139"/>
    <x:n v="1.1404"/>
    <x:x v="1482"/>
    <x:x v="5"/>
    <x:n v="1.07"/>
    <x:n v="45961.47550000001"/>
    <x:n v="3024.007359999996"/>
    <x:n v="0.06579439252336439"/>
  </x:r>
  <x:r>
    <x:s v="INV-01484"/>
    <x:x v="6"/>
    <x:s v="SUP16"/>
    <x:x v="0"/>
    <x:s v="Components"/>
    <x:d v="2025-02-15T00:00:00Z"/>
    <x:n v="45733"/>
    <x:x v="1"/>
    <x:n v="1202482.61"/>
    <x:s v="Historical"/>
    <x:s v="SUP16-INV-01484"/>
    <x:n v="30"/>
    <x:s v="Kyoto Optical Instruments"/>
    <x:n v="1.083"/>
    <x:n v="1.2927021413736304"/>
    <x:n v="0.006741782868525897"/>
    <x:n v="0.006741782868525897"/>
    <x:x v="1483"/>
    <x:x v="3"/>
    <x:n v="0.00656"/>
    <x:n v="7888.285921600001"/>
    <x:n v="218.59073819830792"/>
    <x:n v="0.027710803128947768"/>
  </x:r>
  <x:r>
    <x:s v="INV-01485"/>
    <x:x v="4"/>
    <x:s v="SUP08"/>
    <x:x v="0"/>
    <x:s v="Components"/>
    <x:d v="2025-09-03T00:00:00Z"/>
    <x:n v="45933"/>
    <x:x v="0"/>
    <x:n v="2877.21"/>
    <x:s v="Historical"/>
    <x:s v="SUP08-INV-01485"/>
    <x:n v="30"/>
    <x:s v="Valencia Circuit Supply"/>
    <x:n v="1.1653"/>
    <x:n v="1.341429722573961"/>
    <x:n v="0.006729225616446267"/>
    <x:n v="1.1653"/>
    <x:x v="1484"/>
    <x:x v="1"/>
    <x:n v="1.088"/>
    <x:n v="3130.40448"/>
    <x:n v="222.40833299999986"/>
    <x:n v="0.07104779411764701"/>
  </x:r>
  <x:r>
    <x:s v="INV-01486"/>
    <x:x v="6"/>
    <x:s v="SUP16"/>
    <x:x v="0"/>
    <x:s v="Components"/>
    <x:d v="2026-02-07T00:00:00Z"/>
    <x:n v="46090"/>
    <x:x v="1"/>
    <x:n v="3075447.86"/>
    <x:s v="Historical"/>
    <x:s v="SUP16-INV-01486"/>
    <x:n v="30"/>
    <x:s v="Kyoto Optical Instruments"/>
    <x:n v="1.1555"/>
    <x:n v="1.3367963164349013"/>
    <x:n v="0.006298375667720483"/>
    <x:n v="0.006298375667720483"/>
    <x:x v="1485"/>
    <x:x v="6"/>
    <x:n v="0.00646"/>
    <x:n v="19867.3931756"/>
    <x:n v="-497.06720683296953"/>
    <x:n v="-0.025019246482897373"/>
  </x:r>
  <x:r>
    <x:s v="INV-01487"/>
    <x:x v="2"/>
    <x:s v="SUP10"/>
    <x:x v="1"/>
    <x:s v="Services"/>
    <x:d v="2025-08-15T00:00:00Z"/>
    <x:n v="45929"/>
    <x:x v="2"/>
    <x:n v="14300.54"/>
    <x:s v="Historical"/>
    <x:s v="SUP10-INV-01487"/>
    <x:n v="45"/>
    <x:s v="Bristol Calibration Services"/>
    <x:n v="1.1688"/>
    <x:n v="1.3556019485038275"/>
    <x:n v="0.006802863628426751"/>
    <x:n v="1.3556019485038275"/>
    <x:x v="1486"/>
    <x:x v="1"/>
    <x:n v="1.282"/>
    <x:n v="18333.29228"/>
    <x:n v="1052.5476086569251"/>
    <x:n v="0.05741181630563766"/>
  </x:r>
  <x:r>
    <x:s v="INV-01488"/>
    <x:x v="3"/>
    <x:s v="SUP04"/>
    <x:x v="1"/>
    <x:s v="Packaging"/>
    <x:d v="2025-09-08T00:00:00Z"/>
    <x:n v="45938"/>
    <x:x v="0"/>
    <x:n v="11713.8"/>
    <x:s v="Historical"/>
    <x:s v="SUP04-INV-01488"/>
    <x:n v="30"/>
    <x:s v="Nordlicht Packaging"/>
    <x:n v="1.1728"/>
    <x:n v="1.3528665359326335"/>
    <x:n v="0.006763942557240903"/>
    <x:n v="1.1728"/>
    <x:x v="1487"/>
    <x:x v="1"/>
    <x:n v="1.088"/>
    <x:n v="12744.6144"/>
    <x:n v="993.3302399999993"/>
    <x:n v="0.07794117647058818"/>
  </x:r>
  <x:r>
    <x:s v="INV-01489"/>
    <x:x v="1"/>
    <x:s v="SUP15"/>
    <x:x v="1"/>
    <x:s v="Freight"/>
    <x:d v="2026-06-30T00:00:00Z"/>
    <x:n v="46233"/>
    <x:x v="1"/>
    <x:n v="250092.87"/>
    <x:s v="Historical"/>
    <x:s v="SUP15-INV-01489"/>
    <x:n v="30"/>
    <x:s v="Nagoya Logistics Partners"/>
    <x:n v="1.1394"/>
    <x:n v="1.3221471837359884"/>
    <x:n v="0.006156256753836178"/>
    <x:n v="0.006156256753836178"/>
    <x:x v="1488"/>
    <x:x v="0"/>
    <x:n v="0.0066"/>
    <x:n v="1650.612942"/>
    <x:n v="-110.97702197622675"/>
    <x:n v="-0.06723382517633668"/>
  </x:r>
  <x:r>
    <x:s v="INV-01490"/>
    <x:x v="5"/>
    <x:s v="SUP09"/>
    <x:x v="0"/>
    <x:s v="Components"/>
    <x:d v="2026-11-02T00:00:00Z"/>
    <x:n v="46358"/>
    <x:x v="2"/>
    <x:n v="11312.33"/>
    <x:s v="Planned"/>
    <x:s v="SUP09-INV-01490"/>
    <x:n v="30"/>
    <x:s v="Thames Electronics Ltd"/>
    <x:n v="1.1177"/>
    <x:n v="1.320456022210408"/>
    <x:n v="0.00632004523607577"/>
    <x:n v="1.320456022210408"/>
    <x:x v="1489"/>
    <x:x v="2"/>
    <x:n v="1.315"/>
    <x:n v="14875.71395"/>
    <x:n v="61.720323731466124"/>
    <x:n v="0.004149066319701995"/>
  </x:r>
  <x:r>
    <x:s v="INV-01491"/>
    <x:x v="9"/>
    <x:s v="SUP05"/>
    <x:x v="0"/>
    <x:s v="Components"/>
    <x:d v="2026-05-27T00:00:00Z"/>
    <x:n v="46214"/>
    <x:x v="0"/>
    <x:n v="25734.78"/>
    <x:s v="Historical"/>
    <x:s v="SUP05-INV-01491"/>
    <x:n v="45"/>
    <x:s v="Lyon Industrial Controls"/>
    <x:n v="1.1637"/>
    <x:n v="1.3434851878362466"/>
    <x:n v="0.0062726390685640355"/>
    <x:n v="1.1637"/>
    <x:x v="1490"/>
    <x:x v="0"/>
    <x:n v="1.083"/>
    <x:n v="27870.76674"/>
    <x:n v="2076.796746"/>
    <x:n v="0.07451523545706372"/>
  </x:r>
  <x:r>
    <x:s v="INV-01492"/>
    <x:x v="0"/>
    <x:s v="SUP01"/>
    <x:x v="0"/>
    <x:s v="Components"/>
    <x:d v="2026-11-23T00:00:00Z"/>
    <x:n v="46379"/>
    <x:x v="0"/>
    <x:n v="10654.3"/>
    <x:s v="Planned"/>
    <x:s v="SUP01-INV-01492"/>
    <x:n v="30"/>
    <x:s v="Rhein Circuit Components"/>
    <x:n v="1.1177"/>
    <x:n v="1.320456022210408"/>
    <x:n v="0.00632004523607577"/>
    <x:n v="1.1177"/>
    <x:x v="1491"/>
    <x:x v="2"/>
    <x:n v="1.119"/>
    <x:n v="11922.161699999999"/>
    <x:n v="-13.850590000000011"/>
    <x:n v="-0.001161751563896337"/>
  </x:r>
  <x:r>
    <x:s v="INV-01493"/>
    <x:x v="13"/>
    <x:s v="SUP11"/>
    <x:x v="2"/>
    <x:s v="Software"/>
    <x:d v="2026-08-14T00:00:00Z"/>
    <x:n v="46278"/>
    <x:x v="2"/>
    <x:n v="1873.06"/>
    <x:s v="Historical"/>
    <x:s v="SUP11-INV-01493"/>
    <x:n v="30"/>
    <x:s v="Manchester Cloud Solutions"/>
    <x:n v="1.1567"/>
    <x:n v="1.353657109420714"/>
    <x:n v="0.006288805523840591"/>
    <x:n v="1.353657109420714"/>
    <x:x v="1492"/>
    <x:x v="4"/>
    <x:n v="1.293"/>
    <x:n v="2421.86658"/>
    <x:n v="113.6144053715625"/>
    <x:n v="0.04691191757209123"/>
  </x:r>
  <x:r>
    <x:s v="INV-01494"/>
    <x:x v="6"/>
    <x:s v="SUP16"/>
    <x:x v="0"/>
    <x:s v="Components"/>
    <x:d v="2026-08-17T00:00:00Z"/>
    <x:n v="46281"/>
    <x:x v="1"/>
    <x:n v="3270909.62"/>
    <x:s v="Historical"/>
    <x:s v="SUP16-INV-01494"/>
    <x:n v="30"/>
    <x:s v="Kyoto Optical Instruments"/>
    <x:n v="1.1593"/>
    <x:n v="1.355906432748538"/>
    <x:n v="0.0062804052223847445"/>
    <x:n v="0.0062804052223847445"/>
    <x:x v="1493"/>
    <x:x v="4"/>
    <x:n v="0.00674"/>
    <x:n v="22045.930838800003"/>
    <x:n v="-1503.2929794035008"/>
    <x:n v="-0.0681891361446967"/>
  </x:r>
  <x:r>
    <x:s v="INV-01495"/>
    <x:x v="10"/>
    <x:s v="SUP02"/>
    <x:x v="0"/>
    <x:s v="Equipment"/>
    <x:d v="2025-09-23T00:00:00Z"/>
    <x:n v="45968"/>
    <x:x v="0"/>
    <x:n v="75929.35"/>
    <x:s v="Historical"/>
    <x:s v="SUP02-INV-01495"/>
    <x:n v="45"/>
    <x:s v="Alpen Precision Systems"/>
    <x:n v="1.1793"/>
    <x:n v="1.3510138618398442"/>
    <x:n v="0.00676592082616179"/>
    <x:n v="1.1793"/>
    <x:x v="1494"/>
    <x:x v="1"/>
    <x:n v="1.088"/>
    <x:n v="82611.1328"/>
    <x:n v="6932.349654999998"/>
    <x:n v="0.08391544117647055"/>
  </x:r>
  <x:r>
    <x:s v="INV-01496"/>
    <x:x v="10"/>
    <x:s v="SUP02"/>
    <x:x v="0"/>
    <x:s v="Equipment"/>
    <x:d v="2026-04-20T00:00:00Z"/>
    <x:n v="46177"/>
    <x:x v="0"/>
    <x:n v="38286.95"/>
    <x:s v="Historical"/>
    <x:s v="SUP02-INV-01496"/>
    <x:n v="45"/>
    <x:s v="Alpen Precision Systems"/>
    <x:n v="1.176"/>
    <x:n v="1.3510253317249699"/>
    <x:n v="0.006292808219178082"/>
    <x:n v="1.176"/>
    <x:x v="1495"/>
    <x:x v="0"/>
    <x:n v="1.083"/>
    <x:n v="41464.76684999999"/>
    <x:n v="3560.6863500000036"/>
    <x:n v="0.08587257617728541"/>
  </x:r>
  <x:r>
    <x:s v="INV-01497"/>
    <x:x v="0"/>
    <x:s v="SUP01"/>
    <x:x v="0"/>
    <x:s v="Components"/>
    <x:d v="2025-10-25T00:00:00Z"/>
    <x:n v="45985"/>
    <x:x v="0"/>
    <x:n v="8072.58"/>
    <x:s v="Historical"/>
    <x:s v="SUP01-INV-01497"/>
    <x:n v="30"/>
    <x:s v="Rhein Circuit Components"/>
    <x:n v="1.1641"/>
    <x:n v="1.345080593910682"/>
    <x:n v="0.006337997495508249"/>
    <x:n v="1.1641"/>
    <x:x v="1496"/>
    <x:x v="7"/>
    <x:n v="1.106"/>
    <x:n v="8928.27348"/>
    <x:n v="469.01689799999986"/>
    <x:n v="0.052531645569620235"/>
  </x:r>
  <x:r>
    <x:s v="INV-01498"/>
    <x:x v="2"/>
    <x:s v="SUP10"/>
    <x:x v="1"/>
    <x:s v="Services"/>
    <x:d v="2026-07-25T00:00:00Z"/>
    <x:n v="46273"/>
    <x:x v="2"/>
    <x:n v="1308.01"/>
    <x:s v="Historical"/>
    <x:s v="SUP10-INV-01498"/>
    <x:n v="45"/>
    <x:s v="Bristol Calibration Services"/>
    <x:n v="1.1377"/>
    <x:n v="1.3323886260364455"/>
    <x:n v="0.006104195729155488"/>
    <x:n v="1.3323886260364455"/>
    <x:x v="1497"/>
    <x:x v="4"/>
    <x:n v="1.293"/>
    <x:n v="1691.2569299999998"/>
    <x:n v="51.52071674193121"/>
    <x:n v="0.030462974506145095"/>
  </x:r>
  <x:r>
    <x:s v="INV-01499"/>
    <x:x v="14"/>
    <x:s v="SUP07"/>
    <x:x v="0"/>
    <x:s v="Equipment"/>
    <x:d v="2026-04-30T00:00:00Z"/>
    <x:n v="46202"/>
    <x:x v="0"/>
    <x:n v="25029.56"/>
    <x:s v="Historical"/>
    <x:s v="SUP07-INV-01499"/>
    <x:n v="60"/>
    <x:s v="Milan Assembly Robotics"/>
    <x:n v="1.1702"/>
    <x:n v="1.3508802308802308"/>
    <x:n v="0.006387205938540472"/>
    <x:n v="1.1702"/>
    <x:x v="1498"/>
    <x:x v="0"/>
    <x:n v="1.083"/>
    <x:n v="27107.01348"/>
    <x:n v="2182.577631999997"/>
    <x:n v="0.08051708217913192"/>
  </x:r>
  <x:r>
    <x:s v="INV-01500"/>
    <x:x v="0"/>
    <x:s v="SUP01"/>
    <x:x v="0"/>
    <x:s v="Components"/>
    <x:d v="2026-05-01T00:00:00Z"/>
    <x:n v="46173"/>
    <x:x v="0"/>
    <x:n v="48002.75"/>
    <x:s v="Historical"/>
    <x:s v="SUP01-INV-01500"/>
    <x:n v="30"/>
    <x:s v="Rhein Circuit Components"/>
    <x:n v="1.1702"/>
    <x:n v="1.3508802308802308"/>
    <x:n v="0.006387205938540472"/>
    <x:n v="1.1702"/>
    <x:x v="1499"/>
    <x:x v="0"/>
    <x:n v="1.083"/>
    <x:n v="51986.97825"/>
    <x:n v="4185.839799999994"/>
    <x:n v="0.08051708217913194"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rrency">
  <location ref="A3:D7" firstHeaderRow="0" firstDataRow="1" firstDataCol="1"/>
  <pivotFields count="23"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ctual Spend (USD)" fld="17" baseField="0" baseItem="0"/>
    <dataField name="Budgeted Spend (USD)" fld="20" baseField="0" baseItem="0"/>
    <dataField name="FX Variance (USD)" fld="21" baseField="0" baseItem="0"/>
  </dataFields>
  <formats count="2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r">
  <location ref="A10:C29" firstHeaderRow="0" firstDataRow="1" firstDataCol="1"/>
  <pivotFields count="23">
    <pivotField showAll="0"/>
    <pivotField axis="axisRow" showAll="0" sortType="descending">
      <items count="19">
        <item x="10"/>
        <item x="7"/>
        <item x="2"/>
        <item x="17"/>
        <item x="12"/>
        <item x="6"/>
        <item x="9"/>
        <item x="13"/>
        <item x="14"/>
        <item x="1"/>
        <item x="3"/>
        <item x="8"/>
        <item x="16"/>
        <item x="0"/>
        <item x="5"/>
        <item x="11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01">
        <item x="235"/>
        <item x="440"/>
        <item x="82"/>
        <item x="1383"/>
        <item x="928"/>
        <item x="597"/>
        <item x="573"/>
        <item x="172"/>
        <item x="413"/>
        <item x="1052"/>
        <item x="446"/>
        <item x="569"/>
        <item x="1488"/>
        <item x="673"/>
        <item x="1497"/>
        <item x="1447"/>
        <item x="33"/>
        <item x="1393"/>
        <item x="1463"/>
        <item x="247"/>
        <item x="1233"/>
        <item x="1302"/>
        <item x="109"/>
        <item x="1459"/>
        <item x="611"/>
        <item x="851"/>
        <item x="1107"/>
        <item x="393"/>
        <item x="519"/>
        <item x="1340"/>
        <item x="742"/>
        <item x="978"/>
        <item x="94"/>
        <item x="934"/>
        <item x="437"/>
        <item x="120"/>
        <item x="1208"/>
        <item x="865"/>
        <item x="136"/>
        <item x="1061"/>
        <item x="165"/>
        <item x="1288"/>
        <item x="925"/>
        <item x="454"/>
        <item x="1325"/>
        <item x="1248"/>
        <item x="1316"/>
        <item x="1166"/>
        <item x="1481"/>
        <item x="305"/>
        <item x="289"/>
        <item x="324"/>
        <item x="6"/>
        <item x="669"/>
        <item x="1492"/>
        <item x="313"/>
        <item x="1298"/>
        <item x="780"/>
        <item x="417"/>
        <item x="740"/>
        <item x="3"/>
        <item x="1198"/>
        <item x="50"/>
        <item x="53"/>
        <item x="1473"/>
        <item x="293"/>
        <item x="329"/>
        <item x="1245"/>
        <item x="1407"/>
        <item x="470"/>
        <item x="686"/>
        <item x="43"/>
        <item x="1399"/>
        <item x="396"/>
        <item x="647"/>
        <item x="959"/>
        <item x="657"/>
        <item x="846"/>
        <item x="1097"/>
        <item x="1043"/>
        <item x="311"/>
        <item x="1108"/>
        <item x="215"/>
        <item x="476"/>
        <item x="204"/>
        <item x="558"/>
        <item x="758"/>
        <item x="884"/>
        <item x="514"/>
        <item x="178"/>
        <item x="580"/>
        <item x="880"/>
        <item x="1313"/>
        <item x="814"/>
        <item x="1426"/>
        <item x="1120"/>
        <item x="1188"/>
        <item x="9"/>
        <item x="541"/>
        <item x="1266"/>
        <item x="1366"/>
        <item x="1484"/>
        <item x="236"/>
        <item x="836"/>
        <item x="736"/>
        <item x="469"/>
        <item x="392"/>
        <item x="999"/>
        <item x="337"/>
        <item x="438"/>
        <item x="1168"/>
        <item x="534"/>
        <item x="888"/>
        <item x="433"/>
        <item x="660"/>
        <item x="264"/>
        <item x="1423"/>
        <item x="1375"/>
        <item x="828"/>
        <item x="171"/>
        <item x="59"/>
        <item x="1165"/>
        <item x="1013"/>
        <item x="1419"/>
        <item x="265"/>
        <item x="15"/>
        <item x="614"/>
        <item x="596"/>
        <item x="147"/>
        <item x="678"/>
        <item x="356"/>
        <item x="397"/>
        <item x="160"/>
        <item x="331"/>
        <item x="1171"/>
        <item x="778"/>
        <item x="698"/>
        <item x="342"/>
        <item x="570"/>
        <item x="521"/>
        <item x="802"/>
        <item x="1360"/>
        <item x="152"/>
        <item x="163"/>
        <item x="914"/>
        <item x="882"/>
        <item x="10"/>
        <item x="339"/>
        <item x="1073"/>
        <item x="992"/>
        <item x="566"/>
        <item x="487"/>
        <item x="1475"/>
        <item x="248"/>
        <item x="89"/>
        <item x="233"/>
        <item x="23"/>
        <item x="862"/>
        <item x="230"/>
        <item x="829"/>
        <item x="512"/>
        <item x="559"/>
        <item x="192"/>
        <item x="1026"/>
        <item x="1392"/>
        <item x="78"/>
        <item x="105"/>
        <item x="1034"/>
        <item x="1150"/>
        <item x="837"/>
        <item x="29"/>
        <item x="35"/>
        <item x="240"/>
        <item x="1140"/>
        <item x="246"/>
        <item x="982"/>
        <item x="548"/>
        <item x="219"/>
        <item x="930"/>
        <item x="1315"/>
        <item x="748"/>
        <item x="945"/>
        <item x="830"/>
        <item x="1243"/>
        <item x="239"/>
        <item x="702"/>
        <item x="539"/>
        <item x="1158"/>
        <item x="861"/>
        <item x="1455"/>
        <item x="552"/>
        <item x="503"/>
        <item x="636"/>
        <item x="1077"/>
        <item x="800"/>
        <item x="237"/>
        <item x="607"/>
        <item x="1469"/>
        <item x="826"/>
        <item x="436"/>
        <item x="369"/>
        <item x="1223"/>
        <item x="144"/>
        <item x="1185"/>
        <item x="1080"/>
        <item x="784"/>
        <item x="1085"/>
        <item x="190"/>
        <item x="612"/>
        <item x="1016"/>
        <item x="69"/>
        <item x="584"/>
        <item x="365"/>
        <item x="856"/>
        <item x="1"/>
        <item x="275"/>
        <item x="691"/>
        <item x="1219"/>
        <item x="987"/>
        <item x="214"/>
        <item x="1406"/>
        <item x="739"/>
        <item x="874"/>
        <item x="1230"/>
        <item x="917"/>
        <item x="1434"/>
        <item x="1076"/>
        <item x="1018"/>
        <item x="860"/>
        <item x="517"/>
        <item x="42"/>
        <item x="760"/>
        <item x="775"/>
        <item x="1234"/>
        <item x="1395"/>
        <item x="516"/>
        <item x="1204"/>
        <item x="44"/>
        <item x="819"/>
        <item x="139"/>
        <item x="795"/>
        <item x="520"/>
        <item x="1132"/>
        <item x="821"/>
        <item x="1078"/>
        <item x="466"/>
        <item x="1112"/>
        <item x="1268"/>
        <item x="346"/>
        <item x="1344"/>
        <item x="695"/>
        <item x="335"/>
        <item x="345"/>
        <item x="741"/>
        <item x="1007"/>
        <item x="1439"/>
        <item x="679"/>
        <item x="1474"/>
        <item x="295"/>
        <item x="551"/>
        <item x="1114"/>
        <item x="891"/>
        <item x="901"/>
        <item x="728"/>
        <item x="257"/>
        <item x="815"/>
        <item x="142"/>
        <item x="1214"/>
        <item x="391"/>
        <item x="1283"/>
        <item x="1189"/>
        <item x="1303"/>
        <item x="227"/>
        <item x="700"/>
        <item x="854"/>
        <item x="379"/>
        <item x="1024"/>
        <item x="1388"/>
        <item x="1157"/>
        <item x="624"/>
        <item x="389"/>
        <item x="667"/>
        <item x="581"/>
        <item x="1092"/>
        <item x="70"/>
        <item x="1405"/>
        <item x="1247"/>
        <item x="1306"/>
        <item x="363"/>
        <item x="181"/>
        <item x="474"/>
        <item x="1039"/>
        <item x="184"/>
        <item x="843"/>
        <item x="1224"/>
        <item x="151"/>
        <item x="662"/>
        <item x="131"/>
        <item x="117"/>
        <item x="824"/>
        <item x="766"/>
        <item x="527"/>
        <item x="731"/>
        <item x="582"/>
        <item x="1468"/>
        <item x="169"/>
        <item x="167"/>
        <item x="486"/>
        <item x="1272"/>
        <item x="1257"/>
        <item x="1005"/>
        <item x="1044"/>
        <item x="1156"/>
        <item x="979"/>
        <item x="1271"/>
        <item x="1314"/>
        <item x="975"/>
        <item x="83"/>
        <item x="1096"/>
        <item x="1015"/>
        <item x="212"/>
        <item x="32"/>
        <item x="1217"/>
        <item x="719"/>
        <item x="677"/>
        <item x="303"/>
        <item x="383"/>
        <item x="983"/>
        <item x="562"/>
        <item x="238"/>
        <item x="1110"/>
        <item x="1100"/>
        <item x="598"/>
        <item x="963"/>
        <item x="980"/>
        <item x="936"/>
        <item x="744"/>
        <item x="1038"/>
        <item x="1336"/>
        <item x="1191"/>
        <item x="268"/>
        <item x="1310"/>
        <item x="1334"/>
        <item x="309"/>
        <item x="790"/>
        <item x="108"/>
        <item x="544"/>
        <item x="314"/>
        <item x="1422"/>
        <item x="676"/>
        <item x="968"/>
        <item x="1117"/>
        <item x="684"/>
        <item x="77"/>
        <item x="563"/>
        <item x="188"/>
        <item x="787"/>
        <item x="869"/>
        <item x="1006"/>
        <item x="1115"/>
        <item x="1084"/>
        <item x="878"/>
        <item x="76"/>
        <item x="341"/>
        <item x="991"/>
        <item x="229"/>
        <item x="1338"/>
        <item x="41"/>
        <item x="1343"/>
        <item x="625"/>
        <item x="887"/>
        <item x="259"/>
        <item x="435"/>
        <item x="1118"/>
        <item x="1192"/>
        <item x="249"/>
        <item x="1408"/>
        <item x="1121"/>
        <item x="494"/>
        <item x="1050"/>
        <item x="149"/>
        <item x="1145"/>
        <item x="845"/>
        <item x="1058"/>
        <item x="323"/>
        <item x="439"/>
        <item x="88"/>
        <item x="318"/>
        <item x="1308"/>
        <item x="1277"/>
        <item x="1213"/>
        <item x="782"/>
        <item x="594"/>
        <item x="639"/>
        <item x="332"/>
        <item x="1365"/>
        <item x="1483"/>
        <item x="962"/>
        <item x="956"/>
        <item x="302"/>
        <item x="931"/>
        <item x="642"/>
        <item x="1453"/>
        <item x="808"/>
        <item x="879"/>
        <item x="1075"/>
        <item x="1461"/>
        <item x="561"/>
        <item x="1317"/>
        <item x="211"/>
        <item x="781"/>
        <item x="399"/>
        <item x="477"/>
        <item x="993"/>
        <item x="1411"/>
        <item x="373"/>
        <item x="256"/>
        <item x="1322"/>
        <item x="872"/>
        <item x="99"/>
        <item x="1296"/>
        <item x="501"/>
        <item x="482"/>
        <item x="1254"/>
        <item x="986"/>
        <item x="276"/>
        <item x="911"/>
        <item x="903"/>
        <item x="1012"/>
        <item x="721"/>
        <item x="609"/>
        <item x="278"/>
        <item x="1262"/>
        <item x="1070"/>
        <item x="1212"/>
        <item x="414"/>
        <item x="1477"/>
        <item x="1032"/>
        <item x="73"/>
        <item x="1320"/>
        <item x="1352"/>
        <item x="422"/>
        <item x="685"/>
        <item x="306"/>
        <item x="1449"/>
        <item x="429"/>
        <item x="166"/>
        <item x="1036"/>
        <item x="493"/>
        <item x="423"/>
        <item x="752"/>
        <item x="697"/>
        <item x="1470"/>
        <item x="386"/>
        <item x="813"/>
        <item x="1048"/>
        <item x="1356"/>
        <item x="941"/>
        <item x="1205"/>
        <item x="638"/>
        <item x="653"/>
        <item x="404"/>
        <item x="143"/>
        <item x="21"/>
        <item x="182"/>
        <item x="103"/>
        <item x="26"/>
        <item x="100"/>
        <item x="127"/>
        <item x="84"/>
        <item x="452"/>
        <item x="842"/>
        <item x="1252"/>
        <item x="672"/>
        <item x="484"/>
        <item x="1220"/>
        <item x="1446"/>
        <item x="707"/>
        <item x="540"/>
        <item x="1456"/>
        <item x="671"/>
        <item x="1197"/>
        <item x="1033"/>
        <item x="1496"/>
        <item x="1207"/>
        <item x="353"/>
        <item x="632"/>
        <item x="232"/>
        <item x="850"/>
        <item x="330"/>
        <item x="174"/>
        <item x="1323"/>
        <item x="106"/>
        <item x="942"/>
        <item x="34"/>
        <item x="1332"/>
        <item x="897"/>
        <item x="1309"/>
        <item x="898"/>
        <item x="1284"/>
        <item x="67"/>
        <item x="412"/>
        <item x="1083"/>
        <item x="1324"/>
        <item x="113"/>
        <item x="201"/>
        <item x="47"/>
        <item x="687"/>
        <item x="261"/>
        <item x="1342"/>
        <item x="122"/>
        <item x="892"/>
        <item x="924"/>
        <item x="272"/>
        <item x="483"/>
        <item x="1144"/>
        <item x="902"/>
        <item x="792"/>
        <item x="360"/>
        <item x="693"/>
        <item x="943"/>
        <item x="522"/>
        <item x="1373"/>
        <item x="613"/>
        <item x="357"/>
        <item x="14"/>
        <item x="1385"/>
        <item x="333"/>
        <item x="1420"/>
        <item x="523"/>
        <item x="595"/>
        <item x="173"/>
        <item x="574"/>
        <item x="1290"/>
        <item x="1138"/>
        <item x="130"/>
        <item x="985"/>
        <item x="873"/>
        <item x="935"/>
        <item x="1311"/>
        <item x="626"/>
        <item x="773"/>
        <item x="1462"/>
        <item x="148"/>
        <item x="550"/>
        <item x="93"/>
        <item x="939"/>
        <item x="600"/>
        <item x="788"/>
        <item x="22"/>
        <item x="326"/>
        <item x="1433"/>
        <item x="263"/>
        <item x="578"/>
        <item x="296"/>
        <item x="1172"/>
        <item x="157"/>
        <item x="1155"/>
        <item x="617"/>
        <item x="1099"/>
        <item x="459"/>
        <item x="310"/>
        <item x="623"/>
        <item x="1341"/>
        <item x="2"/>
        <item x="630"/>
        <item x="664"/>
        <item x="1203"/>
        <item x="1057"/>
        <item x="818"/>
        <item x="1106"/>
        <item x="31"/>
        <item x="1362"/>
        <item x="1079"/>
        <item x="771"/>
        <item x="197"/>
        <item x="1267"/>
        <item x="85"/>
        <item x="304"/>
        <item x="213"/>
        <item x="1428"/>
        <item x="565"/>
        <item x="1001"/>
        <item x="426"/>
        <item x="1091"/>
        <item x="655"/>
        <item x="1152"/>
        <item x="1326"/>
        <item x="1398"/>
        <item x="1370"/>
        <item x="203"/>
        <item x="1041"/>
        <item x="401"/>
        <item x="411"/>
        <item x="298"/>
        <item x="1199"/>
        <item x="445"/>
        <item x="663"/>
        <item x="96"/>
        <item x="947"/>
        <item x="776"/>
        <item x="1244"/>
        <item x="283"/>
        <item x="974"/>
        <item x="649"/>
        <item x="786"/>
        <item x="24"/>
        <item x="242"/>
        <item x="583"/>
        <item x="1337"/>
        <item x="1387"/>
        <item x="712"/>
        <item x="8"/>
        <item x="1215"/>
        <item x="1295"/>
        <item x="817"/>
        <item x="1221"/>
        <item x="922"/>
        <item x="1403"/>
        <item x="221"/>
        <item x="1432"/>
        <item x="1014"/>
        <item x="628"/>
        <item x="343"/>
        <item x="1491"/>
        <item x="543"/>
        <item x="976"/>
        <item x="1141"/>
        <item x="651"/>
        <item x="199"/>
        <item x="723"/>
        <item x="442"/>
        <item x="1082"/>
        <item x="205"/>
        <item x="1410"/>
        <item x="260"/>
        <item x="1020"/>
        <item x="5"/>
        <item x="606"/>
        <item x="381"/>
        <item x="463"/>
        <item x="806"/>
        <item x="763"/>
        <item x="680"/>
        <item x="1452"/>
        <item x="704"/>
        <item x="168"/>
        <item x="11"/>
        <item x="464"/>
        <item x="358"/>
        <item x="179"/>
        <item x="1480"/>
        <item x="1231"/>
        <item x="154"/>
        <item x="1479"/>
        <item x="371"/>
        <item x="48"/>
        <item x="1074"/>
        <item x="746"/>
        <item x="754"/>
        <item x="528"/>
        <item x="893"/>
        <item x="344"/>
        <item x="1265"/>
        <item x="555"/>
        <item x="273"/>
        <item x="1450"/>
        <item x="183"/>
        <item x="509"/>
        <item x="1194"/>
        <item x="730"/>
        <item x="508"/>
        <item x="619"/>
        <item x="823"/>
        <item x="717"/>
        <item x="395"/>
        <item x="799"/>
        <item x="1378"/>
        <item x="711"/>
        <item x="1351"/>
        <item x="1160"/>
        <item x="896"/>
        <item x="352"/>
        <item x="864"/>
        <item x="750"/>
        <item x="953"/>
        <item x="1438"/>
        <item x="104"/>
        <item x="602"/>
        <item x="471"/>
        <item x="124"/>
        <item x="1402"/>
        <item x="1359"/>
        <item x="535"/>
        <item x="478"/>
        <item x="1437"/>
        <item x="951"/>
        <item x="1201"/>
        <item x="207"/>
        <item x="1282"/>
        <item x="472"/>
        <item x="1255"/>
        <item x="255"/>
        <item x="1415"/>
        <item x="1401"/>
        <item x="402"/>
        <item x="175"/>
        <item x="1321"/>
        <item x="334"/>
        <item x="54"/>
        <item x="385"/>
        <item x="258"/>
        <item x="290"/>
        <item x="1487"/>
        <item x="1209"/>
        <item x="63"/>
        <item x="970"/>
        <item x="1269"/>
        <item x="135"/>
        <item x="1163"/>
        <item x="479"/>
        <item x="418"/>
        <item x="537"/>
        <item x="60"/>
        <item x="71"/>
        <item x="585"/>
        <item x="129"/>
        <item x="549"/>
        <item x="195"/>
        <item x="927"/>
        <item x="38"/>
        <item x="1418"/>
        <item x="481"/>
        <item x="382"/>
        <item x="575"/>
        <item x="557"/>
        <item x="196"/>
        <item x="101"/>
        <item x="316"/>
        <item x="462"/>
        <item x="989"/>
        <item x="74"/>
        <item x="749"/>
        <item x="209"/>
        <item x="224"/>
        <item x="380"/>
        <item x="703"/>
        <item x="1448"/>
        <item x="502"/>
        <item x="847"/>
        <item x="351"/>
        <item x="652"/>
        <item x="1380"/>
        <item x="449"/>
        <item x="996"/>
        <item x="98"/>
        <item x="714"/>
        <item x="692"/>
        <item x="1489"/>
        <item x="1367"/>
        <item x="960"/>
        <item x="646"/>
        <item x="1467"/>
        <item x="1270"/>
        <item x="937"/>
        <item x="110"/>
        <item x="1060"/>
        <item x="593"/>
        <item x="86"/>
        <item x="725"/>
        <item x="952"/>
        <item x="938"/>
        <item x="457"/>
        <item x="1184"/>
        <item x="119"/>
        <item x="155"/>
        <item x="428"/>
        <item x="1216"/>
        <item x="701"/>
        <item x="1330"/>
        <item x="615"/>
        <item x="126"/>
        <item x="1090"/>
        <item x="1404"/>
        <item x="529"/>
        <item x="409"/>
        <item x="141"/>
        <item x="526"/>
        <item x="1431"/>
        <item x="328"/>
        <item x="292"/>
        <item x="1169"/>
        <item x="1098"/>
        <item x="546"/>
        <item x="1471"/>
        <item x="915"/>
        <item x="674"/>
        <item x="804"/>
        <item x="838"/>
        <item x="1440"/>
        <item x="1069"/>
        <item x="1068"/>
        <item x="252"/>
        <item x="629"/>
        <item x="1128"/>
        <item x="831"/>
        <item x="920"/>
        <item x="480"/>
        <item x="1391"/>
        <item x="969"/>
        <item x="4"/>
        <item x="875"/>
        <item x="961"/>
        <item x="1281"/>
        <item x="1177"/>
        <item x="403"/>
        <item x="1276"/>
        <item x="1416"/>
        <item x="571"/>
        <item x="513"/>
        <item x="1017"/>
        <item x="1250"/>
        <item x="1130"/>
        <item x="1089"/>
        <item x="384"/>
        <item x="867"/>
        <item x="870"/>
        <item x="162"/>
        <item x="560"/>
        <item x="286"/>
        <item x="491"/>
        <item x="590"/>
        <item x="645"/>
        <item x="27"/>
        <item x="95"/>
        <item x="608"/>
        <item x="322"/>
        <item x="377"/>
        <item x="906"/>
        <item x="79"/>
        <item x="317"/>
        <item x="1424"/>
        <item x="633"/>
        <item x="1379"/>
        <item x="39"/>
        <item x="675"/>
        <item x="1293"/>
        <item x="267"/>
        <item x="1328"/>
        <item x="102"/>
        <item x="495"/>
        <item x="1294"/>
        <item x="886"/>
        <item x="1051"/>
        <item x="958"/>
        <item x="1369"/>
        <item x="587"/>
        <item x="733"/>
        <item x="727"/>
        <item x="1339"/>
        <item x="156"/>
        <item x="532"/>
        <item x="387"/>
        <item x="1180"/>
        <item x="1000"/>
        <item x="1049"/>
        <item x="301"/>
        <item x="500"/>
        <item x="859"/>
        <item x="1297"/>
        <item x="904"/>
        <item x="1031"/>
        <item x="954"/>
        <item x="1421"/>
        <item x="489"/>
        <item x="1275"/>
        <item x="210"/>
        <item x="599"/>
        <item x="193"/>
        <item x="355"/>
        <item x="465"/>
        <item x="1264"/>
        <item x="498"/>
        <item x="681"/>
        <item x="876"/>
        <item x="577"/>
        <item x="868"/>
        <item x="419"/>
        <item x="111"/>
        <item x="883"/>
        <item x="234"/>
        <item x="206"/>
        <item x="670"/>
        <item x="217"/>
        <item x="388"/>
        <item x="889"/>
        <item x="764"/>
        <item x="245"/>
        <item x="1195"/>
        <item x="631"/>
        <item x="853"/>
        <item x="696"/>
        <item x="545"/>
        <item x="497"/>
        <item x="1239"/>
        <item x="835"/>
        <item x="1464"/>
        <item x="871"/>
        <item x="822"/>
        <item x="735"/>
        <item x="929"/>
        <item x="49"/>
        <item x="990"/>
        <item x="1327"/>
        <item x="372"/>
        <item x="1055"/>
        <item x="1301"/>
        <item x="1345"/>
        <item x="515"/>
        <item x="1312"/>
        <item x="153"/>
        <item x="1485"/>
        <item x="1280"/>
        <item x="1486"/>
        <item x="1278"/>
        <item x="737"/>
        <item x="266"/>
        <item x="1347"/>
        <item x="1329"/>
        <item x="274"/>
        <item x="0"/>
        <item x="689"/>
        <item x="1179"/>
        <item x="1240"/>
        <item x="189"/>
        <item x="825"/>
        <item x="839"/>
        <item x="524"/>
        <item x="140"/>
        <item x="1241"/>
        <item x="441"/>
        <item x="488"/>
        <item x="1319"/>
        <item x="1008"/>
        <item x="270"/>
        <item x="1021"/>
        <item x="1235"/>
        <item x="222"/>
        <item x="1127"/>
        <item x="420"/>
        <item x="116"/>
        <item x="448"/>
        <item x="1307"/>
        <item x="361"/>
        <item x="1429"/>
        <item x="424"/>
        <item x="984"/>
        <item x="1386"/>
        <item x="133"/>
        <item x="432"/>
        <item x="1493"/>
        <item x="971"/>
        <item x="1023"/>
        <item x="40"/>
        <item x="1478"/>
        <item x="1125"/>
        <item x="621"/>
        <item x="586"/>
        <item x="16"/>
        <item x="485"/>
        <item x="769"/>
        <item x="134"/>
        <item x="51"/>
        <item x="588"/>
        <item x="747"/>
        <item x="1105"/>
        <item x="320"/>
        <item x="1009"/>
        <item x="648"/>
        <item x="1355"/>
        <item x="1187"/>
        <item x="538"/>
        <item x="176"/>
        <item x="1113"/>
        <item x="1178"/>
        <item x="1154"/>
        <item x="1331"/>
        <item x="378"/>
        <item x="926"/>
        <item x="530"/>
        <item x="75"/>
        <item x="350"/>
        <item x="444"/>
        <item x="849"/>
        <item x="1454"/>
        <item x="1364"/>
        <item x="948"/>
        <item x="1170"/>
        <item x="505"/>
        <item x="425"/>
        <item x="772"/>
        <item x="1442"/>
        <item x="1390"/>
        <item x="774"/>
        <item x="791"/>
        <item x="779"/>
        <item x="12"/>
        <item x="1104"/>
        <item x="511"/>
        <item x="228"/>
        <item x="852"/>
        <item x="932"/>
        <item x="964"/>
        <item x="1286"/>
        <item x="1011"/>
        <item x="690"/>
        <item x="269"/>
        <item x="460"/>
        <item x="370"/>
        <item x="1159"/>
        <item x="287"/>
        <item x="473"/>
        <item x="1162"/>
        <item x="844"/>
        <item x="1081"/>
        <item x="1053"/>
        <item x="186"/>
        <item x="1094"/>
        <item x="1122"/>
        <item x="45"/>
        <item x="1116"/>
        <item x="833"/>
        <item x="1086"/>
        <item x="1088"/>
        <item x="1046"/>
        <item x="1072"/>
        <item x="729"/>
        <item x="940"/>
        <item x="1067"/>
        <item x="553"/>
        <item x="1065"/>
        <item x="909"/>
        <item x="997"/>
        <item x="1258"/>
        <item x="1466"/>
        <item x="811"/>
        <item x="431"/>
        <item x="1004"/>
        <item x="180"/>
        <item x="1019"/>
        <item x="408"/>
        <item x="321"/>
        <item x="1346"/>
        <item x="375"/>
        <item x="1232"/>
        <item x="285"/>
        <item x="1133"/>
        <item x="995"/>
        <item x="1151"/>
        <item x="683"/>
        <item x="187"/>
        <item x="1062"/>
        <item x="1167"/>
        <item x="251"/>
        <item x="1093"/>
        <item x="458"/>
        <item x="797"/>
        <item x="191"/>
        <item x="504"/>
        <item x="468"/>
        <item x="1047"/>
        <item x="145"/>
        <item x="1396"/>
        <item x="998"/>
        <item x="1260"/>
        <item x="1279"/>
        <item x="1136"/>
        <item x="694"/>
        <item x="114"/>
        <item x="451"/>
        <item x="1045"/>
        <item x="656"/>
        <item x="894"/>
        <item x="855"/>
        <item x="1129"/>
        <item x="1274"/>
        <item x="1196"/>
        <item x="812"/>
        <item x="194"/>
        <item x="1333"/>
        <item x="315"/>
        <item x="325"/>
        <item x="376"/>
        <item x="1200"/>
        <item x="25"/>
        <item x="299"/>
        <item x="890"/>
        <item x="518"/>
        <item x="1389"/>
        <item x="1087"/>
        <item x="52"/>
        <item x="620"/>
        <item x="1436"/>
        <item x="981"/>
        <item x="604"/>
        <item x="688"/>
        <item x="715"/>
        <item x="1193"/>
        <item x="1139"/>
        <item x="807"/>
        <item x="713"/>
        <item x="1181"/>
        <item x="456"/>
        <item x="682"/>
        <item x="1435"/>
        <item x="1349"/>
        <item x="665"/>
        <item x="1445"/>
        <item x="899"/>
        <item x="905"/>
        <item x="1142"/>
        <item x="291"/>
        <item x="1056"/>
        <item x="1003"/>
        <item x="1430"/>
        <item x="601"/>
        <item x="1119"/>
        <item x="253"/>
        <item x="87"/>
        <item x="57"/>
        <item x="1229"/>
        <item x="450"/>
        <item x="1361"/>
        <item x="461"/>
        <item x="30"/>
        <item x="1176"/>
        <item x="405"/>
        <item x="634"/>
        <item x="161"/>
        <item x="1476"/>
        <item x="576"/>
        <item x="972"/>
        <item x="1299"/>
        <item x="973"/>
        <item x="407"/>
        <item x="406"/>
        <item x="1417"/>
        <item x="910"/>
        <item x="244"/>
        <item x="568"/>
        <item x="1173"/>
        <item x="506"/>
        <item x="1174"/>
        <item x="1111"/>
        <item x="1368"/>
        <item x="1035"/>
        <item x="416"/>
        <item x="1175"/>
        <item x="720"/>
        <item x="1238"/>
        <item x="708"/>
        <item x="610"/>
        <item x="410"/>
        <item x="510"/>
        <item x="579"/>
        <item x="913"/>
        <item x="1292"/>
        <item x="820"/>
        <item x="618"/>
        <item x="364"/>
        <item x="1498"/>
        <item x="603"/>
        <item x="753"/>
        <item x="885"/>
        <item x="68"/>
        <item x="641"/>
        <item x="1066"/>
        <item x="281"/>
        <item x="840"/>
        <item x="966"/>
        <item x="658"/>
        <item x="467"/>
        <item x="857"/>
        <item x="427"/>
        <item x="90"/>
        <item x="1490"/>
        <item x="1305"/>
        <item x="354"/>
        <item x="250"/>
        <item x="1027"/>
        <item x="1135"/>
        <item x="616"/>
        <item x="1414"/>
        <item x="761"/>
        <item x="1236"/>
        <item x="738"/>
        <item x="661"/>
        <item x="1190"/>
        <item x="1025"/>
        <item x="965"/>
        <item x="158"/>
        <item x="858"/>
        <item x="55"/>
        <item x="699"/>
        <item x="556"/>
        <item x="1037"/>
        <item x="81"/>
        <item x="659"/>
        <item x="1182"/>
        <item x="362"/>
        <item x="1318"/>
        <item x="138"/>
        <item x="1287"/>
        <item x="589"/>
        <item x="1218"/>
        <item x="1227"/>
        <item x="1451"/>
        <item x="374"/>
        <item x="121"/>
        <item x="1030"/>
        <item x="177"/>
        <item x="241"/>
        <item x="1413"/>
        <item x="262"/>
        <item x="732"/>
        <item x="881"/>
        <item x="164"/>
        <item x="254"/>
        <item x="271"/>
        <item x="757"/>
        <item x="1441"/>
        <item x="455"/>
        <item x="1382"/>
        <item x="1237"/>
        <item x="19"/>
        <item x="1147"/>
        <item x="61"/>
        <item x="1161"/>
        <item x="767"/>
        <item x="1102"/>
        <item x="1226"/>
        <item x="605"/>
        <item x="7"/>
        <item x="810"/>
        <item x="1126"/>
        <item x="146"/>
        <item x="307"/>
        <item x="994"/>
        <item x="1465"/>
        <item x="834"/>
        <item x="724"/>
        <item x="1253"/>
        <item x="955"/>
        <item x="170"/>
        <item x="801"/>
        <item x="1412"/>
        <item x="359"/>
        <item x="1458"/>
        <item x="718"/>
        <item x="944"/>
        <item x="13"/>
        <item x="430"/>
        <item x="933"/>
        <item x="907"/>
        <item x="223"/>
        <item x="1103"/>
        <item x="1384"/>
        <item x="957"/>
        <item x="56"/>
        <item x="1228"/>
        <item x="1263"/>
        <item x="827"/>
        <item x="112"/>
        <item x="705"/>
        <item x="567"/>
        <item x="848"/>
        <item x="1064"/>
        <item x="1256"/>
        <item x="816"/>
        <item x="398"/>
        <item x="1251"/>
        <item x="1222"/>
        <item x="863"/>
        <item x="726"/>
        <item x="762"/>
        <item x="706"/>
        <item x="916"/>
        <item x="1246"/>
        <item x="434"/>
        <item x="796"/>
        <item x="1146"/>
        <item x="208"/>
        <item x="159"/>
        <item x="1363"/>
        <item x="919"/>
        <item x="17"/>
        <item x="415"/>
        <item x="547"/>
        <item x="1071"/>
        <item x="622"/>
        <item x="507"/>
        <item x="1444"/>
        <item x="499"/>
        <item x="572"/>
        <item x="453"/>
        <item x="967"/>
        <item x="1358"/>
        <item x="1273"/>
        <item x="809"/>
        <item x="492"/>
        <item x="1357"/>
        <item x="185"/>
        <item x="1063"/>
        <item x="734"/>
        <item x="1304"/>
        <item x="348"/>
        <item x="231"/>
        <item x="46"/>
        <item x="125"/>
        <item x="666"/>
        <item x="755"/>
        <item x="62"/>
        <item x="394"/>
        <item x="1225"/>
        <item x="525"/>
        <item x="80"/>
        <item x="279"/>
        <item x="1394"/>
        <item x="1109"/>
        <item x="536"/>
        <item x="1249"/>
        <item x="783"/>
        <item x="743"/>
        <item x="912"/>
        <item x="150"/>
        <item x="650"/>
        <item x="765"/>
        <item x="284"/>
        <item x="908"/>
        <item x="1042"/>
        <item x="282"/>
        <item x="1427"/>
        <item x="220"/>
        <item x="1202"/>
        <item x="785"/>
        <item x="709"/>
        <item x="366"/>
        <item x="533"/>
        <item x="640"/>
        <item x="496"/>
        <item x="1348"/>
        <item x="866"/>
        <item x="1242"/>
        <item x="1495"/>
        <item x="805"/>
        <item x="895"/>
        <item x="668"/>
        <item x="1183"/>
        <item x="554"/>
        <item x="1381"/>
        <item x="921"/>
        <item x="340"/>
        <item x="637"/>
        <item x="531"/>
        <item x="1206"/>
        <item x="443"/>
        <item x="58"/>
        <item x="832"/>
        <item x="28"/>
        <item x="66"/>
        <item x="64"/>
        <item x="288"/>
        <item x="1137"/>
        <item x="97"/>
        <item x="1040"/>
        <item x="216"/>
        <item x="277"/>
        <item x="592"/>
        <item x="91"/>
        <item x="65"/>
        <item x="751"/>
        <item x="1482"/>
        <item x="1134"/>
        <item x="123"/>
        <item x="1153"/>
        <item x="841"/>
        <item x="768"/>
        <item x="988"/>
        <item x="336"/>
        <item x="475"/>
        <item x="644"/>
        <item x="745"/>
        <item x="243"/>
        <item x="777"/>
        <item x="1259"/>
        <item x="759"/>
        <item x="200"/>
        <item x="297"/>
        <item x="1376"/>
        <item x="1372"/>
        <item x="1499"/>
        <item x="977"/>
        <item x="294"/>
        <item x="347"/>
        <item x="1124"/>
        <item x="1350"/>
        <item x="1400"/>
        <item x="202"/>
        <item x="1472"/>
        <item x="368"/>
        <item x="1460"/>
        <item x="1210"/>
        <item x="118"/>
        <item x="137"/>
        <item x="1211"/>
        <item x="226"/>
        <item x="490"/>
        <item x="1164"/>
        <item x="716"/>
        <item x="447"/>
        <item x="627"/>
        <item x="1095"/>
        <item x="1291"/>
        <item x="1300"/>
        <item x="722"/>
        <item x="950"/>
        <item x="1285"/>
        <item x="1149"/>
        <item x="37"/>
        <item x="1131"/>
        <item x="421"/>
        <item x="923"/>
        <item x="319"/>
        <item x="1409"/>
        <item x="349"/>
        <item x="308"/>
        <item x="877"/>
        <item x="1059"/>
        <item x="643"/>
        <item x="1371"/>
        <item x="36"/>
        <item x="564"/>
        <item x="1335"/>
        <item x="1377"/>
        <item x="793"/>
        <item x="1029"/>
        <item x="1353"/>
        <item x="338"/>
        <item x="710"/>
        <item x="1457"/>
        <item x="900"/>
        <item x="1397"/>
        <item x="128"/>
        <item x="115"/>
        <item x="107"/>
        <item x="72"/>
        <item x="946"/>
        <item x="1054"/>
        <item x="803"/>
        <item x="312"/>
        <item x="1123"/>
        <item x="1354"/>
        <item x="1143"/>
        <item x="798"/>
        <item x="1374"/>
        <item x="280"/>
        <item x="654"/>
        <item x="20"/>
        <item x="1261"/>
        <item x="789"/>
        <item x="18"/>
        <item x="949"/>
        <item x="1148"/>
        <item x="1028"/>
        <item x="198"/>
        <item x="92"/>
        <item x="1010"/>
        <item x="1289"/>
        <item x="218"/>
        <item x="542"/>
        <item x="635"/>
        <item x="756"/>
        <item x="400"/>
        <item x="1494"/>
        <item x="367"/>
        <item x="918"/>
        <item x="770"/>
        <item x="132"/>
        <item x="390"/>
        <item x="1022"/>
        <item x="1101"/>
        <item x="327"/>
        <item x="300"/>
        <item x="591"/>
        <item x="794"/>
        <item x="1186"/>
        <item x="1002"/>
        <item x="225"/>
        <item x="1425"/>
        <item x="144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9">
    <i>
      <x/>
    </i>
    <i>
      <x v="15"/>
    </i>
    <i>
      <x v="13"/>
    </i>
    <i>
      <x v="8"/>
    </i>
    <i>
      <x v="14"/>
    </i>
    <i>
      <x v="11"/>
    </i>
    <i>
      <x v="5"/>
    </i>
    <i>
      <x v="1"/>
    </i>
    <i>
      <x v="12"/>
    </i>
    <i>
      <x v="6"/>
    </i>
    <i>
      <x v="16"/>
    </i>
    <i>
      <x v="10"/>
    </i>
    <i>
      <x v="2"/>
    </i>
    <i>
      <x v="9"/>
    </i>
    <i>
      <x v="17"/>
    </i>
    <i>
      <x v="7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 Spend (USD)" fld="17" baseField="0" baseItem="0"/>
    <dataField name="_x000a_FX Variance (USD)" fld="21" baseField="0" baseItem="0"/>
  </dataFields>
  <formats count="1">
    <format dxfId="38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Quarter" colHeaderCaption="Currency">
  <location ref="F3:J13" firstHeaderRow="1" firstDataRow="2" firstDataCol="1"/>
  <pivotFields count="23">
    <pivotField showAll="0"/>
    <pivotField showAll="0"/>
    <pivotField showAll="0"/>
    <pivotField showAll="0"/>
    <pivotField showAll="0"/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5"/>
        <item x="1"/>
        <item x="7"/>
        <item x="6"/>
        <item x="0"/>
        <item x="4"/>
        <item x="2"/>
        <item t="default"/>
      </items>
    </pivotField>
    <pivotField showAll="0"/>
    <pivotField showAll="0"/>
    <pivotField dataField="1" showAll="0"/>
    <pivotField showAll="0"/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FX Variance (USD)" fld="21" baseField="0" baseItem="0"/>
  </dataFields>
  <formats count="3">
    <format dxfId="41">
      <pivotArea collapsedLevelsAreSubtotals="1" fieldPosition="0">
        <references count="1">
          <reference field="18" count="0"/>
        </references>
      </pivotArea>
    </format>
    <format dxfId="40">
      <pivotArea grandRow="1" outline="0" collapsedLevelsAreSubtotals="1" fieldPosition="0"/>
    </format>
    <format dxfId="3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F16:H20" firstHeaderRow="0" firstDataRow="1" firstDataCol="1"/>
  <pivotFields count="23"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 Spend (USD)" fld="17" baseField="0" baseItem="0"/>
    <dataField name="FX Variance (USD)" fld="21" baseField="0" baseItem="0"/>
  </dataFields>
  <formats count="3">
    <format dxfId="44">
      <pivotArea collapsedLevelsAreSubtotals="1" fieldPosition="0">
        <references count="1">
          <reference field="3" count="0"/>
        </references>
      </pivotArea>
    </format>
    <format dxfId="43">
      <pivotArea grandRow="1" outline="0" collapsedLevelsAreSubtotals="1" fieldPosition="0"/>
    </format>
    <format dxfId="4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_invoices_raw" displayName="supplier_invoices_raw" ref="A1:W1501" totalsRowShown="0">
  <autoFilter ref="A1:W1501" xr:uid="{00000000-0009-0000-0100-000001000000}"/>
  <sortState xmlns:xlrd2="http://schemas.microsoft.com/office/spreadsheetml/2017/richdata2" ref="A2:W1501">
    <sortCondition ref="A1:A1501"/>
  </sortState>
  <tableColumns count="23">
    <tableColumn id="1" xr3:uid="{00000000-0010-0000-0000-000001000000}" name="Invoice_ID" dataDxfId="35"/>
    <tableColumn id="2" xr3:uid="{00000000-0010-0000-0000-000002000000}" name="Supplier_Name" dataDxfId="34"/>
    <tableColumn id="3" xr3:uid="{00000000-0010-0000-0000-000003000000}" name="Supplier_ID" dataDxfId="33"/>
    <tableColumn id="4" xr3:uid="{00000000-0010-0000-0000-000004000000}" name="Department"/>
    <tableColumn id="5" xr3:uid="{00000000-0010-0000-0000-000005000000}" name="Category" dataDxfId="32"/>
    <tableColumn id="6" xr3:uid="{00000000-0010-0000-0000-000006000000}" name="Invoice_Date" dataDxfId="31"/>
    <tableColumn id="7" xr3:uid="{00000000-0010-0000-0000-000007000000}" name="Due_Date"/>
    <tableColumn id="8" xr3:uid="{00000000-0010-0000-0000-000008000000}" name="Currency" dataDxfId="30"/>
    <tableColumn id="9" xr3:uid="{00000000-0010-0000-0000-000009000000}" name="Invoice_Amount_Local"/>
    <tableColumn id="10" xr3:uid="{00000000-0010-0000-0000-00000A000000}" name="Record_Status" dataDxfId="29"/>
    <tableColumn id="11" xr3:uid="{00000000-0010-0000-0000-00000B000000}" name="Transaction_Key"/>
    <tableColumn id="12" xr3:uid="{00000000-0010-0000-0000-00000C000000}" name="Payment_Terms_Days"/>
    <tableColumn id="13" xr3:uid="{00000000-0010-0000-0000-00000D000000}" name="Supplier_Name.1" dataDxfId="28"/>
    <tableColumn id="14" xr3:uid="{00000000-0010-0000-0000-00000E000000}" name="EUR_to_USD"/>
    <tableColumn id="15" xr3:uid="{00000000-0010-0000-0000-00000F000000}" name="GBP_to_USD"/>
    <tableColumn id="16" xr3:uid="{00000000-0010-0000-0000-000010000000}" name="JPY_to_USD"/>
    <tableColumn id="17" xr3:uid="{00000000-0010-0000-0000-000011000000}" name="FX_Rate_to_USD"/>
    <tableColumn id="18" xr3:uid="{00000000-0010-0000-0000-000012000000}" name="Invoice_Amount_USD"/>
    <tableColumn id="19" xr3:uid="{00000000-0010-0000-0000-000013000000}" name="Budget_Quarter"/>
    <tableColumn id="20" xr3:uid="{00000000-0010-0000-0000-000014000000}" name="Budget_USD_Per_Unit"/>
    <tableColumn id="21" xr3:uid="{00000000-0010-0000-0000-000015000000}" name="Budgeted_Invoice_Amount_USD"/>
    <tableColumn id="22" xr3:uid="{00000000-0010-0000-0000-000016000000}" name="FX_Budget_Variance_USD"/>
    <tableColumn id="23" xr3:uid="{00000000-0010-0000-0000-000017000000}" name="FX_Budget_Variance_Pc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Calendar" displayName="Calendar" ref="A1:D743" totalsRowShown="0">
  <autoFilter ref="A1:D743" xr:uid="{00000000-0009-0000-0100-000009000000}"/>
  <tableColumns count="4">
    <tableColumn id="1" xr3:uid="{00000000-0010-0000-0100-000001000000}" name="Rate_Date"/>
    <tableColumn id="2" xr3:uid="{00000000-0010-0000-0100-000002000000}" name="EUR_to_USD"/>
    <tableColumn id="3" xr3:uid="{00000000-0010-0000-0100-000003000000}" name="GBP_to_USD"/>
    <tableColumn id="4" xr3:uid="{00000000-0010-0000-0100-000004000000}" name="JPY_to_US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ECB_FX_Rates" displayName="ECB_FX_Rates" ref="A1:G458" totalsRowShown="0">
  <autoFilter ref="A1:G458" xr:uid="{00000000-0009-0000-0100-000007000000}"/>
  <tableColumns count="7">
    <tableColumn id="1" xr3:uid="{00000000-0010-0000-0200-000001000000}" name="Rate_Date" dataDxfId="27"/>
    <tableColumn id="2" xr3:uid="{00000000-0010-0000-0200-000002000000}" name="GBP"/>
    <tableColumn id="3" xr3:uid="{00000000-0010-0000-0200-000003000000}" name="JPY"/>
    <tableColumn id="4" xr3:uid="{00000000-0010-0000-0200-000004000000}" name="USD"/>
    <tableColumn id="5" xr3:uid="{00000000-0010-0000-0200-000005000000}" name="EUR_to_USD"/>
    <tableColumn id="6" xr3:uid="{00000000-0010-0000-0200-000006000000}" name="GBP_to_USD"/>
    <tableColumn id="7" xr3:uid="{00000000-0010-0000-0200-000007000000}" name="JPY_to_USD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suppliers" displayName="suppliers" ref="A1:J19" totalsRowShown="0">
  <autoFilter ref="A1:J19" xr:uid="{00000000-0009-0000-0100-000002000000}"/>
  <tableColumns count="10">
    <tableColumn id="1" xr3:uid="{00000000-0010-0000-0300-000001000000}" name="Supplier_ID" dataDxfId="26"/>
    <tableColumn id="2" xr3:uid="{00000000-0010-0000-0300-000002000000}" name="Supplier_Name" dataDxfId="25"/>
    <tableColumn id="3" xr3:uid="{00000000-0010-0000-0300-000003000000}" name="Country" dataDxfId="24"/>
    <tableColumn id="4" xr3:uid="{00000000-0010-0000-0300-000004000000}" name="Currency" dataDxfId="23"/>
    <tableColumn id="5" xr3:uid="{00000000-0010-0000-0300-000005000000}" name="Category" dataDxfId="22"/>
    <tableColumn id="6" xr3:uid="{00000000-0010-0000-0300-000006000000}" name="Default_Department" dataDxfId="21"/>
    <tableColumn id="7" xr3:uid="{00000000-0010-0000-0300-000007000000}" name="Payment_Terms_Days"/>
    <tableColumn id="8" xr3:uid="{00000000-0010-0000-0300-000008000000}" name="Typical_Invoice_Min"/>
    <tableColumn id="9" xr3:uid="{00000000-0010-0000-0300-000009000000}" name="Typical_Invoice_Max"/>
    <tableColumn id="10" xr3:uid="{00000000-0010-0000-0300-00000A000000}" name="Relative_Frequenc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budget_rates_synthetic" displayName="budget_rates_synthetic" ref="A1:C25" totalsRowShown="0">
  <autoFilter ref="A1:C25" xr:uid="{00000000-0009-0000-0100-000008000000}"/>
  <tableColumns count="3">
    <tableColumn id="1" xr3:uid="{00000000-0010-0000-0400-000001000000}" name="Budget_Quarter" dataDxfId="20"/>
    <tableColumn id="2" xr3:uid="{00000000-0010-0000-0400-000002000000}" name="Currency" dataDxfId="19"/>
    <tableColumn id="3" xr3:uid="{00000000-0010-0000-0400-000003000000}" name="Budget_USD_Per_Uni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Key_Validation" displayName="Key_Validation" ref="A1:W1501" totalsRowShown="0">
  <autoFilter ref="A1:W1501" xr:uid="{00000000-0009-0000-0100-000004000000}"/>
  <tableColumns count="23">
    <tableColumn id="1" xr3:uid="{00000000-0010-0000-0500-000001000000}" name="Invoice_ID" dataDxfId="18"/>
    <tableColumn id="2" xr3:uid="{00000000-0010-0000-0500-000002000000}" name="Supplier_Name" dataDxfId="17"/>
    <tableColumn id="3" xr3:uid="{00000000-0010-0000-0500-000003000000}" name="Supplier_ID" dataDxfId="16"/>
    <tableColumn id="4" xr3:uid="{00000000-0010-0000-0500-000004000000}" name="Department"/>
    <tableColumn id="5" xr3:uid="{00000000-0010-0000-0500-000005000000}" name="Category" dataDxfId="15"/>
    <tableColumn id="6" xr3:uid="{00000000-0010-0000-0500-000006000000}" name="Invoice_Date" dataDxfId="14"/>
    <tableColumn id="7" xr3:uid="{00000000-0010-0000-0500-000007000000}" name="Due_Date"/>
    <tableColumn id="8" xr3:uid="{00000000-0010-0000-0500-000008000000}" name="Currency" dataDxfId="13"/>
    <tableColumn id="9" xr3:uid="{00000000-0010-0000-0500-000009000000}" name="Invoice_Amount_Local"/>
    <tableColumn id="10" xr3:uid="{00000000-0010-0000-0500-00000A000000}" name="Record_Status" dataDxfId="12"/>
    <tableColumn id="11" xr3:uid="{00000000-0010-0000-0500-00000B000000}" name="Transaction_Key"/>
    <tableColumn id="12" xr3:uid="{00000000-0010-0000-0500-00000C000000}" name="Payment_Terms_Days"/>
    <tableColumn id="13" xr3:uid="{00000000-0010-0000-0500-00000D000000}" name="Supplier_Name.1" dataDxfId="11"/>
    <tableColumn id="14" xr3:uid="{00000000-0010-0000-0500-00000E000000}" name="EUR_to_USD"/>
    <tableColumn id="15" xr3:uid="{00000000-0010-0000-0500-00000F000000}" name="GBP_to_USD"/>
    <tableColumn id="16" xr3:uid="{00000000-0010-0000-0500-000010000000}" name="JPY_to_USD"/>
    <tableColumn id="17" xr3:uid="{00000000-0010-0000-0500-000011000000}" name="FX_Rate_to_USD"/>
    <tableColumn id="18" xr3:uid="{00000000-0010-0000-0500-000012000000}" name="Invoice_Amount_USD"/>
    <tableColumn id="19" xr3:uid="{00000000-0010-0000-0500-000013000000}" name="Budget_Quarter"/>
    <tableColumn id="20" xr3:uid="{00000000-0010-0000-0500-000014000000}" name="Budget_USD_Per_Unit"/>
    <tableColumn id="21" xr3:uid="{00000000-0010-0000-0500-000015000000}" name="Budgeted_Invoice_Amount_USD"/>
    <tableColumn id="22" xr3:uid="{00000000-0010-0000-0500-000016000000}" name="FX_Budget_Variance_USD"/>
    <tableColumn id="23" xr3:uid="{00000000-0010-0000-0500-000017000000}" name="FX_Budget_Variance_Pc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Duplicate_Investigation" displayName="Duplicate_Investigation" ref="A1:G31" totalsRowShown="0">
  <autoFilter ref="A1:G31" xr:uid="{00000000-0009-0000-0100-000003000000}"/>
  <tableColumns count="7">
    <tableColumn id="1" xr3:uid="{00000000-0010-0000-0600-000001000000}" name="Invoice_ID" dataDxfId="10"/>
    <tableColumn id="2" xr3:uid="{00000000-0010-0000-0600-000002000000}" name="Count"/>
    <tableColumn id="3" xr3:uid="{00000000-0010-0000-0600-000003000000}" name="Supplier_ID" dataDxfId="9"/>
    <tableColumn id="4" xr3:uid="{00000000-0010-0000-0600-000004000000}" name="Invoice_Date" dataDxfId="8"/>
    <tableColumn id="5" xr3:uid="{00000000-0010-0000-0600-000005000000}" name="Due_Date"/>
    <tableColumn id="6" xr3:uid="{00000000-0010-0000-0600-000006000000}" name="Currency" dataDxfId="7"/>
    <tableColumn id="7" xr3:uid="{00000000-0010-0000-0600-000007000000}" name="Invoice_Amount_Local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Department_Investigation" displayName="Department_Investigation" ref="A1:C19" totalsRowShown="0">
  <autoFilter ref="A1:C19" xr:uid="{00000000-0009-0000-0100-000005000000}"/>
  <tableColumns count="3">
    <tableColumn id="1" xr3:uid="{00000000-0010-0000-0700-000001000000}" name="Supplier_ID" dataDxfId="6"/>
    <tableColumn id="2" xr3:uid="{00000000-0010-0000-0700-000002000000}" name="Department"/>
    <tableColumn id="3" xr3:uid="{00000000-0010-0000-0700-000003000000}" name="Invoice_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9"/>
  <sheetViews>
    <sheetView workbookViewId="0">
      <selection activeCell="D14" sqref="D14"/>
    </sheetView>
  </sheetViews>
  <sheetFormatPr defaultRowHeight="15" x14ac:dyDescent="0.25"/>
  <cols>
    <col min="1" max="1" width="26.28515625" customWidth="1"/>
    <col min="2" max="2" width="18.7109375" style="4" customWidth="1"/>
    <col min="3" max="3" width="21.85546875" style="4" customWidth="1"/>
    <col min="4" max="4" width="18.85546875" style="4" customWidth="1"/>
    <col min="6" max="6" width="20.140625" customWidth="1"/>
    <col min="7" max="7" width="18.7109375" customWidth="1"/>
    <col min="8" max="8" width="17.28515625" customWidth="1"/>
    <col min="9" max="10" width="12.7109375" customWidth="1"/>
    <col min="12" max="12" width="18" customWidth="1"/>
    <col min="13" max="13" width="20.7109375" customWidth="1"/>
    <col min="14" max="14" width="18" customWidth="1"/>
    <col min="16" max="17" width="22" customWidth="1"/>
  </cols>
  <sheetData>
    <row r="2" spans="1:17" ht="18.75" x14ac:dyDescent="0.3">
      <c r="A2" s="5" t="s">
        <v>0</v>
      </c>
      <c r="F2" s="5" t="s">
        <v>1</v>
      </c>
      <c r="L2" s="8" t="s">
        <v>7</v>
      </c>
      <c r="M2" s="8" t="s">
        <v>3104</v>
      </c>
      <c r="N2" s="8" t="s">
        <v>3105</v>
      </c>
      <c r="P2" s="8" t="s">
        <v>17</v>
      </c>
      <c r="Q2" s="8" t="s">
        <v>3106</v>
      </c>
    </row>
    <row r="3" spans="1:17" x14ac:dyDescent="0.25">
      <c r="A3" s="21" t="s">
        <v>2</v>
      </c>
      <c r="B3" s="3" t="s">
        <v>3</v>
      </c>
      <c r="C3" s="3" t="s">
        <v>4</v>
      </c>
      <c r="D3" t="s">
        <v>5</v>
      </c>
      <c r="F3" t="s">
        <v>5</v>
      </c>
      <c r="G3" t="s">
        <v>2</v>
      </c>
      <c r="L3" t="s">
        <v>11</v>
      </c>
      <c r="M3" s="9">
        <v>20488.581696587047</v>
      </c>
      <c r="N3" s="9">
        <v>0</v>
      </c>
      <c r="P3" t="s">
        <v>26</v>
      </c>
      <c r="Q3" s="10">
        <v>2565901.5701863612</v>
      </c>
    </row>
    <row r="4" spans="1:17" x14ac:dyDescent="0.25">
      <c r="A4" s="2" t="s">
        <v>6</v>
      </c>
      <c r="B4" s="3">
        <v>17092955.728554003</v>
      </c>
      <c r="C4" s="3">
        <v>16260580.691599999</v>
      </c>
      <c r="D4" s="3">
        <v>832375.03695399966</v>
      </c>
      <c r="F4" t="s">
        <v>7</v>
      </c>
      <c r="G4" t="s">
        <v>6</v>
      </c>
      <c r="H4" t="s">
        <v>8</v>
      </c>
      <c r="I4" t="s">
        <v>9</v>
      </c>
      <c r="J4" t="s">
        <v>10</v>
      </c>
      <c r="L4" t="s">
        <v>12</v>
      </c>
      <c r="M4" s="9">
        <v>206967.04993822373</v>
      </c>
      <c r="N4" s="9">
        <v>0</v>
      </c>
      <c r="P4" t="s">
        <v>25</v>
      </c>
      <c r="Q4" s="10">
        <v>3001621.8352989997</v>
      </c>
    </row>
    <row r="5" spans="1:17" x14ac:dyDescent="0.25">
      <c r="A5" s="2" t="s">
        <v>8</v>
      </c>
      <c r="B5" s="3">
        <v>5192040.5437915549</v>
      </c>
      <c r="C5" s="3">
        <v>4983795.093279995</v>
      </c>
      <c r="D5" s="3">
        <v>208245.45051155775</v>
      </c>
      <c r="F5" s="2" t="s">
        <v>11</v>
      </c>
      <c r="G5" s="3">
        <v>962.88773099994387</v>
      </c>
      <c r="H5" s="3">
        <v>14931.325430132791</v>
      </c>
      <c r="I5" s="3">
        <v>4594.3685354543131</v>
      </c>
      <c r="J5" s="3">
        <v>20488.581696587047</v>
      </c>
      <c r="L5" t="s">
        <v>13</v>
      </c>
      <c r="M5" s="9">
        <v>153539.34185348178</v>
      </c>
      <c r="N5" s="9">
        <v>0</v>
      </c>
      <c r="P5" t="s">
        <v>24</v>
      </c>
      <c r="Q5" s="10">
        <v>3444955.3254670012</v>
      </c>
    </row>
    <row r="6" spans="1:17" x14ac:dyDescent="0.25">
      <c r="A6" s="2" t="s">
        <v>9</v>
      </c>
      <c r="B6" s="3">
        <v>8747553.8482927401</v>
      </c>
      <c r="C6" s="3">
        <v>9075043.8457759954</v>
      </c>
      <c r="D6" s="3">
        <v>-327489.99748325354</v>
      </c>
      <c r="F6" s="2" t="s">
        <v>12</v>
      </c>
      <c r="G6" s="3">
        <v>126985.02899899991</v>
      </c>
      <c r="H6" s="3">
        <v>52438.431368201629</v>
      </c>
      <c r="I6" s="3">
        <v>27543.589571022181</v>
      </c>
      <c r="J6" s="3">
        <v>206967.04993822373</v>
      </c>
      <c r="L6" t="s">
        <v>14</v>
      </c>
      <c r="M6" s="9">
        <v>21765.007316986303</v>
      </c>
      <c r="N6" s="9">
        <v>0</v>
      </c>
      <c r="P6" t="s">
        <v>22</v>
      </c>
      <c r="Q6" s="10">
        <v>3571866.5552871865</v>
      </c>
    </row>
    <row r="7" spans="1:17" x14ac:dyDescent="0.25">
      <c r="A7" s="2" t="s">
        <v>10</v>
      </c>
      <c r="B7" s="3">
        <v>31032550.120638296</v>
      </c>
      <c r="C7" s="3">
        <v>30319419.630655989</v>
      </c>
      <c r="D7" s="3">
        <v>713130.48998230393</v>
      </c>
      <c r="F7" s="2" t="s">
        <v>13</v>
      </c>
      <c r="G7" s="3">
        <v>143663.84122699994</v>
      </c>
      <c r="H7" s="3">
        <v>33508.164901830562</v>
      </c>
      <c r="I7" s="3">
        <v>-23632.66427534871</v>
      </c>
      <c r="J7" s="3">
        <v>153539.34185348178</v>
      </c>
      <c r="L7" t="s">
        <v>16</v>
      </c>
      <c r="M7" s="9">
        <v>221935.28477535775</v>
      </c>
      <c r="N7" s="9">
        <v>0</v>
      </c>
      <c r="P7" t="s">
        <v>20</v>
      </c>
      <c r="Q7" s="10">
        <v>4892945.5152520016</v>
      </c>
    </row>
    <row r="8" spans="1:17" x14ac:dyDescent="0.25">
      <c r="B8"/>
      <c r="F8" s="2" t="s">
        <v>14</v>
      </c>
      <c r="G8" s="3">
        <v>85401.937717999885</v>
      </c>
      <c r="H8" s="3">
        <v>11852.952666501038</v>
      </c>
      <c r="I8" s="3">
        <v>-75489.883067514616</v>
      </c>
      <c r="J8" s="3">
        <v>21765.007316986303</v>
      </c>
      <c r="L8" t="s">
        <v>19</v>
      </c>
      <c r="M8" s="9">
        <v>118989.38086976486</v>
      </c>
      <c r="N8" s="9">
        <v>0</v>
      </c>
    </row>
    <row r="9" spans="1:17" ht="18.75" x14ac:dyDescent="0.3">
      <c r="A9" s="5" t="s">
        <v>15</v>
      </c>
      <c r="F9" s="2" t="s">
        <v>16</v>
      </c>
      <c r="G9" s="3">
        <v>202418.22723900009</v>
      </c>
      <c r="H9" s="3">
        <v>43189.615670179686</v>
      </c>
      <c r="I9" s="3">
        <v>-23672.558133822033</v>
      </c>
      <c r="J9" s="3">
        <v>221935.28477535775</v>
      </c>
      <c r="L9" t="s">
        <v>21</v>
      </c>
      <c r="M9" s="9">
        <v>56896.525637795246</v>
      </c>
      <c r="N9" s="9">
        <v>0</v>
      </c>
    </row>
    <row r="10" spans="1:17" x14ac:dyDescent="0.25">
      <c r="A10" t="s">
        <v>17</v>
      </c>
      <c r="B10" s="3" t="s">
        <v>3</v>
      </c>
      <c r="C10" s="3" t="s">
        <v>18</v>
      </c>
      <c r="F10" s="2" t="s">
        <v>19</v>
      </c>
      <c r="G10" s="3">
        <v>152787.18603600009</v>
      </c>
      <c r="H10" s="3">
        <v>33068.108499693648</v>
      </c>
      <c r="I10" s="3">
        <v>-66865.913665928878</v>
      </c>
      <c r="J10" s="3">
        <v>118989.38086976486</v>
      </c>
      <c r="L10" t="s">
        <v>23</v>
      </c>
      <c r="M10" s="9">
        <v>0</v>
      </c>
      <c r="N10" s="9">
        <v>-87450.682105892905</v>
      </c>
    </row>
    <row r="11" spans="1:17" x14ac:dyDescent="0.25">
      <c r="A11" s="2" t="s">
        <v>20</v>
      </c>
      <c r="B11" s="3">
        <v>4892945.5152520016</v>
      </c>
      <c r="C11" s="3">
        <v>236645.03746199986</v>
      </c>
      <c r="F11" s="2" t="s">
        <v>21</v>
      </c>
      <c r="G11" s="3">
        <v>122300.19085600006</v>
      </c>
      <c r="H11" s="3">
        <v>16545.930587456412</v>
      </c>
      <c r="I11" s="3">
        <v>-81949.595805661229</v>
      </c>
      <c r="J11" s="3">
        <v>56896.525637795246</v>
      </c>
    </row>
    <row r="12" spans="1:17" x14ac:dyDescent="0.25">
      <c r="A12" s="2" t="s">
        <v>22</v>
      </c>
      <c r="B12" s="3">
        <v>3571866.5552871865</v>
      </c>
      <c r="C12" s="3">
        <v>-142762.77293641408</v>
      </c>
      <c r="F12" s="2" t="s">
        <v>23</v>
      </c>
      <c r="G12" s="3">
        <v>-2144.2628520001567</v>
      </c>
      <c r="H12" s="3">
        <v>2710.9213875619198</v>
      </c>
      <c r="I12" s="3">
        <v>-88017.340641454663</v>
      </c>
      <c r="J12" s="3">
        <v>-87450.682105892905</v>
      </c>
    </row>
    <row r="13" spans="1:17" x14ac:dyDescent="0.25">
      <c r="A13" s="2" t="s">
        <v>24</v>
      </c>
      <c r="B13" s="3">
        <v>3444955.3254670012</v>
      </c>
      <c r="C13" s="3">
        <v>169147.58931699989</v>
      </c>
      <c r="F13" s="6" t="s">
        <v>10</v>
      </c>
      <c r="G13" s="3">
        <v>832375.03695399966</v>
      </c>
      <c r="H13" s="3">
        <v>208245.45051155769</v>
      </c>
      <c r="I13" s="3">
        <v>-327489.99748325365</v>
      </c>
      <c r="J13" s="3">
        <v>713130.48998230381</v>
      </c>
    </row>
    <row r="14" spans="1:17" x14ac:dyDescent="0.25">
      <c r="A14" s="2" t="s">
        <v>25</v>
      </c>
      <c r="B14" s="3">
        <v>3001621.8352989997</v>
      </c>
      <c r="C14" s="3">
        <v>152832.79386899996</v>
      </c>
    </row>
    <row r="15" spans="1:17" ht="18.75" x14ac:dyDescent="0.3">
      <c r="A15" s="2" t="s">
        <v>26</v>
      </c>
      <c r="B15" s="3">
        <v>2565901.5701863612</v>
      </c>
      <c r="C15" s="3">
        <v>103320.32210636021</v>
      </c>
      <c r="F15" s="5" t="s">
        <v>27</v>
      </c>
    </row>
    <row r="16" spans="1:17" x14ac:dyDescent="0.25">
      <c r="A16" s="2" t="s">
        <v>28</v>
      </c>
      <c r="B16" s="3">
        <v>1948886.9944234723</v>
      </c>
      <c r="C16" s="3">
        <v>-70199.547449927588</v>
      </c>
      <c r="F16" t="s">
        <v>29</v>
      </c>
      <c r="G16" t="s">
        <v>3</v>
      </c>
      <c r="H16" t="s">
        <v>5</v>
      </c>
    </row>
    <row r="17" spans="1:8" x14ac:dyDescent="0.25">
      <c r="A17" s="2" t="s">
        <v>30</v>
      </c>
      <c r="B17" s="3">
        <v>1707879.0424999192</v>
      </c>
      <c r="C17" s="3">
        <v>-59895.240529281291</v>
      </c>
      <c r="F17" s="2" t="s">
        <v>31</v>
      </c>
      <c r="G17" s="3">
        <v>27170520.054115221</v>
      </c>
      <c r="H17" s="3">
        <v>664604.96465901984</v>
      </c>
    </row>
    <row r="18" spans="1:8" x14ac:dyDescent="0.25">
      <c r="A18" s="2" t="s">
        <v>32</v>
      </c>
      <c r="B18" s="3">
        <v>1691186.557115</v>
      </c>
      <c r="C18" s="3">
        <v>83279.638574999932</v>
      </c>
      <c r="F18" s="2" t="s">
        <v>33</v>
      </c>
      <c r="G18" s="3">
        <v>3050157.5666313097</v>
      </c>
      <c r="H18" s="3">
        <v>11893.108701510071</v>
      </c>
    </row>
    <row r="19" spans="1:8" x14ac:dyDescent="0.25">
      <c r="A19" s="2" t="s">
        <v>34</v>
      </c>
      <c r="B19" s="3">
        <v>1489426.3408152841</v>
      </c>
      <c r="C19" s="3">
        <v>58763.60546528385</v>
      </c>
      <c r="F19" s="2" t="s">
        <v>35</v>
      </c>
      <c r="G19" s="3">
        <v>811872.49989177252</v>
      </c>
      <c r="H19" s="3">
        <v>36632.416621772849</v>
      </c>
    </row>
    <row r="20" spans="1:8" x14ac:dyDescent="0.25">
      <c r="A20" s="2" t="s">
        <v>36</v>
      </c>
      <c r="B20" s="3">
        <v>1475347.5495019997</v>
      </c>
      <c r="C20" s="3">
        <v>71653.566131999978</v>
      </c>
      <c r="F20" s="6" t="s">
        <v>10</v>
      </c>
      <c r="G20" s="3">
        <v>31032550.120638303</v>
      </c>
      <c r="H20" s="3">
        <v>713130.48998230277</v>
      </c>
    </row>
    <row r="21" spans="1:8" x14ac:dyDescent="0.25">
      <c r="A21" s="2" t="s">
        <v>37</v>
      </c>
      <c r="B21" s="3">
        <v>1380502.7682680001</v>
      </c>
      <c r="C21" s="3">
        <v>61819.972647999974</v>
      </c>
    </row>
    <row r="22" spans="1:8" x14ac:dyDescent="0.25">
      <c r="A22" s="2" t="s">
        <v>38</v>
      </c>
      <c r="B22" s="3">
        <v>822172.15941399976</v>
      </c>
      <c r="C22" s="3">
        <v>37040.057033999969</v>
      </c>
    </row>
    <row r="23" spans="1:8" x14ac:dyDescent="0.25">
      <c r="A23" s="2" t="s">
        <v>39</v>
      </c>
      <c r="B23" s="3">
        <v>709064.15113514091</v>
      </c>
      <c r="C23" s="3">
        <v>29485.488235140721</v>
      </c>
    </row>
    <row r="24" spans="1:8" x14ac:dyDescent="0.25">
      <c r="A24" s="2" t="s">
        <v>40</v>
      </c>
      <c r="B24" s="3">
        <v>702022.73219090747</v>
      </c>
      <c r="C24" s="3">
        <v>-27270.12073569253</v>
      </c>
    </row>
    <row r="25" spans="1:8" x14ac:dyDescent="0.25">
      <c r="A25" s="2" t="s">
        <v>41</v>
      </c>
      <c r="B25" s="3">
        <v>476281.32820635103</v>
      </c>
      <c r="C25" s="3">
        <v>-16051.893628848926</v>
      </c>
    </row>
    <row r="26" spans="1:8" x14ac:dyDescent="0.25">
      <c r="A26" s="2" t="s">
        <v>42</v>
      </c>
      <c r="B26" s="3">
        <v>427648.48165477294</v>
      </c>
      <c r="C26" s="3">
        <v>16676.034704772857</v>
      </c>
    </row>
    <row r="27" spans="1:8" x14ac:dyDescent="0.25">
      <c r="A27" s="2" t="s">
        <v>43</v>
      </c>
      <c r="B27" s="3">
        <v>384224.01823700004</v>
      </c>
      <c r="C27" s="3">
        <v>19956.381916999992</v>
      </c>
    </row>
    <row r="28" spans="1:8" x14ac:dyDescent="0.25">
      <c r="A28" s="2" t="s">
        <v>44</v>
      </c>
      <c r="B28" s="3">
        <v>340617.19568491093</v>
      </c>
      <c r="C28" s="3">
        <v>-11310.422203089183</v>
      </c>
    </row>
    <row r="29" spans="1:8" x14ac:dyDescent="0.25">
      <c r="A29" s="2" t="s">
        <v>10</v>
      </c>
      <c r="B29" s="3">
        <v>31032550.120638311</v>
      </c>
      <c r="C29" s="3">
        <v>713130.48998230358</v>
      </c>
    </row>
  </sheetData>
  <conditionalFormatting sqref="G5:J12 C11:C28 H17:H19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showGridLines="0" tabSelected="1" zoomScaleNormal="100" workbookViewId="0">
      <selection activeCell="V10" sqref="V10"/>
    </sheetView>
  </sheetViews>
  <sheetFormatPr defaultRowHeight="15" x14ac:dyDescent="0.25"/>
  <sheetData>
    <row r="1" spans="1:12" ht="15" customHeight="1" x14ac:dyDescent="0.25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8.75" x14ac:dyDescent="0.25">
      <c r="A3" s="15" t="s">
        <v>46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8.75" customHeight="1" x14ac:dyDescent="0.25">
      <c r="A5" s="16" t="s">
        <v>47</v>
      </c>
      <c r="B5" s="17"/>
      <c r="C5" s="17"/>
      <c r="D5" s="16" t="s">
        <v>48</v>
      </c>
      <c r="E5" s="17"/>
      <c r="F5" s="17"/>
      <c r="G5" s="16" t="s">
        <v>49</v>
      </c>
      <c r="H5" s="17"/>
      <c r="I5" s="17"/>
      <c r="J5" s="16" t="s">
        <v>50</v>
      </c>
      <c r="K5" s="16"/>
      <c r="L5" s="16"/>
    </row>
    <row r="6" spans="1:12" ht="18.7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6"/>
      <c r="K6" s="16"/>
      <c r="L6" s="16"/>
    </row>
    <row r="7" spans="1:12" ht="18.75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6"/>
      <c r="K7" s="16"/>
      <c r="L7" s="16"/>
    </row>
    <row r="8" spans="1:12" x14ac:dyDescent="0.25">
      <c r="A8" s="11">
        <f>Analysis!B7</f>
        <v>31032550.120638296</v>
      </c>
      <c r="B8" s="11"/>
      <c r="C8" s="11"/>
      <c r="D8" s="11">
        <f>Analysis!C7</f>
        <v>30319419.630655989</v>
      </c>
      <c r="E8" s="11"/>
      <c r="F8" s="11"/>
      <c r="G8" s="12">
        <f>Analysis!D7</f>
        <v>713130.48998230393</v>
      </c>
      <c r="H8" s="12"/>
      <c r="I8" s="12"/>
      <c r="J8" s="13">
        <f>Analysis!D7/Analysis!C7</f>
        <v>2.3520585112429299E-2</v>
      </c>
      <c r="K8" s="13"/>
      <c r="L8" s="13"/>
    </row>
    <row r="9" spans="1:12" x14ac:dyDescent="0.25">
      <c r="A9" s="11"/>
      <c r="B9" s="11"/>
      <c r="C9" s="11"/>
      <c r="D9" s="11"/>
      <c r="E9" s="11"/>
      <c r="F9" s="11"/>
      <c r="G9" s="12"/>
      <c r="H9" s="12"/>
      <c r="I9" s="12"/>
      <c r="J9" s="13"/>
      <c r="K9" s="13"/>
      <c r="L9" s="13"/>
    </row>
    <row r="10" spans="1:12" x14ac:dyDescent="0.25">
      <c r="A10" s="11"/>
      <c r="B10" s="11"/>
      <c r="C10" s="11"/>
      <c r="D10" s="11"/>
      <c r="E10" s="11"/>
      <c r="F10" s="11"/>
      <c r="G10" s="12"/>
      <c r="H10" s="12"/>
      <c r="I10" s="12"/>
      <c r="J10" s="13"/>
      <c r="K10" s="13"/>
      <c r="L10" s="13"/>
    </row>
    <row r="29" spans="14:19" ht="20.100000000000001" customHeight="1" x14ac:dyDescent="0.25">
      <c r="N29" s="18" t="s">
        <v>3107</v>
      </c>
      <c r="O29" s="19"/>
      <c r="P29" s="19"/>
      <c r="Q29" s="19"/>
      <c r="R29" s="19"/>
      <c r="S29" s="20"/>
    </row>
    <row r="30" spans="14:19" ht="20.100000000000001" customHeight="1" x14ac:dyDescent="0.25">
      <c r="N30" s="22"/>
      <c r="O30" s="23"/>
      <c r="P30" s="23"/>
      <c r="Q30" s="23"/>
      <c r="R30" s="23"/>
      <c r="S30" s="24"/>
    </row>
    <row r="31" spans="14:19" ht="20.100000000000001" customHeight="1" x14ac:dyDescent="0.25">
      <c r="N31" s="25" t="s">
        <v>3108</v>
      </c>
      <c r="O31" s="26"/>
      <c r="P31" s="26"/>
      <c r="Q31" s="26"/>
      <c r="R31" s="26"/>
      <c r="S31" s="27"/>
    </row>
    <row r="32" spans="14:19" ht="20.100000000000001" customHeight="1" x14ac:dyDescent="0.25">
      <c r="N32" s="25"/>
      <c r="O32" s="26"/>
      <c r="P32" s="26"/>
      <c r="Q32" s="26"/>
      <c r="R32" s="26"/>
      <c r="S32" s="27"/>
    </row>
    <row r="33" spans="14:19" ht="20.100000000000001" customHeight="1" x14ac:dyDescent="0.25">
      <c r="N33" s="25"/>
      <c r="O33" s="26"/>
      <c r="P33" s="26"/>
      <c r="Q33" s="26"/>
      <c r="R33" s="26"/>
      <c r="S33" s="27"/>
    </row>
    <row r="34" spans="14:19" ht="20.100000000000001" customHeight="1" x14ac:dyDescent="0.25">
      <c r="N34" s="28"/>
      <c r="O34" s="29"/>
      <c r="P34" s="29"/>
      <c r="Q34" s="29"/>
      <c r="R34" s="29"/>
      <c r="S34" s="30"/>
    </row>
    <row r="35" spans="14:19" ht="20.100000000000001" customHeight="1" x14ac:dyDescent="0.25">
      <c r="N35" s="25" t="s">
        <v>3109</v>
      </c>
      <c r="O35" s="26"/>
      <c r="P35" s="26"/>
      <c r="Q35" s="26"/>
      <c r="R35" s="26"/>
      <c r="S35" s="27"/>
    </row>
    <row r="36" spans="14:19" ht="20.100000000000001" customHeight="1" x14ac:dyDescent="0.25">
      <c r="N36" s="25"/>
      <c r="O36" s="26"/>
      <c r="P36" s="26"/>
      <c r="Q36" s="26"/>
      <c r="R36" s="26"/>
      <c r="S36" s="27"/>
    </row>
    <row r="37" spans="14:19" ht="20.100000000000001" customHeight="1" x14ac:dyDescent="0.25">
      <c r="N37" s="25"/>
      <c r="O37" s="26"/>
      <c r="P37" s="26"/>
      <c r="Q37" s="26"/>
      <c r="R37" s="26"/>
      <c r="S37" s="27"/>
    </row>
    <row r="38" spans="14:19" ht="20.100000000000001" customHeight="1" x14ac:dyDescent="0.25">
      <c r="N38" s="28"/>
      <c r="O38" s="29"/>
      <c r="P38" s="29"/>
      <c r="Q38" s="29"/>
      <c r="R38" s="29"/>
      <c r="S38" s="30"/>
    </row>
    <row r="39" spans="14:19" ht="20.100000000000001" customHeight="1" x14ac:dyDescent="0.25">
      <c r="N39" s="25" t="s">
        <v>3110</v>
      </c>
      <c r="O39" s="26"/>
      <c r="P39" s="26"/>
      <c r="Q39" s="26"/>
      <c r="R39" s="26"/>
      <c r="S39" s="27"/>
    </row>
    <row r="40" spans="14:19" ht="20.100000000000001" customHeight="1" x14ac:dyDescent="0.25">
      <c r="N40" s="25"/>
      <c r="O40" s="26"/>
      <c r="P40" s="26"/>
      <c r="Q40" s="26"/>
      <c r="R40" s="26"/>
      <c r="S40" s="27"/>
    </row>
    <row r="41" spans="14:19" ht="20.100000000000001" customHeight="1" x14ac:dyDescent="0.25">
      <c r="N41" s="25"/>
      <c r="O41" s="26"/>
      <c r="P41" s="26"/>
      <c r="Q41" s="26"/>
      <c r="R41" s="26"/>
      <c r="S41" s="27"/>
    </row>
    <row r="42" spans="14:19" ht="20.100000000000001" customHeight="1" x14ac:dyDescent="0.3">
      <c r="N42" s="31"/>
      <c r="O42" s="32"/>
      <c r="P42" s="32"/>
      <c r="Q42" s="32"/>
      <c r="R42" s="32"/>
      <c r="S42" s="33"/>
    </row>
    <row r="43" spans="14:19" ht="20.100000000000001" customHeight="1" x14ac:dyDescent="0.25">
      <c r="N43" s="34"/>
      <c r="O43" s="35"/>
      <c r="P43" s="35"/>
      <c r="Q43" s="35"/>
      <c r="R43" s="35"/>
      <c r="S43" s="36"/>
    </row>
  </sheetData>
  <mergeCells count="14">
    <mergeCell ref="N29:S29"/>
    <mergeCell ref="N31:S33"/>
    <mergeCell ref="N35:S37"/>
    <mergeCell ref="N39:S41"/>
    <mergeCell ref="A8:C10"/>
    <mergeCell ref="D8:F10"/>
    <mergeCell ref="G8:I10"/>
    <mergeCell ref="J8:L10"/>
    <mergeCell ref="A1:L2"/>
    <mergeCell ref="A3:L3"/>
    <mergeCell ref="A5:C7"/>
    <mergeCell ref="D5:F7"/>
    <mergeCell ref="G5:I7"/>
    <mergeCell ref="J5:L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01"/>
  <sheetViews>
    <sheetView workbookViewId="0"/>
  </sheetViews>
  <sheetFormatPr defaultRowHeight="15" x14ac:dyDescent="0.25"/>
  <cols>
    <col min="1" max="1" width="12.7109375" customWidth="1"/>
    <col min="2" max="2" width="26.28515625" customWidth="1"/>
    <col min="3" max="3" width="13.7109375" customWidth="1"/>
    <col min="4" max="4" width="14.140625" customWidth="1"/>
    <col min="5" max="5" width="12.140625" customWidth="1"/>
    <col min="6" max="6" width="15" customWidth="1"/>
    <col min="7" max="7" width="12.140625" customWidth="1"/>
    <col min="8" max="8" width="11.5703125" customWidth="1"/>
    <col min="9" max="9" width="23.7109375" customWidth="1"/>
    <col min="10" max="10" width="16.42578125" customWidth="1"/>
    <col min="11" max="11" width="18" customWidth="1"/>
    <col min="12" max="12" width="23.140625" customWidth="1"/>
    <col min="13" max="13" width="26.28515625" customWidth="1"/>
    <col min="14" max="15" width="14.42578125" customWidth="1"/>
    <col min="16" max="16" width="13.7109375" customWidth="1"/>
    <col min="17" max="17" width="18" customWidth="1"/>
    <col min="18" max="18" width="22.7109375" customWidth="1"/>
    <col min="19" max="19" width="17.42578125" customWidth="1"/>
    <col min="20" max="20" width="23" customWidth="1"/>
    <col min="21" max="21" width="32.5703125" customWidth="1"/>
    <col min="22" max="22" width="26.28515625" customWidth="1"/>
    <col min="23" max="23" width="25.28515625" customWidth="1"/>
  </cols>
  <sheetData>
    <row r="1" spans="1:23" x14ac:dyDescent="0.25">
      <c r="A1" t="s">
        <v>51</v>
      </c>
      <c r="B1" t="s">
        <v>52</v>
      </c>
      <c r="C1" t="s">
        <v>53</v>
      </c>
      <c r="D1" t="s">
        <v>29</v>
      </c>
      <c r="E1" t="s">
        <v>54</v>
      </c>
      <c r="F1" t="s">
        <v>55</v>
      </c>
      <c r="G1" t="s">
        <v>56</v>
      </c>
      <c r="H1" t="s">
        <v>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</row>
    <row r="2" spans="1:23" x14ac:dyDescent="0.25">
      <c r="A2" t="s">
        <v>72</v>
      </c>
      <c r="B2" t="s">
        <v>24</v>
      </c>
      <c r="C2" t="s">
        <v>73</v>
      </c>
      <c r="D2" t="s">
        <v>31</v>
      </c>
      <c r="E2" t="s">
        <v>74</v>
      </c>
      <c r="F2" s="1">
        <v>46129</v>
      </c>
      <c r="G2">
        <v>46159</v>
      </c>
      <c r="H2" t="s">
        <v>6</v>
      </c>
      <c r="I2">
        <v>16673.8</v>
      </c>
      <c r="J2" t="s">
        <v>75</v>
      </c>
      <c r="K2" t="s">
        <v>76</v>
      </c>
      <c r="L2">
        <v>30</v>
      </c>
      <c r="M2" t="s">
        <v>24</v>
      </c>
      <c r="N2">
        <v>1.1797</v>
      </c>
      <c r="O2">
        <v>1.3533636196769456</v>
      </c>
      <c r="P2">
        <v>6.2843596846366926E-3</v>
      </c>
      <c r="Q2">
        <v>1.1797</v>
      </c>
      <c r="R2">
        <v>19670.081859999998</v>
      </c>
      <c r="S2" t="s">
        <v>19</v>
      </c>
      <c r="T2">
        <v>1.083</v>
      </c>
      <c r="U2">
        <v>18057.725399999999</v>
      </c>
      <c r="V2">
        <v>1612.3564599999991</v>
      </c>
      <c r="W2">
        <v>8.9289012003693394E-2</v>
      </c>
    </row>
    <row r="3" spans="1:23" x14ac:dyDescent="0.25">
      <c r="A3" t="s">
        <v>77</v>
      </c>
      <c r="B3" t="s">
        <v>40</v>
      </c>
      <c r="C3" t="s">
        <v>78</v>
      </c>
      <c r="D3" t="s">
        <v>33</v>
      </c>
      <c r="E3" t="s">
        <v>79</v>
      </c>
      <c r="F3" s="1">
        <v>45855</v>
      </c>
      <c r="G3">
        <v>45885</v>
      </c>
      <c r="H3" t="s">
        <v>9</v>
      </c>
      <c r="I3">
        <v>802342.96</v>
      </c>
      <c r="J3" t="s">
        <v>75</v>
      </c>
      <c r="K3" t="s">
        <v>80</v>
      </c>
      <c r="L3">
        <v>30</v>
      </c>
      <c r="M3" t="s">
        <v>40</v>
      </c>
      <c r="N3">
        <v>1.1578999999999999</v>
      </c>
      <c r="O3">
        <v>1.3395418787598334</v>
      </c>
      <c r="P3">
        <v>6.7210355235662869E-3</v>
      </c>
      <c r="Q3">
        <v>6.7210355235662869E-3</v>
      </c>
      <c r="R3">
        <v>5392.5755362433238</v>
      </c>
      <c r="S3" t="s">
        <v>13</v>
      </c>
      <c r="T3">
        <v>6.8399999999999997E-3</v>
      </c>
      <c r="U3">
        <v>5488.0258463999999</v>
      </c>
      <c r="V3">
        <v>-95.450310156676096</v>
      </c>
      <c r="W3">
        <v>-1.7392467314870423E-2</v>
      </c>
    </row>
    <row r="4" spans="1:23" x14ac:dyDescent="0.25">
      <c r="A4" t="s">
        <v>81</v>
      </c>
      <c r="B4" t="s">
        <v>39</v>
      </c>
      <c r="C4" t="s">
        <v>82</v>
      </c>
      <c r="D4" t="s">
        <v>33</v>
      </c>
      <c r="E4" t="s">
        <v>83</v>
      </c>
      <c r="F4" s="1">
        <v>46330</v>
      </c>
      <c r="G4">
        <v>46375</v>
      </c>
      <c r="H4" t="s">
        <v>8</v>
      </c>
      <c r="I4">
        <v>8105.55</v>
      </c>
      <c r="J4" t="s">
        <v>84</v>
      </c>
      <c r="K4" t="s">
        <v>85</v>
      </c>
      <c r="L4">
        <v>45</v>
      </c>
      <c r="M4" t="s">
        <v>39</v>
      </c>
      <c r="N4">
        <v>1.1176999999999999</v>
      </c>
      <c r="O4">
        <v>1.320456022210408</v>
      </c>
      <c r="P4">
        <v>6.3200452360757699E-3</v>
      </c>
      <c r="Q4">
        <v>1.320456022210408</v>
      </c>
      <c r="R4">
        <v>10703.022310827573</v>
      </c>
      <c r="S4" t="s">
        <v>23</v>
      </c>
      <c r="T4">
        <v>1.3149999999999999</v>
      </c>
      <c r="U4">
        <v>10658.79825</v>
      </c>
      <c r="V4">
        <v>44.224060827573339</v>
      </c>
      <c r="W4">
        <v>4.149066319701974E-3</v>
      </c>
    </row>
    <row r="5" spans="1:23" x14ac:dyDescent="0.25">
      <c r="A5" t="s">
        <v>86</v>
      </c>
      <c r="B5" t="s">
        <v>38</v>
      </c>
      <c r="C5" t="s">
        <v>87</v>
      </c>
      <c r="D5" t="s">
        <v>33</v>
      </c>
      <c r="E5" t="s">
        <v>88</v>
      </c>
      <c r="F5" s="1">
        <v>45672</v>
      </c>
      <c r="G5">
        <v>45702</v>
      </c>
      <c r="H5" t="s">
        <v>6</v>
      </c>
      <c r="I5">
        <v>2619.62</v>
      </c>
      <c r="J5" t="s">
        <v>75</v>
      </c>
      <c r="K5" t="s">
        <v>89</v>
      </c>
      <c r="L5">
        <v>30</v>
      </c>
      <c r="M5" t="s">
        <v>38</v>
      </c>
      <c r="N5">
        <v>1.03</v>
      </c>
      <c r="O5">
        <v>1.2216384187491844</v>
      </c>
      <c r="P5">
        <v>6.3678516228748072E-3</v>
      </c>
      <c r="Q5">
        <v>1.03</v>
      </c>
      <c r="R5">
        <v>2698.2085999999999</v>
      </c>
      <c r="S5" t="s">
        <v>11</v>
      </c>
      <c r="T5">
        <v>1.052</v>
      </c>
      <c r="U5">
        <v>2755.84024</v>
      </c>
      <c r="V5">
        <v>-57.631640000000061</v>
      </c>
      <c r="W5">
        <v>-2.0912547528517133E-2</v>
      </c>
    </row>
    <row r="6" spans="1:23" x14ac:dyDescent="0.25">
      <c r="A6" t="s">
        <v>90</v>
      </c>
      <c r="B6" t="s">
        <v>37</v>
      </c>
      <c r="C6" t="s">
        <v>91</v>
      </c>
      <c r="D6" t="s">
        <v>31</v>
      </c>
      <c r="E6" t="s">
        <v>74</v>
      </c>
      <c r="F6" s="1">
        <v>46206</v>
      </c>
      <c r="G6">
        <v>46236</v>
      </c>
      <c r="H6" t="s">
        <v>6</v>
      </c>
      <c r="I6">
        <v>14309.35</v>
      </c>
      <c r="J6" t="s">
        <v>75</v>
      </c>
      <c r="K6" t="s">
        <v>92</v>
      </c>
      <c r="L6">
        <v>30</v>
      </c>
      <c r="M6" t="s">
        <v>37</v>
      </c>
      <c r="N6">
        <v>1.1448</v>
      </c>
      <c r="O6">
        <v>1.3355109659356044</v>
      </c>
      <c r="P6">
        <v>6.2055507372072863E-3</v>
      </c>
      <c r="Q6">
        <v>1.1448</v>
      </c>
      <c r="R6">
        <v>16381.34388</v>
      </c>
      <c r="S6" t="s">
        <v>21</v>
      </c>
      <c r="T6">
        <v>1.101</v>
      </c>
      <c r="U6">
        <v>15754.594349999999</v>
      </c>
      <c r="V6">
        <v>626.74953000000096</v>
      </c>
      <c r="W6">
        <v>3.9782016348773902E-2</v>
      </c>
    </row>
    <row r="7" spans="1:23" x14ac:dyDescent="0.25">
      <c r="A7" t="s">
        <v>93</v>
      </c>
      <c r="B7" t="s">
        <v>26</v>
      </c>
      <c r="C7" t="s">
        <v>94</v>
      </c>
      <c r="D7" t="s">
        <v>31</v>
      </c>
      <c r="E7" t="s">
        <v>74</v>
      </c>
      <c r="F7" s="1">
        <v>45832</v>
      </c>
      <c r="G7">
        <v>45862</v>
      </c>
      <c r="H7" t="s">
        <v>8</v>
      </c>
      <c r="I7">
        <v>8945.84</v>
      </c>
      <c r="J7" t="s">
        <v>75</v>
      </c>
      <c r="K7" t="s">
        <v>95</v>
      </c>
      <c r="L7">
        <v>30</v>
      </c>
      <c r="M7" t="s">
        <v>26</v>
      </c>
      <c r="N7">
        <v>1.1607000000000001</v>
      </c>
      <c r="O7">
        <v>1.3612055822680897</v>
      </c>
      <c r="P7">
        <v>6.8978427527188451E-3</v>
      </c>
      <c r="Q7">
        <v>1.3612055822680897</v>
      </c>
      <c r="R7">
        <v>12177.127346077168</v>
      </c>
      <c r="S7" t="s">
        <v>12</v>
      </c>
      <c r="T7">
        <v>1.26</v>
      </c>
      <c r="U7">
        <v>11271.758400000001</v>
      </c>
      <c r="V7">
        <v>905.36894607716749</v>
      </c>
      <c r="W7">
        <v>8.0321890688960063E-2</v>
      </c>
    </row>
    <row r="8" spans="1:23" x14ac:dyDescent="0.25">
      <c r="A8" t="s">
        <v>96</v>
      </c>
      <c r="B8" t="s">
        <v>37</v>
      </c>
      <c r="C8" t="s">
        <v>91</v>
      </c>
      <c r="D8" t="s">
        <v>31</v>
      </c>
      <c r="E8" t="s">
        <v>74</v>
      </c>
      <c r="F8" s="1">
        <v>46288</v>
      </c>
      <c r="G8">
        <v>46318</v>
      </c>
      <c r="H8" t="s">
        <v>6</v>
      </c>
      <c r="I8">
        <v>2169.6799999999998</v>
      </c>
      <c r="J8" t="s">
        <v>75</v>
      </c>
      <c r="K8" t="s">
        <v>97</v>
      </c>
      <c r="L8">
        <v>30</v>
      </c>
      <c r="M8" t="s">
        <v>37</v>
      </c>
      <c r="N8">
        <v>1.1411</v>
      </c>
      <c r="O8">
        <v>1.327632344386271</v>
      </c>
      <c r="P8">
        <v>6.3324084350721427E-3</v>
      </c>
      <c r="Q8">
        <v>1.1411</v>
      </c>
      <c r="R8">
        <v>2475.821848</v>
      </c>
      <c r="S8" t="s">
        <v>21</v>
      </c>
      <c r="T8">
        <v>1.101</v>
      </c>
      <c r="U8">
        <v>2388.8176799999997</v>
      </c>
      <c r="V8">
        <v>87.004168000000391</v>
      </c>
      <c r="W8">
        <v>3.6421435059037409E-2</v>
      </c>
    </row>
    <row r="9" spans="1:23" x14ac:dyDescent="0.25">
      <c r="A9" t="s">
        <v>98</v>
      </c>
      <c r="B9" t="s">
        <v>24</v>
      </c>
      <c r="C9" t="s">
        <v>73</v>
      </c>
      <c r="D9" t="s">
        <v>31</v>
      </c>
      <c r="E9" t="s">
        <v>74</v>
      </c>
      <c r="F9" s="1">
        <v>46066</v>
      </c>
      <c r="G9">
        <v>46096</v>
      </c>
      <c r="H9" t="s">
        <v>6</v>
      </c>
      <c r="I9">
        <v>28206.02</v>
      </c>
      <c r="J9" t="s">
        <v>75</v>
      </c>
      <c r="K9" t="s">
        <v>99</v>
      </c>
      <c r="L9">
        <v>30</v>
      </c>
      <c r="M9" t="s">
        <v>24</v>
      </c>
      <c r="N9">
        <v>1.1861999999999999</v>
      </c>
      <c r="O9">
        <v>1.3609453877925652</v>
      </c>
      <c r="P9">
        <v>6.5236759610625304E-3</v>
      </c>
      <c r="Q9">
        <v>1.1861999999999999</v>
      </c>
      <c r="R9">
        <v>33457.980923999996</v>
      </c>
      <c r="S9" t="s">
        <v>16</v>
      </c>
      <c r="T9">
        <v>1.0649999999999999</v>
      </c>
      <c r="U9">
        <v>30039.4113</v>
      </c>
      <c r="V9">
        <v>3418.5696239999961</v>
      </c>
      <c r="W9">
        <v>0.11380281690140832</v>
      </c>
    </row>
    <row r="10" spans="1:23" x14ac:dyDescent="0.25">
      <c r="A10" t="s">
        <v>100</v>
      </c>
      <c r="B10" t="s">
        <v>38</v>
      </c>
      <c r="C10" t="s">
        <v>87</v>
      </c>
      <c r="D10" t="s">
        <v>33</v>
      </c>
      <c r="E10" t="s">
        <v>88</v>
      </c>
      <c r="F10" s="1">
        <v>46114</v>
      </c>
      <c r="G10">
        <v>46144</v>
      </c>
      <c r="H10" t="s">
        <v>6</v>
      </c>
      <c r="I10">
        <v>10080.530000000001</v>
      </c>
      <c r="J10" t="s">
        <v>75</v>
      </c>
      <c r="K10" t="s">
        <v>101</v>
      </c>
      <c r="L10">
        <v>30</v>
      </c>
      <c r="M10" t="s">
        <v>38</v>
      </c>
      <c r="N10">
        <v>1.1525000000000001</v>
      </c>
      <c r="O10">
        <v>1.3208714886594157</v>
      </c>
      <c r="P10">
        <v>6.2656300967706864E-3</v>
      </c>
      <c r="Q10">
        <v>1.1525000000000001</v>
      </c>
      <c r="R10">
        <v>11617.810825000002</v>
      </c>
      <c r="S10" t="s">
        <v>19</v>
      </c>
      <c r="T10">
        <v>1.083</v>
      </c>
      <c r="U10">
        <v>10917.21399</v>
      </c>
      <c r="V10">
        <v>700.5968350000021</v>
      </c>
      <c r="W10">
        <v>6.4173591874423092E-2</v>
      </c>
    </row>
    <row r="11" spans="1:23" x14ac:dyDescent="0.25">
      <c r="A11" t="s">
        <v>102</v>
      </c>
      <c r="B11" t="s">
        <v>30</v>
      </c>
      <c r="C11" t="s">
        <v>103</v>
      </c>
      <c r="D11" t="s">
        <v>31</v>
      </c>
      <c r="E11" t="s">
        <v>74</v>
      </c>
      <c r="F11" s="1">
        <v>46150</v>
      </c>
      <c r="G11">
        <v>46180</v>
      </c>
      <c r="H11" t="s">
        <v>9</v>
      </c>
      <c r="I11">
        <v>517662.57</v>
      </c>
      <c r="J11" t="s">
        <v>75</v>
      </c>
      <c r="K11" t="s">
        <v>104</v>
      </c>
      <c r="L11">
        <v>30</v>
      </c>
      <c r="M11" t="s">
        <v>30</v>
      </c>
      <c r="N11">
        <v>1.1760999999999999</v>
      </c>
      <c r="O11">
        <v>1.3610693206804767</v>
      </c>
      <c r="P11">
        <v>6.3790204480121491E-3</v>
      </c>
      <c r="Q11">
        <v>6.3790204480121491E-3</v>
      </c>
      <c r="R11">
        <v>3302.1801192005205</v>
      </c>
      <c r="S11" t="s">
        <v>19</v>
      </c>
      <c r="T11">
        <v>6.6E-3</v>
      </c>
      <c r="U11">
        <v>3416.5729620000002</v>
      </c>
      <c r="V11">
        <v>-114.39284279947969</v>
      </c>
      <c r="W11">
        <v>-3.3481750301189585E-2</v>
      </c>
    </row>
    <row r="12" spans="1:23" x14ac:dyDescent="0.25">
      <c r="A12" t="s">
        <v>105</v>
      </c>
      <c r="B12" t="s">
        <v>32</v>
      </c>
      <c r="C12" t="s">
        <v>106</v>
      </c>
      <c r="D12" t="s">
        <v>31</v>
      </c>
      <c r="E12" t="s">
        <v>74</v>
      </c>
      <c r="F12" s="1">
        <v>46279</v>
      </c>
      <c r="G12">
        <v>46309</v>
      </c>
      <c r="H12" t="s">
        <v>6</v>
      </c>
      <c r="I12">
        <v>3672.96</v>
      </c>
      <c r="J12" t="s">
        <v>75</v>
      </c>
      <c r="K12" t="s">
        <v>107</v>
      </c>
      <c r="L12">
        <v>30</v>
      </c>
      <c r="M12" t="s">
        <v>32</v>
      </c>
      <c r="N12">
        <v>1.1551</v>
      </c>
      <c r="O12">
        <v>1.3494474169957242</v>
      </c>
      <c r="P12">
        <v>6.4704234819628051E-3</v>
      </c>
      <c r="Q12">
        <v>1.1551</v>
      </c>
      <c r="R12">
        <v>4242.6360960000002</v>
      </c>
      <c r="S12" t="s">
        <v>21</v>
      </c>
      <c r="T12">
        <v>1.101</v>
      </c>
      <c r="U12">
        <v>4043.9289600000002</v>
      </c>
      <c r="V12">
        <v>198.70713599999999</v>
      </c>
      <c r="W12">
        <v>4.9137148047229788E-2</v>
      </c>
    </row>
    <row r="13" spans="1:23" x14ac:dyDescent="0.25">
      <c r="A13" t="s">
        <v>108</v>
      </c>
      <c r="B13" t="s">
        <v>40</v>
      </c>
      <c r="C13" t="s">
        <v>78</v>
      </c>
      <c r="D13" t="s">
        <v>33</v>
      </c>
      <c r="E13" t="s">
        <v>79</v>
      </c>
      <c r="F13" s="1">
        <v>46114</v>
      </c>
      <c r="G13">
        <v>46144</v>
      </c>
      <c r="H13" t="s">
        <v>9</v>
      </c>
      <c r="I13">
        <v>1979754.22</v>
      </c>
      <c r="J13" t="s">
        <v>75</v>
      </c>
      <c r="K13" t="s">
        <v>109</v>
      </c>
      <c r="L13">
        <v>30</v>
      </c>
      <c r="M13" t="s">
        <v>40</v>
      </c>
      <c r="N13">
        <v>1.1525000000000001</v>
      </c>
      <c r="O13">
        <v>1.3208714886594157</v>
      </c>
      <c r="P13">
        <v>6.2656300967706864E-3</v>
      </c>
      <c r="Q13">
        <v>6.2656300967706864E-3</v>
      </c>
      <c r="R13">
        <v>12404.407625040774</v>
      </c>
      <c r="S13" t="s">
        <v>19</v>
      </c>
      <c r="T13">
        <v>6.6E-3</v>
      </c>
      <c r="U13">
        <v>13066.377852</v>
      </c>
      <c r="V13">
        <v>-661.97022695922533</v>
      </c>
      <c r="W13">
        <v>-5.0662106549896009E-2</v>
      </c>
    </row>
    <row r="14" spans="1:23" x14ac:dyDescent="0.25">
      <c r="A14" t="s">
        <v>110</v>
      </c>
      <c r="B14" t="s">
        <v>28</v>
      </c>
      <c r="C14" t="s">
        <v>111</v>
      </c>
      <c r="D14" t="s">
        <v>31</v>
      </c>
      <c r="E14" t="s">
        <v>74</v>
      </c>
      <c r="F14" s="1">
        <v>46075</v>
      </c>
      <c r="G14">
        <v>46120</v>
      </c>
      <c r="H14" t="s">
        <v>9</v>
      </c>
      <c r="I14">
        <v>3587555.89</v>
      </c>
      <c r="J14" t="s">
        <v>75</v>
      </c>
      <c r="K14" t="s">
        <v>112</v>
      </c>
      <c r="L14">
        <v>45</v>
      </c>
      <c r="M14" t="s">
        <v>28</v>
      </c>
      <c r="N14">
        <v>1.1555</v>
      </c>
      <c r="O14">
        <v>1.3367963164349013</v>
      </c>
      <c r="P14">
        <v>6.2983756677204832E-3</v>
      </c>
      <c r="Q14">
        <v>6.2983756677204832E-3</v>
      </c>
      <c r="R14">
        <v>22595.774724163304</v>
      </c>
      <c r="S14" t="s">
        <v>16</v>
      </c>
      <c r="T14">
        <v>6.4599999999999996E-3</v>
      </c>
      <c r="U14">
        <v>23175.611049399999</v>
      </c>
      <c r="V14">
        <v>-579.83632523669439</v>
      </c>
      <c r="W14">
        <v>-2.50192464828972E-2</v>
      </c>
    </row>
    <row r="15" spans="1:23" x14ac:dyDescent="0.25">
      <c r="A15" t="s">
        <v>113</v>
      </c>
      <c r="B15" t="s">
        <v>26</v>
      </c>
      <c r="C15" t="s">
        <v>94</v>
      </c>
      <c r="D15" t="s">
        <v>31</v>
      </c>
      <c r="E15" t="s">
        <v>74</v>
      </c>
      <c r="F15" s="1">
        <v>45749</v>
      </c>
      <c r="G15">
        <v>45779</v>
      </c>
      <c r="H15" t="s">
        <v>8</v>
      </c>
      <c r="I15">
        <v>26754.59</v>
      </c>
      <c r="J15" t="s">
        <v>75</v>
      </c>
      <c r="K15" t="s">
        <v>114</v>
      </c>
      <c r="L15">
        <v>30</v>
      </c>
      <c r="M15" t="s">
        <v>26</v>
      </c>
      <c r="N15">
        <v>1.0803</v>
      </c>
      <c r="O15">
        <v>1.2944700736924091</v>
      </c>
      <c r="P15">
        <v>6.7007815407517683E-3</v>
      </c>
      <c r="Q15">
        <v>1.2944700736924091</v>
      </c>
      <c r="R15">
        <v>34633.01608891019</v>
      </c>
      <c r="S15" t="s">
        <v>12</v>
      </c>
      <c r="T15">
        <v>1.26</v>
      </c>
      <c r="U15">
        <v>33710.7834</v>
      </c>
      <c r="V15">
        <v>922.23268891018961</v>
      </c>
      <c r="W15">
        <v>2.7357201343181765E-2</v>
      </c>
    </row>
    <row r="16" spans="1:23" x14ac:dyDescent="0.25">
      <c r="A16" t="s">
        <v>115</v>
      </c>
      <c r="B16" t="s">
        <v>36</v>
      </c>
      <c r="C16" t="s">
        <v>116</v>
      </c>
      <c r="D16" t="s">
        <v>31</v>
      </c>
      <c r="E16" t="s">
        <v>74</v>
      </c>
      <c r="F16" s="1">
        <v>45935</v>
      </c>
      <c r="G16">
        <v>45980</v>
      </c>
      <c r="H16" t="s">
        <v>6</v>
      </c>
      <c r="I16">
        <v>8439.7000000000007</v>
      </c>
      <c r="J16" t="s">
        <v>75</v>
      </c>
      <c r="K16" t="s">
        <v>117</v>
      </c>
      <c r="L16">
        <v>45</v>
      </c>
      <c r="M16" t="s">
        <v>36</v>
      </c>
      <c r="N16">
        <v>1.1894</v>
      </c>
      <c r="O16">
        <v>1.3679125934445082</v>
      </c>
      <c r="P16">
        <v>6.4462630751720776E-3</v>
      </c>
      <c r="Q16">
        <v>1.1894</v>
      </c>
      <c r="R16">
        <v>10038.179180000001</v>
      </c>
      <c r="S16" t="s">
        <v>14</v>
      </c>
      <c r="T16">
        <v>1.1060000000000001</v>
      </c>
      <c r="U16">
        <v>9334.3082000000013</v>
      </c>
      <c r="V16">
        <v>703.87097999999969</v>
      </c>
      <c r="W16">
        <v>7.5406871609403209E-2</v>
      </c>
    </row>
    <row r="17" spans="1:23" x14ac:dyDescent="0.25">
      <c r="A17" t="s">
        <v>118</v>
      </c>
      <c r="B17" t="s">
        <v>30</v>
      </c>
      <c r="C17" t="s">
        <v>103</v>
      </c>
      <c r="D17" t="s">
        <v>31</v>
      </c>
      <c r="E17" t="s">
        <v>74</v>
      </c>
      <c r="F17" s="1">
        <v>46188</v>
      </c>
      <c r="G17">
        <v>46218</v>
      </c>
      <c r="H17" t="s">
        <v>9</v>
      </c>
      <c r="I17">
        <v>618939.86</v>
      </c>
      <c r="J17" t="s">
        <v>75</v>
      </c>
      <c r="K17" t="s">
        <v>119</v>
      </c>
      <c r="L17">
        <v>30</v>
      </c>
      <c r="M17" t="s">
        <v>30</v>
      </c>
      <c r="N17">
        <v>1.1607000000000001</v>
      </c>
      <c r="O17">
        <v>1.3421134789496203</v>
      </c>
      <c r="P17">
        <v>6.2426719733232935E-3</v>
      </c>
      <c r="Q17">
        <v>6.2426719733232935E-3</v>
      </c>
      <c r="R17">
        <v>3863.8385171946429</v>
      </c>
      <c r="S17" t="s">
        <v>19</v>
      </c>
      <c r="T17">
        <v>6.6E-3</v>
      </c>
      <c r="U17">
        <v>4085.003076</v>
      </c>
      <c r="V17">
        <v>-221.16455880535705</v>
      </c>
      <c r="W17">
        <v>-5.4140610102531302E-2</v>
      </c>
    </row>
    <row r="18" spans="1:23" x14ac:dyDescent="0.25">
      <c r="A18" t="s">
        <v>120</v>
      </c>
      <c r="B18" t="s">
        <v>26</v>
      </c>
      <c r="C18" t="s">
        <v>94</v>
      </c>
      <c r="D18" t="s">
        <v>31</v>
      </c>
      <c r="E18" t="s">
        <v>74</v>
      </c>
      <c r="F18" s="1">
        <v>45704</v>
      </c>
      <c r="G18">
        <v>45734</v>
      </c>
      <c r="H18" t="s">
        <v>8</v>
      </c>
      <c r="I18">
        <v>16048.44</v>
      </c>
      <c r="J18" t="s">
        <v>75</v>
      </c>
      <c r="K18" t="s">
        <v>121</v>
      </c>
      <c r="L18">
        <v>30</v>
      </c>
      <c r="M18" t="s">
        <v>26</v>
      </c>
      <c r="N18">
        <v>1.0889</v>
      </c>
      <c r="O18">
        <v>1.2934915600536925</v>
      </c>
      <c r="P18">
        <v>6.7265875957499381E-3</v>
      </c>
      <c r="Q18">
        <v>1.2934915600536925</v>
      </c>
      <c r="R18">
        <v>20758.52169202808</v>
      </c>
      <c r="S18" t="s">
        <v>11</v>
      </c>
      <c r="T18">
        <v>1.238</v>
      </c>
      <c r="U18">
        <v>19867.968720000001</v>
      </c>
      <c r="V18">
        <v>890.55297202807924</v>
      </c>
      <c r="W18">
        <v>4.4823554162917931E-2</v>
      </c>
    </row>
    <row r="19" spans="1:23" x14ac:dyDescent="0.25">
      <c r="A19" t="s">
        <v>122</v>
      </c>
      <c r="B19" t="s">
        <v>20</v>
      </c>
      <c r="C19" t="s">
        <v>123</v>
      </c>
      <c r="D19" t="s">
        <v>31</v>
      </c>
      <c r="E19" t="s">
        <v>124</v>
      </c>
      <c r="F19" s="1">
        <v>45933</v>
      </c>
      <c r="G19">
        <v>45978</v>
      </c>
      <c r="H19" t="s">
        <v>6</v>
      </c>
      <c r="I19">
        <v>31593.49</v>
      </c>
      <c r="J19" t="s">
        <v>75</v>
      </c>
      <c r="K19" t="s">
        <v>125</v>
      </c>
      <c r="L19">
        <v>45</v>
      </c>
      <c r="M19" t="s">
        <v>20</v>
      </c>
      <c r="N19">
        <v>1.1734</v>
      </c>
      <c r="O19">
        <v>1.3447169378867752</v>
      </c>
      <c r="P19">
        <v>6.7865818392134182E-3</v>
      </c>
      <c r="Q19">
        <v>1.1734</v>
      </c>
      <c r="R19">
        <v>37071.801166000005</v>
      </c>
      <c r="S19" t="s">
        <v>14</v>
      </c>
      <c r="T19">
        <v>1.1060000000000001</v>
      </c>
      <c r="U19">
        <v>34942.399940000003</v>
      </c>
      <c r="V19">
        <v>2129.4012260000018</v>
      </c>
      <c r="W19">
        <v>6.0940325497287569E-2</v>
      </c>
    </row>
    <row r="20" spans="1:23" x14ac:dyDescent="0.25">
      <c r="A20" t="s">
        <v>126</v>
      </c>
      <c r="B20" t="s">
        <v>22</v>
      </c>
      <c r="C20" t="s">
        <v>127</v>
      </c>
      <c r="D20" t="s">
        <v>31</v>
      </c>
      <c r="E20" t="s">
        <v>124</v>
      </c>
      <c r="F20" s="1">
        <v>45742</v>
      </c>
      <c r="G20">
        <v>45802</v>
      </c>
      <c r="H20" t="s">
        <v>9</v>
      </c>
      <c r="I20">
        <v>12493079.390000001</v>
      </c>
      <c r="J20" t="s">
        <v>75</v>
      </c>
      <c r="K20" t="s">
        <v>128</v>
      </c>
      <c r="L20">
        <v>60</v>
      </c>
      <c r="M20" t="s">
        <v>22</v>
      </c>
      <c r="N20">
        <v>1.0788</v>
      </c>
      <c r="O20">
        <v>1.2900756968776532</v>
      </c>
      <c r="P20">
        <v>6.6510480887792848E-3</v>
      </c>
      <c r="Q20">
        <v>6.6510480887792848E-3</v>
      </c>
      <c r="R20">
        <v>83092.071799827376</v>
      </c>
      <c r="S20" t="s">
        <v>11</v>
      </c>
      <c r="T20">
        <v>6.5599999999999999E-3</v>
      </c>
      <c r="U20">
        <v>81954.600798400003</v>
      </c>
      <c r="V20">
        <v>1137.4710014273733</v>
      </c>
      <c r="W20">
        <v>1.3879281826110488E-2</v>
      </c>
    </row>
    <row r="21" spans="1:23" x14ac:dyDescent="0.25">
      <c r="A21" t="s">
        <v>129</v>
      </c>
      <c r="B21" t="s">
        <v>26</v>
      </c>
      <c r="C21" t="s">
        <v>94</v>
      </c>
      <c r="D21" t="s">
        <v>31</v>
      </c>
      <c r="E21" t="s">
        <v>74</v>
      </c>
      <c r="F21" s="1">
        <v>45767</v>
      </c>
      <c r="G21">
        <v>45797</v>
      </c>
      <c r="H21" t="s">
        <v>8</v>
      </c>
      <c r="I21">
        <v>24039.06</v>
      </c>
      <c r="J21" t="s">
        <v>75</v>
      </c>
      <c r="K21" t="s">
        <v>130</v>
      </c>
      <c r="L21">
        <v>30</v>
      </c>
      <c r="M21" t="s">
        <v>26</v>
      </c>
      <c r="N21">
        <v>1.1574</v>
      </c>
      <c r="O21">
        <v>1.357972544878564</v>
      </c>
      <c r="P21">
        <v>6.9351069566780518E-3</v>
      </c>
      <c r="Q21">
        <v>1.357972544878564</v>
      </c>
      <c r="R21">
        <v>32644.383484688493</v>
      </c>
      <c r="S21" t="s">
        <v>12</v>
      </c>
      <c r="T21">
        <v>1.26</v>
      </c>
      <c r="U21">
        <v>30289.215600000003</v>
      </c>
      <c r="V21">
        <v>2355.1678846884897</v>
      </c>
      <c r="W21">
        <v>7.7755987998860215E-2</v>
      </c>
    </row>
    <row r="22" spans="1:23" x14ac:dyDescent="0.25">
      <c r="A22" t="s">
        <v>131</v>
      </c>
      <c r="B22" t="s">
        <v>20</v>
      </c>
      <c r="C22" t="s">
        <v>123</v>
      </c>
      <c r="D22" t="s">
        <v>31</v>
      </c>
      <c r="E22" t="s">
        <v>124</v>
      </c>
      <c r="F22" s="1">
        <v>45930</v>
      </c>
      <c r="G22">
        <v>45975</v>
      </c>
      <c r="H22" t="s">
        <v>6</v>
      </c>
      <c r="I22">
        <v>68783.42</v>
      </c>
      <c r="J22" t="s">
        <v>75</v>
      </c>
      <c r="K22" t="s">
        <v>132</v>
      </c>
      <c r="L22">
        <v>45</v>
      </c>
      <c r="M22" t="s">
        <v>20</v>
      </c>
      <c r="N22">
        <v>1.1740999999999999</v>
      </c>
      <c r="O22">
        <v>1.344286695672086</v>
      </c>
      <c r="P22">
        <v>6.7570211786372007E-3</v>
      </c>
      <c r="Q22">
        <v>1.1740999999999999</v>
      </c>
      <c r="R22">
        <v>80758.613421999995</v>
      </c>
      <c r="S22" t="s">
        <v>13</v>
      </c>
      <c r="T22">
        <v>1.0880000000000001</v>
      </c>
      <c r="U22">
        <v>74836.360960000005</v>
      </c>
      <c r="V22">
        <v>5922.2524619999895</v>
      </c>
      <c r="W22">
        <v>7.9136029411764564E-2</v>
      </c>
    </row>
    <row r="23" spans="1:23" x14ac:dyDescent="0.25">
      <c r="A23" t="s">
        <v>133</v>
      </c>
      <c r="B23" t="s">
        <v>37</v>
      </c>
      <c r="C23" t="s">
        <v>91</v>
      </c>
      <c r="D23" t="s">
        <v>31</v>
      </c>
      <c r="E23" t="s">
        <v>74</v>
      </c>
      <c r="F23" s="1">
        <v>45729</v>
      </c>
      <c r="G23">
        <v>45759</v>
      </c>
      <c r="H23" t="s">
        <v>6</v>
      </c>
      <c r="I23">
        <v>8413.61</v>
      </c>
      <c r="J23" t="s">
        <v>75</v>
      </c>
      <c r="K23" t="s">
        <v>134</v>
      </c>
      <c r="L23">
        <v>30</v>
      </c>
      <c r="M23" t="s">
        <v>37</v>
      </c>
      <c r="N23">
        <v>1.083</v>
      </c>
      <c r="O23">
        <v>1.2927021413736304</v>
      </c>
      <c r="P23">
        <v>6.741782868525897E-3</v>
      </c>
      <c r="Q23">
        <v>1.083</v>
      </c>
      <c r="R23">
        <v>9111.9396300000008</v>
      </c>
      <c r="S23" t="s">
        <v>11</v>
      </c>
      <c r="T23">
        <v>1.052</v>
      </c>
      <c r="U23">
        <v>8851.1177200000002</v>
      </c>
      <c r="V23">
        <v>260.82191000000057</v>
      </c>
      <c r="W23">
        <v>2.9467680608365084E-2</v>
      </c>
    </row>
    <row r="24" spans="1:23" x14ac:dyDescent="0.25">
      <c r="A24" t="s">
        <v>135</v>
      </c>
      <c r="B24" t="s">
        <v>37</v>
      </c>
      <c r="C24" t="s">
        <v>91</v>
      </c>
      <c r="D24" t="s">
        <v>31</v>
      </c>
      <c r="E24" t="s">
        <v>74</v>
      </c>
      <c r="F24" s="1">
        <v>45677</v>
      </c>
      <c r="G24">
        <v>45707</v>
      </c>
      <c r="H24" t="s">
        <v>6</v>
      </c>
      <c r="I24">
        <v>10120.870000000001</v>
      </c>
      <c r="J24" t="s">
        <v>75</v>
      </c>
      <c r="K24" t="s">
        <v>136</v>
      </c>
      <c r="L24">
        <v>30</v>
      </c>
      <c r="M24" t="s">
        <v>37</v>
      </c>
      <c r="N24">
        <v>1.0316000000000001</v>
      </c>
      <c r="O24">
        <v>1.2195583297867312</v>
      </c>
      <c r="P24">
        <v>6.3931581556767479E-3</v>
      </c>
      <c r="Q24">
        <v>1.0316000000000001</v>
      </c>
      <c r="R24">
        <v>10440.689492000001</v>
      </c>
      <c r="S24" t="s">
        <v>11</v>
      </c>
      <c r="T24">
        <v>1.052</v>
      </c>
      <c r="U24">
        <v>10647.155240000002</v>
      </c>
      <c r="V24">
        <v>-206.46574800000053</v>
      </c>
      <c r="W24">
        <v>-1.9391634980988639E-2</v>
      </c>
    </row>
    <row r="25" spans="1:23" x14ac:dyDescent="0.25">
      <c r="A25" t="s">
        <v>137</v>
      </c>
      <c r="B25" t="s">
        <v>44</v>
      </c>
      <c r="C25" t="s">
        <v>138</v>
      </c>
      <c r="D25" t="s">
        <v>33</v>
      </c>
      <c r="E25" t="s">
        <v>88</v>
      </c>
      <c r="F25" s="1">
        <v>45743</v>
      </c>
      <c r="G25">
        <v>45788</v>
      </c>
      <c r="H25" t="s">
        <v>9</v>
      </c>
      <c r="I25">
        <v>673370.32</v>
      </c>
      <c r="J25" t="s">
        <v>75</v>
      </c>
      <c r="K25" t="s">
        <v>139</v>
      </c>
      <c r="L25">
        <v>45</v>
      </c>
      <c r="M25" t="s">
        <v>44</v>
      </c>
      <c r="N25">
        <v>1.0785</v>
      </c>
      <c r="O25">
        <v>1.2944381766244988</v>
      </c>
      <c r="P25">
        <v>6.63488157490003E-3</v>
      </c>
      <c r="Q25">
        <v>6.63488157490003E-3</v>
      </c>
      <c r="R25">
        <v>4467.7323292525371</v>
      </c>
      <c r="S25" t="s">
        <v>11</v>
      </c>
      <c r="T25">
        <v>6.5599999999999999E-3</v>
      </c>
      <c r="U25">
        <v>4417.3092991999993</v>
      </c>
      <c r="V25">
        <v>50.423030052537797</v>
      </c>
      <c r="W25">
        <v>1.1414874222565694E-2</v>
      </c>
    </row>
    <row r="26" spans="1:23" x14ac:dyDescent="0.25">
      <c r="A26" t="s">
        <v>140</v>
      </c>
      <c r="B26" t="s">
        <v>38</v>
      </c>
      <c r="C26" t="s">
        <v>87</v>
      </c>
      <c r="D26" t="s">
        <v>33</v>
      </c>
      <c r="E26" t="s">
        <v>88</v>
      </c>
      <c r="F26" s="1">
        <v>46128</v>
      </c>
      <c r="G26">
        <v>46158</v>
      </c>
      <c r="H26" t="s">
        <v>6</v>
      </c>
      <c r="I26">
        <v>9805.5400000000009</v>
      </c>
      <c r="J26" t="s">
        <v>75</v>
      </c>
      <c r="K26" t="s">
        <v>141</v>
      </c>
      <c r="L26">
        <v>30</v>
      </c>
      <c r="M26" t="s">
        <v>38</v>
      </c>
      <c r="N26">
        <v>1.1781999999999999</v>
      </c>
      <c r="O26">
        <v>1.3543618452059361</v>
      </c>
      <c r="P26">
        <v>6.2901073087395223E-3</v>
      </c>
      <c r="Q26">
        <v>1.1781999999999999</v>
      </c>
      <c r="R26">
        <v>11552.887228</v>
      </c>
      <c r="S26" t="s">
        <v>19</v>
      </c>
      <c r="T26">
        <v>1.083</v>
      </c>
      <c r="U26">
        <v>10619.399820000001</v>
      </c>
      <c r="V26">
        <v>933.48740799999905</v>
      </c>
      <c r="W26">
        <v>8.7903970452446814E-2</v>
      </c>
    </row>
    <row r="27" spans="1:23" x14ac:dyDescent="0.25">
      <c r="A27" t="s">
        <v>142</v>
      </c>
      <c r="B27" t="s">
        <v>26</v>
      </c>
      <c r="C27" t="s">
        <v>94</v>
      </c>
      <c r="D27" t="s">
        <v>31</v>
      </c>
      <c r="E27" t="s">
        <v>74</v>
      </c>
      <c r="F27" s="1">
        <v>46215</v>
      </c>
      <c r="G27">
        <v>46245</v>
      </c>
      <c r="H27" t="s">
        <v>8</v>
      </c>
      <c r="I27">
        <v>19226.02</v>
      </c>
      <c r="J27" t="s">
        <v>75</v>
      </c>
      <c r="K27" t="s">
        <v>143</v>
      </c>
      <c r="L27">
        <v>30</v>
      </c>
      <c r="M27" t="s">
        <v>26</v>
      </c>
      <c r="N27">
        <v>1.143</v>
      </c>
      <c r="O27">
        <v>1.3422582349832657</v>
      </c>
      <c r="P27">
        <v>6.1777105177818611E-3</v>
      </c>
      <c r="Q27">
        <v>1.3422582349832657</v>
      </c>
      <c r="R27">
        <v>25806.283670952966</v>
      </c>
      <c r="S27" t="s">
        <v>21</v>
      </c>
      <c r="T27">
        <v>1.2929999999999999</v>
      </c>
      <c r="U27">
        <v>24859.243859999999</v>
      </c>
      <c r="V27">
        <v>947.03981095296695</v>
      </c>
      <c r="W27">
        <v>3.809608274034474E-2</v>
      </c>
    </row>
    <row r="28" spans="1:23" x14ac:dyDescent="0.25">
      <c r="A28" t="s">
        <v>144</v>
      </c>
      <c r="B28" t="s">
        <v>30</v>
      </c>
      <c r="C28" t="s">
        <v>103</v>
      </c>
      <c r="D28" t="s">
        <v>31</v>
      </c>
      <c r="E28" t="s">
        <v>74</v>
      </c>
      <c r="F28" s="1">
        <v>45691</v>
      </c>
      <c r="G28">
        <v>45721</v>
      </c>
      <c r="H28" t="s">
        <v>9</v>
      </c>
      <c r="I28">
        <v>1421811.26</v>
      </c>
      <c r="J28" t="s">
        <v>75</v>
      </c>
      <c r="K28" t="s">
        <v>145</v>
      </c>
      <c r="L28">
        <v>30</v>
      </c>
      <c r="M28" t="s">
        <v>30</v>
      </c>
      <c r="N28">
        <v>1.0274000000000001</v>
      </c>
      <c r="O28">
        <v>1.2358063895304081</v>
      </c>
      <c r="P28">
        <v>6.4669226411531444E-3</v>
      </c>
      <c r="Q28">
        <v>6.4669226411531444E-3</v>
      </c>
      <c r="R28">
        <v>9194.7434287404794</v>
      </c>
      <c r="S28" t="s">
        <v>11</v>
      </c>
      <c r="T28">
        <v>6.5599999999999999E-3</v>
      </c>
      <c r="U28">
        <v>9327.0818655999992</v>
      </c>
      <c r="V28">
        <v>-132.33843685951979</v>
      </c>
      <c r="W28">
        <v>-1.4188621775435293E-2</v>
      </c>
    </row>
    <row r="29" spans="1:23" x14ac:dyDescent="0.25">
      <c r="A29" t="s">
        <v>146</v>
      </c>
      <c r="B29" t="s">
        <v>37</v>
      </c>
      <c r="C29" t="s">
        <v>91</v>
      </c>
      <c r="D29" t="s">
        <v>31</v>
      </c>
      <c r="E29" t="s">
        <v>74</v>
      </c>
      <c r="F29" s="1">
        <v>45865</v>
      </c>
      <c r="G29">
        <v>45895</v>
      </c>
      <c r="H29" t="s">
        <v>6</v>
      </c>
      <c r="I29">
        <v>14545.55</v>
      </c>
      <c r="J29" t="s">
        <v>75</v>
      </c>
      <c r="K29" t="s">
        <v>147</v>
      </c>
      <c r="L29">
        <v>30</v>
      </c>
      <c r="M29" t="s">
        <v>37</v>
      </c>
      <c r="N29">
        <v>1.155</v>
      </c>
      <c r="O29">
        <v>1.312350869219407</v>
      </c>
      <c r="P29">
        <v>6.4753041430733868E-3</v>
      </c>
      <c r="Q29">
        <v>1.155</v>
      </c>
      <c r="R29">
        <v>16800.110249999998</v>
      </c>
      <c r="S29" t="s">
        <v>13</v>
      </c>
      <c r="T29">
        <v>1.0880000000000001</v>
      </c>
      <c r="U29">
        <v>15825.5584</v>
      </c>
      <c r="V29">
        <v>974.55184999999801</v>
      </c>
      <c r="W29">
        <v>6.1580882352941048E-2</v>
      </c>
    </row>
    <row r="30" spans="1:23" x14ac:dyDescent="0.25">
      <c r="A30" t="s">
        <v>148</v>
      </c>
      <c r="B30" t="s">
        <v>24</v>
      </c>
      <c r="C30" t="s">
        <v>73</v>
      </c>
      <c r="D30" t="s">
        <v>31</v>
      </c>
      <c r="E30" t="s">
        <v>74</v>
      </c>
      <c r="F30" s="1">
        <v>46263</v>
      </c>
      <c r="G30">
        <v>46293</v>
      </c>
      <c r="H30" t="s">
        <v>6</v>
      </c>
      <c r="I30">
        <v>40466.83</v>
      </c>
      <c r="J30" t="s">
        <v>75</v>
      </c>
      <c r="K30" t="s">
        <v>149</v>
      </c>
      <c r="L30">
        <v>30</v>
      </c>
      <c r="M30" t="s">
        <v>24</v>
      </c>
      <c r="N30">
        <v>1.1642999999999999</v>
      </c>
      <c r="O30">
        <v>1.3582594493700419</v>
      </c>
      <c r="P30">
        <v>6.2623709122203094E-3</v>
      </c>
      <c r="Q30">
        <v>1.1642999999999999</v>
      </c>
      <c r="R30">
        <v>47115.530168999998</v>
      </c>
      <c r="S30" t="s">
        <v>21</v>
      </c>
      <c r="T30">
        <v>1.101</v>
      </c>
      <c r="U30">
        <v>44553.979830000004</v>
      </c>
      <c r="V30">
        <v>2561.550338999994</v>
      </c>
      <c r="W30">
        <v>5.7493188010899039E-2</v>
      </c>
    </row>
    <row r="31" spans="1:23" x14ac:dyDescent="0.25">
      <c r="A31" t="s">
        <v>150</v>
      </c>
      <c r="B31" t="s">
        <v>42</v>
      </c>
      <c r="C31" t="s">
        <v>151</v>
      </c>
      <c r="D31" t="s">
        <v>35</v>
      </c>
      <c r="E31" t="s">
        <v>152</v>
      </c>
      <c r="F31" s="1">
        <v>45945</v>
      </c>
      <c r="G31">
        <v>45975</v>
      </c>
      <c r="H31" t="s">
        <v>8</v>
      </c>
      <c r="I31">
        <v>3512.95</v>
      </c>
      <c r="J31" t="s">
        <v>75</v>
      </c>
      <c r="K31" t="s">
        <v>153</v>
      </c>
      <c r="L31">
        <v>30</v>
      </c>
      <c r="M31" t="s">
        <v>42</v>
      </c>
      <c r="N31">
        <v>1.1621999999999999</v>
      </c>
      <c r="O31">
        <v>1.3350947731188969</v>
      </c>
      <c r="P31">
        <v>6.5985351728836648E-3</v>
      </c>
      <c r="Q31">
        <v>1.3350947731188969</v>
      </c>
      <c r="R31">
        <v>4690.1211832280287</v>
      </c>
      <c r="S31" t="s">
        <v>14</v>
      </c>
      <c r="T31">
        <v>1.304</v>
      </c>
      <c r="U31">
        <v>4580.8868000000002</v>
      </c>
      <c r="V31">
        <v>109.23438322802849</v>
      </c>
      <c r="W31">
        <v>2.3845684907129443E-2</v>
      </c>
    </row>
    <row r="32" spans="1:23" x14ac:dyDescent="0.25">
      <c r="A32" t="s">
        <v>154</v>
      </c>
      <c r="B32" t="s">
        <v>26</v>
      </c>
      <c r="C32" t="s">
        <v>94</v>
      </c>
      <c r="D32" t="s">
        <v>31</v>
      </c>
      <c r="E32" t="s">
        <v>74</v>
      </c>
      <c r="F32" s="1">
        <v>45792</v>
      </c>
      <c r="G32">
        <v>45822</v>
      </c>
      <c r="H32" t="s">
        <v>8</v>
      </c>
      <c r="I32">
        <v>20636.830000000002</v>
      </c>
      <c r="J32" t="s">
        <v>75</v>
      </c>
      <c r="K32" t="s">
        <v>155</v>
      </c>
      <c r="L32">
        <v>30</v>
      </c>
      <c r="M32" t="s">
        <v>26</v>
      </c>
      <c r="N32">
        <v>1.1185</v>
      </c>
      <c r="O32">
        <v>1.3277540360873694</v>
      </c>
      <c r="P32">
        <v>6.8493570116350275E-3</v>
      </c>
      <c r="Q32">
        <v>1.3277540360873694</v>
      </c>
      <c r="R32">
        <v>27400.634324548912</v>
      </c>
      <c r="S32" t="s">
        <v>12</v>
      </c>
      <c r="T32">
        <v>1.26</v>
      </c>
      <c r="U32">
        <v>26002.405800000004</v>
      </c>
      <c r="V32">
        <v>1398.2285245489074</v>
      </c>
      <c r="W32">
        <v>5.3773044513785229E-2</v>
      </c>
    </row>
    <row r="33" spans="1:23" x14ac:dyDescent="0.25">
      <c r="A33" t="s">
        <v>156</v>
      </c>
      <c r="B33" t="s">
        <v>39</v>
      </c>
      <c r="C33" t="s">
        <v>82</v>
      </c>
      <c r="D33" t="s">
        <v>33</v>
      </c>
      <c r="E33" t="s">
        <v>83</v>
      </c>
      <c r="F33" s="1">
        <v>45798</v>
      </c>
      <c r="G33">
        <v>45843</v>
      </c>
      <c r="H33" t="s">
        <v>8</v>
      </c>
      <c r="I33">
        <v>8030.69</v>
      </c>
      <c r="J33" t="s">
        <v>75</v>
      </c>
      <c r="K33" t="s">
        <v>157</v>
      </c>
      <c r="L33">
        <v>45</v>
      </c>
      <c r="M33" t="s">
        <v>39</v>
      </c>
      <c r="N33">
        <v>1.1321000000000001</v>
      </c>
      <c r="O33">
        <v>1.3403978214539427</v>
      </c>
      <c r="P33">
        <v>6.9556402064389292E-3</v>
      </c>
      <c r="Q33">
        <v>1.3403978214539427</v>
      </c>
      <c r="R33">
        <v>10764.319380771962</v>
      </c>
      <c r="S33" t="s">
        <v>12</v>
      </c>
      <c r="T33">
        <v>1.26</v>
      </c>
      <c r="U33">
        <v>10118.669399999999</v>
      </c>
      <c r="V33">
        <v>645.64998077196287</v>
      </c>
      <c r="W33">
        <v>6.380779480471642E-2</v>
      </c>
    </row>
    <row r="34" spans="1:23" x14ac:dyDescent="0.25">
      <c r="A34" t="s">
        <v>158</v>
      </c>
      <c r="B34" t="s">
        <v>28</v>
      </c>
      <c r="C34" t="s">
        <v>111</v>
      </c>
      <c r="D34" t="s">
        <v>31</v>
      </c>
      <c r="E34" t="s">
        <v>74</v>
      </c>
      <c r="F34" s="1">
        <v>45761</v>
      </c>
      <c r="G34">
        <v>45806</v>
      </c>
      <c r="H34" t="s">
        <v>9</v>
      </c>
      <c r="I34">
        <v>991121.9</v>
      </c>
      <c r="J34" t="s">
        <v>75</v>
      </c>
      <c r="K34" t="s">
        <v>159</v>
      </c>
      <c r="L34">
        <v>45</v>
      </c>
      <c r="M34" t="s">
        <v>28</v>
      </c>
      <c r="N34">
        <v>1.1376999999999999</v>
      </c>
      <c r="O34">
        <v>1.3170415475267123</v>
      </c>
      <c r="P34">
        <v>6.981039455114438E-3</v>
      </c>
      <c r="Q34">
        <v>6.981039455114438E-3</v>
      </c>
      <c r="R34">
        <v>6919.0610887279863</v>
      </c>
      <c r="S34" t="s">
        <v>12</v>
      </c>
      <c r="T34">
        <v>6.7000000000000002E-3</v>
      </c>
      <c r="U34">
        <v>6640.5167300000003</v>
      </c>
      <c r="V34">
        <v>278.54435872798604</v>
      </c>
      <c r="W34">
        <v>4.1946187330513064E-2</v>
      </c>
    </row>
    <row r="35" spans="1:23" x14ac:dyDescent="0.25">
      <c r="A35" t="s">
        <v>160</v>
      </c>
      <c r="B35" t="s">
        <v>39</v>
      </c>
      <c r="C35" t="s">
        <v>82</v>
      </c>
      <c r="D35" t="s">
        <v>33</v>
      </c>
      <c r="E35" t="s">
        <v>83</v>
      </c>
      <c r="F35" s="1">
        <v>45706</v>
      </c>
      <c r="G35">
        <v>45751</v>
      </c>
      <c r="H35" t="s">
        <v>8</v>
      </c>
      <c r="I35">
        <v>1431.23</v>
      </c>
      <c r="J35" t="s">
        <v>75</v>
      </c>
      <c r="K35" t="s">
        <v>161</v>
      </c>
      <c r="L35">
        <v>45</v>
      </c>
      <c r="M35" t="s">
        <v>39</v>
      </c>
      <c r="N35">
        <v>1.0447</v>
      </c>
      <c r="O35">
        <v>1.2582956940680516</v>
      </c>
      <c r="P35">
        <v>6.5890886155786808E-3</v>
      </c>
      <c r="Q35">
        <v>1.2582956940680516</v>
      </c>
      <c r="R35">
        <v>1800.9105462210175</v>
      </c>
      <c r="S35" t="s">
        <v>11</v>
      </c>
      <c r="T35">
        <v>1.238</v>
      </c>
      <c r="U35">
        <v>1771.86274</v>
      </c>
      <c r="V35">
        <v>29.047806221017481</v>
      </c>
      <c r="W35">
        <v>1.6393937050122449E-2</v>
      </c>
    </row>
    <row r="36" spans="1:23" x14ac:dyDescent="0.25">
      <c r="A36" t="s">
        <v>162</v>
      </c>
      <c r="B36" t="s">
        <v>39</v>
      </c>
      <c r="C36" t="s">
        <v>82</v>
      </c>
      <c r="D36" t="s">
        <v>33</v>
      </c>
      <c r="E36" t="s">
        <v>83</v>
      </c>
      <c r="F36" s="1">
        <v>46377</v>
      </c>
      <c r="G36">
        <v>46422</v>
      </c>
      <c r="H36" t="s">
        <v>8</v>
      </c>
      <c r="I36">
        <v>7264.2</v>
      </c>
      <c r="J36" t="s">
        <v>84</v>
      </c>
      <c r="K36" t="s">
        <v>163</v>
      </c>
      <c r="L36">
        <v>45</v>
      </c>
      <c r="M36" t="s">
        <v>39</v>
      </c>
      <c r="N36">
        <v>1.1176999999999999</v>
      </c>
      <c r="O36">
        <v>1.320456022210408</v>
      </c>
      <c r="P36">
        <v>6.3200452360757699E-3</v>
      </c>
      <c r="Q36">
        <v>1.320456022210408</v>
      </c>
      <c r="R36">
        <v>9592.0566365408449</v>
      </c>
      <c r="S36" t="s">
        <v>23</v>
      </c>
      <c r="T36">
        <v>1.3149999999999999</v>
      </c>
      <c r="U36">
        <v>9552.4229999999989</v>
      </c>
      <c r="V36">
        <v>39.633636540846055</v>
      </c>
      <c r="W36">
        <v>4.1490663197019289E-3</v>
      </c>
    </row>
    <row r="37" spans="1:23" x14ac:dyDescent="0.25">
      <c r="A37" t="s">
        <v>164</v>
      </c>
      <c r="B37" t="s">
        <v>30</v>
      </c>
      <c r="C37" t="s">
        <v>103</v>
      </c>
      <c r="D37" t="s">
        <v>31</v>
      </c>
      <c r="E37" t="s">
        <v>74</v>
      </c>
      <c r="F37" s="1">
        <v>46339</v>
      </c>
      <c r="G37">
        <v>46369</v>
      </c>
      <c r="H37" t="s">
        <v>9</v>
      </c>
      <c r="I37">
        <v>742723.33</v>
      </c>
      <c r="J37" t="s">
        <v>84</v>
      </c>
      <c r="K37" t="s">
        <v>165</v>
      </c>
      <c r="L37">
        <v>30</v>
      </c>
      <c r="M37" t="s">
        <v>30</v>
      </c>
      <c r="N37">
        <v>1.1176999999999999</v>
      </c>
      <c r="O37">
        <v>1.320456022210408</v>
      </c>
      <c r="P37">
        <v>6.3200452360757699E-3</v>
      </c>
      <c r="Q37">
        <v>6.3200452360757699E-3</v>
      </c>
      <c r="R37">
        <v>4694.0450434888317</v>
      </c>
      <c r="S37" t="s">
        <v>23</v>
      </c>
      <c r="T37">
        <v>6.8799999999999998E-3</v>
      </c>
      <c r="U37">
        <v>5109.9365103999999</v>
      </c>
      <c r="V37">
        <v>-415.89146691116821</v>
      </c>
      <c r="W37">
        <v>-8.1388773826196276E-2</v>
      </c>
    </row>
    <row r="38" spans="1:23" x14ac:dyDescent="0.25">
      <c r="A38" t="s">
        <v>166</v>
      </c>
      <c r="B38" t="s">
        <v>22</v>
      </c>
      <c r="C38" t="s">
        <v>127</v>
      </c>
      <c r="D38" t="s">
        <v>31</v>
      </c>
      <c r="E38" t="s">
        <v>124</v>
      </c>
      <c r="F38" s="1">
        <v>46319</v>
      </c>
      <c r="G38">
        <v>46379</v>
      </c>
      <c r="H38" t="s">
        <v>9</v>
      </c>
      <c r="I38">
        <v>10974087.33</v>
      </c>
      <c r="J38" t="s">
        <v>84</v>
      </c>
      <c r="K38" t="s">
        <v>167</v>
      </c>
      <c r="L38">
        <v>60</v>
      </c>
      <c r="M38" t="s">
        <v>22</v>
      </c>
      <c r="N38">
        <v>1.1176999999999999</v>
      </c>
      <c r="O38">
        <v>1.320456022210408</v>
      </c>
      <c r="P38">
        <v>6.3200452360757699E-3</v>
      </c>
      <c r="Q38">
        <v>6.3200452360757699E-3</v>
      </c>
      <c r="R38">
        <v>69356.728350245961</v>
      </c>
      <c r="S38" t="s">
        <v>23</v>
      </c>
      <c r="T38">
        <v>6.8799999999999998E-3</v>
      </c>
      <c r="U38">
        <v>75501.720830399994</v>
      </c>
      <c r="V38">
        <v>-6144.9924801540328</v>
      </c>
      <c r="W38">
        <v>-8.138877382619622E-2</v>
      </c>
    </row>
    <row r="39" spans="1:23" x14ac:dyDescent="0.25">
      <c r="A39" t="s">
        <v>168</v>
      </c>
      <c r="B39" t="s">
        <v>25</v>
      </c>
      <c r="C39" t="s">
        <v>169</v>
      </c>
      <c r="D39" t="s">
        <v>31</v>
      </c>
      <c r="E39" t="s">
        <v>124</v>
      </c>
      <c r="F39" s="1">
        <v>46060</v>
      </c>
      <c r="G39">
        <v>46120</v>
      </c>
      <c r="H39" t="s">
        <v>6</v>
      </c>
      <c r="I39">
        <v>56073.7</v>
      </c>
      <c r="J39" t="s">
        <v>75</v>
      </c>
      <c r="K39" t="s">
        <v>170</v>
      </c>
      <c r="L39">
        <v>60</v>
      </c>
      <c r="M39" t="s">
        <v>25</v>
      </c>
      <c r="N39">
        <v>1.1555</v>
      </c>
      <c r="O39">
        <v>1.3367963164349013</v>
      </c>
      <c r="P39">
        <v>6.2983756677204832E-3</v>
      </c>
      <c r="Q39">
        <v>1.1555</v>
      </c>
      <c r="R39">
        <v>64793.160349999998</v>
      </c>
      <c r="S39" t="s">
        <v>16</v>
      </c>
      <c r="T39">
        <v>1.0649999999999999</v>
      </c>
      <c r="U39">
        <v>59718.490499999993</v>
      </c>
      <c r="V39">
        <v>5074.6698500000057</v>
      </c>
      <c r="W39">
        <v>8.4976525821596344E-2</v>
      </c>
    </row>
    <row r="40" spans="1:23" x14ac:dyDescent="0.25">
      <c r="A40" t="s">
        <v>171</v>
      </c>
      <c r="B40" t="s">
        <v>41</v>
      </c>
      <c r="C40" t="s">
        <v>172</v>
      </c>
      <c r="D40" t="s">
        <v>33</v>
      </c>
      <c r="E40" t="s">
        <v>83</v>
      </c>
      <c r="F40" s="1">
        <v>46074</v>
      </c>
      <c r="G40">
        <v>46104</v>
      </c>
      <c r="H40" t="s">
        <v>9</v>
      </c>
      <c r="I40">
        <v>2246246.54</v>
      </c>
      <c r="J40" t="s">
        <v>75</v>
      </c>
      <c r="K40" t="s">
        <v>173</v>
      </c>
      <c r="L40">
        <v>30</v>
      </c>
      <c r="M40" t="s">
        <v>41</v>
      </c>
      <c r="N40">
        <v>1.1555</v>
      </c>
      <c r="O40">
        <v>1.3367963164349013</v>
      </c>
      <c r="P40">
        <v>6.2983756677204832E-3</v>
      </c>
      <c r="Q40">
        <v>6.2983756677204832E-3</v>
      </c>
      <c r="R40">
        <v>14147.704551237326</v>
      </c>
      <c r="S40" t="s">
        <v>16</v>
      </c>
      <c r="T40">
        <v>6.4599999999999996E-3</v>
      </c>
      <c r="U40">
        <v>14510.752648399999</v>
      </c>
      <c r="V40">
        <v>-363.048097162673</v>
      </c>
      <c r="W40">
        <v>-2.5019246482897207E-2</v>
      </c>
    </row>
    <row r="41" spans="1:23" x14ac:dyDescent="0.25">
      <c r="A41" t="s">
        <v>174</v>
      </c>
      <c r="B41" t="s">
        <v>39</v>
      </c>
      <c r="C41" t="s">
        <v>82</v>
      </c>
      <c r="D41" t="s">
        <v>33</v>
      </c>
      <c r="E41" t="s">
        <v>83</v>
      </c>
      <c r="F41" s="1">
        <v>45730</v>
      </c>
      <c r="G41">
        <v>45775</v>
      </c>
      <c r="H41" t="s">
        <v>8</v>
      </c>
      <c r="I41">
        <v>13192.37</v>
      </c>
      <c r="J41" t="s">
        <v>75</v>
      </c>
      <c r="K41" t="s">
        <v>175</v>
      </c>
      <c r="L41">
        <v>45</v>
      </c>
      <c r="M41" t="s">
        <v>39</v>
      </c>
      <c r="N41">
        <v>1.0889</v>
      </c>
      <c r="O41">
        <v>1.2934915600536925</v>
      </c>
      <c r="P41">
        <v>6.7265875957499381E-3</v>
      </c>
      <c r="Q41">
        <v>1.2934915600536925</v>
      </c>
      <c r="R41">
        <v>17064.219252105533</v>
      </c>
      <c r="S41" t="s">
        <v>11</v>
      </c>
      <c r="T41">
        <v>1.238</v>
      </c>
      <c r="U41">
        <v>16332.154060000001</v>
      </c>
      <c r="V41">
        <v>732.06519210553233</v>
      </c>
      <c r="W41">
        <v>4.4823554162918069E-2</v>
      </c>
    </row>
    <row r="42" spans="1:23" x14ac:dyDescent="0.25">
      <c r="A42" t="s">
        <v>176</v>
      </c>
      <c r="B42" t="s">
        <v>34</v>
      </c>
      <c r="C42" t="s">
        <v>177</v>
      </c>
      <c r="D42" t="s">
        <v>31</v>
      </c>
      <c r="E42" t="s">
        <v>74</v>
      </c>
      <c r="F42" s="1">
        <v>45854</v>
      </c>
      <c r="G42">
        <v>45914</v>
      </c>
      <c r="H42" t="s">
        <v>8</v>
      </c>
      <c r="I42">
        <v>15393.63</v>
      </c>
      <c r="J42" t="s">
        <v>75</v>
      </c>
      <c r="K42" t="s">
        <v>178</v>
      </c>
      <c r="L42">
        <v>60</v>
      </c>
      <c r="M42" t="s">
        <v>34</v>
      </c>
      <c r="N42">
        <v>1.1601999999999999</v>
      </c>
      <c r="O42">
        <v>1.3398775840166299</v>
      </c>
      <c r="P42">
        <v>6.723458507185906E-3</v>
      </c>
      <c r="Q42">
        <v>1.3398775840166299</v>
      </c>
      <c r="R42">
        <v>20625.579773645914</v>
      </c>
      <c r="S42" t="s">
        <v>13</v>
      </c>
      <c r="T42">
        <v>1.282</v>
      </c>
      <c r="U42">
        <v>19734.63366</v>
      </c>
      <c r="V42">
        <v>890.94611364591401</v>
      </c>
      <c r="W42">
        <v>4.5146321385826728E-2</v>
      </c>
    </row>
    <row r="43" spans="1:23" x14ac:dyDescent="0.25">
      <c r="A43" t="s">
        <v>179</v>
      </c>
      <c r="B43" t="s">
        <v>38</v>
      </c>
      <c r="C43" t="s">
        <v>87</v>
      </c>
      <c r="D43" t="s">
        <v>33</v>
      </c>
      <c r="E43" t="s">
        <v>88</v>
      </c>
      <c r="F43" s="1">
        <v>45800</v>
      </c>
      <c r="G43">
        <v>45830</v>
      </c>
      <c r="H43" t="s">
        <v>6</v>
      </c>
      <c r="I43">
        <v>6774.46</v>
      </c>
      <c r="J43" t="s">
        <v>75</v>
      </c>
      <c r="K43" t="s">
        <v>180</v>
      </c>
      <c r="L43">
        <v>30</v>
      </c>
      <c r="M43" t="s">
        <v>38</v>
      </c>
      <c r="N43">
        <v>1.1301000000000001</v>
      </c>
      <c r="O43">
        <v>1.3482462419470296</v>
      </c>
      <c r="P43">
        <v>7.0135915099609021E-3</v>
      </c>
      <c r="Q43">
        <v>1.1301000000000001</v>
      </c>
      <c r="R43">
        <v>7655.8172460000005</v>
      </c>
      <c r="S43" t="s">
        <v>12</v>
      </c>
      <c r="T43">
        <v>1.07</v>
      </c>
      <c r="U43">
        <v>7248.6722000000009</v>
      </c>
      <c r="V43">
        <v>407.14504599999964</v>
      </c>
      <c r="W43">
        <v>5.6168224299065365E-2</v>
      </c>
    </row>
    <row r="44" spans="1:23" x14ac:dyDescent="0.25">
      <c r="A44" t="s">
        <v>181</v>
      </c>
      <c r="B44" t="s">
        <v>44</v>
      </c>
      <c r="C44" t="s">
        <v>138</v>
      </c>
      <c r="D44" t="s">
        <v>33</v>
      </c>
      <c r="E44" t="s">
        <v>88</v>
      </c>
      <c r="F44" s="1">
        <v>46176</v>
      </c>
      <c r="G44">
        <v>46221</v>
      </c>
      <c r="H44" t="s">
        <v>9</v>
      </c>
      <c r="I44">
        <v>892030</v>
      </c>
      <c r="J44" t="s">
        <v>75</v>
      </c>
      <c r="K44" t="s">
        <v>182</v>
      </c>
      <c r="L44">
        <v>45</v>
      </c>
      <c r="M44" t="s">
        <v>44</v>
      </c>
      <c r="N44">
        <v>1.1614</v>
      </c>
      <c r="O44">
        <v>1.3446798656941068</v>
      </c>
      <c r="P44">
        <v>6.2555208445545622E-3</v>
      </c>
      <c r="Q44">
        <v>6.2555208445545622E-3</v>
      </c>
      <c r="R44">
        <v>5580.1122589680062</v>
      </c>
      <c r="S44" t="s">
        <v>19</v>
      </c>
      <c r="T44">
        <v>6.6E-3</v>
      </c>
      <c r="U44">
        <v>5887.3980000000001</v>
      </c>
      <c r="V44">
        <v>-307.28574103199389</v>
      </c>
      <c r="W44">
        <v>-5.2193811431126939E-2</v>
      </c>
    </row>
    <row r="45" spans="1:23" x14ac:dyDescent="0.25">
      <c r="A45" t="s">
        <v>183</v>
      </c>
      <c r="B45" t="s">
        <v>38</v>
      </c>
      <c r="C45" t="s">
        <v>87</v>
      </c>
      <c r="D45" t="s">
        <v>33</v>
      </c>
      <c r="E45" t="s">
        <v>88</v>
      </c>
      <c r="F45" s="1">
        <v>46059</v>
      </c>
      <c r="G45">
        <v>46089</v>
      </c>
      <c r="H45" t="s">
        <v>6</v>
      </c>
      <c r="I45">
        <v>2435.4299999999998</v>
      </c>
      <c r="J45" t="s">
        <v>75</v>
      </c>
      <c r="K45" t="s">
        <v>184</v>
      </c>
      <c r="L45">
        <v>30</v>
      </c>
      <c r="M45" t="s">
        <v>38</v>
      </c>
      <c r="N45">
        <v>1.1794</v>
      </c>
      <c r="O45">
        <v>1.3589123170872219</v>
      </c>
      <c r="P45">
        <v>6.3658444432449935E-3</v>
      </c>
      <c r="Q45">
        <v>1.1794</v>
      </c>
      <c r="R45">
        <v>2872.3461419999999</v>
      </c>
      <c r="S45" t="s">
        <v>16</v>
      </c>
      <c r="T45">
        <v>1.0649999999999999</v>
      </c>
      <c r="U45">
        <v>2593.7329499999996</v>
      </c>
      <c r="V45">
        <v>278.61319200000025</v>
      </c>
      <c r="W45">
        <v>0.10741784037558696</v>
      </c>
    </row>
    <row r="46" spans="1:23" x14ac:dyDescent="0.25">
      <c r="A46" t="s">
        <v>185</v>
      </c>
      <c r="B46" t="s">
        <v>30</v>
      </c>
      <c r="C46" t="s">
        <v>103</v>
      </c>
      <c r="D46" t="s">
        <v>31</v>
      </c>
      <c r="E46" t="s">
        <v>74</v>
      </c>
      <c r="F46" s="1">
        <v>45908</v>
      </c>
      <c r="G46">
        <v>45938</v>
      </c>
      <c r="H46" t="s">
        <v>9</v>
      </c>
      <c r="I46">
        <v>842750.02</v>
      </c>
      <c r="J46" t="s">
        <v>75</v>
      </c>
      <c r="K46" t="s">
        <v>186</v>
      </c>
      <c r="L46">
        <v>30</v>
      </c>
      <c r="M46" t="s">
        <v>30</v>
      </c>
      <c r="N46">
        <v>1.1728000000000001</v>
      </c>
      <c r="O46">
        <v>1.3528665359326335</v>
      </c>
      <c r="P46">
        <v>6.7639425572409029E-3</v>
      </c>
      <c r="Q46">
        <v>6.7639425572409029E-3</v>
      </c>
      <c r="R46">
        <v>5700.3127253936218</v>
      </c>
      <c r="S46" t="s">
        <v>13</v>
      </c>
      <c r="T46">
        <v>6.8399999999999997E-3</v>
      </c>
      <c r="U46">
        <v>5764.4101368000001</v>
      </c>
      <c r="V46">
        <v>-64.097411406378342</v>
      </c>
      <c r="W46">
        <v>-1.1119509175306663E-2</v>
      </c>
    </row>
    <row r="47" spans="1:23" x14ac:dyDescent="0.25">
      <c r="A47" t="s">
        <v>187</v>
      </c>
      <c r="B47" t="s">
        <v>30</v>
      </c>
      <c r="C47" t="s">
        <v>103</v>
      </c>
      <c r="D47" t="s">
        <v>31</v>
      </c>
      <c r="E47" t="s">
        <v>74</v>
      </c>
      <c r="F47" s="1">
        <v>46234</v>
      </c>
      <c r="G47">
        <v>46264</v>
      </c>
      <c r="H47" t="s">
        <v>9</v>
      </c>
      <c r="I47">
        <v>3764835.97</v>
      </c>
      <c r="J47" t="s">
        <v>75</v>
      </c>
      <c r="K47" t="s">
        <v>188</v>
      </c>
      <c r="L47">
        <v>30</v>
      </c>
      <c r="M47" t="s">
        <v>30</v>
      </c>
      <c r="N47">
        <v>1.1485000000000001</v>
      </c>
      <c r="O47">
        <v>1.3421289425402874</v>
      </c>
      <c r="P47">
        <v>6.2408302994077054E-3</v>
      </c>
      <c r="Q47">
        <v>6.2408302994077054E-3</v>
      </c>
      <c r="R47">
        <v>23495.702393875999</v>
      </c>
      <c r="S47" t="s">
        <v>21</v>
      </c>
      <c r="T47">
        <v>6.7400000000000003E-3</v>
      </c>
      <c r="U47">
        <v>25374.994437800004</v>
      </c>
      <c r="V47">
        <v>-1879.2920439240042</v>
      </c>
      <c r="W47">
        <v>-7.4060786438026022E-2</v>
      </c>
    </row>
    <row r="48" spans="1:23" x14ac:dyDescent="0.25">
      <c r="A48" t="s">
        <v>189</v>
      </c>
      <c r="B48" t="s">
        <v>26</v>
      </c>
      <c r="C48" t="s">
        <v>94</v>
      </c>
      <c r="D48" t="s">
        <v>31</v>
      </c>
      <c r="E48" t="s">
        <v>74</v>
      </c>
      <c r="F48" s="1">
        <v>45877</v>
      </c>
      <c r="G48">
        <v>45907</v>
      </c>
      <c r="H48" t="s">
        <v>8</v>
      </c>
      <c r="I48">
        <v>29390.73</v>
      </c>
      <c r="J48" t="s">
        <v>75</v>
      </c>
      <c r="K48" t="s">
        <v>190</v>
      </c>
      <c r="L48">
        <v>30</v>
      </c>
      <c r="M48" t="s">
        <v>26</v>
      </c>
      <c r="N48">
        <v>1.1648000000000001</v>
      </c>
      <c r="O48">
        <v>1.343328335832084</v>
      </c>
      <c r="P48">
        <v>6.7650133581136024E-3</v>
      </c>
      <c r="Q48">
        <v>1.343328335832084</v>
      </c>
      <c r="R48">
        <v>39481.400419790109</v>
      </c>
      <c r="S48" t="s">
        <v>13</v>
      </c>
      <c r="T48">
        <v>1.282</v>
      </c>
      <c r="U48">
        <v>37678.915860000001</v>
      </c>
      <c r="V48">
        <v>1802.4845597901076</v>
      </c>
      <c r="W48">
        <v>4.7838015469644342E-2</v>
      </c>
    </row>
    <row r="49" spans="1:23" x14ac:dyDescent="0.25">
      <c r="A49" t="s">
        <v>191</v>
      </c>
      <c r="B49" t="s">
        <v>25</v>
      </c>
      <c r="C49" t="s">
        <v>169</v>
      </c>
      <c r="D49" t="s">
        <v>31</v>
      </c>
      <c r="E49" t="s">
        <v>124</v>
      </c>
      <c r="F49" s="1">
        <v>46074</v>
      </c>
      <c r="G49">
        <v>46134</v>
      </c>
      <c r="H49" t="s">
        <v>6</v>
      </c>
      <c r="I49">
        <v>8451.4699999999993</v>
      </c>
      <c r="J49" t="s">
        <v>75</v>
      </c>
      <c r="K49" t="s">
        <v>192</v>
      </c>
      <c r="L49">
        <v>60</v>
      </c>
      <c r="M49" t="s">
        <v>25</v>
      </c>
      <c r="N49">
        <v>1.1555</v>
      </c>
      <c r="O49">
        <v>1.3367963164349013</v>
      </c>
      <c r="P49">
        <v>6.2983756677204832E-3</v>
      </c>
      <c r="Q49">
        <v>1.1555</v>
      </c>
      <c r="R49">
        <v>9765.6735849999986</v>
      </c>
      <c r="S49" t="s">
        <v>16</v>
      </c>
      <c r="T49">
        <v>1.0649999999999999</v>
      </c>
      <c r="U49">
        <v>9000.8155499999993</v>
      </c>
      <c r="V49">
        <v>764.85803499999929</v>
      </c>
      <c r="W49">
        <v>8.4976525821596177E-2</v>
      </c>
    </row>
    <row r="50" spans="1:23" x14ac:dyDescent="0.25">
      <c r="A50" t="s">
        <v>193</v>
      </c>
      <c r="B50" t="s">
        <v>30</v>
      </c>
      <c r="C50" t="s">
        <v>103</v>
      </c>
      <c r="D50" t="s">
        <v>31</v>
      </c>
      <c r="E50" t="s">
        <v>74</v>
      </c>
      <c r="F50" s="1">
        <v>46092</v>
      </c>
      <c r="G50">
        <v>46122</v>
      </c>
      <c r="H50" t="s">
        <v>9</v>
      </c>
      <c r="I50">
        <v>1978829.95</v>
      </c>
      <c r="J50" t="s">
        <v>75</v>
      </c>
      <c r="K50" t="s">
        <v>194</v>
      </c>
      <c r="L50">
        <v>30</v>
      </c>
      <c r="M50" t="s">
        <v>30</v>
      </c>
      <c r="N50">
        <v>1.1580999999999999</v>
      </c>
      <c r="O50">
        <v>1.3409677755520302</v>
      </c>
      <c r="P50">
        <v>6.3067036976528889E-3</v>
      </c>
      <c r="Q50">
        <v>6.3067036976528889E-3</v>
      </c>
      <c r="R50">
        <v>12479.89416269128</v>
      </c>
      <c r="S50" t="s">
        <v>16</v>
      </c>
      <c r="T50">
        <v>6.4599999999999996E-3</v>
      </c>
      <c r="U50">
        <v>12783.241477</v>
      </c>
      <c r="V50">
        <v>-303.34731430871943</v>
      </c>
      <c r="W50">
        <v>-2.3730077762710751E-2</v>
      </c>
    </row>
    <row r="51" spans="1:23" x14ac:dyDescent="0.25">
      <c r="A51" t="s">
        <v>195</v>
      </c>
      <c r="B51" t="s">
        <v>36</v>
      </c>
      <c r="C51" t="s">
        <v>116</v>
      </c>
      <c r="D51" t="s">
        <v>31</v>
      </c>
      <c r="E51" t="s">
        <v>74</v>
      </c>
      <c r="F51" s="1">
        <v>45980</v>
      </c>
      <c r="G51">
        <v>46025</v>
      </c>
      <c r="H51" t="s">
        <v>6</v>
      </c>
      <c r="I51">
        <v>16423.03</v>
      </c>
      <c r="J51" t="s">
        <v>75</v>
      </c>
      <c r="K51" t="s">
        <v>196</v>
      </c>
      <c r="L51">
        <v>45</v>
      </c>
      <c r="M51" t="s">
        <v>36</v>
      </c>
      <c r="N51">
        <v>1.1583000000000001</v>
      </c>
      <c r="O51">
        <v>1.3122238586156112</v>
      </c>
      <c r="P51">
        <v>6.4047553220901304E-3</v>
      </c>
      <c r="Q51">
        <v>1.1583000000000001</v>
      </c>
      <c r="R51">
        <v>19022.795649</v>
      </c>
      <c r="S51" t="s">
        <v>14</v>
      </c>
      <c r="T51">
        <v>1.1060000000000001</v>
      </c>
      <c r="U51">
        <v>18163.871180000002</v>
      </c>
      <c r="V51">
        <v>858.92446899999777</v>
      </c>
      <c r="W51">
        <v>4.7287522603978172E-2</v>
      </c>
    </row>
    <row r="52" spans="1:23" x14ac:dyDescent="0.25">
      <c r="A52" t="s">
        <v>195</v>
      </c>
      <c r="B52" t="s">
        <v>44</v>
      </c>
      <c r="C52" t="s">
        <v>138</v>
      </c>
      <c r="D52" t="s">
        <v>33</v>
      </c>
      <c r="E52" t="s">
        <v>88</v>
      </c>
      <c r="F52" s="1">
        <v>46358</v>
      </c>
      <c r="G52">
        <v>46403</v>
      </c>
      <c r="H52" t="s">
        <v>9</v>
      </c>
      <c r="I52">
        <v>439426.68</v>
      </c>
      <c r="J52" t="s">
        <v>84</v>
      </c>
      <c r="K52" t="s">
        <v>197</v>
      </c>
      <c r="L52">
        <v>45</v>
      </c>
      <c r="M52" t="s">
        <v>44</v>
      </c>
      <c r="N52">
        <v>1.1176999999999999</v>
      </c>
      <c r="O52">
        <v>1.320456022210408</v>
      </c>
      <c r="P52">
        <v>6.3200452360757699E-3</v>
      </c>
      <c r="Q52">
        <v>6.3200452360757699E-3</v>
      </c>
      <c r="R52">
        <v>2777.1964955385915</v>
      </c>
      <c r="S52" t="s">
        <v>23</v>
      </c>
      <c r="T52">
        <v>6.8799999999999998E-3</v>
      </c>
      <c r="U52">
        <v>3023.2555583999997</v>
      </c>
      <c r="V52">
        <v>-246.05906286140817</v>
      </c>
      <c r="W52">
        <v>-8.1388773826196234E-2</v>
      </c>
    </row>
    <row r="53" spans="1:23" x14ac:dyDescent="0.25">
      <c r="A53" t="s">
        <v>198</v>
      </c>
      <c r="B53" t="s">
        <v>28</v>
      </c>
      <c r="C53" t="s">
        <v>111</v>
      </c>
      <c r="D53" t="s">
        <v>31</v>
      </c>
      <c r="E53" t="s">
        <v>74</v>
      </c>
      <c r="F53" s="1">
        <v>45855</v>
      </c>
      <c r="G53">
        <v>45900</v>
      </c>
      <c r="H53" t="s">
        <v>9</v>
      </c>
      <c r="I53">
        <v>3120410.18</v>
      </c>
      <c r="J53" t="s">
        <v>75</v>
      </c>
      <c r="K53" t="s">
        <v>199</v>
      </c>
      <c r="L53">
        <v>45</v>
      </c>
      <c r="M53" t="s">
        <v>28</v>
      </c>
      <c r="N53">
        <v>1.1578999999999999</v>
      </c>
      <c r="O53">
        <v>1.3395418787598334</v>
      </c>
      <c r="P53">
        <v>6.7210355235662869E-3</v>
      </c>
      <c r="Q53">
        <v>6.7210355235662869E-3</v>
      </c>
      <c r="R53">
        <v>20972.387667877872</v>
      </c>
      <c r="S53" t="s">
        <v>13</v>
      </c>
      <c r="T53">
        <v>6.8399999999999997E-3</v>
      </c>
      <c r="U53">
        <v>21343.6056312</v>
      </c>
      <c r="V53">
        <v>-371.21796332212762</v>
      </c>
      <c r="W53">
        <v>-1.7392467314870298E-2</v>
      </c>
    </row>
    <row r="54" spans="1:23" x14ac:dyDescent="0.25">
      <c r="A54" t="s">
        <v>200</v>
      </c>
      <c r="B54" t="s">
        <v>28</v>
      </c>
      <c r="C54" t="s">
        <v>111</v>
      </c>
      <c r="D54" t="s">
        <v>31</v>
      </c>
      <c r="E54" t="s">
        <v>74</v>
      </c>
      <c r="F54" s="1">
        <v>45782</v>
      </c>
      <c r="G54">
        <v>45827</v>
      </c>
      <c r="H54" t="s">
        <v>9</v>
      </c>
      <c r="I54">
        <v>3747462.46</v>
      </c>
      <c r="J54" t="s">
        <v>75</v>
      </c>
      <c r="K54" t="s">
        <v>201</v>
      </c>
      <c r="L54">
        <v>45</v>
      </c>
      <c r="M54" t="s">
        <v>28</v>
      </c>
      <c r="N54">
        <v>1.1343000000000001</v>
      </c>
      <c r="O54">
        <v>1.3321197886083382</v>
      </c>
      <c r="P54">
        <v>6.9507935535265651E-3</v>
      </c>
      <c r="Q54">
        <v>6.9507935535265651E-3</v>
      </c>
      <c r="R54">
        <v>26047.837909050802</v>
      </c>
      <c r="S54" t="s">
        <v>12</v>
      </c>
      <c r="T54">
        <v>6.7000000000000002E-3</v>
      </c>
      <c r="U54">
        <v>25107.998481999999</v>
      </c>
      <c r="V54">
        <v>939.83942705080335</v>
      </c>
      <c r="W54">
        <v>3.7431873660681361E-2</v>
      </c>
    </row>
    <row r="55" spans="1:23" x14ac:dyDescent="0.25">
      <c r="A55" t="s">
        <v>202</v>
      </c>
      <c r="B55" t="s">
        <v>37</v>
      </c>
      <c r="C55" t="s">
        <v>91</v>
      </c>
      <c r="D55" t="s">
        <v>31</v>
      </c>
      <c r="E55" t="s">
        <v>74</v>
      </c>
      <c r="F55" s="1">
        <v>45816</v>
      </c>
      <c r="G55">
        <v>45846</v>
      </c>
      <c r="H55" t="s">
        <v>6</v>
      </c>
      <c r="I55">
        <v>2396.3200000000002</v>
      </c>
      <c r="J55" t="s">
        <v>75</v>
      </c>
      <c r="K55" t="s">
        <v>203</v>
      </c>
      <c r="L55">
        <v>30</v>
      </c>
      <c r="M55" t="s">
        <v>37</v>
      </c>
      <c r="N55">
        <v>1.1608000000000001</v>
      </c>
      <c r="O55">
        <v>1.3415000577834277</v>
      </c>
      <c r="P55">
        <v>6.725376593279259E-3</v>
      </c>
      <c r="Q55">
        <v>1.1608000000000001</v>
      </c>
      <c r="R55">
        <v>2781.6482560000004</v>
      </c>
      <c r="S55" t="s">
        <v>12</v>
      </c>
      <c r="T55">
        <v>1.07</v>
      </c>
      <c r="U55">
        <v>2564.0624000000003</v>
      </c>
      <c r="V55">
        <v>217.58585600000015</v>
      </c>
      <c r="W55">
        <v>8.4859813084112196E-2</v>
      </c>
    </row>
    <row r="56" spans="1:23" x14ac:dyDescent="0.25">
      <c r="A56" t="s">
        <v>204</v>
      </c>
      <c r="B56" t="s">
        <v>20</v>
      </c>
      <c r="C56" t="s">
        <v>123</v>
      </c>
      <c r="D56" t="s">
        <v>31</v>
      </c>
      <c r="E56" t="s">
        <v>124</v>
      </c>
      <c r="F56" s="1">
        <v>45696</v>
      </c>
      <c r="G56">
        <v>45741</v>
      </c>
      <c r="H56" t="s">
        <v>6</v>
      </c>
      <c r="I56">
        <v>12975.04</v>
      </c>
      <c r="J56" t="s">
        <v>75</v>
      </c>
      <c r="K56" t="s">
        <v>205</v>
      </c>
      <c r="L56">
        <v>45</v>
      </c>
      <c r="M56" t="s">
        <v>20</v>
      </c>
      <c r="N56">
        <v>1.0557000000000001</v>
      </c>
      <c r="O56">
        <v>1.2751848093926659</v>
      </c>
      <c r="P56">
        <v>6.7456869009584666E-3</v>
      </c>
      <c r="Q56">
        <v>1.0557000000000001</v>
      </c>
      <c r="R56">
        <v>13697.749728000003</v>
      </c>
      <c r="S56" t="s">
        <v>11</v>
      </c>
      <c r="T56">
        <v>1.052</v>
      </c>
      <c r="U56">
        <v>13649.742080000002</v>
      </c>
      <c r="V56">
        <v>48.0076480000007</v>
      </c>
      <c r="W56">
        <v>3.5171102661597465E-3</v>
      </c>
    </row>
    <row r="57" spans="1:23" x14ac:dyDescent="0.25">
      <c r="A57" t="s">
        <v>206</v>
      </c>
      <c r="B57" t="s">
        <v>26</v>
      </c>
      <c r="C57" t="s">
        <v>94</v>
      </c>
      <c r="D57" t="s">
        <v>31</v>
      </c>
      <c r="E57" t="s">
        <v>74</v>
      </c>
      <c r="F57" s="1">
        <v>45879</v>
      </c>
      <c r="G57">
        <v>45909</v>
      </c>
      <c r="H57" t="s">
        <v>8</v>
      </c>
      <c r="I57">
        <v>23323.23</v>
      </c>
      <c r="J57" t="s">
        <v>75</v>
      </c>
      <c r="K57" t="s">
        <v>207</v>
      </c>
      <c r="L57">
        <v>30</v>
      </c>
      <c r="M57" t="s">
        <v>26</v>
      </c>
      <c r="N57">
        <v>1.1583000000000001</v>
      </c>
      <c r="O57">
        <v>1.3122238586156112</v>
      </c>
      <c r="P57">
        <v>6.4047553220901304E-3</v>
      </c>
      <c r="Q57">
        <v>1.3122238586156112</v>
      </c>
      <c r="R57">
        <v>30605.298865979381</v>
      </c>
      <c r="S57" t="s">
        <v>13</v>
      </c>
      <c r="T57">
        <v>1.282</v>
      </c>
      <c r="U57">
        <v>29900.380860000001</v>
      </c>
      <c r="V57">
        <v>704.91800597937981</v>
      </c>
      <c r="W57">
        <v>2.3575552742286367E-2</v>
      </c>
    </row>
    <row r="58" spans="1:23" x14ac:dyDescent="0.25">
      <c r="A58" t="s">
        <v>208</v>
      </c>
      <c r="B58" t="s">
        <v>34</v>
      </c>
      <c r="C58" t="s">
        <v>177</v>
      </c>
      <c r="D58" t="s">
        <v>31</v>
      </c>
      <c r="E58" t="s">
        <v>74</v>
      </c>
      <c r="F58" s="1">
        <v>46163</v>
      </c>
      <c r="G58">
        <v>46223</v>
      </c>
      <c r="H58" t="s">
        <v>8</v>
      </c>
      <c r="I58">
        <v>26176.75</v>
      </c>
      <c r="J58" t="s">
        <v>75</v>
      </c>
      <c r="K58" t="s">
        <v>209</v>
      </c>
      <c r="L58">
        <v>60</v>
      </c>
      <c r="M58" t="s">
        <v>34</v>
      </c>
      <c r="N58">
        <v>1.1598999999999999</v>
      </c>
      <c r="O58">
        <v>1.3419642960443348</v>
      </c>
      <c r="P58">
        <v>6.2836556693211983E-3</v>
      </c>
      <c r="Q58">
        <v>1.3419642960443348</v>
      </c>
      <c r="R58">
        <v>35128.26388647854</v>
      </c>
      <c r="S58" t="s">
        <v>19</v>
      </c>
      <c r="T58">
        <v>1.2709999999999999</v>
      </c>
      <c r="U58">
        <v>33270.649249999995</v>
      </c>
      <c r="V58">
        <v>1857.6146364785454</v>
      </c>
      <c r="W58">
        <v>5.5833435125361902E-2</v>
      </c>
    </row>
    <row r="59" spans="1:23" x14ac:dyDescent="0.25">
      <c r="A59" t="s">
        <v>210</v>
      </c>
      <c r="B59" t="s">
        <v>32</v>
      </c>
      <c r="C59" t="s">
        <v>106</v>
      </c>
      <c r="D59" t="s">
        <v>31</v>
      </c>
      <c r="E59" t="s">
        <v>74</v>
      </c>
      <c r="F59" s="1">
        <v>46022</v>
      </c>
      <c r="G59">
        <v>46052</v>
      </c>
      <c r="H59" t="s">
        <v>6</v>
      </c>
      <c r="I59">
        <v>23049.22</v>
      </c>
      <c r="J59" t="s">
        <v>75</v>
      </c>
      <c r="K59" t="s">
        <v>211</v>
      </c>
      <c r="L59">
        <v>30</v>
      </c>
      <c r="M59" t="s">
        <v>32</v>
      </c>
      <c r="N59">
        <v>1.175</v>
      </c>
      <c r="O59">
        <v>1.3465505386202155</v>
      </c>
      <c r="P59">
        <v>6.3827475691237987E-3</v>
      </c>
      <c r="Q59">
        <v>1.175</v>
      </c>
      <c r="R59">
        <v>27082.833500000001</v>
      </c>
      <c r="S59" t="s">
        <v>14</v>
      </c>
      <c r="T59">
        <v>1.1060000000000001</v>
      </c>
      <c r="U59">
        <v>25492.437320000005</v>
      </c>
      <c r="V59">
        <v>1590.3961799999961</v>
      </c>
      <c r="W59">
        <v>6.2386980108498934E-2</v>
      </c>
    </row>
    <row r="60" spans="1:23" x14ac:dyDescent="0.25">
      <c r="A60" t="s">
        <v>212</v>
      </c>
      <c r="B60" t="s">
        <v>26</v>
      </c>
      <c r="C60" t="s">
        <v>94</v>
      </c>
      <c r="D60" t="s">
        <v>31</v>
      </c>
      <c r="E60" t="s">
        <v>74</v>
      </c>
      <c r="F60" s="1">
        <v>45801</v>
      </c>
      <c r="G60">
        <v>45831</v>
      </c>
      <c r="H60" t="s">
        <v>8</v>
      </c>
      <c r="I60">
        <v>35616.089999999997</v>
      </c>
      <c r="J60" t="s">
        <v>75</v>
      </c>
      <c r="K60" t="s">
        <v>213</v>
      </c>
      <c r="L60">
        <v>30</v>
      </c>
      <c r="M60" t="s">
        <v>26</v>
      </c>
      <c r="N60">
        <v>1.1404000000000001</v>
      </c>
      <c r="O60">
        <v>1.3160992498557416</v>
      </c>
      <c r="P60">
        <v>6.6453003904201387E-3</v>
      </c>
      <c r="Q60">
        <v>1.3160992498557416</v>
      </c>
      <c r="R60">
        <v>46874.309331794575</v>
      </c>
      <c r="S60" t="s">
        <v>12</v>
      </c>
      <c r="T60">
        <v>1.26</v>
      </c>
      <c r="U60">
        <v>44876.273399999998</v>
      </c>
      <c r="V60">
        <v>1998.0359317945768</v>
      </c>
      <c r="W60">
        <v>4.4523214171223423E-2</v>
      </c>
    </row>
    <row r="61" spans="1:23" x14ac:dyDescent="0.25">
      <c r="A61" t="s">
        <v>214</v>
      </c>
      <c r="B61" t="s">
        <v>43</v>
      </c>
      <c r="C61" t="s">
        <v>215</v>
      </c>
      <c r="D61" t="s">
        <v>35</v>
      </c>
      <c r="E61" t="s">
        <v>152</v>
      </c>
      <c r="F61" s="1">
        <v>46357</v>
      </c>
      <c r="G61">
        <v>46387</v>
      </c>
      <c r="H61" t="s">
        <v>6</v>
      </c>
      <c r="I61">
        <v>3388.43</v>
      </c>
      <c r="J61" t="s">
        <v>84</v>
      </c>
      <c r="K61" t="s">
        <v>216</v>
      </c>
      <c r="L61">
        <v>30</v>
      </c>
      <c r="M61" t="s">
        <v>43</v>
      </c>
      <c r="N61">
        <v>1.1176999999999999</v>
      </c>
      <c r="O61">
        <v>1.320456022210408</v>
      </c>
      <c r="P61">
        <v>6.3200452360757699E-3</v>
      </c>
      <c r="Q61">
        <v>1.1176999999999999</v>
      </c>
      <c r="R61">
        <v>3787.2482109999996</v>
      </c>
      <c r="S61" t="s">
        <v>23</v>
      </c>
      <c r="T61">
        <v>1.119</v>
      </c>
      <c r="U61">
        <v>3791.6531699999996</v>
      </c>
      <c r="V61">
        <v>-4.4049589999999625</v>
      </c>
      <c r="W61">
        <v>-1.1617515638963263E-3</v>
      </c>
    </row>
    <row r="62" spans="1:23" x14ac:dyDescent="0.25">
      <c r="A62" t="s">
        <v>217</v>
      </c>
      <c r="B62" t="s">
        <v>36</v>
      </c>
      <c r="C62" t="s">
        <v>116</v>
      </c>
      <c r="D62" t="s">
        <v>31</v>
      </c>
      <c r="E62" t="s">
        <v>74</v>
      </c>
      <c r="F62" s="1">
        <v>46202</v>
      </c>
      <c r="G62">
        <v>46247</v>
      </c>
      <c r="H62" t="s">
        <v>6</v>
      </c>
      <c r="I62">
        <v>12169.69</v>
      </c>
      <c r="J62" t="s">
        <v>75</v>
      </c>
      <c r="K62" t="s">
        <v>218</v>
      </c>
      <c r="L62">
        <v>45</v>
      </c>
      <c r="M62" t="s">
        <v>36</v>
      </c>
      <c r="N62">
        <v>1.1406000000000001</v>
      </c>
      <c r="O62">
        <v>1.3229716406657774</v>
      </c>
      <c r="P62">
        <v>6.1780955476113102E-3</v>
      </c>
      <c r="Q62">
        <v>1.1406000000000001</v>
      </c>
      <c r="R62">
        <v>13880.748414000002</v>
      </c>
      <c r="S62" t="s">
        <v>19</v>
      </c>
      <c r="T62">
        <v>1.083</v>
      </c>
      <c r="U62">
        <v>13179.77427</v>
      </c>
      <c r="V62">
        <v>700.97414400000162</v>
      </c>
      <c r="W62">
        <v>5.3185595567867158E-2</v>
      </c>
    </row>
    <row r="63" spans="1:23" x14ac:dyDescent="0.25">
      <c r="A63" t="s">
        <v>219</v>
      </c>
      <c r="B63" t="s">
        <v>24</v>
      </c>
      <c r="C63" t="s">
        <v>73</v>
      </c>
      <c r="D63" t="s">
        <v>31</v>
      </c>
      <c r="E63" t="s">
        <v>74</v>
      </c>
      <c r="F63" s="1">
        <v>46225</v>
      </c>
      <c r="G63">
        <v>46255</v>
      </c>
      <c r="H63" t="s">
        <v>6</v>
      </c>
      <c r="I63">
        <v>28792.69</v>
      </c>
      <c r="J63" t="s">
        <v>75</v>
      </c>
      <c r="K63" t="s">
        <v>220</v>
      </c>
      <c r="L63">
        <v>30</v>
      </c>
      <c r="M63" t="s">
        <v>24</v>
      </c>
      <c r="N63">
        <v>1.1408</v>
      </c>
      <c r="O63">
        <v>1.3367705647996251</v>
      </c>
      <c r="P63">
        <v>6.132344245551793E-3</v>
      </c>
      <c r="Q63">
        <v>1.1408</v>
      </c>
      <c r="R63">
        <v>32846.700751999997</v>
      </c>
      <c r="S63" t="s">
        <v>21</v>
      </c>
      <c r="T63">
        <v>1.101</v>
      </c>
      <c r="U63">
        <v>31700.751689999997</v>
      </c>
      <c r="V63">
        <v>1145.9490619999997</v>
      </c>
      <c r="W63">
        <v>3.6148955495004534E-2</v>
      </c>
    </row>
    <row r="64" spans="1:23" x14ac:dyDescent="0.25">
      <c r="A64" t="s">
        <v>221</v>
      </c>
      <c r="B64" t="s">
        <v>22</v>
      </c>
      <c r="C64" t="s">
        <v>127</v>
      </c>
      <c r="D64" t="s">
        <v>31</v>
      </c>
      <c r="E64" t="s">
        <v>124</v>
      </c>
      <c r="F64" s="1">
        <v>46076</v>
      </c>
      <c r="G64">
        <v>46136</v>
      </c>
      <c r="H64" t="s">
        <v>9</v>
      </c>
      <c r="I64">
        <v>6170799.4800000004</v>
      </c>
      <c r="J64" t="s">
        <v>75</v>
      </c>
      <c r="K64" t="s">
        <v>222</v>
      </c>
      <c r="L64">
        <v>60</v>
      </c>
      <c r="M64" t="s">
        <v>22</v>
      </c>
      <c r="N64">
        <v>1.1783999999999999</v>
      </c>
      <c r="O64">
        <v>1.3492099839706893</v>
      </c>
      <c r="P64">
        <v>6.4591098443323829E-3</v>
      </c>
      <c r="Q64">
        <v>6.4591098443323829E-3</v>
      </c>
      <c r="R64">
        <v>39857.871668669155</v>
      </c>
      <c r="S64" t="s">
        <v>16</v>
      </c>
      <c r="T64">
        <v>6.4599999999999996E-3</v>
      </c>
      <c r="U64">
        <v>39863.364640799999</v>
      </c>
      <c r="V64">
        <v>-5.4929721308435546</v>
      </c>
      <c r="W64">
        <v>-1.377949949869891E-4</v>
      </c>
    </row>
    <row r="65" spans="1:23" x14ac:dyDescent="0.25">
      <c r="A65" t="s">
        <v>223</v>
      </c>
      <c r="B65" t="s">
        <v>20</v>
      </c>
      <c r="C65" t="s">
        <v>123</v>
      </c>
      <c r="D65" t="s">
        <v>31</v>
      </c>
      <c r="E65" t="s">
        <v>124</v>
      </c>
      <c r="F65" s="1">
        <v>45727</v>
      </c>
      <c r="G65">
        <v>45772</v>
      </c>
      <c r="H65" t="s">
        <v>6</v>
      </c>
      <c r="I65">
        <v>12596.84</v>
      </c>
      <c r="J65" t="s">
        <v>75</v>
      </c>
      <c r="K65" t="s">
        <v>224</v>
      </c>
      <c r="L65">
        <v>45</v>
      </c>
      <c r="M65" t="s">
        <v>20</v>
      </c>
      <c r="N65">
        <v>1.0911999999999999</v>
      </c>
      <c r="O65">
        <v>1.2932894019484673</v>
      </c>
      <c r="P65">
        <v>6.7558197127290734E-3</v>
      </c>
      <c r="Q65">
        <v>1.0911999999999999</v>
      </c>
      <c r="R65">
        <v>13745.671807999999</v>
      </c>
      <c r="S65" t="s">
        <v>11</v>
      </c>
      <c r="T65">
        <v>1.052</v>
      </c>
      <c r="U65">
        <v>13251.875680000001</v>
      </c>
      <c r="V65">
        <v>493.79612799999813</v>
      </c>
      <c r="W65">
        <v>3.7262357414448527E-2</v>
      </c>
    </row>
    <row r="66" spans="1:23" x14ac:dyDescent="0.25">
      <c r="A66" t="s">
        <v>225</v>
      </c>
      <c r="B66" t="s">
        <v>20</v>
      </c>
      <c r="C66" t="s">
        <v>123</v>
      </c>
      <c r="D66" t="s">
        <v>31</v>
      </c>
      <c r="E66" t="s">
        <v>124</v>
      </c>
      <c r="F66" s="1">
        <v>46168</v>
      </c>
      <c r="G66">
        <v>46213</v>
      </c>
      <c r="H66" t="s">
        <v>6</v>
      </c>
      <c r="I66">
        <v>40612.19</v>
      </c>
      <c r="J66" t="s">
        <v>75</v>
      </c>
      <c r="K66" t="s">
        <v>226</v>
      </c>
      <c r="L66">
        <v>45</v>
      </c>
      <c r="M66" t="s">
        <v>20</v>
      </c>
      <c r="N66">
        <v>1.1634</v>
      </c>
      <c r="O66">
        <v>1.3469175108538349</v>
      </c>
      <c r="P66">
        <v>6.2811791383219958E-3</v>
      </c>
      <c r="Q66">
        <v>1.1634</v>
      </c>
      <c r="R66">
        <v>47248.221846</v>
      </c>
      <c r="S66" t="s">
        <v>19</v>
      </c>
      <c r="T66">
        <v>1.083</v>
      </c>
      <c r="U66">
        <v>43983.001770000003</v>
      </c>
      <c r="V66">
        <v>3265.2200759999978</v>
      </c>
      <c r="W66">
        <v>7.4238227146814356E-2</v>
      </c>
    </row>
    <row r="67" spans="1:23" x14ac:dyDescent="0.25">
      <c r="A67" t="s">
        <v>227</v>
      </c>
      <c r="B67" t="s">
        <v>24</v>
      </c>
      <c r="C67" t="s">
        <v>73</v>
      </c>
      <c r="D67" t="s">
        <v>31</v>
      </c>
      <c r="E67" t="s">
        <v>74</v>
      </c>
      <c r="F67" s="1">
        <v>46111</v>
      </c>
      <c r="G67">
        <v>46141</v>
      </c>
      <c r="H67" t="s">
        <v>6</v>
      </c>
      <c r="I67">
        <v>42487.9</v>
      </c>
      <c r="J67" t="s">
        <v>75</v>
      </c>
      <c r="K67" t="s">
        <v>228</v>
      </c>
      <c r="L67">
        <v>30</v>
      </c>
      <c r="M67" t="s">
        <v>24</v>
      </c>
      <c r="N67">
        <v>1.1484000000000001</v>
      </c>
      <c r="O67">
        <v>1.3229957489948505</v>
      </c>
      <c r="P67">
        <v>6.2712975098296198E-3</v>
      </c>
      <c r="Q67">
        <v>1.1484000000000001</v>
      </c>
      <c r="R67">
        <v>48793.104360000005</v>
      </c>
      <c r="S67" t="s">
        <v>16</v>
      </c>
      <c r="T67">
        <v>1.0649999999999999</v>
      </c>
      <c r="U67">
        <v>45249.613499999999</v>
      </c>
      <c r="V67">
        <v>3543.4908600000053</v>
      </c>
      <c r="W67">
        <v>7.830985915492969E-2</v>
      </c>
    </row>
    <row r="68" spans="1:23" x14ac:dyDescent="0.25">
      <c r="A68" t="s">
        <v>229</v>
      </c>
      <c r="B68" t="s">
        <v>20</v>
      </c>
      <c r="C68" t="s">
        <v>123</v>
      </c>
      <c r="D68" t="s">
        <v>31</v>
      </c>
      <c r="E68" t="s">
        <v>124</v>
      </c>
      <c r="F68" s="1">
        <v>46317</v>
      </c>
      <c r="G68">
        <v>46362</v>
      </c>
      <c r="H68" t="s">
        <v>6</v>
      </c>
      <c r="I68">
        <v>42161</v>
      </c>
      <c r="J68" t="s">
        <v>84</v>
      </c>
      <c r="K68" t="s">
        <v>230</v>
      </c>
      <c r="L68">
        <v>45</v>
      </c>
      <c r="M68" t="s">
        <v>20</v>
      </c>
      <c r="N68">
        <v>1.1176999999999999</v>
      </c>
      <c r="O68">
        <v>1.320456022210408</v>
      </c>
      <c r="P68">
        <v>6.3200452360757699E-3</v>
      </c>
      <c r="Q68">
        <v>1.1176999999999999</v>
      </c>
      <c r="R68">
        <v>47123.349699999999</v>
      </c>
      <c r="S68" t="s">
        <v>23</v>
      </c>
      <c r="T68">
        <v>1.119</v>
      </c>
      <c r="U68">
        <v>47178.159</v>
      </c>
      <c r="V68">
        <v>-54.809300000000803</v>
      </c>
      <c r="W68">
        <v>-1.1617515638963532E-3</v>
      </c>
    </row>
    <row r="69" spans="1:23" x14ac:dyDescent="0.25">
      <c r="A69" t="s">
        <v>231</v>
      </c>
      <c r="B69" t="s">
        <v>26</v>
      </c>
      <c r="C69" t="s">
        <v>94</v>
      </c>
      <c r="D69" t="s">
        <v>31</v>
      </c>
      <c r="E69" t="s">
        <v>74</v>
      </c>
      <c r="F69" s="1">
        <v>45827</v>
      </c>
      <c r="G69">
        <v>45857</v>
      </c>
      <c r="H69" t="s">
        <v>8</v>
      </c>
      <c r="I69">
        <v>7210.94</v>
      </c>
      <c r="J69" t="s">
        <v>75</v>
      </c>
      <c r="K69" t="s">
        <v>232</v>
      </c>
      <c r="L69">
        <v>30</v>
      </c>
      <c r="M69" t="s">
        <v>26</v>
      </c>
      <c r="N69">
        <v>1.1477999999999999</v>
      </c>
      <c r="O69">
        <v>1.3438707411310151</v>
      </c>
      <c r="P69">
        <v>6.8648325358851674E-3</v>
      </c>
      <c r="Q69">
        <v>1.3438707411310151</v>
      </c>
      <c r="R69">
        <v>9690.5712820512817</v>
      </c>
      <c r="S69" t="s">
        <v>12</v>
      </c>
      <c r="T69">
        <v>1.26</v>
      </c>
      <c r="U69">
        <v>9085.7844000000005</v>
      </c>
      <c r="V69">
        <v>604.78688205128128</v>
      </c>
      <c r="W69">
        <v>6.656408026271031E-2</v>
      </c>
    </row>
    <row r="70" spans="1:23" x14ac:dyDescent="0.25">
      <c r="A70" t="s">
        <v>233</v>
      </c>
      <c r="B70" t="s">
        <v>20</v>
      </c>
      <c r="C70" t="s">
        <v>123</v>
      </c>
      <c r="D70" t="s">
        <v>31</v>
      </c>
      <c r="E70" t="s">
        <v>124</v>
      </c>
      <c r="F70" s="1">
        <v>45742</v>
      </c>
      <c r="G70">
        <v>45787</v>
      </c>
      <c r="H70" t="s">
        <v>6</v>
      </c>
      <c r="I70">
        <v>27344.21</v>
      </c>
      <c r="J70" t="s">
        <v>75</v>
      </c>
      <c r="K70" t="s">
        <v>234</v>
      </c>
      <c r="L70">
        <v>45</v>
      </c>
      <c r="M70" t="s">
        <v>20</v>
      </c>
      <c r="N70">
        <v>1.0788</v>
      </c>
      <c r="O70">
        <v>1.2900756968776532</v>
      </c>
      <c r="P70">
        <v>6.6510480887792848E-3</v>
      </c>
      <c r="Q70">
        <v>1.0788</v>
      </c>
      <c r="R70">
        <v>29498.933747999999</v>
      </c>
      <c r="S70" t="s">
        <v>11</v>
      </c>
      <c r="T70">
        <v>1.052</v>
      </c>
      <c r="U70">
        <v>28766.108919999999</v>
      </c>
      <c r="V70">
        <v>732.82482800000071</v>
      </c>
      <c r="W70">
        <v>2.5475285171102688E-2</v>
      </c>
    </row>
    <row r="71" spans="1:23" x14ac:dyDescent="0.25">
      <c r="A71" t="s">
        <v>235</v>
      </c>
      <c r="B71" t="s">
        <v>44</v>
      </c>
      <c r="C71" t="s">
        <v>138</v>
      </c>
      <c r="D71" t="s">
        <v>33</v>
      </c>
      <c r="E71" t="s">
        <v>88</v>
      </c>
      <c r="F71" s="1">
        <v>45757</v>
      </c>
      <c r="G71">
        <v>45802</v>
      </c>
      <c r="H71" t="s">
        <v>9</v>
      </c>
      <c r="I71">
        <v>772976.88</v>
      </c>
      <c r="J71" t="s">
        <v>75</v>
      </c>
      <c r="K71" t="s">
        <v>236</v>
      </c>
      <c r="L71">
        <v>45</v>
      </c>
      <c r="M71" t="s">
        <v>44</v>
      </c>
      <c r="N71">
        <v>1.1082000000000001</v>
      </c>
      <c r="O71">
        <v>1.2922861640720658</v>
      </c>
      <c r="P71">
        <v>6.8712797619047625E-3</v>
      </c>
      <c r="Q71">
        <v>6.8712797619047625E-3</v>
      </c>
      <c r="R71">
        <v>5311.340391964286</v>
      </c>
      <c r="S71" t="s">
        <v>12</v>
      </c>
      <c r="T71">
        <v>6.7000000000000002E-3</v>
      </c>
      <c r="U71">
        <v>5178.9450960000004</v>
      </c>
      <c r="V71">
        <v>132.39529596428565</v>
      </c>
      <c r="W71">
        <v>2.5564143567874897E-2</v>
      </c>
    </row>
    <row r="72" spans="1:23" x14ac:dyDescent="0.25">
      <c r="A72" t="s">
        <v>237</v>
      </c>
      <c r="B72" t="s">
        <v>32</v>
      </c>
      <c r="C72" t="s">
        <v>106</v>
      </c>
      <c r="D72" t="s">
        <v>31</v>
      </c>
      <c r="E72" t="s">
        <v>74</v>
      </c>
      <c r="F72" s="1">
        <v>46262</v>
      </c>
      <c r="G72">
        <v>46292</v>
      </c>
      <c r="H72" t="s">
        <v>6</v>
      </c>
      <c r="I72">
        <v>5473.87</v>
      </c>
      <c r="J72" t="s">
        <v>75</v>
      </c>
      <c r="K72" t="s">
        <v>238</v>
      </c>
      <c r="L72">
        <v>30</v>
      </c>
      <c r="M72" t="s">
        <v>32</v>
      </c>
      <c r="N72">
        <v>1.1642999999999999</v>
      </c>
      <c r="O72">
        <v>1.3582594493700419</v>
      </c>
      <c r="P72">
        <v>6.2623709122203094E-3</v>
      </c>
      <c r="Q72">
        <v>1.1642999999999999</v>
      </c>
      <c r="R72">
        <v>6373.2268409999997</v>
      </c>
      <c r="S72" t="s">
        <v>21</v>
      </c>
      <c r="T72">
        <v>1.101</v>
      </c>
      <c r="U72">
        <v>6026.7308699999994</v>
      </c>
      <c r="V72">
        <v>346.49597100000028</v>
      </c>
      <c r="W72">
        <v>5.7493188010899234E-2</v>
      </c>
    </row>
    <row r="73" spans="1:23" x14ac:dyDescent="0.25">
      <c r="A73" t="s">
        <v>239</v>
      </c>
      <c r="B73" t="s">
        <v>41</v>
      </c>
      <c r="C73" t="s">
        <v>172</v>
      </c>
      <c r="D73" t="s">
        <v>33</v>
      </c>
      <c r="E73" t="s">
        <v>83</v>
      </c>
      <c r="F73" s="1">
        <v>46225</v>
      </c>
      <c r="G73">
        <v>46255</v>
      </c>
      <c r="H73" t="s">
        <v>9</v>
      </c>
      <c r="I73">
        <v>2265686</v>
      </c>
      <c r="J73" t="s">
        <v>75</v>
      </c>
      <c r="K73" t="s">
        <v>240</v>
      </c>
      <c r="L73">
        <v>30</v>
      </c>
      <c r="M73" t="s">
        <v>41</v>
      </c>
      <c r="N73">
        <v>1.1408</v>
      </c>
      <c r="O73">
        <v>1.3367705647996251</v>
      </c>
      <c r="P73">
        <v>6.132344245551793E-3</v>
      </c>
      <c r="Q73">
        <v>6.132344245551793E-3</v>
      </c>
      <c r="R73">
        <v>13893.96650432726</v>
      </c>
      <c r="S73" t="s">
        <v>21</v>
      </c>
      <c r="T73">
        <v>6.7400000000000003E-3</v>
      </c>
      <c r="U73">
        <v>15270.72364</v>
      </c>
      <c r="V73">
        <v>-1376.7571356727403</v>
      </c>
      <c r="W73">
        <v>-9.0156640125846732E-2</v>
      </c>
    </row>
    <row r="74" spans="1:23" x14ac:dyDescent="0.25">
      <c r="A74" t="s">
        <v>241</v>
      </c>
      <c r="B74" t="s">
        <v>25</v>
      </c>
      <c r="C74" t="s">
        <v>169</v>
      </c>
      <c r="D74" t="s">
        <v>31</v>
      </c>
      <c r="E74" t="s">
        <v>124</v>
      </c>
      <c r="F74" s="1">
        <v>45894</v>
      </c>
      <c r="G74">
        <v>45954</v>
      </c>
      <c r="H74" t="s">
        <v>6</v>
      </c>
      <c r="I74">
        <v>63941.9</v>
      </c>
      <c r="J74" t="s">
        <v>75</v>
      </c>
      <c r="K74" t="s">
        <v>242</v>
      </c>
      <c r="L74">
        <v>60</v>
      </c>
      <c r="M74" t="s">
        <v>25</v>
      </c>
      <c r="N74">
        <v>1.1697</v>
      </c>
      <c r="O74">
        <v>1.3508488278092159</v>
      </c>
      <c r="P74">
        <v>6.7863773497331163E-3</v>
      </c>
      <c r="Q74">
        <v>1.1697</v>
      </c>
      <c r="R74">
        <v>74792.840429999997</v>
      </c>
      <c r="S74" t="s">
        <v>13</v>
      </c>
      <c r="T74">
        <v>1.0880000000000001</v>
      </c>
      <c r="U74">
        <v>69568.787200000006</v>
      </c>
      <c r="V74">
        <v>5224.0532299999904</v>
      </c>
      <c r="W74">
        <v>7.509191176470574E-2</v>
      </c>
    </row>
    <row r="75" spans="1:23" x14ac:dyDescent="0.25">
      <c r="A75" t="s">
        <v>243</v>
      </c>
      <c r="B75" t="s">
        <v>34</v>
      </c>
      <c r="C75" t="s">
        <v>177</v>
      </c>
      <c r="D75" t="s">
        <v>31</v>
      </c>
      <c r="E75" t="s">
        <v>74</v>
      </c>
      <c r="F75" s="1">
        <v>46188</v>
      </c>
      <c r="G75">
        <v>46248</v>
      </c>
      <c r="H75" t="s">
        <v>8</v>
      </c>
      <c r="I75">
        <v>6505.32</v>
      </c>
      <c r="J75" t="s">
        <v>75</v>
      </c>
      <c r="K75" t="s">
        <v>244</v>
      </c>
      <c r="L75">
        <v>60</v>
      </c>
      <c r="M75" t="s">
        <v>34</v>
      </c>
      <c r="N75">
        <v>1.1607000000000001</v>
      </c>
      <c r="O75">
        <v>1.3421134789496203</v>
      </c>
      <c r="P75">
        <v>6.2426719733232935E-3</v>
      </c>
      <c r="Q75">
        <v>1.3421134789496203</v>
      </c>
      <c r="R75">
        <v>8730.8776568805442</v>
      </c>
      <c r="S75" t="s">
        <v>19</v>
      </c>
      <c r="T75">
        <v>1.2709999999999999</v>
      </c>
      <c r="U75">
        <v>8268.2617199999986</v>
      </c>
      <c r="V75">
        <v>462.61593688054563</v>
      </c>
      <c r="W75">
        <v>5.5950809559103518E-2</v>
      </c>
    </row>
    <row r="76" spans="1:23" x14ac:dyDescent="0.25">
      <c r="A76" t="s">
        <v>245</v>
      </c>
      <c r="B76" t="s">
        <v>28</v>
      </c>
      <c r="C76" t="s">
        <v>111</v>
      </c>
      <c r="D76" t="s">
        <v>31</v>
      </c>
      <c r="E76" t="s">
        <v>74</v>
      </c>
      <c r="F76" s="1">
        <v>46300</v>
      </c>
      <c r="G76">
        <v>46345</v>
      </c>
      <c r="H76" t="s">
        <v>9</v>
      </c>
      <c r="I76">
        <v>2306408.69</v>
      </c>
      <c r="J76" t="s">
        <v>84</v>
      </c>
      <c r="K76" t="s">
        <v>246</v>
      </c>
      <c r="L76">
        <v>45</v>
      </c>
      <c r="M76" t="s">
        <v>28</v>
      </c>
      <c r="N76">
        <v>1.1204000000000001</v>
      </c>
      <c r="O76">
        <v>1.3224740321057602</v>
      </c>
      <c r="P76">
        <v>6.3199458483754519E-3</v>
      </c>
      <c r="Q76">
        <v>6.3199458483754519E-3</v>
      </c>
      <c r="R76">
        <v>14576.378025022565</v>
      </c>
      <c r="S76" t="s">
        <v>23</v>
      </c>
      <c r="T76">
        <v>6.8799999999999998E-3</v>
      </c>
      <c r="U76">
        <v>15868.091787199999</v>
      </c>
      <c r="V76">
        <v>-1291.7137621774345</v>
      </c>
      <c r="W76">
        <v>-8.1403219712870317E-2</v>
      </c>
    </row>
    <row r="77" spans="1:23" x14ac:dyDescent="0.25">
      <c r="A77" t="s">
        <v>247</v>
      </c>
      <c r="B77" t="s">
        <v>36</v>
      </c>
      <c r="C77" t="s">
        <v>116</v>
      </c>
      <c r="D77" t="s">
        <v>31</v>
      </c>
      <c r="E77" t="s">
        <v>74</v>
      </c>
      <c r="F77" s="1">
        <v>45720</v>
      </c>
      <c r="G77">
        <v>45765</v>
      </c>
      <c r="H77" t="s">
        <v>6</v>
      </c>
      <c r="I77">
        <v>20534.060000000001</v>
      </c>
      <c r="J77" t="s">
        <v>75</v>
      </c>
      <c r="K77" t="s">
        <v>248</v>
      </c>
      <c r="L77">
        <v>45</v>
      </c>
      <c r="M77" t="s">
        <v>36</v>
      </c>
      <c r="N77">
        <v>1.0557000000000001</v>
      </c>
      <c r="O77">
        <v>1.2751848093926659</v>
      </c>
      <c r="P77">
        <v>6.7456869009584666E-3</v>
      </c>
      <c r="Q77">
        <v>1.0557000000000001</v>
      </c>
      <c r="R77">
        <v>21677.807142000001</v>
      </c>
      <c r="S77" t="s">
        <v>11</v>
      </c>
      <c r="T77">
        <v>1.052</v>
      </c>
      <c r="U77">
        <v>21601.831120000003</v>
      </c>
      <c r="V77">
        <v>75.97602199999892</v>
      </c>
      <c r="W77">
        <v>3.5171102661596455E-3</v>
      </c>
    </row>
    <row r="78" spans="1:23" x14ac:dyDescent="0.25">
      <c r="A78" t="s">
        <v>249</v>
      </c>
      <c r="B78" t="s">
        <v>42</v>
      </c>
      <c r="C78" t="s">
        <v>151</v>
      </c>
      <c r="D78" t="s">
        <v>35</v>
      </c>
      <c r="E78" t="s">
        <v>152</v>
      </c>
      <c r="F78" s="1">
        <v>46363</v>
      </c>
      <c r="G78">
        <v>46393</v>
      </c>
      <c r="H78" t="s">
        <v>8</v>
      </c>
      <c r="I78">
        <v>5735.54</v>
      </c>
      <c r="J78" t="s">
        <v>84</v>
      </c>
      <c r="K78" t="s">
        <v>250</v>
      </c>
      <c r="L78">
        <v>30</v>
      </c>
      <c r="M78" t="s">
        <v>42</v>
      </c>
      <c r="N78">
        <v>1.1176999999999999</v>
      </c>
      <c r="O78">
        <v>1.320456022210408</v>
      </c>
      <c r="P78">
        <v>6.3200452360757699E-3</v>
      </c>
      <c r="Q78">
        <v>1.320456022210408</v>
      </c>
      <c r="R78">
        <v>7573.5283336286839</v>
      </c>
      <c r="S78" t="s">
        <v>23</v>
      </c>
      <c r="T78">
        <v>1.3149999999999999</v>
      </c>
      <c r="U78">
        <v>7542.2350999999999</v>
      </c>
      <c r="V78">
        <v>31.293233628683993</v>
      </c>
      <c r="W78">
        <v>4.1490663197019662E-3</v>
      </c>
    </row>
    <row r="79" spans="1:23" x14ac:dyDescent="0.25">
      <c r="A79" t="s">
        <v>251</v>
      </c>
      <c r="B79" t="s">
        <v>26</v>
      </c>
      <c r="C79" t="s">
        <v>94</v>
      </c>
      <c r="D79" t="s">
        <v>31</v>
      </c>
      <c r="E79" t="s">
        <v>74</v>
      </c>
      <c r="F79" s="1">
        <v>45762</v>
      </c>
      <c r="G79">
        <v>45792</v>
      </c>
      <c r="H79" t="s">
        <v>8</v>
      </c>
      <c r="I79">
        <v>5628.7</v>
      </c>
      <c r="J79" t="s">
        <v>75</v>
      </c>
      <c r="K79" t="s">
        <v>252</v>
      </c>
      <c r="L79">
        <v>30</v>
      </c>
      <c r="M79" t="s">
        <v>26</v>
      </c>
      <c r="N79">
        <v>1.1324000000000001</v>
      </c>
      <c r="O79">
        <v>1.3233609910015194</v>
      </c>
      <c r="P79">
        <v>6.9966017917825153E-3</v>
      </c>
      <c r="Q79">
        <v>1.3233609910015194</v>
      </c>
      <c r="R79">
        <v>7448.8020100502517</v>
      </c>
      <c r="S79" t="s">
        <v>12</v>
      </c>
      <c r="T79">
        <v>1.26</v>
      </c>
      <c r="U79">
        <v>7092.1620000000003</v>
      </c>
      <c r="V79">
        <v>356.64001005025148</v>
      </c>
      <c r="W79">
        <v>5.0286500794856553E-2</v>
      </c>
    </row>
    <row r="80" spans="1:23" x14ac:dyDescent="0.25">
      <c r="A80" t="s">
        <v>253</v>
      </c>
      <c r="B80" t="s">
        <v>41</v>
      </c>
      <c r="C80" t="s">
        <v>172</v>
      </c>
      <c r="D80" t="s">
        <v>33</v>
      </c>
      <c r="E80" t="s">
        <v>83</v>
      </c>
      <c r="F80" s="1">
        <v>45696</v>
      </c>
      <c r="G80">
        <v>45726</v>
      </c>
      <c r="H80" t="s">
        <v>9</v>
      </c>
      <c r="I80">
        <v>683055.42</v>
      </c>
      <c r="J80" t="s">
        <v>75</v>
      </c>
      <c r="K80" t="s">
        <v>254</v>
      </c>
      <c r="L80">
        <v>30</v>
      </c>
      <c r="M80" t="s">
        <v>41</v>
      </c>
      <c r="N80">
        <v>1.0557000000000001</v>
      </c>
      <c r="O80">
        <v>1.2751848093926659</v>
      </c>
      <c r="P80">
        <v>6.7456869009584666E-3</v>
      </c>
      <c r="Q80">
        <v>6.7456869009584666E-3</v>
      </c>
      <c r="R80">
        <v>4607.6779993226837</v>
      </c>
      <c r="S80" t="s">
        <v>11</v>
      </c>
      <c r="T80">
        <v>6.5599999999999999E-3</v>
      </c>
      <c r="U80">
        <v>4480.8435552000001</v>
      </c>
      <c r="V80">
        <v>126.83444412268364</v>
      </c>
      <c r="W80">
        <v>2.8305930024156455E-2</v>
      </c>
    </row>
    <row r="81" spans="1:23" x14ac:dyDescent="0.25">
      <c r="A81" t="s">
        <v>255</v>
      </c>
      <c r="B81" t="s">
        <v>43</v>
      </c>
      <c r="C81" t="s">
        <v>215</v>
      </c>
      <c r="D81" t="s">
        <v>35</v>
      </c>
      <c r="E81" t="s">
        <v>152</v>
      </c>
      <c r="F81" s="1">
        <v>46061</v>
      </c>
      <c r="G81">
        <v>46091</v>
      </c>
      <c r="H81" t="s">
        <v>6</v>
      </c>
      <c r="I81">
        <v>14614.88</v>
      </c>
      <c r="J81" t="s">
        <v>75</v>
      </c>
      <c r="K81" t="s">
        <v>256</v>
      </c>
      <c r="L81">
        <v>30</v>
      </c>
      <c r="M81" t="s">
        <v>43</v>
      </c>
      <c r="N81">
        <v>1.1555</v>
      </c>
      <c r="O81">
        <v>1.3367963164349013</v>
      </c>
      <c r="P81">
        <v>6.2983756677204832E-3</v>
      </c>
      <c r="Q81">
        <v>1.1555</v>
      </c>
      <c r="R81">
        <v>16887.493839999999</v>
      </c>
      <c r="S81" t="s">
        <v>16</v>
      </c>
      <c r="T81">
        <v>1.0649999999999999</v>
      </c>
      <c r="U81">
        <v>15564.847199999998</v>
      </c>
      <c r="V81">
        <v>1322.6466400000008</v>
      </c>
      <c r="W81">
        <v>8.4976525821596302E-2</v>
      </c>
    </row>
    <row r="82" spans="1:23" x14ac:dyDescent="0.25">
      <c r="A82" t="s">
        <v>257</v>
      </c>
      <c r="B82" t="s">
        <v>28</v>
      </c>
      <c r="C82" t="s">
        <v>111</v>
      </c>
      <c r="D82" t="s">
        <v>31</v>
      </c>
      <c r="E82" t="s">
        <v>74</v>
      </c>
      <c r="F82" s="1">
        <v>45989</v>
      </c>
      <c r="G82">
        <v>46034</v>
      </c>
      <c r="H82" t="s">
        <v>9</v>
      </c>
      <c r="I82">
        <v>6281353.6500000004</v>
      </c>
      <c r="J82" t="s">
        <v>75</v>
      </c>
      <c r="K82" t="s">
        <v>258</v>
      </c>
      <c r="L82">
        <v>45</v>
      </c>
      <c r="M82" t="s">
        <v>28</v>
      </c>
      <c r="N82">
        <v>1.1566000000000001</v>
      </c>
      <c r="O82">
        <v>1.3215265082266912</v>
      </c>
      <c r="P82">
        <v>6.405272193609127E-3</v>
      </c>
      <c r="Q82">
        <v>6.405272193609127E-3</v>
      </c>
      <c r="R82">
        <v>40233.779872570201</v>
      </c>
      <c r="S82" t="s">
        <v>14</v>
      </c>
      <c r="T82">
        <v>6.9800000000000001E-3</v>
      </c>
      <c r="U82">
        <v>43843.848477000007</v>
      </c>
      <c r="V82">
        <v>-3610.0686044298054</v>
      </c>
      <c r="W82">
        <v>-8.2339227276629401E-2</v>
      </c>
    </row>
    <row r="83" spans="1:23" x14ac:dyDescent="0.25">
      <c r="A83" t="s">
        <v>259</v>
      </c>
      <c r="B83" t="s">
        <v>36</v>
      </c>
      <c r="C83" t="s">
        <v>116</v>
      </c>
      <c r="D83" t="s">
        <v>31</v>
      </c>
      <c r="E83" t="s">
        <v>74</v>
      </c>
      <c r="F83" s="1">
        <v>46352</v>
      </c>
      <c r="G83">
        <v>46397</v>
      </c>
      <c r="H83" t="s">
        <v>6</v>
      </c>
      <c r="I83">
        <v>27551.02</v>
      </c>
      <c r="J83" t="s">
        <v>84</v>
      </c>
      <c r="K83" t="s">
        <v>260</v>
      </c>
      <c r="L83">
        <v>45</v>
      </c>
      <c r="M83" t="s">
        <v>36</v>
      </c>
      <c r="N83">
        <v>1.1176999999999999</v>
      </c>
      <c r="O83">
        <v>1.320456022210408</v>
      </c>
      <c r="P83">
        <v>6.3200452360757699E-3</v>
      </c>
      <c r="Q83">
        <v>1.1176999999999999</v>
      </c>
      <c r="R83">
        <v>30793.775053999998</v>
      </c>
      <c r="S83" t="s">
        <v>23</v>
      </c>
      <c r="T83">
        <v>1.119</v>
      </c>
      <c r="U83">
        <v>30829.591380000002</v>
      </c>
      <c r="V83">
        <v>-35.816326000003755</v>
      </c>
      <c r="W83">
        <v>-1.1617515638964577E-3</v>
      </c>
    </row>
    <row r="84" spans="1:23" x14ac:dyDescent="0.25">
      <c r="A84" t="s">
        <v>261</v>
      </c>
      <c r="B84" t="s">
        <v>44</v>
      </c>
      <c r="C84" t="s">
        <v>138</v>
      </c>
      <c r="D84" t="s">
        <v>33</v>
      </c>
      <c r="E84" t="s">
        <v>88</v>
      </c>
      <c r="F84" s="1">
        <v>46192</v>
      </c>
      <c r="G84">
        <v>46237</v>
      </c>
      <c r="H84" t="s">
        <v>9</v>
      </c>
      <c r="I84">
        <v>136358.23000000001</v>
      </c>
      <c r="J84" t="s">
        <v>75</v>
      </c>
      <c r="K84" t="s">
        <v>262</v>
      </c>
      <c r="L84">
        <v>45</v>
      </c>
      <c r="M84" t="s">
        <v>44</v>
      </c>
      <c r="N84">
        <v>1.1467000000000001</v>
      </c>
      <c r="O84">
        <v>1.3233240626406473</v>
      </c>
      <c r="P84">
        <v>6.2024015577672011E-3</v>
      </c>
      <c r="Q84">
        <v>6.2024015577672011E-3</v>
      </c>
      <c r="R84">
        <v>845.74849816637834</v>
      </c>
      <c r="S84" t="s">
        <v>19</v>
      </c>
      <c r="T84">
        <v>6.6E-3</v>
      </c>
      <c r="U84">
        <v>899.96431800000005</v>
      </c>
      <c r="V84">
        <v>-54.215819833621708</v>
      </c>
      <c r="W84">
        <v>-6.0242188217090743E-2</v>
      </c>
    </row>
    <row r="85" spans="1:23" x14ac:dyDescent="0.25">
      <c r="A85" t="s">
        <v>263</v>
      </c>
      <c r="B85" t="s">
        <v>28</v>
      </c>
      <c r="C85" t="s">
        <v>111</v>
      </c>
      <c r="D85" t="s">
        <v>31</v>
      </c>
      <c r="E85" t="s">
        <v>74</v>
      </c>
      <c r="F85" s="1">
        <v>46174</v>
      </c>
      <c r="G85">
        <v>46219</v>
      </c>
      <c r="H85" t="s">
        <v>9</v>
      </c>
      <c r="I85">
        <v>1089377.96</v>
      </c>
      <c r="J85" t="s">
        <v>75</v>
      </c>
      <c r="K85" t="s">
        <v>264</v>
      </c>
      <c r="L85">
        <v>45</v>
      </c>
      <c r="M85" t="s">
        <v>28</v>
      </c>
      <c r="N85">
        <v>1.1646000000000001</v>
      </c>
      <c r="O85">
        <v>1.3464673441781416</v>
      </c>
      <c r="P85">
        <v>6.2700549154732421E-3</v>
      </c>
      <c r="Q85">
        <v>6.2700549154732421E-3</v>
      </c>
      <c r="R85">
        <v>6830.4596329062124</v>
      </c>
      <c r="S85" t="s">
        <v>19</v>
      </c>
      <c r="T85">
        <v>6.6E-3</v>
      </c>
      <c r="U85">
        <v>7189.8945359999998</v>
      </c>
      <c r="V85">
        <v>-359.4349030937874</v>
      </c>
      <c r="W85">
        <v>-4.9991679473751244E-2</v>
      </c>
    </row>
    <row r="86" spans="1:23" x14ac:dyDescent="0.25">
      <c r="A86" t="s">
        <v>265</v>
      </c>
      <c r="B86" t="s">
        <v>37</v>
      </c>
      <c r="C86" t="s">
        <v>91</v>
      </c>
      <c r="D86" t="s">
        <v>31</v>
      </c>
      <c r="E86" t="s">
        <v>74</v>
      </c>
      <c r="F86" s="1">
        <v>46108</v>
      </c>
      <c r="G86">
        <v>46138</v>
      </c>
      <c r="H86" t="s">
        <v>6</v>
      </c>
      <c r="I86">
        <v>8005.78</v>
      </c>
      <c r="J86" t="s">
        <v>75</v>
      </c>
      <c r="K86" t="s">
        <v>266</v>
      </c>
      <c r="L86">
        <v>30</v>
      </c>
      <c r="M86" t="s">
        <v>37</v>
      </c>
      <c r="N86">
        <v>1.1516999999999999</v>
      </c>
      <c r="O86">
        <v>1.3280673431734318</v>
      </c>
      <c r="P86">
        <v>6.2538010425716769E-3</v>
      </c>
      <c r="Q86">
        <v>1.1516999999999999</v>
      </c>
      <c r="R86">
        <v>9220.2568259999989</v>
      </c>
      <c r="S86" t="s">
        <v>16</v>
      </c>
      <c r="T86">
        <v>1.0649999999999999</v>
      </c>
      <c r="U86">
        <v>8526.1556999999993</v>
      </c>
      <c r="V86">
        <v>694.10112599999957</v>
      </c>
      <c r="W86">
        <v>8.140845070422531E-2</v>
      </c>
    </row>
    <row r="87" spans="1:23" x14ac:dyDescent="0.25">
      <c r="A87" t="s">
        <v>267</v>
      </c>
      <c r="B87" t="s">
        <v>26</v>
      </c>
      <c r="C87" t="s">
        <v>94</v>
      </c>
      <c r="D87" t="s">
        <v>31</v>
      </c>
      <c r="E87" t="s">
        <v>74</v>
      </c>
      <c r="F87" s="1">
        <v>46218</v>
      </c>
      <c r="G87">
        <v>46248</v>
      </c>
      <c r="H87" t="s">
        <v>8</v>
      </c>
      <c r="I87">
        <v>8088.06</v>
      </c>
      <c r="J87" t="s">
        <v>75</v>
      </c>
      <c r="K87" t="s">
        <v>268</v>
      </c>
      <c r="L87">
        <v>30</v>
      </c>
      <c r="M87" t="s">
        <v>26</v>
      </c>
      <c r="N87">
        <v>1.1406000000000001</v>
      </c>
      <c r="O87">
        <v>1.3404157803814651</v>
      </c>
      <c r="P87">
        <v>6.1580822805312602E-3</v>
      </c>
      <c r="Q87">
        <v>1.3404157803814651</v>
      </c>
      <c r="R87">
        <v>10841.363256672113</v>
      </c>
      <c r="S87" t="s">
        <v>21</v>
      </c>
      <c r="T87">
        <v>1.2929999999999999</v>
      </c>
      <c r="U87">
        <v>10457.861580000001</v>
      </c>
      <c r="V87">
        <v>383.50167667211281</v>
      </c>
      <c r="W87">
        <v>3.6671137185974569E-2</v>
      </c>
    </row>
    <row r="88" spans="1:23" x14ac:dyDescent="0.25">
      <c r="A88" t="s">
        <v>269</v>
      </c>
      <c r="B88" t="s">
        <v>30</v>
      </c>
      <c r="C88" t="s">
        <v>103</v>
      </c>
      <c r="D88" t="s">
        <v>31</v>
      </c>
      <c r="E88" t="s">
        <v>74</v>
      </c>
      <c r="F88" s="1">
        <v>45911</v>
      </c>
      <c r="G88">
        <v>45941</v>
      </c>
      <c r="H88" t="s">
        <v>9</v>
      </c>
      <c r="I88">
        <v>2274381.9</v>
      </c>
      <c r="J88" t="s">
        <v>75</v>
      </c>
      <c r="K88" t="s">
        <v>270</v>
      </c>
      <c r="L88">
        <v>30</v>
      </c>
      <c r="M88" t="s">
        <v>30</v>
      </c>
      <c r="N88">
        <v>1.1685000000000001</v>
      </c>
      <c r="O88">
        <v>1.3513357233722678</v>
      </c>
      <c r="P88">
        <v>6.7590236001850998E-3</v>
      </c>
      <c r="Q88">
        <v>6.7590236001850998E-3</v>
      </c>
      <c r="R88">
        <v>15372.600937933827</v>
      </c>
      <c r="S88" t="s">
        <v>13</v>
      </c>
      <c r="T88">
        <v>6.8399999999999997E-3</v>
      </c>
      <c r="U88">
        <v>15556.772195999998</v>
      </c>
      <c r="V88">
        <v>-184.1712580661715</v>
      </c>
      <c r="W88">
        <v>-1.1838654943698805E-2</v>
      </c>
    </row>
    <row r="89" spans="1:23" x14ac:dyDescent="0.25">
      <c r="A89" t="s">
        <v>271</v>
      </c>
      <c r="B89" t="s">
        <v>28</v>
      </c>
      <c r="C89" t="s">
        <v>111</v>
      </c>
      <c r="D89" t="s">
        <v>31</v>
      </c>
      <c r="E89" t="s">
        <v>74</v>
      </c>
      <c r="F89" s="1">
        <v>46312</v>
      </c>
      <c r="G89">
        <v>46357</v>
      </c>
      <c r="H89" t="s">
        <v>9</v>
      </c>
      <c r="I89">
        <v>4281290.91</v>
      </c>
      <c r="J89" t="s">
        <v>84</v>
      </c>
      <c r="K89" t="s">
        <v>272</v>
      </c>
      <c r="L89">
        <v>45</v>
      </c>
      <c r="M89" t="s">
        <v>28</v>
      </c>
      <c r="N89">
        <v>1.1176999999999999</v>
      </c>
      <c r="O89">
        <v>1.320456022210408</v>
      </c>
      <c r="P89">
        <v>6.3200452360757699E-3</v>
      </c>
      <c r="Q89">
        <v>6.3200452360757699E-3</v>
      </c>
      <c r="R89">
        <v>27057.952219999999</v>
      </c>
      <c r="S89" t="s">
        <v>23</v>
      </c>
      <c r="T89">
        <v>6.8799999999999998E-3</v>
      </c>
      <c r="U89">
        <v>29455.281460800001</v>
      </c>
      <c r="V89">
        <v>-2397.3292408000016</v>
      </c>
      <c r="W89">
        <v>-8.1388773826196206E-2</v>
      </c>
    </row>
    <row r="90" spans="1:23" x14ac:dyDescent="0.25">
      <c r="A90" t="s">
        <v>273</v>
      </c>
      <c r="B90" t="s">
        <v>38</v>
      </c>
      <c r="C90" t="s">
        <v>87</v>
      </c>
      <c r="D90" t="s">
        <v>33</v>
      </c>
      <c r="E90" t="s">
        <v>88</v>
      </c>
      <c r="F90" s="1">
        <v>45849</v>
      </c>
      <c r="G90">
        <v>45879</v>
      </c>
      <c r="H90" t="s">
        <v>6</v>
      </c>
      <c r="I90">
        <v>6811.12</v>
      </c>
      <c r="J90" t="s">
        <v>75</v>
      </c>
      <c r="K90" t="s">
        <v>274</v>
      </c>
      <c r="L90">
        <v>30</v>
      </c>
      <c r="M90" t="s">
        <v>38</v>
      </c>
      <c r="N90">
        <v>1.1682999999999999</v>
      </c>
      <c r="O90">
        <v>1.3495437218435946</v>
      </c>
      <c r="P90">
        <v>6.7999534369361497E-3</v>
      </c>
      <c r="Q90">
        <v>1.1682999999999999</v>
      </c>
      <c r="R90">
        <v>7957.4314959999992</v>
      </c>
      <c r="S90" t="s">
        <v>13</v>
      </c>
      <c r="T90">
        <v>1.0880000000000001</v>
      </c>
      <c r="U90">
        <v>7410.49856</v>
      </c>
      <c r="V90">
        <v>546.93293599999924</v>
      </c>
      <c r="W90">
        <v>7.3805147058823434E-2</v>
      </c>
    </row>
    <row r="91" spans="1:23" x14ac:dyDescent="0.25">
      <c r="A91" t="s">
        <v>275</v>
      </c>
      <c r="B91" t="s">
        <v>36</v>
      </c>
      <c r="C91" t="s">
        <v>116</v>
      </c>
      <c r="D91" t="s">
        <v>31</v>
      </c>
      <c r="E91" t="s">
        <v>74</v>
      </c>
      <c r="F91" s="1">
        <v>45690</v>
      </c>
      <c r="G91">
        <v>45735</v>
      </c>
      <c r="H91" t="s">
        <v>6</v>
      </c>
      <c r="I91">
        <v>4251.75</v>
      </c>
      <c r="J91" t="s">
        <v>75</v>
      </c>
      <c r="K91" t="s">
        <v>276</v>
      </c>
      <c r="L91">
        <v>45</v>
      </c>
      <c r="M91" t="s">
        <v>36</v>
      </c>
      <c r="N91">
        <v>1.0466</v>
      </c>
      <c r="O91">
        <v>1.2635518531932874</v>
      </c>
      <c r="P91">
        <v>6.6743192398443976E-3</v>
      </c>
      <c r="Q91">
        <v>1.0466</v>
      </c>
      <c r="R91">
        <v>4449.8815500000001</v>
      </c>
      <c r="S91" t="s">
        <v>11</v>
      </c>
      <c r="T91">
        <v>1.052</v>
      </c>
      <c r="U91">
        <v>4472.8410000000003</v>
      </c>
      <c r="V91">
        <v>-22.959450000000288</v>
      </c>
      <c r="W91">
        <v>-5.1330798479088096E-3</v>
      </c>
    </row>
    <row r="92" spans="1:23" x14ac:dyDescent="0.25">
      <c r="A92" t="s">
        <v>277</v>
      </c>
      <c r="B92" t="s">
        <v>24</v>
      </c>
      <c r="C92" t="s">
        <v>73</v>
      </c>
      <c r="D92" t="s">
        <v>31</v>
      </c>
      <c r="E92" t="s">
        <v>74</v>
      </c>
      <c r="F92" s="1">
        <v>46255</v>
      </c>
      <c r="G92">
        <v>46285</v>
      </c>
      <c r="H92" t="s">
        <v>6</v>
      </c>
      <c r="I92">
        <v>25585.93</v>
      </c>
      <c r="J92" t="s">
        <v>75</v>
      </c>
      <c r="K92" t="s">
        <v>278</v>
      </c>
      <c r="L92">
        <v>30</v>
      </c>
      <c r="M92" t="s">
        <v>24</v>
      </c>
      <c r="N92">
        <v>1.1698999999999999</v>
      </c>
      <c r="O92">
        <v>1.3655888875919224</v>
      </c>
      <c r="P92">
        <v>6.3013034579338578E-3</v>
      </c>
      <c r="Q92">
        <v>1.1698999999999999</v>
      </c>
      <c r="R92">
        <v>29932.979507</v>
      </c>
      <c r="S92" t="s">
        <v>21</v>
      </c>
      <c r="T92">
        <v>1.101</v>
      </c>
      <c r="U92">
        <v>28170.108929999999</v>
      </c>
      <c r="V92">
        <v>1762.8705770000015</v>
      </c>
      <c r="W92">
        <v>6.2579473206176267E-2</v>
      </c>
    </row>
    <row r="93" spans="1:23" x14ac:dyDescent="0.25">
      <c r="A93" t="s">
        <v>279</v>
      </c>
      <c r="B93" t="s">
        <v>24</v>
      </c>
      <c r="C93" t="s">
        <v>73</v>
      </c>
      <c r="D93" t="s">
        <v>31</v>
      </c>
      <c r="E93" t="s">
        <v>74</v>
      </c>
      <c r="F93" s="1">
        <v>45845</v>
      </c>
      <c r="G93">
        <v>45875</v>
      </c>
      <c r="H93" t="s">
        <v>6</v>
      </c>
      <c r="I93">
        <v>41553.85</v>
      </c>
      <c r="J93" t="s">
        <v>75</v>
      </c>
      <c r="K93" t="s">
        <v>280</v>
      </c>
      <c r="L93">
        <v>30</v>
      </c>
      <c r="M93" t="s">
        <v>24</v>
      </c>
      <c r="N93">
        <v>1.1728000000000001</v>
      </c>
      <c r="O93">
        <v>1.3619788642434096</v>
      </c>
      <c r="P93">
        <v>6.8701306308944993E-3</v>
      </c>
      <c r="Q93">
        <v>1.1728000000000001</v>
      </c>
      <c r="R93">
        <v>48734.355280000003</v>
      </c>
      <c r="S93" t="s">
        <v>13</v>
      </c>
      <c r="T93">
        <v>1.0880000000000001</v>
      </c>
      <c r="U93">
        <v>45210.588800000005</v>
      </c>
      <c r="V93">
        <v>3523.7664799999984</v>
      </c>
      <c r="W93">
        <v>7.7941176470588194E-2</v>
      </c>
    </row>
    <row r="94" spans="1:23" x14ac:dyDescent="0.25">
      <c r="A94" t="s">
        <v>281</v>
      </c>
      <c r="B94" t="s">
        <v>20</v>
      </c>
      <c r="C94" t="s">
        <v>123</v>
      </c>
      <c r="D94" t="s">
        <v>31</v>
      </c>
      <c r="E94" t="s">
        <v>124</v>
      </c>
      <c r="F94" s="1">
        <v>45905</v>
      </c>
      <c r="G94">
        <v>45950</v>
      </c>
      <c r="H94" t="s">
        <v>6</v>
      </c>
      <c r="I94">
        <v>73067.28</v>
      </c>
      <c r="J94" t="s">
        <v>75</v>
      </c>
      <c r="K94" t="s">
        <v>282</v>
      </c>
      <c r="L94">
        <v>45</v>
      </c>
      <c r="M94" t="s">
        <v>20</v>
      </c>
      <c r="N94">
        <v>1.1697</v>
      </c>
      <c r="O94">
        <v>1.347891219174925</v>
      </c>
      <c r="P94">
        <v>6.7577560806516834E-3</v>
      </c>
      <c r="Q94">
        <v>1.1697</v>
      </c>
      <c r="R94">
        <v>85466.797416000001</v>
      </c>
      <c r="S94" t="s">
        <v>13</v>
      </c>
      <c r="T94">
        <v>1.0880000000000001</v>
      </c>
      <c r="U94">
        <v>79497.20064000001</v>
      </c>
      <c r="V94">
        <v>5969.5967759999912</v>
      </c>
      <c r="W94">
        <v>7.5091911764705768E-2</v>
      </c>
    </row>
    <row r="95" spans="1:23" x14ac:dyDescent="0.25">
      <c r="A95" t="s">
        <v>283</v>
      </c>
      <c r="B95" t="s">
        <v>43</v>
      </c>
      <c r="C95" t="s">
        <v>215</v>
      </c>
      <c r="D95" t="s">
        <v>35</v>
      </c>
      <c r="E95" t="s">
        <v>152</v>
      </c>
      <c r="F95" s="1">
        <v>45770</v>
      </c>
      <c r="G95">
        <v>45800</v>
      </c>
      <c r="H95" t="s">
        <v>6</v>
      </c>
      <c r="I95">
        <v>9066.69</v>
      </c>
      <c r="J95" t="s">
        <v>75</v>
      </c>
      <c r="K95" t="s">
        <v>284</v>
      </c>
      <c r="L95">
        <v>30</v>
      </c>
      <c r="M95" t="s">
        <v>43</v>
      </c>
      <c r="N95">
        <v>1.1415</v>
      </c>
      <c r="O95">
        <v>1.3305281316657536</v>
      </c>
      <c r="P95">
        <v>7.0602424542305781E-3</v>
      </c>
      <c r="Q95">
        <v>1.1415</v>
      </c>
      <c r="R95">
        <v>10349.626635000001</v>
      </c>
      <c r="S95" t="s">
        <v>12</v>
      </c>
      <c r="T95">
        <v>1.07</v>
      </c>
      <c r="U95">
        <v>9701.3583000000017</v>
      </c>
      <c r="V95">
        <v>648.26833499999884</v>
      </c>
      <c r="W95">
        <v>6.6822429906541927E-2</v>
      </c>
    </row>
    <row r="96" spans="1:23" x14ac:dyDescent="0.25">
      <c r="A96" t="s">
        <v>285</v>
      </c>
      <c r="B96" t="s">
        <v>44</v>
      </c>
      <c r="C96" t="s">
        <v>138</v>
      </c>
      <c r="D96" t="s">
        <v>33</v>
      </c>
      <c r="E96" t="s">
        <v>88</v>
      </c>
      <c r="F96" s="1">
        <v>46140</v>
      </c>
      <c r="G96">
        <v>46185</v>
      </c>
      <c r="H96" t="s">
        <v>9</v>
      </c>
      <c r="I96">
        <v>337118.71999999997</v>
      </c>
      <c r="J96" t="s">
        <v>75</v>
      </c>
      <c r="K96" t="s">
        <v>286</v>
      </c>
      <c r="L96">
        <v>45</v>
      </c>
      <c r="M96" t="s">
        <v>44</v>
      </c>
      <c r="N96">
        <v>1.1679999999999999</v>
      </c>
      <c r="O96">
        <v>1.3469411289857578</v>
      </c>
      <c r="P96">
        <v>6.2600493086075668E-3</v>
      </c>
      <c r="Q96">
        <v>6.2600493086075668E-3</v>
      </c>
      <c r="R96">
        <v>2110.3798100546678</v>
      </c>
      <c r="S96" t="s">
        <v>19</v>
      </c>
      <c r="T96">
        <v>6.6E-3</v>
      </c>
      <c r="U96">
        <v>2224.9835519999997</v>
      </c>
      <c r="V96">
        <v>-114.60374194533188</v>
      </c>
      <c r="W96">
        <v>-5.1507680514004936E-2</v>
      </c>
    </row>
    <row r="97" spans="1:23" x14ac:dyDescent="0.25">
      <c r="A97" t="s">
        <v>287</v>
      </c>
      <c r="B97" t="s">
        <v>32</v>
      </c>
      <c r="C97" t="s">
        <v>106</v>
      </c>
      <c r="D97" t="s">
        <v>31</v>
      </c>
      <c r="E97" t="s">
        <v>74</v>
      </c>
      <c r="F97" s="1">
        <v>46255</v>
      </c>
      <c r="G97">
        <v>46285</v>
      </c>
      <c r="H97" t="s">
        <v>6</v>
      </c>
      <c r="I97">
        <v>14368.85</v>
      </c>
      <c r="J97" t="s">
        <v>75</v>
      </c>
      <c r="K97" t="s">
        <v>288</v>
      </c>
      <c r="L97">
        <v>30</v>
      </c>
      <c r="M97" t="s">
        <v>32</v>
      </c>
      <c r="N97">
        <v>1.1698999999999999</v>
      </c>
      <c r="O97">
        <v>1.3655888875919224</v>
      </c>
      <c r="P97">
        <v>6.3013034579338578E-3</v>
      </c>
      <c r="Q97">
        <v>1.1698999999999999</v>
      </c>
      <c r="R97">
        <v>16810.117614999999</v>
      </c>
      <c r="S97" t="s">
        <v>21</v>
      </c>
      <c r="T97">
        <v>1.101</v>
      </c>
      <c r="U97">
        <v>15820.10385</v>
      </c>
      <c r="V97">
        <v>990.01376499999969</v>
      </c>
      <c r="W97">
        <v>6.2579473206176184E-2</v>
      </c>
    </row>
    <row r="98" spans="1:23" x14ac:dyDescent="0.25">
      <c r="A98" t="s">
        <v>289</v>
      </c>
      <c r="B98" t="s">
        <v>41</v>
      </c>
      <c r="C98" t="s">
        <v>172</v>
      </c>
      <c r="D98" t="s">
        <v>33</v>
      </c>
      <c r="E98" t="s">
        <v>83</v>
      </c>
      <c r="F98" s="1">
        <v>45764</v>
      </c>
      <c r="G98">
        <v>45794</v>
      </c>
      <c r="H98" t="s">
        <v>9</v>
      </c>
      <c r="I98">
        <v>1621815.46</v>
      </c>
      <c r="J98" t="s">
        <v>75</v>
      </c>
      <c r="K98" t="s">
        <v>290</v>
      </c>
      <c r="L98">
        <v>30</v>
      </c>
      <c r="M98" t="s">
        <v>41</v>
      </c>
      <c r="N98">
        <v>1.1359999999999999</v>
      </c>
      <c r="O98">
        <v>1.322883793509019</v>
      </c>
      <c r="P98">
        <v>7.0132115075935298E-3</v>
      </c>
      <c r="Q98">
        <v>7.0132115075935298E-3</v>
      </c>
      <c r="R98">
        <v>11374.134847265093</v>
      </c>
      <c r="S98" t="s">
        <v>12</v>
      </c>
      <c r="T98">
        <v>6.7000000000000002E-3</v>
      </c>
      <c r="U98">
        <v>10866.163581999999</v>
      </c>
      <c r="V98">
        <v>507.97126526509419</v>
      </c>
      <c r="W98">
        <v>4.6747986207989541E-2</v>
      </c>
    </row>
    <row r="99" spans="1:23" x14ac:dyDescent="0.25">
      <c r="A99" t="s">
        <v>291</v>
      </c>
      <c r="B99" t="s">
        <v>20</v>
      </c>
      <c r="C99" t="s">
        <v>123</v>
      </c>
      <c r="D99" t="s">
        <v>31</v>
      </c>
      <c r="E99" t="s">
        <v>124</v>
      </c>
      <c r="F99" s="1">
        <v>45728</v>
      </c>
      <c r="G99">
        <v>45773</v>
      </c>
      <c r="H99" t="s">
        <v>6</v>
      </c>
      <c r="I99">
        <v>43985.74</v>
      </c>
      <c r="J99" t="s">
        <v>75</v>
      </c>
      <c r="K99" t="s">
        <v>292</v>
      </c>
      <c r="L99">
        <v>45</v>
      </c>
      <c r="M99" t="s">
        <v>20</v>
      </c>
      <c r="N99">
        <v>1.0886</v>
      </c>
      <c r="O99">
        <v>1.2947501129903185</v>
      </c>
      <c r="P99">
        <v>6.710226222030451E-3</v>
      </c>
      <c r="Q99">
        <v>1.0886</v>
      </c>
      <c r="R99">
        <v>47882.876563999998</v>
      </c>
      <c r="S99" t="s">
        <v>11</v>
      </c>
      <c r="T99">
        <v>1.052</v>
      </c>
      <c r="U99">
        <v>46272.998480000002</v>
      </c>
      <c r="V99">
        <v>1609.8780839999963</v>
      </c>
      <c r="W99">
        <v>3.479087452471475E-2</v>
      </c>
    </row>
    <row r="100" spans="1:23" x14ac:dyDescent="0.25">
      <c r="A100" t="s">
        <v>293</v>
      </c>
      <c r="B100" t="s">
        <v>40</v>
      </c>
      <c r="C100" t="s">
        <v>78</v>
      </c>
      <c r="D100" t="s">
        <v>33</v>
      </c>
      <c r="E100" t="s">
        <v>79</v>
      </c>
      <c r="F100" s="1">
        <v>45952</v>
      </c>
      <c r="G100">
        <v>45982</v>
      </c>
      <c r="H100" t="s">
        <v>9</v>
      </c>
      <c r="I100">
        <v>2258915.79</v>
      </c>
      <c r="J100" t="s">
        <v>75</v>
      </c>
      <c r="K100" t="s">
        <v>294</v>
      </c>
      <c r="L100">
        <v>30</v>
      </c>
      <c r="M100" t="s">
        <v>40</v>
      </c>
      <c r="N100">
        <v>1.1587000000000001</v>
      </c>
      <c r="O100">
        <v>1.333525146737254</v>
      </c>
      <c r="P100">
        <v>6.5865165984538435E-3</v>
      </c>
      <c r="Q100">
        <v>6.5865165984538435E-3</v>
      </c>
      <c r="R100">
        <v>14878.386345344477</v>
      </c>
      <c r="S100" t="s">
        <v>14</v>
      </c>
      <c r="T100">
        <v>6.9800000000000001E-3</v>
      </c>
      <c r="U100">
        <v>15767.232214200001</v>
      </c>
      <c r="V100">
        <v>-888.8458688555238</v>
      </c>
      <c r="W100">
        <v>-5.6372980164205826E-2</v>
      </c>
    </row>
    <row r="101" spans="1:23" x14ac:dyDescent="0.25">
      <c r="A101" t="s">
        <v>295</v>
      </c>
      <c r="B101" t="s">
        <v>37</v>
      </c>
      <c r="C101" t="s">
        <v>91</v>
      </c>
      <c r="D101" t="s">
        <v>31</v>
      </c>
      <c r="E101" t="s">
        <v>74</v>
      </c>
      <c r="F101" s="1">
        <v>46043</v>
      </c>
      <c r="G101">
        <v>46073</v>
      </c>
      <c r="H101" t="s">
        <v>6</v>
      </c>
      <c r="I101">
        <v>7203.08</v>
      </c>
      <c r="J101" t="s">
        <v>75</v>
      </c>
      <c r="K101" t="s">
        <v>296</v>
      </c>
      <c r="L101">
        <v>30</v>
      </c>
      <c r="M101" t="s">
        <v>37</v>
      </c>
      <c r="N101">
        <v>1.1738999999999999</v>
      </c>
      <c r="O101">
        <v>1.3425205855443734</v>
      </c>
      <c r="P101">
        <v>6.3375263186308912E-3</v>
      </c>
      <c r="Q101">
        <v>1.1738999999999999</v>
      </c>
      <c r="R101">
        <v>8455.6956119999995</v>
      </c>
      <c r="S101" t="s">
        <v>16</v>
      </c>
      <c r="T101">
        <v>1.0649999999999999</v>
      </c>
      <c r="U101">
        <v>7671.2801999999992</v>
      </c>
      <c r="V101">
        <v>784.41541200000029</v>
      </c>
      <c r="W101">
        <v>0.10225352112676062</v>
      </c>
    </row>
    <row r="102" spans="1:23" x14ac:dyDescent="0.25">
      <c r="A102" t="s">
        <v>297</v>
      </c>
      <c r="B102" t="s">
        <v>38</v>
      </c>
      <c r="C102" t="s">
        <v>87</v>
      </c>
      <c r="D102" t="s">
        <v>33</v>
      </c>
      <c r="E102" t="s">
        <v>88</v>
      </c>
      <c r="F102" s="1">
        <v>45811</v>
      </c>
      <c r="G102">
        <v>45841</v>
      </c>
      <c r="H102" t="s">
        <v>6</v>
      </c>
      <c r="I102">
        <v>8093.57</v>
      </c>
      <c r="J102" t="s">
        <v>75</v>
      </c>
      <c r="K102" t="s">
        <v>298</v>
      </c>
      <c r="L102">
        <v>30</v>
      </c>
      <c r="M102" t="s">
        <v>38</v>
      </c>
      <c r="N102">
        <v>1.1386000000000001</v>
      </c>
      <c r="O102">
        <v>1.3496917970602182</v>
      </c>
      <c r="P102">
        <v>6.9852760736196324E-3</v>
      </c>
      <c r="Q102">
        <v>1.1386000000000001</v>
      </c>
      <c r="R102">
        <v>9215.3388020000002</v>
      </c>
      <c r="S102" t="s">
        <v>12</v>
      </c>
      <c r="T102">
        <v>1.07</v>
      </c>
      <c r="U102">
        <v>8660.1198999999997</v>
      </c>
      <c r="V102">
        <v>555.21890200000053</v>
      </c>
      <c r="W102">
        <v>6.4112149532710341E-2</v>
      </c>
    </row>
    <row r="103" spans="1:23" x14ac:dyDescent="0.25">
      <c r="A103" t="s">
        <v>299</v>
      </c>
      <c r="B103" t="s">
        <v>37</v>
      </c>
      <c r="C103" t="s">
        <v>91</v>
      </c>
      <c r="D103" t="s">
        <v>31</v>
      </c>
      <c r="E103" t="s">
        <v>74</v>
      </c>
      <c r="F103" s="1">
        <v>45939</v>
      </c>
      <c r="G103">
        <v>45969</v>
      </c>
      <c r="H103" t="s">
        <v>6</v>
      </c>
      <c r="I103">
        <v>12436.83</v>
      </c>
      <c r="J103" t="s">
        <v>75</v>
      </c>
      <c r="K103" t="s">
        <v>300</v>
      </c>
      <c r="L103">
        <v>30</v>
      </c>
      <c r="M103" t="s">
        <v>37</v>
      </c>
      <c r="N103">
        <v>1.1611</v>
      </c>
      <c r="O103">
        <v>1.3372106414833584</v>
      </c>
      <c r="P103">
        <v>6.5450958286358508E-3</v>
      </c>
      <c r="Q103">
        <v>1.1611</v>
      </c>
      <c r="R103">
        <v>14440.403313000001</v>
      </c>
      <c r="S103" t="s">
        <v>14</v>
      </c>
      <c r="T103">
        <v>1.1060000000000001</v>
      </c>
      <c r="U103">
        <v>13755.133980000001</v>
      </c>
      <c r="V103">
        <v>685.26933300000019</v>
      </c>
      <c r="W103">
        <v>4.9819168173598563E-2</v>
      </c>
    </row>
    <row r="104" spans="1:23" x14ac:dyDescent="0.25">
      <c r="A104" t="s">
        <v>301</v>
      </c>
      <c r="B104" t="s">
        <v>25</v>
      </c>
      <c r="C104" t="s">
        <v>169</v>
      </c>
      <c r="D104" t="s">
        <v>31</v>
      </c>
      <c r="E104" t="s">
        <v>124</v>
      </c>
      <c r="F104" s="1">
        <v>46203</v>
      </c>
      <c r="G104">
        <v>46263</v>
      </c>
      <c r="H104" t="s">
        <v>6</v>
      </c>
      <c r="I104">
        <v>15097.73</v>
      </c>
      <c r="J104" t="s">
        <v>75</v>
      </c>
      <c r="K104" t="s">
        <v>302</v>
      </c>
      <c r="L104">
        <v>60</v>
      </c>
      <c r="M104" t="s">
        <v>25</v>
      </c>
      <c r="N104">
        <v>1.1394</v>
      </c>
      <c r="O104">
        <v>1.3221471837359884</v>
      </c>
      <c r="P104">
        <v>6.1562567538361781E-3</v>
      </c>
      <c r="Q104">
        <v>1.1394</v>
      </c>
      <c r="R104">
        <v>17202.353562</v>
      </c>
      <c r="S104" t="s">
        <v>19</v>
      </c>
      <c r="T104">
        <v>1.083</v>
      </c>
      <c r="U104">
        <v>16350.841589999998</v>
      </c>
      <c r="V104">
        <v>851.51197200000206</v>
      </c>
      <c r="W104">
        <v>5.2077562326869935E-2</v>
      </c>
    </row>
    <row r="105" spans="1:23" x14ac:dyDescent="0.25">
      <c r="A105" t="s">
        <v>303</v>
      </c>
      <c r="B105" t="s">
        <v>40</v>
      </c>
      <c r="C105" t="s">
        <v>78</v>
      </c>
      <c r="D105" t="s">
        <v>33</v>
      </c>
      <c r="E105" t="s">
        <v>79</v>
      </c>
      <c r="F105" s="1">
        <v>45817</v>
      </c>
      <c r="G105">
        <v>45847</v>
      </c>
      <c r="H105" t="s">
        <v>9</v>
      </c>
      <c r="I105">
        <v>1327372.2</v>
      </c>
      <c r="J105" t="s">
        <v>75</v>
      </c>
      <c r="K105" t="s">
        <v>304</v>
      </c>
      <c r="L105">
        <v>30</v>
      </c>
      <c r="M105" t="s">
        <v>40</v>
      </c>
      <c r="N105">
        <v>1.141</v>
      </c>
      <c r="O105">
        <v>1.354463437796771</v>
      </c>
      <c r="P105">
        <v>6.9201843765162542E-3</v>
      </c>
      <c r="Q105">
        <v>6.9201843765162542E-3</v>
      </c>
      <c r="R105">
        <v>9185.6603602620089</v>
      </c>
      <c r="S105" t="s">
        <v>12</v>
      </c>
      <c r="T105">
        <v>6.7000000000000002E-3</v>
      </c>
      <c r="U105">
        <v>8893.3937399999995</v>
      </c>
      <c r="V105">
        <v>292.26662026200938</v>
      </c>
      <c r="W105">
        <v>3.2863339778545483E-2</v>
      </c>
    </row>
    <row r="106" spans="1:23" x14ac:dyDescent="0.25">
      <c r="A106" t="s">
        <v>305</v>
      </c>
      <c r="B106" t="s">
        <v>43</v>
      </c>
      <c r="C106" t="s">
        <v>215</v>
      </c>
      <c r="D106" t="s">
        <v>35</v>
      </c>
      <c r="E106" t="s">
        <v>152</v>
      </c>
      <c r="F106" s="1">
        <v>45717</v>
      </c>
      <c r="G106">
        <v>45747</v>
      </c>
      <c r="H106" t="s">
        <v>6</v>
      </c>
      <c r="I106">
        <v>12269.19</v>
      </c>
      <c r="J106" t="s">
        <v>75</v>
      </c>
      <c r="K106" t="s">
        <v>306</v>
      </c>
      <c r="L106">
        <v>30</v>
      </c>
      <c r="M106" t="s">
        <v>43</v>
      </c>
      <c r="N106">
        <v>1.0803</v>
      </c>
      <c r="O106">
        <v>1.2944700736924091</v>
      </c>
      <c r="P106">
        <v>6.7007815407517683E-3</v>
      </c>
      <c r="Q106">
        <v>1.0803</v>
      </c>
      <c r="R106">
        <v>13254.405957000001</v>
      </c>
      <c r="S106" t="s">
        <v>11</v>
      </c>
      <c r="T106">
        <v>1.052</v>
      </c>
      <c r="U106">
        <v>12907.187880000001</v>
      </c>
      <c r="V106">
        <v>347.21807699999954</v>
      </c>
      <c r="W106">
        <v>2.6901140684410609E-2</v>
      </c>
    </row>
    <row r="107" spans="1:23" x14ac:dyDescent="0.25">
      <c r="A107" t="s">
        <v>307</v>
      </c>
      <c r="B107" t="s">
        <v>32</v>
      </c>
      <c r="C107" t="s">
        <v>106</v>
      </c>
      <c r="D107" t="s">
        <v>31</v>
      </c>
      <c r="E107" t="s">
        <v>74</v>
      </c>
      <c r="F107" s="1">
        <v>45712</v>
      </c>
      <c r="G107">
        <v>45742</v>
      </c>
      <c r="H107" t="s">
        <v>6</v>
      </c>
      <c r="I107">
        <v>4413.0600000000004</v>
      </c>
      <c r="J107" t="s">
        <v>75</v>
      </c>
      <c r="K107" t="s">
        <v>308</v>
      </c>
      <c r="L107">
        <v>30</v>
      </c>
      <c r="M107" t="s">
        <v>32</v>
      </c>
      <c r="N107">
        <v>1.0466</v>
      </c>
      <c r="O107">
        <v>1.2635518531932874</v>
      </c>
      <c r="P107">
        <v>6.6743192398443976E-3</v>
      </c>
      <c r="Q107">
        <v>1.0466</v>
      </c>
      <c r="R107">
        <v>4618.7085960000004</v>
      </c>
      <c r="S107" t="s">
        <v>11</v>
      </c>
      <c r="T107">
        <v>1.052</v>
      </c>
      <c r="U107">
        <v>4642.5391200000004</v>
      </c>
      <c r="V107">
        <v>-23.830523999999969</v>
      </c>
      <c r="W107">
        <v>-5.1330798479087385E-3</v>
      </c>
    </row>
    <row r="108" spans="1:23" x14ac:dyDescent="0.25">
      <c r="A108" t="s">
        <v>309</v>
      </c>
      <c r="B108" t="s">
        <v>32</v>
      </c>
      <c r="C108" t="s">
        <v>106</v>
      </c>
      <c r="D108" t="s">
        <v>31</v>
      </c>
      <c r="E108" t="s">
        <v>74</v>
      </c>
      <c r="F108" s="1">
        <v>46174</v>
      </c>
      <c r="G108">
        <v>46204</v>
      </c>
      <c r="H108" t="s">
        <v>6</v>
      </c>
      <c r="I108">
        <v>8162.37</v>
      </c>
      <c r="J108" t="s">
        <v>75</v>
      </c>
      <c r="K108" t="s">
        <v>310</v>
      </c>
      <c r="L108">
        <v>30</v>
      </c>
      <c r="M108" t="s">
        <v>32</v>
      </c>
      <c r="N108">
        <v>1.1646000000000001</v>
      </c>
      <c r="O108">
        <v>1.3464673441781416</v>
      </c>
      <c r="P108">
        <v>6.2700549154732421E-3</v>
      </c>
      <c r="Q108">
        <v>1.1646000000000001</v>
      </c>
      <c r="R108">
        <v>9505.8961020000006</v>
      </c>
      <c r="S108" t="s">
        <v>19</v>
      </c>
      <c r="T108">
        <v>1.083</v>
      </c>
      <c r="U108">
        <v>8839.8467099999998</v>
      </c>
      <c r="V108">
        <v>666.04939200000081</v>
      </c>
      <c r="W108">
        <v>7.5346260387811725E-2</v>
      </c>
    </row>
    <row r="109" spans="1:23" x14ac:dyDescent="0.25">
      <c r="A109" t="s">
        <v>311</v>
      </c>
      <c r="B109" t="s">
        <v>22</v>
      </c>
      <c r="C109" t="s">
        <v>127</v>
      </c>
      <c r="D109" t="s">
        <v>31</v>
      </c>
      <c r="E109" t="s">
        <v>124</v>
      </c>
      <c r="F109" s="1">
        <v>46109</v>
      </c>
      <c r="G109">
        <v>46169</v>
      </c>
      <c r="H109" t="s">
        <v>9</v>
      </c>
      <c r="I109">
        <v>11933164.77</v>
      </c>
      <c r="J109" t="s">
        <v>75</v>
      </c>
      <c r="K109" t="s">
        <v>312</v>
      </c>
      <c r="L109">
        <v>60</v>
      </c>
      <c r="M109" t="s">
        <v>22</v>
      </c>
      <c r="N109">
        <v>1.1516999999999999</v>
      </c>
      <c r="O109">
        <v>1.3280673431734318</v>
      </c>
      <c r="P109">
        <v>6.2538010425716769E-3</v>
      </c>
      <c r="Q109">
        <v>6.2538010425716769E-3</v>
      </c>
      <c r="R109">
        <v>74627.6382798056</v>
      </c>
      <c r="S109" t="s">
        <v>16</v>
      </c>
      <c r="T109">
        <v>6.4599999999999996E-3</v>
      </c>
      <c r="U109">
        <v>77088.244414199988</v>
      </c>
      <c r="V109">
        <v>-2460.6061343943875</v>
      </c>
      <c r="W109">
        <v>-3.1919343255158279E-2</v>
      </c>
    </row>
    <row r="110" spans="1:23" x14ac:dyDescent="0.25">
      <c r="A110" t="s">
        <v>313</v>
      </c>
      <c r="B110" t="s">
        <v>38</v>
      </c>
      <c r="C110" t="s">
        <v>87</v>
      </c>
      <c r="D110" t="s">
        <v>33</v>
      </c>
      <c r="E110" t="s">
        <v>88</v>
      </c>
      <c r="F110" s="1">
        <v>45919</v>
      </c>
      <c r="G110">
        <v>45949</v>
      </c>
      <c r="H110" t="s">
        <v>6</v>
      </c>
      <c r="I110">
        <v>6207.52</v>
      </c>
      <c r="J110" t="s">
        <v>75</v>
      </c>
      <c r="K110" t="s">
        <v>314</v>
      </c>
      <c r="L110">
        <v>30</v>
      </c>
      <c r="M110" t="s">
        <v>38</v>
      </c>
      <c r="N110">
        <v>1.1736</v>
      </c>
      <c r="O110">
        <v>1.3477262287551677</v>
      </c>
      <c r="P110">
        <v>6.7529777317452098E-3</v>
      </c>
      <c r="Q110">
        <v>1.1736</v>
      </c>
      <c r="R110">
        <v>7285.1454720000002</v>
      </c>
      <c r="S110" t="s">
        <v>13</v>
      </c>
      <c r="T110">
        <v>1.0880000000000001</v>
      </c>
      <c r="U110">
        <v>6753.7817600000008</v>
      </c>
      <c r="V110">
        <v>531.3637119999994</v>
      </c>
      <c r="W110">
        <v>7.8676470588235195E-2</v>
      </c>
    </row>
    <row r="111" spans="1:23" x14ac:dyDescent="0.25">
      <c r="A111" t="s">
        <v>315</v>
      </c>
      <c r="B111" t="s">
        <v>40</v>
      </c>
      <c r="C111" t="s">
        <v>78</v>
      </c>
      <c r="D111" t="s">
        <v>33</v>
      </c>
      <c r="E111" t="s">
        <v>79</v>
      </c>
      <c r="F111" s="1">
        <v>46105</v>
      </c>
      <c r="G111">
        <v>46135</v>
      </c>
      <c r="H111" t="s">
        <v>9</v>
      </c>
      <c r="I111">
        <v>299126.59000000003</v>
      </c>
      <c r="J111" t="s">
        <v>75</v>
      </c>
      <c r="K111" t="s">
        <v>316</v>
      </c>
      <c r="L111">
        <v>30</v>
      </c>
      <c r="M111" t="s">
        <v>40</v>
      </c>
      <c r="N111">
        <v>1.1572</v>
      </c>
      <c r="O111">
        <v>1.3371696652453751</v>
      </c>
      <c r="P111">
        <v>6.2922081452884563E-3</v>
      </c>
      <c r="Q111">
        <v>6.2922081452884563E-3</v>
      </c>
      <c r="R111">
        <v>1882.1667660703606</v>
      </c>
      <c r="S111" t="s">
        <v>16</v>
      </c>
      <c r="T111">
        <v>6.4599999999999996E-3</v>
      </c>
      <c r="U111">
        <v>1932.3577714</v>
      </c>
      <c r="V111">
        <v>-50.191005329639438</v>
      </c>
      <c r="W111">
        <v>-2.5973971317576391E-2</v>
      </c>
    </row>
    <row r="112" spans="1:23" x14ac:dyDescent="0.25">
      <c r="A112" t="s">
        <v>317</v>
      </c>
      <c r="B112" t="s">
        <v>37</v>
      </c>
      <c r="C112" t="s">
        <v>91</v>
      </c>
      <c r="D112" t="s">
        <v>31</v>
      </c>
      <c r="E112" t="s">
        <v>74</v>
      </c>
      <c r="F112" s="1">
        <v>45967</v>
      </c>
      <c r="G112">
        <v>45997</v>
      </c>
      <c r="H112" t="s">
        <v>6</v>
      </c>
      <c r="I112">
        <v>13212.6</v>
      </c>
      <c r="J112" t="s">
        <v>75</v>
      </c>
      <c r="K112" t="s">
        <v>318</v>
      </c>
      <c r="L112">
        <v>30</v>
      </c>
      <c r="M112" t="s">
        <v>37</v>
      </c>
      <c r="N112">
        <v>1.1533</v>
      </c>
      <c r="O112">
        <v>1.3095265130010219</v>
      </c>
      <c r="P112">
        <v>6.5103020039514537E-3</v>
      </c>
      <c r="Q112">
        <v>1.1533</v>
      </c>
      <c r="R112">
        <v>15238.09158</v>
      </c>
      <c r="S112" t="s">
        <v>14</v>
      </c>
      <c r="T112">
        <v>1.1060000000000001</v>
      </c>
      <c r="U112">
        <v>14613.135600000001</v>
      </c>
      <c r="V112">
        <v>624.95597999999882</v>
      </c>
      <c r="W112">
        <v>4.2766726943942047E-2</v>
      </c>
    </row>
    <row r="113" spans="1:23" x14ac:dyDescent="0.25">
      <c r="A113" t="s">
        <v>319</v>
      </c>
      <c r="B113" t="s">
        <v>37</v>
      </c>
      <c r="C113" t="s">
        <v>91</v>
      </c>
      <c r="D113" t="s">
        <v>31</v>
      </c>
      <c r="E113" t="s">
        <v>74</v>
      </c>
      <c r="F113" s="1">
        <v>46250</v>
      </c>
      <c r="G113">
        <v>46280</v>
      </c>
      <c r="H113" t="s">
        <v>6</v>
      </c>
      <c r="I113">
        <v>15829.9</v>
      </c>
      <c r="J113" t="s">
        <v>75</v>
      </c>
      <c r="K113" t="s">
        <v>320</v>
      </c>
      <c r="L113">
        <v>30</v>
      </c>
      <c r="M113" t="s">
        <v>37</v>
      </c>
      <c r="N113">
        <v>1.1567000000000001</v>
      </c>
      <c r="O113">
        <v>1.3536571094207139</v>
      </c>
      <c r="P113">
        <v>6.2888055238405913E-3</v>
      </c>
      <c r="Q113">
        <v>1.1567000000000001</v>
      </c>
      <c r="R113">
        <v>18310.445330000002</v>
      </c>
      <c r="S113" t="s">
        <v>21</v>
      </c>
      <c r="T113">
        <v>1.101</v>
      </c>
      <c r="U113">
        <v>17428.7199</v>
      </c>
      <c r="V113">
        <v>881.72543000000223</v>
      </c>
      <c r="W113">
        <v>5.0590372388737641E-2</v>
      </c>
    </row>
    <row r="114" spans="1:23" x14ac:dyDescent="0.25">
      <c r="A114" t="s">
        <v>321</v>
      </c>
      <c r="B114" t="s">
        <v>26</v>
      </c>
      <c r="C114" t="s">
        <v>94</v>
      </c>
      <c r="D114" t="s">
        <v>31</v>
      </c>
      <c r="E114" t="s">
        <v>74</v>
      </c>
      <c r="F114" s="1">
        <v>46240</v>
      </c>
      <c r="G114">
        <v>46270</v>
      </c>
      <c r="H114" t="s">
        <v>8</v>
      </c>
      <c r="I114">
        <v>26345.61</v>
      </c>
      <c r="J114" t="s">
        <v>75</v>
      </c>
      <c r="K114" t="s">
        <v>322</v>
      </c>
      <c r="L114">
        <v>30</v>
      </c>
      <c r="M114" t="s">
        <v>26</v>
      </c>
      <c r="N114">
        <v>1.1541999999999999</v>
      </c>
      <c r="O114">
        <v>1.3467125605273904</v>
      </c>
      <c r="P114">
        <v>6.3358401493110832E-3</v>
      </c>
      <c r="Q114">
        <v>1.3467125605273904</v>
      </c>
      <c r="R114">
        <v>35479.963901756026</v>
      </c>
      <c r="S114" t="s">
        <v>21</v>
      </c>
      <c r="T114">
        <v>1.2929999999999999</v>
      </c>
      <c r="U114">
        <v>34064.873729999999</v>
      </c>
      <c r="V114">
        <v>1415.0901717560264</v>
      </c>
      <c r="W114">
        <v>4.1541036757455976E-2</v>
      </c>
    </row>
    <row r="115" spans="1:23" x14ac:dyDescent="0.25">
      <c r="A115" t="s">
        <v>323</v>
      </c>
      <c r="B115" t="s">
        <v>42</v>
      </c>
      <c r="C115" t="s">
        <v>151</v>
      </c>
      <c r="D115" t="s">
        <v>35</v>
      </c>
      <c r="E115" t="s">
        <v>152</v>
      </c>
      <c r="F115" s="1">
        <v>46025</v>
      </c>
      <c r="G115">
        <v>46055</v>
      </c>
      <c r="H115" t="s">
        <v>8</v>
      </c>
      <c r="I115">
        <v>7301.56</v>
      </c>
      <c r="J115" t="s">
        <v>75</v>
      </c>
      <c r="K115" t="s">
        <v>324</v>
      </c>
      <c r="L115">
        <v>30</v>
      </c>
      <c r="M115" t="s">
        <v>42</v>
      </c>
      <c r="N115">
        <v>1.1555</v>
      </c>
      <c r="O115">
        <v>1.3367963164349013</v>
      </c>
      <c r="P115">
        <v>6.2983756677204832E-3</v>
      </c>
      <c r="Q115">
        <v>1.3367963164349013</v>
      </c>
      <c r="R115">
        <v>9760.6985122284186</v>
      </c>
      <c r="S115" t="s">
        <v>16</v>
      </c>
      <c r="T115">
        <v>1.2490000000000001</v>
      </c>
      <c r="U115">
        <v>9119.6484400000008</v>
      </c>
      <c r="V115">
        <v>641.05007222841778</v>
      </c>
      <c r="W115">
        <v>7.0293287778143532E-2</v>
      </c>
    </row>
    <row r="116" spans="1:23" x14ac:dyDescent="0.25">
      <c r="A116" t="s">
        <v>325</v>
      </c>
      <c r="B116" t="s">
        <v>20</v>
      </c>
      <c r="C116" t="s">
        <v>123</v>
      </c>
      <c r="D116" t="s">
        <v>31</v>
      </c>
      <c r="E116" t="s">
        <v>124</v>
      </c>
      <c r="F116" s="1">
        <v>45759</v>
      </c>
      <c r="G116">
        <v>45804</v>
      </c>
      <c r="H116" t="s">
        <v>6</v>
      </c>
      <c r="I116">
        <v>22106.82</v>
      </c>
      <c r="J116" t="s">
        <v>75</v>
      </c>
      <c r="K116" t="s">
        <v>326</v>
      </c>
      <c r="L116">
        <v>45</v>
      </c>
      <c r="M116" t="s">
        <v>20</v>
      </c>
      <c r="N116">
        <v>1.1384000000000001</v>
      </c>
      <c r="O116">
        <v>1.3518584491153072</v>
      </c>
      <c r="P116">
        <v>6.9351203167834297E-3</v>
      </c>
      <c r="Q116">
        <v>1.1384000000000001</v>
      </c>
      <c r="R116">
        <v>25166.403888000001</v>
      </c>
      <c r="S116" t="s">
        <v>12</v>
      </c>
      <c r="T116">
        <v>1.07</v>
      </c>
      <c r="U116">
        <v>23654.297399999999</v>
      </c>
      <c r="V116">
        <v>1512.1064880000013</v>
      </c>
      <c r="W116">
        <v>6.3925233644859872E-2</v>
      </c>
    </row>
    <row r="117" spans="1:23" x14ac:dyDescent="0.25">
      <c r="A117" t="s">
        <v>327</v>
      </c>
      <c r="B117" t="s">
        <v>20</v>
      </c>
      <c r="C117" t="s">
        <v>123</v>
      </c>
      <c r="D117" t="s">
        <v>31</v>
      </c>
      <c r="E117" t="s">
        <v>124</v>
      </c>
      <c r="F117" s="1">
        <v>46307</v>
      </c>
      <c r="G117">
        <v>46352</v>
      </c>
      <c r="H117" t="s">
        <v>6</v>
      </c>
      <c r="I117">
        <v>66506.45</v>
      </c>
      <c r="J117" t="s">
        <v>84</v>
      </c>
      <c r="K117" t="s">
        <v>328</v>
      </c>
      <c r="L117">
        <v>45</v>
      </c>
      <c r="M117" t="s">
        <v>20</v>
      </c>
      <c r="N117">
        <v>1.1176999999999999</v>
      </c>
      <c r="O117">
        <v>1.320456022210408</v>
      </c>
      <c r="P117">
        <v>6.3200452360757699E-3</v>
      </c>
      <c r="Q117">
        <v>1.1176999999999999</v>
      </c>
      <c r="R117">
        <v>74334.259164999996</v>
      </c>
      <c r="S117" t="s">
        <v>23</v>
      </c>
      <c r="T117">
        <v>1.119</v>
      </c>
      <c r="U117">
        <v>74420.717550000001</v>
      </c>
      <c r="V117">
        <v>-86.458385000005364</v>
      </c>
      <c r="W117">
        <v>-1.161751563896408E-3</v>
      </c>
    </row>
    <row r="118" spans="1:23" x14ac:dyDescent="0.25">
      <c r="A118" t="s">
        <v>329</v>
      </c>
      <c r="B118" t="s">
        <v>26</v>
      </c>
      <c r="C118" t="s">
        <v>94</v>
      </c>
      <c r="D118" t="s">
        <v>31</v>
      </c>
      <c r="E118" t="s">
        <v>74</v>
      </c>
      <c r="F118" s="1">
        <v>45804</v>
      </c>
      <c r="G118">
        <v>45834</v>
      </c>
      <c r="H118" t="s">
        <v>8</v>
      </c>
      <c r="I118">
        <v>14805.7</v>
      </c>
      <c r="J118" t="s">
        <v>75</v>
      </c>
      <c r="K118" t="s">
        <v>330</v>
      </c>
      <c r="L118">
        <v>30</v>
      </c>
      <c r="M118" t="s">
        <v>26</v>
      </c>
      <c r="N118">
        <v>1.1355999999999999</v>
      </c>
      <c r="O118">
        <v>1.3549695740365111</v>
      </c>
      <c r="P118">
        <v>6.9362325922306374E-3</v>
      </c>
      <c r="Q118">
        <v>1.3549695740365111</v>
      </c>
      <c r="R118">
        <v>20061.273022312373</v>
      </c>
      <c r="S118" t="s">
        <v>12</v>
      </c>
      <c r="T118">
        <v>1.26</v>
      </c>
      <c r="U118">
        <v>18655.182000000001</v>
      </c>
      <c r="V118">
        <v>1406.0910223123719</v>
      </c>
      <c r="W118">
        <v>7.5372677806754815E-2</v>
      </c>
    </row>
    <row r="119" spans="1:23" x14ac:dyDescent="0.25">
      <c r="A119" t="s">
        <v>331</v>
      </c>
      <c r="B119" t="s">
        <v>28</v>
      </c>
      <c r="C119" t="s">
        <v>111</v>
      </c>
      <c r="D119" t="s">
        <v>31</v>
      </c>
      <c r="E119" t="s">
        <v>74</v>
      </c>
      <c r="F119" s="1">
        <v>46155</v>
      </c>
      <c r="G119">
        <v>46200</v>
      </c>
      <c r="H119" t="s">
        <v>9</v>
      </c>
      <c r="I119">
        <v>1040345.3</v>
      </c>
      <c r="J119" t="s">
        <v>75</v>
      </c>
      <c r="K119" t="s">
        <v>332</v>
      </c>
      <c r="L119">
        <v>45</v>
      </c>
      <c r="M119" t="s">
        <v>28</v>
      </c>
      <c r="N119">
        <v>1.1715</v>
      </c>
      <c r="O119">
        <v>1.3510084993022962</v>
      </c>
      <c r="P119">
        <v>6.3382567764973217E-3</v>
      </c>
      <c r="Q119">
        <v>6.3382567764973217E-3</v>
      </c>
      <c r="R119">
        <v>6593.9756476221391</v>
      </c>
      <c r="S119" t="s">
        <v>19</v>
      </c>
      <c r="T119">
        <v>6.6E-3</v>
      </c>
      <c r="U119">
        <v>6866.27898</v>
      </c>
      <c r="V119">
        <v>-272.3033323778609</v>
      </c>
      <c r="W119">
        <v>-3.9658064167072467E-2</v>
      </c>
    </row>
    <row r="120" spans="1:23" x14ac:dyDescent="0.25">
      <c r="A120" t="s">
        <v>333</v>
      </c>
      <c r="B120" t="s">
        <v>25</v>
      </c>
      <c r="C120" t="s">
        <v>169</v>
      </c>
      <c r="D120" t="s">
        <v>31</v>
      </c>
      <c r="E120" t="s">
        <v>124</v>
      </c>
      <c r="F120" s="1">
        <v>45844</v>
      </c>
      <c r="G120">
        <v>45904</v>
      </c>
      <c r="H120" t="s">
        <v>6</v>
      </c>
      <c r="I120">
        <v>50847.13</v>
      </c>
      <c r="J120" t="s">
        <v>75</v>
      </c>
      <c r="K120" t="s">
        <v>334</v>
      </c>
      <c r="L120">
        <v>60</v>
      </c>
      <c r="M120" t="s">
        <v>25</v>
      </c>
      <c r="N120">
        <v>1.1724000000000001</v>
      </c>
      <c r="O120">
        <v>1.3469669117647061</v>
      </c>
      <c r="P120">
        <v>6.7977039485127852E-3</v>
      </c>
      <c r="Q120">
        <v>1.1724000000000001</v>
      </c>
      <c r="R120">
        <v>59613.175212000002</v>
      </c>
      <c r="S120" t="s">
        <v>13</v>
      </c>
      <c r="T120">
        <v>1.0880000000000001</v>
      </c>
      <c r="U120">
        <v>55321.677439999999</v>
      </c>
      <c r="V120">
        <v>4291.4977720000024</v>
      </c>
      <c r="W120">
        <v>7.7573529411764749E-2</v>
      </c>
    </row>
    <row r="121" spans="1:23" x14ac:dyDescent="0.25">
      <c r="A121" t="s">
        <v>335</v>
      </c>
      <c r="B121" t="s">
        <v>30</v>
      </c>
      <c r="C121" t="s">
        <v>103</v>
      </c>
      <c r="D121" t="s">
        <v>31</v>
      </c>
      <c r="E121" t="s">
        <v>74</v>
      </c>
      <c r="F121" s="1">
        <v>46145</v>
      </c>
      <c r="G121">
        <v>46175</v>
      </c>
      <c r="H121" t="s">
        <v>9</v>
      </c>
      <c r="I121">
        <v>2431242.6800000002</v>
      </c>
      <c r="J121" t="s">
        <v>75</v>
      </c>
      <c r="K121" t="s">
        <v>336</v>
      </c>
      <c r="L121">
        <v>30</v>
      </c>
      <c r="M121" t="s">
        <v>30</v>
      </c>
      <c r="N121">
        <v>1.1701999999999999</v>
      </c>
      <c r="O121">
        <v>1.3508802308802308</v>
      </c>
      <c r="P121">
        <v>6.3872059385404719E-3</v>
      </c>
      <c r="Q121">
        <v>6.3872059385404719E-3</v>
      </c>
      <c r="R121">
        <v>15528.847683729053</v>
      </c>
      <c r="S121" t="s">
        <v>19</v>
      </c>
      <c r="T121">
        <v>6.6E-3</v>
      </c>
      <c r="U121">
        <v>16046.201688000001</v>
      </c>
      <c r="V121">
        <v>-517.35400427094828</v>
      </c>
      <c r="W121">
        <v>-3.2241524463564888E-2</v>
      </c>
    </row>
    <row r="122" spans="1:23" x14ac:dyDescent="0.25">
      <c r="A122" t="s">
        <v>337</v>
      </c>
      <c r="B122" t="s">
        <v>41</v>
      </c>
      <c r="C122" t="s">
        <v>172</v>
      </c>
      <c r="D122" t="s">
        <v>33</v>
      </c>
      <c r="E122" t="s">
        <v>83</v>
      </c>
      <c r="F122" s="1">
        <v>45803</v>
      </c>
      <c r="G122">
        <v>45833</v>
      </c>
      <c r="H122" t="s">
        <v>9</v>
      </c>
      <c r="I122">
        <v>304795.78000000003</v>
      </c>
      <c r="J122" t="s">
        <v>75</v>
      </c>
      <c r="K122" t="s">
        <v>338</v>
      </c>
      <c r="L122">
        <v>30</v>
      </c>
      <c r="M122" t="s">
        <v>41</v>
      </c>
      <c r="N122">
        <v>1.1380999999999999</v>
      </c>
      <c r="O122">
        <v>1.3561725452812201</v>
      </c>
      <c r="P122">
        <v>6.9980938326262062E-3</v>
      </c>
      <c r="Q122">
        <v>6.9980938326262062E-3</v>
      </c>
      <c r="R122">
        <v>2132.9894682284944</v>
      </c>
      <c r="S122" t="s">
        <v>12</v>
      </c>
      <c r="T122">
        <v>6.7000000000000002E-3</v>
      </c>
      <c r="U122">
        <v>2042.1317260000003</v>
      </c>
      <c r="V122">
        <v>90.857742228494089</v>
      </c>
      <c r="W122">
        <v>4.4491616809881576E-2</v>
      </c>
    </row>
    <row r="123" spans="1:23" x14ac:dyDescent="0.25">
      <c r="A123" t="s">
        <v>339</v>
      </c>
      <c r="B123" t="s">
        <v>30</v>
      </c>
      <c r="C123" t="s">
        <v>103</v>
      </c>
      <c r="D123" t="s">
        <v>31</v>
      </c>
      <c r="E123" t="s">
        <v>74</v>
      </c>
      <c r="F123" s="1">
        <v>45658</v>
      </c>
      <c r="G123">
        <v>45688</v>
      </c>
      <c r="H123" t="s">
        <v>9</v>
      </c>
      <c r="I123">
        <v>4968613.84</v>
      </c>
      <c r="J123" t="s">
        <v>75</v>
      </c>
      <c r="K123" t="s">
        <v>340</v>
      </c>
      <c r="L123">
        <v>30</v>
      </c>
      <c r="M123" t="s">
        <v>30</v>
      </c>
      <c r="N123">
        <v>1.0305</v>
      </c>
      <c r="O123">
        <v>1.2295962199312713</v>
      </c>
      <c r="P123">
        <v>6.339197834645669E-3</v>
      </c>
      <c r="Q123">
        <v>6.339197834645669E-3</v>
      </c>
      <c r="R123">
        <v>31497.026095718502</v>
      </c>
      <c r="S123" t="s">
        <v>11</v>
      </c>
      <c r="T123">
        <v>6.5599999999999999E-3</v>
      </c>
      <c r="U123">
        <v>32594.106790399997</v>
      </c>
      <c r="V123">
        <v>-1097.0806946814955</v>
      </c>
      <c r="W123">
        <v>-3.365886666986747E-2</v>
      </c>
    </row>
    <row r="124" spans="1:23" x14ac:dyDescent="0.25">
      <c r="A124" t="s">
        <v>341</v>
      </c>
      <c r="B124" t="s">
        <v>43</v>
      </c>
      <c r="C124" t="s">
        <v>215</v>
      </c>
      <c r="D124" t="s">
        <v>35</v>
      </c>
      <c r="E124" t="s">
        <v>152</v>
      </c>
      <c r="F124" s="1">
        <v>46290</v>
      </c>
      <c r="G124">
        <v>46320</v>
      </c>
      <c r="H124" t="s">
        <v>6</v>
      </c>
      <c r="I124">
        <v>8623.2800000000007</v>
      </c>
      <c r="J124" t="s">
        <v>75</v>
      </c>
      <c r="K124" t="s">
        <v>342</v>
      </c>
      <c r="L124">
        <v>30</v>
      </c>
      <c r="M124" t="s">
        <v>43</v>
      </c>
      <c r="N124">
        <v>1.1403000000000001</v>
      </c>
      <c r="O124">
        <v>1.3252367947004475</v>
      </c>
      <c r="P124">
        <v>6.3455759599332232E-3</v>
      </c>
      <c r="Q124">
        <v>1.1403000000000001</v>
      </c>
      <c r="R124">
        <v>9833.1261840000006</v>
      </c>
      <c r="S124" t="s">
        <v>21</v>
      </c>
      <c r="T124">
        <v>1.101</v>
      </c>
      <c r="U124">
        <v>9494.23128</v>
      </c>
      <c r="V124">
        <v>338.89490400000068</v>
      </c>
      <c r="W124">
        <v>3.5694822888283448E-2</v>
      </c>
    </row>
    <row r="125" spans="1:23" x14ac:dyDescent="0.25">
      <c r="A125" t="s">
        <v>343</v>
      </c>
      <c r="B125" t="s">
        <v>20</v>
      </c>
      <c r="C125" t="s">
        <v>123</v>
      </c>
      <c r="D125" t="s">
        <v>31</v>
      </c>
      <c r="E125" t="s">
        <v>124</v>
      </c>
      <c r="F125" s="1">
        <v>45794</v>
      </c>
      <c r="G125">
        <v>45839</v>
      </c>
      <c r="H125" t="s">
        <v>6</v>
      </c>
      <c r="I125">
        <v>42049.13</v>
      </c>
      <c r="J125" t="s">
        <v>75</v>
      </c>
      <c r="K125" t="s">
        <v>344</v>
      </c>
      <c r="L125">
        <v>45</v>
      </c>
      <c r="M125" t="s">
        <v>20</v>
      </c>
      <c r="N125">
        <v>1.1726000000000001</v>
      </c>
      <c r="O125">
        <v>1.353260242354299</v>
      </c>
      <c r="P125">
        <v>6.8361219611729734E-3</v>
      </c>
      <c r="Q125">
        <v>1.1726000000000001</v>
      </c>
      <c r="R125">
        <v>49306.809838000001</v>
      </c>
      <c r="S125" t="s">
        <v>12</v>
      </c>
      <c r="T125">
        <v>1.07</v>
      </c>
      <c r="U125">
        <v>44992.569100000001</v>
      </c>
      <c r="V125">
        <v>4314.2407380000004</v>
      </c>
      <c r="W125">
        <v>9.5887850467289731E-2</v>
      </c>
    </row>
    <row r="126" spans="1:23" x14ac:dyDescent="0.25">
      <c r="A126" t="s">
        <v>345</v>
      </c>
      <c r="B126" t="s">
        <v>28</v>
      </c>
      <c r="C126" t="s">
        <v>111</v>
      </c>
      <c r="D126" t="s">
        <v>31</v>
      </c>
      <c r="E126" t="s">
        <v>74</v>
      </c>
      <c r="F126" s="1">
        <v>45775</v>
      </c>
      <c r="G126">
        <v>45820</v>
      </c>
      <c r="H126" t="s">
        <v>9</v>
      </c>
      <c r="I126">
        <v>1910461.6</v>
      </c>
      <c r="J126" t="s">
        <v>75</v>
      </c>
      <c r="K126" t="s">
        <v>346</v>
      </c>
      <c r="L126">
        <v>45</v>
      </c>
      <c r="M126" t="s">
        <v>28</v>
      </c>
      <c r="N126">
        <v>1.1357999999999999</v>
      </c>
      <c r="O126">
        <v>1.3340380549682873</v>
      </c>
      <c r="P126">
        <v>6.9766584766584759E-3</v>
      </c>
      <c r="Q126">
        <v>6.9766584766584759E-3</v>
      </c>
      <c r="R126">
        <v>13328.638115970514</v>
      </c>
      <c r="S126" t="s">
        <v>12</v>
      </c>
      <c r="T126">
        <v>6.7000000000000002E-3</v>
      </c>
      <c r="U126">
        <v>12800.092720000001</v>
      </c>
      <c r="V126">
        <v>528.54539597051371</v>
      </c>
      <c r="W126">
        <v>4.129230994902619E-2</v>
      </c>
    </row>
    <row r="127" spans="1:23" x14ac:dyDescent="0.25">
      <c r="A127" t="s">
        <v>347</v>
      </c>
      <c r="B127" t="s">
        <v>20</v>
      </c>
      <c r="C127" t="s">
        <v>123</v>
      </c>
      <c r="D127" t="s">
        <v>31</v>
      </c>
      <c r="E127" t="s">
        <v>124</v>
      </c>
      <c r="F127" s="1">
        <v>46331</v>
      </c>
      <c r="G127">
        <v>46376</v>
      </c>
      <c r="H127" t="s">
        <v>6</v>
      </c>
      <c r="I127">
        <v>35332.79</v>
      </c>
      <c r="J127" t="s">
        <v>84</v>
      </c>
      <c r="K127" t="s">
        <v>348</v>
      </c>
      <c r="L127">
        <v>45</v>
      </c>
      <c r="M127" t="s">
        <v>20</v>
      </c>
      <c r="N127">
        <v>1.1176999999999999</v>
      </c>
      <c r="O127">
        <v>1.320456022210408</v>
      </c>
      <c r="P127">
        <v>6.3200452360757699E-3</v>
      </c>
      <c r="Q127">
        <v>1.1176999999999999</v>
      </c>
      <c r="R127">
        <v>39491.459383000001</v>
      </c>
      <c r="S127" t="s">
        <v>23</v>
      </c>
      <c r="T127">
        <v>1.119</v>
      </c>
      <c r="U127">
        <v>39537.392010000003</v>
      </c>
      <c r="V127">
        <v>-45.932627000001958</v>
      </c>
      <c r="W127">
        <v>-1.1617515638963855E-3</v>
      </c>
    </row>
    <row r="128" spans="1:23" x14ac:dyDescent="0.25">
      <c r="A128" t="s">
        <v>349</v>
      </c>
      <c r="B128" t="s">
        <v>32</v>
      </c>
      <c r="C128" t="s">
        <v>106</v>
      </c>
      <c r="D128" t="s">
        <v>31</v>
      </c>
      <c r="E128" t="s">
        <v>74</v>
      </c>
      <c r="F128" s="1">
        <v>46068</v>
      </c>
      <c r="G128">
        <v>46098</v>
      </c>
      <c r="H128" t="s">
        <v>6</v>
      </c>
      <c r="I128">
        <v>13601.8</v>
      </c>
      <c r="J128" t="s">
        <v>75</v>
      </c>
      <c r="K128" t="s">
        <v>350</v>
      </c>
      <c r="L128">
        <v>30</v>
      </c>
      <c r="M128" t="s">
        <v>32</v>
      </c>
      <c r="N128">
        <v>1.1555</v>
      </c>
      <c r="O128">
        <v>1.3367963164349013</v>
      </c>
      <c r="P128">
        <v>6.2983756677204832E-3</v>
      </c>
      <c r="Q128">
        <v>1.1555</v>
      </c>
      <c r="R128">
        <v>15716.879899999998</v>
      </c>
      <c r="S128" t="s">
        <v>16</v>
      </c>
      <c r="T128">
        <v>1.0649999999999999</v>
      </c>
      <c r="U128">
        <v>14485.916999999998</v>
      </c>
      <c r="V128">
        <v>1230.9629000000004</v>
      </c>
      <c r="W128">
        <v>8.4976525821596288E-2</v>
      </c>
    </row>
    <row r="129" spans="1:23" x14ac:dyDescent="0.25">
      <c r="A129" t="s">
        <v>351</v>
      </c>
      <c r="B129" t="s">
        <v>38</v>
      </c>
      <c r="C129" t="s">
        <v>87</v>
      </c>
      <c r="D129" t="s">
        <v>33</v>
      </c>
      <c r="E129" t="s">
        <v>88</v>
      </c>
      <c r="F129" s="1">
        <v>46067</v>
      </c>
      <c r="G129">
        <v>46097</v>
      </c>
      <c r="H129" t="s">
        <v>6</v>
      </c>
      <c r="I129">
        <v>7978.19</v>
      </c>
      <c r="J129" t="s">
        <v>75</v>
      </c>
      <c r="K129" t="s">
        <v>352</v>
      </c>
      <c r="L129">
        <v>30</v>
      </c>
      <c r="M129" t="s">
        <v>38</v>
      </c>
      <c r="N129">
        <v>1.1555</v>
      </c>
      <c r="O129">
        <v>1.3367963164349013</v>
      </c>
      <c r="P129">
        <v>6.2983756677204832E-3</v>
      </c>
      <c r="Q129">
        <v>1.1555</v>
      </c>
      <c r="R129">
        <v>9218.7985449999996</v>
      </c>
      <c r="S129" t="s">
        <v>16</v>
      </c>
      <c r="T129">
        <v>1.0649999999999999</v>
      </c>
      <c r="U129">
        <v>8496.7723499999993</v>
      </c>
      <c r="V129">
        <v>722.02619500000037</v>
      </c>
      <c r="W129">
        <v>8.4976525821596288E-2</v>
      </c>
    </row>
    <row r="130" spans="1:23" x14ac:dyDescent="0.25">
      <c r="A130" t="s">
        <v>353</v>
      </c>
      <c r="B130" t="s">
        <v>20</v>
      </c>
      <c r="C130" t="s">
        <v>123</v>
      </c>
      <c r="D130" t="s">
        <v>31</v>
      </c>
      <c r="E130" t="s">
        <v>124</v>
      </c>
      <c r="F130" s="1">
        <v>46255</v>
      </c>
      <c r="G130">
        <v>46300</v>
      </c>
      <c r="H130" t="s">
        <v>6</v>
      </c>
      <c r="I130">
        <v>63201.35</v>
      </c>
      <c r="J130" t="s">
        <v>75</v>
      </c>
      <c r="K130" t="s">
        <v>354</v>
      </c>
      <c r="L130">
        <v>45</v>
      </c>
      <c r="M130" t="s">
        <v>20</v>
      </c>
      <c r="N130">
        <v>1.1698999999999999</v>
      </c>
      <c r="O130">
        <v>1.3655888875919224</v>
      </c>
      <c r="P130">
        <v>6.3013034579338578E-3</v>
      </c>
      <c r="Q130">
        <v>1.1698999999999999</v>
      </c>
      <c r="R130">
        <v>73939.259364999991</v>
      </c>
      <c r="S130" t="s">
        <v>21</v>
      </c>
      <c r="T130">
        <v>1.101</v>
      </c>
      <c r="U130">
        <v>69584.686350000004</v>
      </c>
      <c r="V130">
        <v>4354.5730149999872</v>
      </c>
      <c r="W130">
        <v>6.2579473206176017E-2</v>
      </c>
    </row>
    <row r="131" spans="1:23" x14ac:dyDescent="0.25">
      <c r="A131" t="s">
        <v>355</v>
      </c>
      <c r="B131" t="s">
        <v>30</v>
      </c>
      <c r="C131" t="s">
        <v>103</v>
      </c>
      <c r="D131" t="s">
        <v>31</v>
      </c>
      <c r="E131" t="s">
        <v>74</v>
      </c>
      <c r="F131" s="1">
        <v>46253</v>
      </c>
      <c r="G131">
        <v>46283</v>
      </c>
      <c r="H131" t="s">
        <v>9</v>
      </c>
      <c r="I131">
        <v>2220417.69</v>
      </c>
      <c r="J131" t="s">
        <v>75</v>
      </c>
      <c r="K131" t="s">
        <v>356</v>
      </c>
      <c r="L131">
        <v>30</v>
      </c>
      <c r="M131" t="s">
        <v>30</v>
      </c>
      <c r="N131">
        <v>1.1605000000000001</v>
      </c>
      <c r="O131">
        <v>1.3555976077002152</v>
      </c>
      <c r="P131">
        <v>6.2858845195536781E-3</v>
      </c>
      <c r="Q131">
        <v>6.2858845195536781E-3</v>
      </c>
      <c r="R131">
        <v>13957.289184514137</v>
      </c>
      <c r="S131" t="s">
        <v>21</v>
      </c>
      <c r="T131">
        <v>6.7400000000000003E-3</v>
      </c>
      <c r="U131">
        <v>14965.6152306</v>
      </c>
      <c r="V131">
        <v>-1008.3260460858637</v>
      </c>
      <c r="W131">
        <v>-6.7376184042481094E-2</v>
      </c>
    </row>
    <row r="132" spans="1:23" x14ac:dyDescent="0.25">
      <c r="A132" t="s">
        <v>357</v>
      </c>
      <c r="B132" t="s">
        <v>38</v>
      </c>
      <c r="C132" t="s">
        <v>87</v>
      </c>
      <c r="D132" t="s">
        <v>33</v>
      </c>
      <c r="E132" t="s">
        <v>88</v>
      </c>
      <c r="F132" s="1">
        <v>45844</v>
      </c>
      <c r="G132">
        <v>45874</v>
      </c>
      <c r="H132" t="s">
        <v>6</v>
      </c>
      <c r="I132">
        <v>8667.16</v>
      </c>
      <c r="J132" t="s">
        <v>75</v>
      </c>
      <c r="K132" t="s">
        <v>358</v>
      </c>
      <c r="L132">
        <v>30</v>
      </c>
      <c r="M132" t="s">
        <v>38</v>
      </c>
      <c r="N132">
        <v>1.1724000000000001</v>
      </c>
      <c r="O132">
        <v>1.3469669117647061</v>
      </c>
      <c r="P132">
        <v>6.7977039485127852E-3</v>
      </c>
      <c r="Q132">
        <v>1.1724000000000001</v>
      </c>
      <c r="R132">
        <v>10161.378384000001</v>
      </c>
      <c r="S132" t="s">
        <v>13</v>
      </c>
      <c r="T132">
        <v>1.0880000000000001</v>
      </c>
      <c r="U132">
        <v>9429.8700800000006</v>
      </c>
      <c r="V132">
        <v>731.50830400000086</v>
      </c>
      <c r="W132">
        <v>7.7573529411764791E-2</v>
      </c>
    </row>
    <row r="133" spans="1:23" x14ac:dyDescent="0.25">
      <c r="A133" t="s">
        <v>359</v>
      </c>
      <c r="B133" t="s">
        <v>42</v>
      </c>
      <c r="C133" t="s">
        <v>151</v>
      </c>
      <c r="D133" t="s">
        <v>35</v>
      </c>
      <c r="E133" t="s">
        <v>152</v>
      </c>
      <c r="F133" s="1">
        <v>46005</v>
      </c>
      <c r="G133">
        <v>46035</v>
      </c>
      <c r="H133" t="s">
        <v>8</v>
      </c>
      <c r="I133">
        <v>4929.68</v>
      </c>
      <c r="J133" t="s">
        <v>75</v>
      </c>
      <c r="K133" t="s">
        <v>360</v>
      </c>
      <c r="L133">
        <v>30</v>
      </c>
      <c r="M133" t="s">
        <v>42</v>
      </c>
      <c r="N133">
        <v>1.1555</v>
      </c>
      <c r="O133">
        <v>1.3367963164349013</v>
      </c>
      <c r="P133">
        <v>6.2983756677204832E-3</v>
      </c>
      <c r="Q133">
        <v>1.3367963164349013</v>
      </c>
      <c r="R133">
        <v>6589.9780652028048</v>
      </c>
      <c r="S133" t="s">
        <v>14</v>
      </c>
      <c r="T133">
        <v>1.304</v>
      </c>
      <c r="U133">
        <v>6428.3027200000006</v>
      </c>
      <c r="V133">
        <v>161.67534520280424</v>
      </c>
      <c r="W133">
        <v>2.5150549413267866E-2</v>
      </c>
    </row>
    <row r="134" spans="1:23" x14ac:dyDescent="0.25">
      <c r="A134" t="s">
        <v>361</v>
      </c>
      <c r="B134" t="s">
        <v>22</v>
      </c>
      <c r="C134" t="s">
        <v>127</v>
      </c>
      <c r="D134" t="s">
        <v>31</v>
      </c>
      <c r="E134" t="s">
        <v>124</v>
      </c>
      <c r="F134" s="1">
        <v>45774</v>
      </c>
      <c r="G134">
        <v>45834</v>
      </c>
      <c r="H134" t="s">
        <v>9</v>
      </c>
      <c r="I134">
        <v>13193857.470000001</v>
      </c>
      <c r="J134" t="s">
        <v>75</v>
      </c>
      <c r="K134" t="s">
        <v>362</v>
      </c>
      <c r="L134">
        <v>60</v>
      </c>
      <c r="M134" t="s">
        <v>22</v>
      </c>
      <c r="N134">
        <v>1.1597999999999999</v>
      </c>
      <c r="O134">
        <v>1.3603096410978184</v>
      </c>
      <c r="P134">
        <v>6.8598805228603536E-3</v>
      </c>
      <c r="Q134">
        <v>6.8598805228603536E-3</v>
      </c>
      <c r="R134">
        <v>90508.285879848583</v>
      </c>
      <c r="S134" t="s">
        <v>12</v>
      </c>
      <c r="T134">
        <v>6.7000000000000002E-3</v>
      </c>
      <c r="U134">
        <v>88398.84504900001</v>
      </c>
      <c r="V134">
        <v>2109.4408308485727</v>
      </c>
      <c r="W134">
        <v>2.3862764606022817E-2</v>
      </c>
    </row>
    <row r="135" spans="1:23" x14ac:dyDescent="0.25">
      <c r="A135" t="s">
        <v>363</v>
      </c>
      <c r="B135" t="s">
        <v>26</v>
      </c>
      <c r="C135" t="s">
        <v>94</v>
      </c>
      <c r="D135" t="s">
        <v>31</v>
      </c>
      <c r="E135" t="s">
        <v>74</v>
      </c>
      <c r="F135" s="1">
        <v>45718</v>
      </c>
      <c r="G135">
        <v>45748</v>
      </c>
      <c r="H135" t="s">
        <v>8</v>
      </c>
      <c r="I135">
        <v>15477.98</v>
      </c>
      <c r="J135" t="s">
        <v>75</v>
      </c>
      <c r="K135" t="s">
        <v>364</v>
      </c>
      <c r="L135">
        <v>30</v>
      </c>
      <c r="M135" t="s">
        <v>26</v>
      </c>
      <c r="N135">
        <v>1.1096999999999999</v>
      </c>
      <c r="O135">
        <v>1.3185128857098725</v>
      </c>
      <c r="P135">
        <v>6.8428192637355863E-3</v>
      </c>
      <c r="Q135">
        <v>1.3185128857098725</v>
      </c>
      <c r="R135">
        <v>20407.916074759691</v>
      </c>
      <c r="S135" t="s">
        <v>11</v>
      </c>
      <c r="T135">
        <v>1.238</v>
      </c>
      <c r="U135">
        <v>19161.739239999999</v>
      </c>
      <c r="V135">
        <v>1246.1768347596917</v>
      </c>
      <c r="W135">
        <v>6.5034641122675652E-2</v>
      </c>
    </row>
    <row r="136" spans="1:23" x14ac:dyDescent="0.25">
      <c r="A136" t="s">
        <v>365</v>
      </c>
      <c r="B136" t="s">
        <v>28</v>
      </c>
      <c r="C136" t="s">
        <v>111</v>
      </c>
      <c r="D136" t="s">
        <v>31</v>
      </c>
      <c r="E136" t="s">
        <v>74</v>
      </c>
      <c r="F136" s="1">
        <v>46331</v>
      </c>
      <c r="G136">
        <v>46376</v>
      </c>
      <c r="H136" t="s">
        <v>9</v>
      </c>
      <c r="I136">
        <v>3294453.19</v>
      </c>
      <c r="J136" t="s">
        <v>84</v>
      </c>
      <c r="K136" t="s">
        <v>366</v>
      </c>
      <c r="L136">
        <v>45</v>
      </c>
      <c r="M136" t="s">
        <v>28</v>
      </c>
      <c r="N136">
        <v>1.1176999999999999</v>
      </c>
      <c r="O136">
        <v>1.320456022210408</v>
      </c>
      <c r="P136">
        <v>6.3200452360757699E-3</v>
      </c>
      <c r="Q136">
        <v>6.3200452360757699E-3</v>
      </c>
      <c r="R136">
        <v>20821.093188934123</v>
      </c>
      <c r="S136" t="s">
        <v>23</v>
      </c>
      <c r="T136">
        <v>6.8799999999999998E-3</v>
      </c>
      <c r="U136">
        <v>22665.837947199998</v>
      </c>
      <c r="V136">
        <v>-1844.7447582658751</v>
      </c>
      <c r="W136">
        <v>-8.1388773826196165E-2</v>
      </c>
    </row>
    <row r="137" spans="1:23" x14ac:dyDescent="0.25">
      <c r="A137" t="s">
        <v>367</v>
      </c>
      <c r="B137" t="s">
        <v>28</v>
      </c>
      <c r="C137" t="s">
        <v>111</v>
      </c>
      <c r="D137" t="s">
        <v>31</v>
      </c>
      <c r="E137" t="s">
        <v>74</v>
      </c>
      <c r="F137" s="1">
        <v>45665</v>
      </c>
      <c r="G137">
        <v>45710</v>
      </c>
      <c r="H137" t="s">
        <v>9</v>
      </c>
      <c r="I137">
        <v>2192089.7200000002</v>
      </c>
      <c r="J137" t="s">
        <v>75</v>
      </c>
      <c r="K137" t="s">
        <v>368</v>
      </c>
      <c r="L137">
        <v>45</v>
      </c>
      <c r="M137" t="s">
        <v>28</v>
      </c>
      <c r="N137">
        <v>1.0286</v>
      </c>
      <c r="O137">
        <v>1.2332889704207282</v>
      </c>
      <c r="P137">
        <v>6.3127531606726401E-3</v>
      </c>
      <c r="Q137">
        <v>6.3127531606726401E-3</v>
      </c>
      <c r="R137">
        <v>13838.121308408005</v>
      </c>
      <c r="S137" t="s">
        <v>11</v>
      </c>
      <c r="T137">
        <v>6.5599999999999999E-3</v>
      </c>
      <c r="U137">
        <v>14380.108563200001</v>
      </c>
      <c r="V137">
        <v>-541.98725479199675</v>
      </c>
      <c r="W137">
        <v>-3.7690066970634088E-2</v>
      </c>
    </row>
    <row r="138" spans="1:23" x14ac:dyDescent="0.25">
      <c r="A138" t="s">
        <v>369</v>
      </c>
      <c r="B138" t="s">
        <v>43</v>
      </c>
      <c r="C138" t="s">
        <v>215</v>
      </c>
      <c r="D138" t="s">
        <v>35</v>
      </c>
      <c r="E138" t="s">
        <v>152</v>
      </c>
      <c r="F138" s="1">
        <v>46248</v>
      </c>
      <c r="G138">
        <v>46278</v>
      </c>
      <c r="H138" t="s">
        <v>6</v>
      </c>
      <c r="I138">
        <v>1880.89</v>
      </c>
      <c r="J138" t="s">
        <v>75</v>
      </c>
      <c r="K138" t="s">
        <v>370</v>
      </c>
      <c r="L138">
        <v>30</v>
      </c>
      <c r="M138" t="s">
        <v>43</v>
      </c>
      <c r="N138">
        <v>1.1567000000000001</v>
      </c>
      <c r="O138">
        <v>1.3536571094207139</v>
      </c>
      <c r="P138">
        <v>6.2888055238405913E-3</v>
      </c>
      <c r="Q138">
        <v>1.1567000000000001</v>
      </c>
      <c r="R138">
        <v>2175.6254630000003</v>
      </c>
      <c r="S138" t="s">
        <v>21</v>
      </c>
      <c r="T138">
        <v>1.101</v>
      </c>
      <c r="U138">
        <v>2070.8598900000002</v>
      </c>
      <c r="V138">
        <v>104.76557300000013</v>
      </c>
      <c r="W138">
        <v>5.0590372388737571E-2</v>
      </c>
    </row>
    <row r="139" spans="1:23" x14ac:dyDescent="0.25">
      <c r="A139" t="s">
        <v>371</v>
      </c>
      <c r="B139" t="s">
        <v>20</v>
      </c>
      <c r="C139" t="s">
        <v>123</v>
      </c>
      <c r="D139" t="s">
        <v>31</v>
      </c>
      <c r="E139" t="s">
        <v>124</v>
      </c>
      <c r="F139" s="1">
        <v>46190</v>
      </c>
      <c r="G139">
        <v>46235</v>
      </c>
      <c r="H139" t="s">
        <v>6</v>
      </c>
      <c r="I139">
        <v>51832.31</v>
      </c>
      <c r="J139" t="s">
        <v>75</v>
      </c>
      <c r="K139" t="s">
        <v>372</v>
      </c>
      <c r="L139">
        <v>45</v>
      </c>
      <c r="M139" t="s">
        <v>20</v>
      </c>
      <c r="N139">
        <v>1.1591</v>
      </c>
      <c r="O139">
        <v>1.3405734244705827</v>
      </c>
      <c r="P139">
        <v>6.2377569691098918E-3</v>
      </c>
      <c r="Q139">
        <v>1.1591</v>
      </c>
      <c r="R139">
        <v>60078.830520999996</v>
      </c>
      <c r="S139" t="s">
        <v>19</v>
      </c>
      <c r="T139">
        <v>1.083</v>
      </c>
      <c r="U139">
        <v>56134.391729999996</v>
      </c>
      <c r="V139">
        <v>3944.4387910000005</v>
      </c>
      <c r="W139">
        <v>7.0267774699907679E-2</v>
      </c>
    </row>
    <row r="140" spans="1:23" x14ac:dyDescent="0.25">
      <c r="A140" t="s">
        <v>373</v>
      </c>
      <c r="B140" t="s">
        <v>32</v>
      </c>
      <c r="C140" t="s">
        <v>106</v>
      </c>
      <c r="D140" t="s">
        <v>31</v>
      </c>
      <c r="E140" t="s">
        <v>74</v>
      </c>
      <c r="F140" s="1">
        <v>46132</v>
      </c>
      <c r="G140">
        <v>46162</v>
      </c>
      <c r="H140" t="s">
        <v>6</v>
      </c>
      <c r="I140">
        <v>26339.11</v>
      </c>
      <c r="J140" t="s">
        <v>75</v>
      </c>
      <c r="K140" t="s">
        <v>374</v>
      </c>
      <c r="L140">
        <v>30</v>
      </c>
      <c r="M140" t="s">
        <v>32</v>
      </c>
      <c r="N140">
        <v>1.1759999999999999</v>
      </c>
      <c r="O140">
        <v>1.3510253317249699</v>
      </c>
      <c r="P140">
        <v>6.2928082191780824E-3</v>
      </c>
      <c r="Q140">
        <v>1.1759999999999999</v>
      </c>
      <c r="R140">
        <v>30974.79336</v>
      </c>
      <c r="S140" t="s">
        <v>19</v>
      </c>
      <c r="T140">
        <v>1.083</v>
      </c>
      <c r="U140">
        <v>28525.256129999998</v>
      </c>
      <c r="V140">
        <v>2449.5372300000017</v>
      </c>
      <c r="W140">
        <v>8.5872576177285387E-2</v>
      </c>
    </row>
    <row r="141" spans="1:23" x14ac:dyDescent="0.25">
      <c r="A141" t="s">
        <v>375</v>
      </c>
      <c r="B141" t="s">
        <v>37</v>
      </c>
      <c r="C141" t="s">
        <v>91</v>
      </c>
      <c r="D141" t="s">
        <v>31</v>
      </c>
      <c r="E141" t="s">
        <v>74</v>
      </c>
      <c r="F141" s="1">
        <v>46187</v>
      </c>
      <c r="G141">
        <v>46217</v>
      </c>
      <c r="H141" t="s">
        <v>6</v>
      </c>
      <c r="I141">
        <v>4962.32</v>
      </c>
      <c r="J141" t="s">
        <v>75</v>
      </c>
      <c r="K141" t="s">
        <v>376</v>
      </c>
      <c r="L141">
        <v>30</v>
      </c>
      <c r="M141" t="s">
        <v>37</v>
      </c>
      <c r="N141">
        <v>1.1567000000000001</v>
      </c>
      <c r="O141">
        <v>1.3402467991425759</v>
      </c>
      <c r="P141">
        <v>6.2423097679438749E-3</v>
      </c>
      <c r="Q141">
        <v>1.1567000000000001</v>
      </c>
      <c r="R141">
        <v>5739.9155440000004</v>
      </c>
      <c r="S141" t="s">
        <v>19</v>
      </c>
      <c r="T141">
        <v>1.083</v>
      </c>
      <c r="U141">
        <v>5374.1925599999995</v>
      </c>
      <c r="V141">
        <v>365.72298400000091</v>
      </c>
      <c r="W141">
        <v>6.8051708217913384E-2</v>
      </c>
    </row>
    <row r="142" spans="1:23" x14ac:dyDescent="0.25">
      <c r="A142" t="s">
        <v>377</v>
      </c>
      <c r="B142" t="s">
        <v>20</v>
      </c>
      <c r="C142" t="s">
        <v>123</v>
      </c>
      <c r="D142" t="s">
        <v>31</v>
      </c>
      <c r="E142" t="s">
        <v>124</v>
      </c>
      <c r="F142" s="1">
        <v>46055</v>
      </c>
      <c r="G142">
        <v>46100</v>
      </c>
      <c r="H142" t="s">
        <v>6</v>
      </c>
      <c r="I142">
        <v>16743.650000000001</v>
      </c>
      <c r="J142" t="s">
        <v>75</v>
      </c>
      <c r="K142" t="s">
        <v>378</v>
      </c>
      <c r="L142">
        <v>45</v>
      </c>
      <c r="M142" t="s">
        <v>20</v>
      </c>
      <c r="N142">
        <v>1.1839999999999999</v>
      </c>
      <c r="O142">
        <v>1.3675213675213673</v>
      </c>
      <c r="P142">
        <v>6.4491530039762508E-3</v>
      </c>
      <c r="Q142">
        <v>1.1839999999999999</v>
      </c>
      <c r="R142">
        <v>19824.481599999999</v>
      </c>
      <c r="S142" t="s">
        <v>16</v>
      </c>
      <c r="T142">
        <v>1.0649999999999999</v>
      </c>
      <c r="U142">
        <v>17831.987250000002</v>
      </c>
      <c r="V142">
        <v>1992.4943499999972</v>
      </c>
      <c r="W142">
        <v>0.11173708920187776</v>
      </c>
    </row>
    <row r="143" spans="1:23" x14ac:dyDescent="0.25">
      <c r="A143" t="s">
        <v>379</v>
      </c>
      <c r="B143" t="s">
        <v>39</v>
      </c>
      <c r="C143" t="s">
        <v>82</v>
      </c>
      <c r="D143" t="s">
        <v>33</v>
      </c>
      <c r="E143" t="s">
        <v>83</v>
      </c>
      <c r="F143" s="1">
        <v>45807</v>
      </c>
      <c r="G143">
        <v>45852</v>
      </c>
      <c r="H143" t="s">
        <v>8</v>
      </c>
      <c r="I143">
        <v>11792.17</v>
      </c>
      <c r="J143" t="s">
        <v>75</v>
      </c>
      <c r="K143" t="s">
        <v>380</v>
      </c>
      <c r="L143">
        <v>45</v>
      </c>
      <c r="M143" t="s">
        <v>39</v>
      </c>
      <c r="N143">
        <v>1.1338999999999999</v>
      </c>
      <c r="O143">
        <v>1.3479553019495958</v>
      </c>
      <c r="P143">
        <v>6.9581492390770735E-3</v>
      </c>
      <c r="Q143">
        <v>1.3479553019495958</v>
      </c>
      <c r="R143">
        <v>15895.318072990965</v>
      </c>
      <c r="S143" t="s">
        <v>12</v>
      </c>
      <c r="T143">
        <v>1.26</v>
      </c>
      <c r="U143">
        <v>14858.1342</v>
      </c>
      <c r="V143">
        <v>1037.183872990965</v>
      </c>
      <c r="W143">
        <v>6.9805795198091894E-2</v>
      </c>
    </row>
    <row r="144" spans="1:23" x14ac:dyDescent="0.25">
      <c r="A144" t="s">
        <v>381</v>
      </c>
      <c r="B144" t="s">
        <v>42</v>
      </c>
      <c r="C144" t="s">
        <v>151</v>
      </c>
      <c r="D144" t="s">
        <v>35</v>
      </c>
      <c r="E144" t="s">
        <v>152</v>
      </c>
      <c r="F144" s="1">
        <v>45855</v>
      </c>
      <c r="G144">
        <v>45885</v>
      </c>
      <c r="H144" t="s">
        <v>8</v>
      </c>
      <c r="I144">
        <v>4549.79</v>
      </c>
      <c r="J144" t="s">
        <v>75</v>
      </c>
      <c r="K144" t="s">
        <v>382</v>
      </c>
      <c r="L144">
        <v>30</v>
      </c>
      <c r="M144" t="s">
        <v>42</v>
      </c>
      <c r="N144">
        <v>1.1578999999999999</v>
      </c>
      <c r="O144">
        <v>1.3395418787598334</v>
      </c>
      <c r="P144">
        <v>6.7210355235662869E-3</v>
      </c>
      <c r="Q144">
        <v>1.3395418787598334</v>
      </c>
      <c r="R144">
        <v>6094.6342445627024</v>
      </c>
      <c r="S144" t="s">
        <v>13</v>
      </c>
      <c r="T144">
        <v>1.282</v>
      </c>
      <c r="U144">
        <v>5832.8307800000002</v>
      </c>
      <c r="V144">
        <v>261.80346456270217</v>
      </c>
      <c r="W144">
        <v>4.4884460811102457E-2</v>
      </c>
    </row>
    <row r="145" spans="1:23" x14ac:dyDescent="0.25">
      <c r="A145" t="s">
        <v>383</v>
      </c>
      <c r="B145" t="s">
        <v>44</v>
      </c>
      <c r="C145" t="s">
        <v>138</v>
      </c>
      <c r="D145" t="s">
        <v>33</v>
      </c>
      <c r="E145" t="s">
        <v>88</v>
      </c>
      <c r="F145" s="1">
        <v>46007</v>
      </c>
      <c r="G145">
        <v>46052</v>
      </c>
      <c r="H145" t="s">
        <v>9</v>
      </c>
      <c r="I145">
        <v>1407204.91</v>
      </c>
      <c r="J145" t="s">
        <v>75</v>
      </c>
      <c r="K145" t="s">
        <v>384</v>
      </c>
      <c r="L145">
        <v>45</v>
      </c>
      <c r="M145" t="s">
        <v>44</v>
      </c>
      <c r="N145">
        <v>1.1776</v>
      </c>
      <c r="O145">
        <v>1.3436786855317207</v>
      </c>
      <c r="P145">
        <v>6.4678420387762952E-3</v>
      </c>
      <c r="Q145">
        <v>6.4678420387762952E-3</v>
      </c>
      <c r="R145">
        <v>9101.5790740704124</v>
      </c>
      <c r="S145" t="s">
        <v>14</v>
      </c>
      <c r="T145">
        <v>6.9800000000000001E-3</v>
      </c>
      <c r="U145">
        <v>9822.2902717999987</v>
      </c>
      <c r="V145">
        <v>-720.71119772958627</v>
      </c>
      <c r="W145">
        <v>-7.337506607789461E-2</v>
      </c>
    </row>
    <row r="146" spans="1:23" x14ac:dyDescent="0.25">
      <c r="A146" t="s">
        <v>385</v>
      </c>
      <c r="B146" t="s">
        <v>44</v>
      </c>
      <c r="C146" t="s">
        <v>138</v>
      </c>
      <c r="D146" t="s">
        <v>33</v>
      </c>
      <c r="E146" t="s">
        <v>88</v>
      </c>
      <c r="F146" s="1">
        <v>46164</v>
      </c>
      <c r="G146">
        <v>46209</v>
      </c>
      <c r="H146" t="s">
        <v>9</v>
      </c>
      <c r="I146">
        <v>833276.54</v>
      </c>
      <c r="J146" t="s">
        <v>75</v>
      </c>
      <c r="K146" t="s">
        <v>386</v>
      </c>
      <c r="L146">
        <v>45</v>
      </c>
      <c r="M146" t="s">
        <v>44</v>
      </c>
      <c r="N146">
        <v>1.1595</v>
      </c>
      <c r="O146">
        <v>1.3417343608970353</v>
      </c>
      <c r="P146">
        <v>6.2835311331490814E-3</v>
      </c>
      <c r="Q146">
        <v>6.2835311331490814E-3</v>
      </c>
      <c r="R146">
        <v>5235.9190816127457</v>
      </c>
      <c r="S146" t="s">
        <v>19</v>
      </c>
      <c r="T146">
        <v>6.6E-3</v>
      </c>
      <c r="U146">
        <v>5499.625164</v>
      </c>
      <c r="V146">
        <v>-263.70608238725436</v>
      </c>
      <c r="W146">
        <v>-4.7949828310745277E-2</v>
      </c>
    </row>
    <row r="147" spans="1:23" x14ac:dyDescent="0.25">
      <c r="A147" t="s">
        <v>387</v>
      </c>
      <c r="B147" t="s">
        <v>24</v>
      </c>
      <c r="C147" t="s">
        <v>73</v>
      </c>
      <c r="D147" t="s">
        <v>31</v>
      </c>
      <c r="E147" t="s">
        <v>74</v>
      </c>
      <c r="F147" s="1">
        <v>46337</v>
      </c>
      <c r="G147">
        <v>46367</v>
      </c>
      <c r="H147" t="s">
        <v>6</v>
      </c>
      <c r="I147">
        <v>22298.29</v>
      </c>
      <c r="J147" t="s">
        <v>84</v>
      </c>
      <c r="K147" t="s">
        <v>388</v>
      </c>
      <c r="L147">
        <v>30</v>
      </c>
      <c r="M147" t="s">
        <v>24</v>
      </c>
      <c r="N147">
        <v>1.1176999999999999</v>
      </c>
      <c r="O147">
        <v>1.320456022210408</v>
      </c>
      <c r="P147">
        <v>6.3200452360757699E-3</v>
      </c>
      <c r="Q147">
        <v>1.1176999999999999</v>
      </c>
      <c r="R147">
        <v>24922.798733</v>
      </c>
      <c r="S147" t="s">
        <v>23</v>
      </c>
      <c r="T147">
        <v>1.119</v>
      </c>
      <c r="U147">
        <v>24951.786510000002</v>
      </c>
      <c r="V147">
        <v>-28.987777000002097</v>
      </c>
      <c r="W147">
        <v>-1.1617515638964199E-3</v>
      </c>
    </row>
    <row r="148" spans="1:23" x14ac:dyDescent="0.25">
      <c r="A148" t="s">
        <v>389</v>
      </c>
      <c r="B148" t="s">
        <v>28</v>
      </c>
      <c r="C148" t="s">
        <v>111</v>
      </c>
      <c r="D148" t="s">
        <v>31</v>
      </c>
      <c r="E148" t="s">
        <v>74</v>
      </c>
      <c r="F148" s="1">
        <v>46351</v>
      </c>
      <c r="G148">
        <v>46396</v>
      </c>
      <c r="H148" t="s">
        <v>9</v>
      </c>
      <c r="I148">
        <v>5356815.1900000004</v>
      </c>
      <c r="J148" t="s">
        <v>84</v>
      </c>
      <c r="K148" t="s">
        <v>390</v>
      </c>
      <c r="L148">
        <v>45</v>
      </c>
      <c r="M148" t="s">
        <v>28</v>
      </c>
      <c r="N148">
        <v>1.1176999999999999</v>
      </c>
      <c r="O148">
        <v>1.320456022210408</v>
      </c>
      <c r="P148">
        <v>6.3200452360757699E-3</v>
      </c>
      <c r="Q148">
        <v>6.3200452360757699E-3</v>
      </c>
      <c r="R148">
        <v>33855.314322097824</v>
      </c>
      <c r="S148" t="s">
        <v>23</v>
      </c>
      <c r="T148">
        <v>6.8799999999999998E-3</v>
      </c>
      <c r="U148">
        <v>36854.888507200005</v>
      </c>
      <c r="V148">
        <v>-2999.5741851021812</v>
      </c>
      <c r="W148">
        <v>-8.1388773826196262E-2</v>
      </c>
    </row>
    <row r="149" spans="1:23" x14ac:dyDescent="0.25">
      <c r="A149" t="s">
        <v>391</v>
      </c>
      <c r="B149" t="s">
        <v>41</v>
      </c>
      <c r="C149" t="s">
        <v>172</v>
      </c>
      <c r="D149" t="s">
        <v>33</v>
      </c>
      <c r="E149" t="s">
        <v>83</v>
      </c>
      <c r="F149" s="1">
        <v>46252</v>
      </c>
      <c r="G149">
        <v>46282</v>
      </c>
      <c r="H149" t="s">
        <v>9</v>
      </c>
      <c r="I149">
        <v>621625.68000000005</v>
      </c>
      <c r="J149" t="s">
        <v>75</v>
      </c>
      <c r="K149" t="s">
        <v>392</v>
      </c>
      <c r="L149">
        <v>30</v>
      </c>
      <c r="M149" t="s">
        <v>41</v>
      </c>
      <c r="N149">
        <v>1.1576</v>
      </c>
      <c r="O149">
        <v>1.3525734649763392</v>
      </c>
      <c r="P149">
        <v>6.2616974089901006E-3</v>
      </c>
      <c r="Q149">
        <v>6.2616974089901006E-3</v>
      </c>
      <c r="R149">
        <v>3892.4319098177098</v>
      </c>
      <c r="S149" t="s">
        <v>21</v>
      </c>
      <c r="T149">
        <v>6.7400000000000003E-3</v>
      </c>
      <c r="U149">
        <v>4189.7570832000001</v>
      </c>
      <c r="V149">
        <v>-297.32517338229036</v>
      </c>
      <c r="W149">
        <v>-7.0964776114228342E-2</v>
      </c>
    </row>
    <row r="150" spans="1:23" x14ac:dyDescent="0.25">
      <c r="A150" t="s">
        <v>393</v>
      </c>
      <c r="B150" t="s">
        <v>38</v>
      </c>
      <c r="C150" t="s">
        <v>87</v>
      </c>
      <c r="D150" t="s">
        <v>33</v>
      </c>
      <c r="E150" t="s">
        <v>88</v>
      </c>
      <c r="F150" s="1">
        <v>46358</v>
      </c>
      <c r="G150">
        <v>46388</v>
      </c>
      <c r="H150" t="s">
        <v>6</v>
      </c>
      <c r="I150">
        <v>9237.74</v>
      </c>
      <c r="J150" t="s">
        <v>84</v>
      </c>
      <c r="K150" t="s">
        <v>394</v>
      </c>
      <c r="L150">
        <v>30</v>
      </c>
      <c r="M150" t="s">
        <v>38</v>
      </c>
      <c r="N150">
        <v>1.1176999999999999</v>
      </c>
      <c r="O150">
        <v>1.320456022210408</v>
      </c>
      <c r="P150">
        <v>6.3200452360757699E-3</v>
      </c>
      <c r="Q150">
        <v>1.1176999999999999</v>
      </c>
      <c r="R150">
        <v>10325.021997999998</v>
      </c>
      <c r="S150" t="s">
        <v>23</v>
      </c>
      <c r="T150">
        <v>1.119</v>
      </c>
      <c r="U150">
        <v>10337.031059999999</v>
      </c>
      <c r="V150">
        <v>-12.009062000000995</v>
      </c>
      <c r="W150">
        <v>-1.1617515638964323E-3</v>
      </c>
    </row>
    <row r="151" spans="1:23" x14ac:dyDescent="0.25">
      <c r="A151" t="s">
        <v>395</v>
      </c>
      <c r="B151" t="s">
        <v>42</v>
      </c>
      <c r="C151" t="s">
        <v>151</v>
      </c>
      <c r="D151" t="s">
        <v>35</v>
      </c>
      <c r="E151" t="s">
        <v>152</v>
      </c>
      <c r="F151" s="1">
        <v>45721</v>
      </c>
      <c r="G151">
        <v>45751</v>
      </c>
      <c r="H151" t="s">
        <v>8</v>
      </c>
      <c r="I151">
        <v>6152.68</v>
      </c>
      <c r="J151" t="s">
        <v>75</v>
      </c>
      <c r="K151" t="s">
        <v>396</v>
      </c>
      <c r="L151">
        <v>30</v>
      </c>
      <c r="M151" t="s">
        <v>42</v>
      </c>
      <c r="N151">
        <v>1.0693999999999999</v>
      </c>
      <c r="O151">
        <v>1.2807185628742515</v>
      </c>
      <c r="P151">
        <v>6.6799925042163779E-3</v>
      </c>
      <c r="Q151">
        <v>1.2807185628742515</v>
      </c>
      <c r="R151">
        <v>7879.8514874251496</v>
      </c>
      <c r="S151" t="s">
        <v>11</v>
      </c>
      <c r="T151">
        <v>1.238</v>
      </c>
      <c r="U151">
        <v>7617.0178400000004</v>
      </c>
      <c r="V151">
        <v>262.83364742514914</v>
      </c>
      <c r="W151">
        <v>3.4506108945275768E-2</v>
      </c>
    </row>
    <row r="152" spans="1:23" x14ac:dyDescent="0.25">
      <c r="A152" t="s">
        <v>397</v>
      </c>
      <c r="B152" t="s">
        <v>24</v>
      </c>
      <c r="C152" t="s">
        <v>73</v>
      </c>
      <c r="D152" t="s">
        <v>31</v>
      </c>
      <c r="E152" t="s">
        <v>74</v>
      </c>
      <c r="F152" s="1">
        <v>46017</v>
      </c>
      <c r="G152">
        <v>46047</v>
      </c>
      <c r="H152" t="s">
        <v>6</v>
      </c>
      <c r="I152">
        <v>36286.94</v>
      </c>
      <c r="J152" t="s">
        <v>75</v>
      </c>
      <c r="K152" t="s">
        <v>398</v>
      </c>
      <c r="L152">
        <v>30</v>
      </c>
      <c r="M152" t="s">
        <v>24</v>
      </c>
      <c r="N152">
        <v>1.1555</v>
      </c>
      <c r="O152">
        <v>1.3367963164349013</v>
      </c>
      <c r="P152">
        <v>6.2983756677204832E-3</v>
      </c>
      <c r="Q152">
        <v>1.1555</v>
      </c>
      <c r="R152">
        <v>41929.55917</v>
      </c>
      <c r="S152" t="s">
        <v>14</v>
      </c>
      <c r="T152">
        <v>1.1060000000000001</v>
      </c>
      <c r="U152">
        <v>40133.355640000009</v>
      </c>
      <c r="V152">
        <v>1796.2035299999916</v>
      </c>
      <c r="W152">
        <v>4.4755877034357829E-2</v>
      </c>
    </row>
    <row r="153" spans="1:23" x14ac:dyDescent="0.25">
      <c r="A153" t="s">
        <v>399</v>
      </c>
      <c r="B153" t="s">
        <v>43</v>
      </c>
      <c r="C153" t="s">
        <v>215</v>
      </c>
      <c r="D153" t="s">
        <v>35</v>
      </c>
      <c r="E153" t="s">
        <v>152</v>
      </c>
      <c r="F153" s="1">
        <v>45946</v>
      </c>
      <c r="G153">
        <v>45976</v>
      </c>
      <c r="H153" t="s">
        <v>6</v>
      </c>
      <c r="I153">
        <v>5576.93</v>
      </c>
      <c r="J153" t="s">
        <v>75</v>
      </c>
      <c r="K153" t="s">
        <v>400</v>
      </c>
      <c r="L153">
        <v>30</v>
      </c>
      <c r="M153" t="s">
        <v>43</v>
      </c>
      <c r="N153">
        <v>1.1649</v>
      </c>
      <c r="O153">
        <v>1.3426694329183955</v>
      </c>
      <c r="P153">
        <v>6.6101117857345522E-3</v>
      </c>
      <c r="Q153">
        <v>1.1649</v>
      </c>
      <c r="R153">
        <v>6496.5657570000003</v>
      </c>
      <c r="S153" t="s">
        <v>14</v>
      </c>
      <c r="T153">
        <v>1.1060000000000001</v>
      </c>
      <c r="U153">
        <v>6168.0845800000006</v>
      </c>
      <c r="V153">
        <v>328.48117699999966</v>
      </c>
      <c r="W153">
        <v>5.325497287522598E-2</v>
      </c>
    </row>
    <row r="154" spans="1:23" x14ac:dyDescent="0.25">
      <c r="A154" t="s">
        <v>401</v>
      </c>
      <c r="B154" t="s">
        <v>43</v>
      </c>
      <c r="C154" t="s">
        <v>215</v>
      </c>
      <c r="D154" t="s">
        <v>35</v>
      </c>
      <c r="E154" t="s">
        <v>152</v>
      </c>
      <c r="F154" s="1">
        <v>46188</v>
      </c>
      <c r="G154">
        <v>46218</v>
      </c>
      <c r="H154" t="s">
        <v>6</v>
      </c>
      <c r="I154">
        <v>3602.79</v>
      </c>
      <c r="J154" t="s">
        <v>75</v>
      </c>
      <c r="K154" t="s">
        <v>402</v>
      </c>
      <c r="L154">
        <v>30</v>
      </c>
      <c r="M154" t="s">
        <v>43</v>
      </c>
      <c r="N154">
        <v>1.1607000000000001</v>
      </c>
      <c r="O154">
        <v>1.3421134789496203</v>
      </c>
      <c r="P154">
        <v>6.2426719733232935E-3</v>
      </c>
      <c r="Q154">
        <v>1.1607000000000001</v>
      </c>
      <c r="R154">
        <v>4181.7583530000002</v>
      </c>
      <c r="S154" t="s">
        <v>19</v>
      </c>
      <c r="T154">
        <v>1.083</v>
      </c>
      <c r="U154">
        <v>3901.8215699999996</v>
      </c>
      <c r="V154">
        <v>279.93678300000056</v>
      </c>
      <c r="W154">
        <v>7.1745152354570782E-2</v>
      </c>
    </row>
    <row r="155" spans="1:23" x14ac:dyDescent="0.25">
      <c r="A155" t="s">
        <v>403</v>
      </c>
      <c r="B155" t="s">
        <v>39</v>
      </c>
      <c r="C155" t="s">
        <v>82</v>
      </c>
      <c r="D155" t="s">
        <v>33</v>
      </c>
      <c r="E155" t="s">
        <v>83</v>
      </c>
      <c r="F155" s="1">
        <v>46196</v>
      </c>
      <c r="G155">
        <v>46241</v>
      </c>
      <c r="H155" t="s">
        <v>8</v>
      </c>
      <c r="I155">
        <v>14623.21</v>
      </c>
      <c r="J155" t="s">
        <v>75</v>
      </c>
      <c r="K155" t="s">
        <v>404</v>
      </c>
      <c r="L155">
        <v>45</v>
      </c>
      <c r="M155" t="s">
        <v>39</v>
      </c>
      <c r="N155">
        <v>1.1392</v>
      </c>
      <c r="O155">
        <v>1.3215777262180974</v>
      </c>
      <c r="P155">
        <v>6.1906314531029235E-3</v>
      </c>
      <c r="Q155">
        <v>1.3215777262180974</v>
      </c>
      <c r="R155">
        <v>19325.708621809743</v>
      </c>
      <c r="S155" t="s">
        <v>19</v>
      </c>
      <c r="T155">
        <v>1.2709999999999999</v>
      </c>
      <c r="U155">
        <v>18586.099909999997</v>
      </c>
      <c r="V155">
        <v>739.60871180974573</v>
      </c>
      <c r="W155">
        <v>3.9793647693231723E-2</v>
      </c>
    </row>
    <row r="156" spans="1:23" x14ac:dyDescent="0.25">
      <c r="A156" t="s">
        <v>405</v>
      </c>
      <c r="B156" t="s">
        <v>39</v>
      </c>
      <c r="C156" t="s">
        <v>82</v>
      </c>
      <c r="D156" t="s">
        <v>33</v>
      </c>
      <c r="E156" t="s">
        <v>83</v>
      </c>
      <c r="F156" s="1">
        <v>46148</v>
      </c>
      <c r="G156">
        <v>46193</v>
      </c>
      <c r="H156" t="s">
        <v>8</v>
      </c>
      <c r="I156">
        <v>9159.8700000000008</v>
      </c>
      <c r="J156" t="s">
        <v>75</v>
      </c>
      <c r="K156" t="s">
        <v>406</v>
      </c>
      <c r="L156">
        <v>45</v>
      </c>
      <c r="M156" t="s">
        <v>39</v>
      </c>
      <c r="N156">
        <v>1.1761999999999999</v>
      </c>
      <c r="O156">
        <v>1.3618154451777236</v>
      </c>
      <c r="P156">
        <v>6.4014368128877753E-3</v>
      </c>
      <c r="Q156">
        <v>1.3618154451777236</v>
      </c>
      <c r="R156">
        <v>12474.052441820077</v>
      </c>
      <c r="S156" t="s">
        <v>19</v>
      </c>
      <c r="T156">
        <v>1.2709999999999999</v>
      </c>
      <c r="U156">
        <v>11642.19477</v>
      </c>
      <c r="V156">
        <v>831.85767182007658</v>
      </c>
      <c r="W156">
        <v>7.1451963161072982E-2</v>
      </c>
    </row>
    <row r="157" spans="1:23" x14ac:dyDescent="0.25">
      <c r="A157" t="s">
        <v>407</v>
      </c>
      <c r="B157" t="s">
        <v>40</v>
      </c>
      <c r="C157" t="s">
        <v>78</v>
      </c>
      <c r="D157" t="s">
        <v>33</v>
      </c>
      <c r="E157" t="s">
        <v>79</v>
      </c>
      <c r="F157" s="1">
        <v>46289</v>
      </c>
      <c r="G157">
        <v>46319</v>
      </c>
      <c r="H157" t="s">
        <v>9</v>
      </c>
      <c r="I157">
        <v>2470445.9700000002</v>
      </c>
      <c r="J157" t="s">
        <v>75</v>
      </c>
      <c r="K157" t="s">
        <v>408</v>
      </c>
      <c r="L157">
        <v>30</v>
      </c>
      <c r="M157" t="s">
        <v>40</v>
      </c>
      <c r="N157">
        <v>1.1367</v>
      </c>
      <c r="O157">
        <v>1.3219593887377017</v>
      </c>
      <c r="P157">
        <v>6.2950656255191901E-3</v>
      </c>
      <c r="Q157">
        <v>6.2950656255191901E-3</v>
      </c>
      <c r="R157">
        <v>15551.619505449413</v>
      </c>
      <c r="S157" t="s">
        <v>21</v>
      </c>
      <c r="T157">
        <v>6.7400000000000003E-3</v>
      </c>
      <c r="U157">
        <v>16650.805837800002</v>
      </c>
      <c r="V157">
        <v>-1099.1863323505895</v>
      </c>
      <c r="W157">
        <v>-6.6014002148488224E-2</v>
      </c>
    </row>
    <row r="158" spans="1:23" x14ac:dyDescent="0.25">
      <c r="A158" t="s">
        <v>409</v>
      </c>
      <c r="B158" t="s">
        <v>39</v>
      </c>
      <c r="C158" t="s">
        <v>82</v>
      </c>
      <c r="D158" t="s">
        <v>33</v>
      </c>
      <c r="E158" t="s">
        <v>83</v>
      </c>
      <c r="F158" s="1">
        <v>45850</v>
      </c>
      <c r="G158">
        <v>45895</v>
      </c>
      <c r="H158" t="s">
        <v>8</v>
      </c>
      <c r="I158">
        <v>13119.31</v>
      </c>
      <c r="J158" t="s">
        <v>75</v>
      </c>
      <c r="K158" t="s">
        <v>410</v>
      </c>
      <c r="L158">
        <v>45</v>
      </c>
      <c r="M158" t="s">
        <v>39</v>
      </c>
      <c r="N158">
        <v>1.1611</v>
      </c>
      <c r="O158">
        <v>1.3372106414833584</v>
      </c>
      <c r="P158">
        <v>6.5450958286358508E-3</v>
      </c>
      <c r="Q158">
        <v>1.3372106414833584</v>
      </c>
      <c r="R158">
        <v>17543.280940919038</v>
      </c>
      <c r="S158" t="s">
        <v>13</v>
      </c>
      <c r="T158">
        <v>1.282</v>
      </c>
      <c r="U158">
        <v>16818.955419999998</v>
      </c>
      <c r="V158">
        <v>724.32552091903926</v>
      </c>
      <c r="W158">
        <v>4.3066022997939504E-2</v>
      </c>
    </row>
    <row r="159" spans="1:23" x14ac:dyDescent="0.25">
      <c r="A159" t="s">
        <v>411</v>
      </c>
      <c r="B159" t="s">
        <v>43</v>
      </c>
      <c r="C159" t="s">
        <v>215</v>
      </c>
      <c r="D159" t="s">
        <v>35</v>
      </c>
      <c r="E159" t="s">
        <v>152</v>
      </c>
      <c r="F159" s="1">
        <v>46210</v>
      </c>
      <c r="G159">
        <v>46240</v>
      </c>
      <c r="H159" t="s">
        <v>6</v>
      </c>
      <c r="I159">
        <v>9227.0300000000007</v>
      </c>
      <c r="J159" t="s">
        <v>75</v>
      </c>
      <c r="K159" t="s">
        <v>412</v>
      </c>
      <c r="L159">
        <v>30</v>
      </c>
      <c r="M159" t="s">
        <v>43</v>
      </c>
      <c r="N159">
        <v>1.1433</v>
      </c>
      <c r="O159">
        <v>1.3385863647539544</v>
      </c>
      <c r="P159">
        <v>6.176994975417364E-3</v>
      </c>
      <c r="Q159">
        <v>1.1433</v>
      </c>
      <c r="R159">
        <v>10549.263399000001</v>
      </c>
      <c r="S159" t="s">
        <v>21</v>
      </c>
      <c r="T159">
        <v>1.101</v>
      </c>
      <c r="U159">
        <v>10158.96003</v>
      </c>
      <c r="V159">
        <v>390.30336900000111</v>
      </c>
      <c r="W159">
        <v>3.8419618528610464E-2</v>
      </c>
    </row>
    <row r="160" spans="1:23" x14ac:dyDescent="0.25">
      <c r="A160" t="s">
        <v>413</v>
      </c>
      <c r="B160" t="s">
        <v>36</v>
      </c>
      <c r="C160" t="s">
        <v>116</v>
      </c>
      <c r="D160" t="s">
        <v>31</v>
      </c>
      <c r="E160" t="s">
        <v>74</v>
      </c>
      <c r="F160" s="1">
        <v>45784</v>
      </c>
      <c r="G160">
        <v>45829</v>
      </c>
      <c r="H160" t="s">
        <v>6</v>
      </c>
      <c r="I160">
        <v>26897.79</v>
      </c>
      <c r="J160" t="s">
        <v>75</v>
      </c>
      <c r="K160" t="s">
        <v>414</v>
      </c>
      <c r="L160">
        <v>45</v>
      </c>
      <c r="M160" t="s">
        <v>36</v>
      </c>
      <c r="N160">
        <v>1.1359999999999999</v>
      </c>
      <c r="O160">
        <v>1.3347432734108799</v>
      </c>
      <c r="P160">
        <v>6.9740315550371416E-3</v>
      </c>
      <c r="Q160">
        <v>1.1359999999999999</v>
      </c>
      <c r="R160">
        <v>30555.889439999999</v>
      </c>
      <c r="S160" t="s">
        <v>12</v>
      </c>
      <c r="T160">
        <v>1.07</v>
      </c>
      <c r="U160">
        <v>28780.635300000002</v>
      </c>
      <c r="V160">
        <v>1775.2541399999973</v>
      </c>
      <c r="W160">
        <v>6.1682242990654106E-2</v>
      </c>
    </row>
    <row r="161" spans="1:23" x14ac:dyDescent="0.25">
      <c r="A161" t="s">
        <v>415</v>
      </c>
      <c r="B161" t="s">
        <v>34</v>
      </c>
      <c r="C161" t="s">
        <v>177</v>
      </c>
      <c r="D161" t="s">
        <v>31</v>
      </c>
      <c r="E161" t="s">
        <v>74</v>
      </c>
      <c r="F161" s="1">
        <v>46156</v>
      </c>
      <c r="G161">
        <v>46216</v>
      </c>
      <c r="H161" t="s">
        <v>8</v>
      </c>
      <c r="I161">
        <v>27303.84</v>
      </c>
      <c r="J161" t="s">
        <v>75</v>
      </c>
      <c r="K161" t="s">
        <v>416</v>
      </c>
      <c r="L161">
        <v>60</v>
      </c>
      <c r="M161" t="s">
        <v>34</v>
      </c>
      <c r="N161">
        <v>1.1701999999999999</v>
      </c>
      <c r="O161">
        <v>1.3509894017409776</v>
      </c>
      <c r="P161">
        <v>6.3312232862630519E-3</v>
      </c>
      <c r="Q161">
        <v>1.3509894017409776</v>
      </c>
      <c r="R161">
        <v>36887.198466831374</v>
      </c>
      <c r="S161" t="s">
        <v>19</v>
      </c>
      <c r="T161">
        <v>1.2709999999999999</v>
      </c>
      <c r="U161">
        <v>34703.180639999999</v>
      </c>
      <c r="V161">
        <v>2184.0178268313757</v>
      </c>
      <c r="W161">
        <v>6.293422638943956E-2</v>
      </c>
    </row>
    <row r="162" spans="1:23" x14ac:dyDescent="0.25">
      <c r="A162" t="s">
        <v>417</v>
      </c>
      <c r="B162" t="s">
        <v>43</v>
      </c>
      <c r="C162" t="s">
        <v>215</v>
      </c>
      <c r="D162" t="s">
        <v>35</v>
      </c>
      <c r="E162" t="s">
        <v>152</v>
      </c>
      <c r="F162" s="1">
        <v>46206</v>
      </c>
      <c r="G162">
        <v>46236</v>
      </c>
      <c r="H162" t="s">
        <v>6</v>
      </c>
      <c r="I162">
        <v>3485.19</v>
      </c>
      <c r="J162" t="s">
        <v>75</v>
      </c>
      <c r="K162" t="s">
        <v>418</v>
      </c>
      <c r="L162">
        <v>30</v>
      </c>
      <c r="M162" t="s">
        <v>43</v>
      </c>
      <c r="N162">
        <v>1.1448</v>
      </c>
      <c r="O162">
        <v>1.3355109659356044</v>
      </c>
      <c r="P162">
        <v>6.2055507372072863E-3</v>
      </c>
      <c r="Q162">
        <v>1.1448</v>
      </c>
      <c r="R162">
        <v>3989.8455120000003</v>
      </c>
      <c r="S162" t="s">
        <v>21</v>
      </c>
      <c r="T162">
        <v>1.101</v>
      </c>
      <c r="U162">
        <v>3837.1941900000002</v>
      </c>
      <c r="V162">
        <v>152.65132200000016</v>
      </c>
      <c r="W162">
        <v>3.9782016348773881E-2</v>
      </c>
    </row>
    <row r="163" spans="1:23" x14ac:dyDescent="0.25">
      <c r="A163" t="s">
        <v>419</v>
      </c>
      <c r="B163" t="s">
        <v>24</v>
      </c>
      <c r="C163" t="s">
        <v>73</v>
      </c>
      <c r="D163" t="s">
        <v>31</v>
      </c>
      <c r="E163" t="s">
        <v>74</v>
      </c>
      <c r="F163" s="1">
        <v>46028</v>
      </c>
      <c r="G163">
        <v>46058</v>
      </c>
      <c r="H163" t="s">
        <v>6</v>
      </c>
      <c r="I163">
        <v>23671.439999999999</v>
      </c>
      <c r="J163" t="s">
        <v>75</v>
      </c>
      <c r="K163" t="s">
        <v>420</v>
      </c>
      <c r="L163">
        <v>30</v>
      </c>
      <c r="M163" t="s">
        <v>24</v>
      </c>
      <c r="N163">
        <v>1.1707000000000001</v>
      </c>
      <c r="O163">
        <v>1.3513794297587443</v>
      </c>
      <c r="P163">
        <v>6.3923774161843408E-3</v>
      </c>
      <c r="Q163">
        <v>1.1707000000000001</v>
      </c>
      <c r="R163">
        <v>27712.154807999999</v>
      </c>
      <c r="S163" t="s">
        <v>16</v>
      </c>
      <c r="T163">
        <v>1.0649999999999999</v>
      </c>
      <c r="U163">
        <v>25210.083599999998</v>
      </c>
      <c r="V163">
        <v>2502.0712080000012</v>
      </c>
      <c r="W163">
        <v>9.9248826291079867E-2</v>
      </c>
    </row>
    <row r="164" spans="1:23" x14ac:dyDescent="0.25">
      <c r="A164" t="s">
        <v>421</v>
      </c>
      <c r="B164" t="s">
        <v>28</v>
      </c>
      <c r="C164" t="s">
        <v>111</v>
      </c>
      <c r="D164" t="s">
        <v>31</v>
      </c>
      <c r="E164" t="s">
        <v>74</v>
      </c>
      <c r="F164" s="1">
        <v>46019</v>
      </c>
      <c r="G164">
        <v>46064</v>
      </c>
      <c r="H164" t="s">
        <v>9</v>
      </c>
      <c r="I164">
        <v>2649314.91</v>
      </c>
      <c r="J164" t="s">
        <v>75</v>
      </c>
      <c r="K164" t="s">
        <v>422</v>
      </c>
      <c r="L164">
        <v>45</v>
      </c>
      <c r="M164" t="s">
        <v>28</v>
      </c>
      <c r="N164">
        <v>1.1555</v>
      </c>
      <c r="O164">
        <v>1.3367963164349013</v>
      </c>
      <c r="P164">
        <v>6.2983756677204832E-3</v>
      </c>
      <c r="Q164">
        <v>6.2983756677204832E-3</v>
      </c>
      <c r="R164">
        <v>16686.380565273084</v>
      </c>
      <c r="S164" t="s">
        <v>14</v>
      </c>
      <c r="T164">
        <v>6.9800000000000001E-3</v>
      </c>
      <c r="U164">
        <v>18492.218071800002</v>
      </c>
      <c r="V164">
        <v>-1805.8375065269174</v>
      </c>
      <c r="W164">
        <v>-9.7653915799357657E-2</v>
      </c>
    </row>
    <row r="165" spans="1:23" x14ac:dyDescent="0.25">
      <c r="A165" t="s">
        <v>423</v>
      </c>
      <c r="B165" t="s">
        <v>32</v>
      </c>
      <c r="C165" t="s">
        <v>106</v>
      </c>
      <c r="D165" t="s">
        <v>31</v>
      </c>
      <c r="E165" t="s">
        <v>74</v>
      </c>
      <c r="F165" s="1">
        <v>45785</v>
      </c>
      <c r="G165">
        <v>45815</v>
      </c>
      <c r="H165" t="s">
        <v>6</v>
      </c>
      <c r="I165">
        <v>3718.98</v>
      </c>
      <c r="J165" t="s">
        <v>75</v>
      </c>
      <c r="K165" t="s">
        <v>424</v>
      </c>
      <c r="L165">
        <v>30</v>
      </c>
      <c r="M165" t="s">
        <v>32</v>
      </c>
      <c r="N165">
        <v>1.1296999999999999</v>
      </c>
      <c r="O165">
        <v>1.3328220858895705</v>
      </c>
      <c r="P165">
        <v>6.9115937595594984E-3</v>
      </c>
      <c r="Q165">
        <v>1.1296999999999999</v>
      </c>
      <c r="R165">
        <v>4201.3317059999999</v>
      </c>
      <c r="S165" t="s">
        <v>12</v>
      </c>
      <c r="T165">
        <v>1.07</v>
      </c>
      <c r="U165">
        <v>3979.3086000000003</v>
      </c>
      <c r="V165">
        <v>222.02310599999964</v>
      </c>
      <c r="W165">
        <v>5.5794392523364392E-2</v>
      </c>
    </row>
    <row r="166" spans="1:23" x14ac:dyDescent="0.25">
      <c r="A166" t="s">
        <v>425</v>
      </c>
      <c r="B166" t="s">
        <v>30</v>
      </c>
      <c r="C166" t="s">
        <v>103</v>
      </c>
      <c r="D166" t="s">
        <v>31</v>
      </c>
      <c r="E166" t="s">
        <v>74</v>
      </c>
      <c r="F166" s="1">
        <v>45689</v>
      </c>
      <c r="G166">
        <v>45719</v>
      </c>
      <c r="H166" t="s">
        <v>9</v>
      </c>
      <c r="I166">
        <v>4829555.3899999997</v>
      </c>
      <c r="J166" t="s">
        <v>75</v>
      </c>
      <c r="K166" t="s">
        <v>426</v>
      </c>
      <c r="L166">
        <v>30</v>
      </c>
      <c r="M166" t="s">
        <v>30</v>
      </c>
      <c r="N166">
        <v>1.0465</v>
      </c>
      <c r="O166">
        <v>1.2644997583373609</v>
      </c>
      <c r="P166">
        <v>6.6461323510732884E-3</v>
      </c>
      <c r="Q166">
        <v>6.6461323510732884E-3</v>
      </c>
      <c r="R166">
        <v>32097.864318779371</v>
      </c>
      <c r="S166" t="s">
        <v>11</v>
      </c>
      <c r="T166">
        <v>6.5599999999999999E-3</v>
      </c>
      <c r="U166">
        <v>31681.883358399999</v>
      </c>
      <c r="V166">
        <v>415.98096037937285</v>
      </c>
      <c r="W166">
        <v>1.3129931566050079E-2</v>
      </c>
    </row>
    <row r="167" spans="1:23" x14ac:dyDescent="0.25">
      <c r="A167" t="s">
        <v>427</v>
      </c>
      <c r="B167" t="s">
        <v>42</v>
      </c>
      <c r="C167" t="s">
        <v>151</v>
      </c>
      <c r="D167" t="s">
        <v>35</v>
      </c>
      <c r="E167" t="s">
        <v>152</v>
      </c>
      <c r="F167" s="1">
        <v>46251</v>
      </c>
      <c r="G167">
        <v>46281</v>
      </c>
      <c r="H167" t="s">
        <v>8</v>
      </c>
      <c r="I167">
        <v>1606.73</v>
      </c>
      <c r="J167" t="s">
        <v>75</v>
      </c>
      <c r="K167" t="s">
        <v>428</v>
      </c>
      <c r="L167">
        <v>30</v>
      </c>
      <c r="M167" t="s">
        <v>42</v>
      </c>
      <c r="N167">
        <v>1.1593</v>
      </c>
      <c r="O167">
        <v>1.3559064327485379</v>
      </c>
      <c r="P167">
        <v>6.2804052223847445E-3</v>
      </c>
      <c r="Q167">
        <v>1.3559064327485379</v>
      </c>
      <c r="R167">
        <v>2178.5755426900582</v>
      </c>
      <c r="S167" t="s">
        <v>21</v>
      </c>
      <c r="T167">
        <v>1.2929999999999999</v>
      </c>
      <c r="U167">
        <v>2077.50189</v>
      </c>
      <c r="V167">
        <v>101.07365269005822</v>
      </c>
      <c r="W167">
        <v>4.8651533448211798E-2</v>
      </c>
    </row>
    <row r="168" spans="1:23" x14ac:dyDescent="0.25">
      <c r="A168" t="s">
        <v>429</v>
      </c>
      <c r="B168" t="s">
        <v>28</v>
      </c>
      <c r="C168" t="s">
        <v>111</v>
      </c>
      <c r="D168" t="s">
        <v>31</v>
      </c>
      <c r="E168" t="s">
        <v>74</v>
      </c>
      <c r="F168" s="1">
        <v>46283</v>
      </c>
      <c r="G168">
        <v>46328</v>
      </c>
      <c r="H168" t="s">
        <v>9</v>
      </c>
      <c r="I168">
        <v>1406493.3</v>
      </c>
      <c r="J168" t="s">
        <v>75</v>
      </c>
      <c r="K168" t="s">
        <v>430</v>
      </c>
      <c r="L168">
        <v>45</v>
      </c>
      <c r="M168" t="s">
        <v>28</v>
      </c>
      <c r="N168">
        <v>1.1459999999999999</v>
      </c>
      <c r="O168">
        <v>1.3344201210992082</v>
      </c>
      <c r="P168">
        <v>6.3335912457168119E-3</v>
      </c>
      <c r="Q168">
        <v>6.3335912457168119E-3</v>
      </c>
      <c r="R168">
        <v>8908.1536520393493</v>
      </c>
      <c r="S168" t="s">
        <v>21</v>
      </c>
      <c r="T168">
        <v>6.7400000000000003E-3</v>
      </c>
      <c r="U168">
        <v>9479.7648420000005</v>
      </c>
      <c r="V168">
        <v>-571.61118996065125</v>
      </c>
      <c r="W168">
        <v>-6.0298034760117018E-2</v>
      </c>
    </row>
    <row r="169" spans="1:23" x14ac:dyDescent="0.25">
      <c r="A169" t="s">
        <v>431</v>
      </c>
      <c r="B169" t="s">
        <v>38</v>
      </c>
      <c r="C169" t="s">
        <v>87</v>
      </c>
      <c r="D169" t="s">
        <v>33</v>
      </c>
      <c r="E169" t="s">
        <v>88</v>
      </c>
      <c r="F169" s="1">
        <v>45852</v>
      </c>
      <c r="G169">
        <v>45882</v>
      </c>
      <c r="H169" t="s">
        <v>6</v>
      </c>
      <c r="I169">
        <v>5741.86</v>
      </c>
      <c r="J169" t="s">
        <v>75</v>
      </c>
      <c r="K169" t="s">
        <v>432</v>
      </c>
      <c r="L169">
        <v>30</v>
      </c>
      <c r="M169" t="s">
        <v>38</v>
      </c>
      <c r="N169">
        <v>1.169</v>
      </c>
      <c r="O169">
        <v>1.3487942771431869</v>
      </c>
      <c r="P169">
        <v>6.7858594067452252E-3</v>
      </c>
      <c r="Q169">
        <v>1.169</v>
      </c>
      <c r="R169">
        <v>6712.23434</v>
      </c>
      <c r="S169" t="s">
        <v>13</v>
      </c>
      <c r="T169">
        <v>1.0880000000000001</v>
      </c>
      <c r="U169">
        <v>6247.1436800000001</v>
      </c>
      <c r="V169">
        <v>465.09065999999984</v>
      </c>
      <c r="W169">
        <v>7.4448529411764677E-2</v>
      </c>
    </row>
    <row r="170" spans="1:23" x14ac:dyDescent="0.25">
      <c r="A170" t="s">
        <v>433</v>
      </c>
      <c r="B170" t="s">
        <v>37</v>
      </c>
      <c r="C170" t="s">
        <v>91</v>
      </c>
      <c r="D170" t="s">
        <v>31</v>
      </c>
      <c r="E170" t="s">
        <v>74</v>
      </c>
      <c r="F170" s="1">
        <v>45813</v>
      </c>
      <c r="G170">
        <v>45843</v>
      </c>
      <c r="H170" t="s">
        <v>6</v>
      </c>
      <c r="I170">
        <v>10845.57</v>
      </c>
      <c r="J170" t="s">
        <v>75</v>
      </c>
      <c r="K170" t="s">
        <v>434</v>
      </c>
      <c r="L170">
        <v>30</v>
      </c>
      <c r="M170" t="s">
        <v>37</v>
      </c>
      <c r="N170">
        <v>1.1423000000000001</v>
      </c>
      <c r="O170">
        <v>1.3568119729183989</v>
      </c>
      <c r="P170">
        <v>6.9797140413051456E-3</v>
      </c>
      <c r="Q170">
        <v>1.1423000000000001</v>
      </c>
      <c r="R170">
        <v>12388.894611000002</v>
      </c>
      <c r="S170" t="s">
        <v>12</v>
      </c>
      <c r="T170">
        <v>1.07</v>
      </c>
      <c r="U170">
        <v>11604.759900000001</v>
      </c>
      <c r="V170">
        <v>784.13471100000061</v>
      </c>
      <c r="W170">
        <v>6.7570093457943972E-2</v>
      </c>
    </row>
    <row r="171" spans="1:23" x14ac:dyDescent="0.25">
      <c r="A171" t="s">
        <v>435</v>
      </c>
      <c r="B171" t="s">
        <v>30</v>
      </c>
      <c r="C171" t="s">
        <v>103</v>
      </c>
      <c r="D171" t="s">
        <v>31</v>
      </c>
      <c r="E171" t="s">
        <v>74</v>
      </c>
      <c r="F171" s="1">
        <v>46013</v>
      </c>
      <c r="G171">
        <v>46043</v>
      </c>
      <c r="H171" t="s">
        <v>9</v>
      </c>
      <c r="I171">
        <v>1055336.8600000001</v>
      </c>
      <c r="J171" t="s">
        <v>75</v>
      </c>
      <c r="K171" t="s">
        <v>436</v>
      </c>
      <c r="L171">
        <v>30</v>
      </c>
      <c r="M171" t="s">
        <v>30</v>
      </c>
      <c r="N171">
        <v>1.1745000000000001</v>
      </c>
      <c r="O171">
        <v>1.3435140700068635</v>
      </c>
      <c r="P171">
        <v>6.3565513882123722E-3</v>
      </c>
      <c r="Q171">
        <v>6.3565513882123722E-3</v>
      </c>
      <c r="R171">
        <v>6708.3029824646865</v>
      </c>
      <c r="S171" t="s">
        <v>14</v>
      </c>
      <c r="T171">
        <v>6.9800000000000001E-3</v>
      </c>
      <c r="U171">
        <v>7366.2512828000008</v>
      </c>
      <c r="V171">
        <v>-657.94830033531434</v>
      </c>
      <c r="W171">
        <v>-8.9319285356393691E-2</v>
      </c>
    </row>
    <row r="172" spans="1:23" x14ac:dyDescent="0.25">
      <c r="A172" t="s">
        <v>437</v>
      </c>
      <c r="B172" t="s">
        <v>37</v>
      </c>
      <c r="C172" t="s">
        <v>91</v>
      </c>
      <c r="D172" t="s">
        <v>31</v>
      </c>
      <c r="E172" t="s">
        <v>74</v>
      </c>
      <c r="F172" s="1">
        <v>46044</v>
      </c>
      <c r="G172">
        <v>46074</v>
      </c>
      <c r="H172" t="s">
        <v>6</v>
      </c>
      <c r="I172">
        <v>29267.05</v>
      </c>
      <c r="J172" t="s">
        <v>75</v>
      </c>
      <c r="K172" t="s">
        <v>438</v>
      </c>
      <c r="L172">
        <v>30</v>
      </c>
      <c r="M172" t="s">
        <v>37</v>
      </c>
      <c r="N172">
        <v>1.1706000000000001</v>
      </c>
      <c r="O172">
        <v>1.3421233662004128</v>
      </c>
      <c r="P172">
        <v>6.2976113621691417E-3</v>
      </c>
      <c r="Q172">
        <v>1.1706000000000001</v>
      </c>
      <c r="R172">
        <v>34260.008730000001</v>
      </c>
      <c r="S172" t="s">
        <v>16</v>
      </c>
      <c r="T172">
        <v>1.0649999999999999</v>
      </c>
      <c r="U172">
        <v>31169.408249999997</v>
      </c>
      <c r="V172">
        <v>3090.6004800000046</v>
      </c>
      <c r="W172">
        <v>9.9154929577464954E-2</v>
      </c>
    </row>
    <row r="173" spans="1:23" x14ac:dyDescent="0.25">
      <c r="A173" t="s">
        <v>439</v>
      </c>
      <c r="B173" t="s">
        <v>36</v>
      </c>
      <c r="C173" t="s">
        <v>116</v>
      </c>
      <c r="D173" t="s">
        <v>31</v>
      </c>
      <c r="E173" t="s">
        <v>74</v>
      </c>
      <c r="F173" s="1">
        <v>46157</v>
      </c>
      <c r="G173">
        <v>46202</v>
      </c>
      <c r="H173" t="s">
        <v>6</v>
      </c>
      <c r="I173">
        <v>3256.51</v>
      </c>
      <c r="J173" t="s">
        <v>75</v>
      </c>
      <c r="K173" t="s">
        <v>440</v>
      </c>
      <c r="L173">
        <v>45</v>
      </c>
      <c r="M173" t="s">
        <v>36</v>
      </c>
      <c r="N173">
        <v>1.1628000000000001</v>
      </c>
      <c r="O173">
        <v>1.3357840321654222</v>
      </c>
      <c r="P173">
        <v>6.3072249945758298E-3</v>
      </c>
      <c r="Q173">
        <v>1.1628000000000001</v>
      </c>
      <c r="R173">
        <v>3786.6698280000005</v>
      </c>
      <c r="S173" t="s">
        <v>19</v>
      </c>
      <c r="T173">
        <v>1.083</v>
      </c>
      <c r="U173">
        <v>3526.80033</v>
      </c>
      <c r="V173">
        <v>259.86949800000048</v>
      </c>
      <c r="W173">
        <v>7.3684210526315921E-2</v>
      </c>
    </row>
    <row r="174" spans="1:23" x14ac:dyDescent="0.25">
      <c r="A174" t="s">
        <v>441</v>
      </c>
      <c r="B174" t="s">
        <v>43</v>
      </c>
      <c r="C174" t="s">
        <v>215</v>
      </c>
      <c r="D174" t="s">
        <v>35</v>
      </c>
      <c r="E174" t="s">
        <v>152</v>
      </c>
      <c r="F174" s="1">
        <v>46252</v>
      </c>
      <c r="G174">
        <v>46282</v>
      </c>
      <c r="H174" t="s">
        <v>6</v>
      </c>
      <c r="I174">
        <v>1096.93</v>
      </c>
      <c r="J174" t="s">
        <v>75</v>
      </c>
      <c r="K174" t="s">
        <v>442</v>
      </c>
      <c r="L174">
        <v>30</v>
      </c>
      <c r="M174" t="s">
        <v>43</v>
      </c>
      <c r="N174">
        <v>1.1576</v>
      </c>
      <c r="O174">
        <v>1.3525734649763392</v>
      </c>
      <c r="P174">
        <v>6.2616974089901006E-3</v>
      </c>
      <c r="Q174">
        <v>1.1576</v>
      </c>
      <c r="R174">
        <v>1269.8061680000001</v>
      </c>
      <c r="S174" t="s">
        <v>21</v>
      </c>
      <c r="T174">
        <v>1.101</v>
      </c>
      <c r="U174">
        <v>1207.71993</v>
      </c>
      <c r="V174">
        <v>62.086238000000094</v>
      </c>
      <c r="W174">
        <v>5.1407811080835683E-2</v>
      </c>
    </row>
    <row r="175" spans="1:23" x14ac:dyDescent="0.25">
      <c r="A175" t="s">
        <v>443</v>
      </c>
      <c r="B175" t="s">
        <v>30</v>
      </c>
      <c r="C175" t="s">
        <v>103</v>
      </c>
      <c r="D175" t="s">
        <v>31</v>
      </c>
      <c r="E175" t="s">
        <v>74</v>
      </c>
      <c r="F175" s="1">
        <v>45820</v>
      </c>
      <c r="G175">
        <v>45850</v>
      </c>
      <c r="H175" t="s">
        <v>9</v>
      </c>
      <c r="I175">
        <v>1453590.99</v>
      </c>
      <c r="J175" t="s">
        <v>75</v>
      </c>
      <c r="K175" t="s">
        <v>444</v>
      </c>
      <c r="L175">
        <v>30</v>
      </c>
      <c r="M175" t="s">
        <v>30</v>
      </c>
      <c r="N175">
        <v>1.1594</v>
      </c>
      <c r="O175">
        <v>1.3579292574373389</v>
      </c>
      <c r="P175">
        <v>6.9575132021123384E-3</v>
      </c>
      <c r="Q175">
        <v>6.9575132021123384E-3</v>
      </c>
      <c r="R175">
        <v>10113.378503396543</v>
      </c>
      <c r="S175" t="s">
        <v>12</v>
      </c>
      <c r="T175">
        <v>6.7000000000000002E-3</v>
      </c>
      <c r="U175">
        <v>9739.0596330000008</v>
      </c>
      <c r="V175">
        <v>374.31887039654248</v>
      </c>
      <c r="W175">
        <v>3.8434806285423478E-2</v>
      </c>
    </row>
    <row r="176" spans="1:23" x14ac:dyDescent="0.25">
      <c r="A176" t="s">
        <v>445</v>
      </c>
      <c r="B176" t="s">
        <v>32</v>
      </c>
      <c r="C176" t="s">
        <v>106</v>
      </c>
      <c r="D176" t="s">
        <v>31</v>
      </c>
      <c r="E176" t="s">
        <v>74</v>
      </c>
      <c r="F176" s="1">
        <v>46163</v>
      </c>
      <c r="G176">
        <v>46193</v>
      </c>
      <c r="H176" t="s">
        <v>6</v>
      </c>
      <c r="I176">
        <v>8185.07</v>
      </c>
      <c r="J176" t="s">
        <v>75</v>
      </c>
      <c r="K176" t="s">
        <v>446</v>
      </c>
      <c r="L176">
        <v>30</v>
      </c>
      <c r="M176" t="s">
        <v>32</v>
      </c>
      <c r="N176">
        <v>1.1598999999999999</v>
      </c>
      <c r="O176">
        <v>1.3419642960443348</v>
      </c>
      <c r="P176">
        <v>6.2836556693211983E-3</v>
      </c>
      <c r="Q176">
        <v>1.1598999999999999</v>
      </c>
      <c r="R176">
        <v>9493.8626929999991</v>
      </c>
      <c r="S176" t="s">
        <v>19</v>
      </c>
      <c r="T176">
        <v>1.083</v>
      </c>
      <c r="U176">
        <v>8864.4308099999998</v>
      </c>
      <c r="V176">
        <v>629.43188299999929</v>
      </c>
      <c r="W176">
        <v>7.1006463527239078E-2</v>
      </c>
    </row>
    <row r="177" spans="1:23" x14ac:dyDescent="0.25">
      <c r="A177" t="s">
        <v>447</v>
      </c>
      <c r="B177" t="s">
        <v>40</v>
      </c>
      <c r="C177" t="s">
        <v>78</v>
      </c>
      <c r="D177" t="s">
        <v>33</v>
      </c>
      <c r="E177" t="s">
        <v>79</v>
      </c>
      <c r="F177" s="1">
        <v>46315</v>
      </c>
      <c r="G177">
        <v>46345</v>
      </c>
      <c r="H177" t="s">
        <v>9</v>
      </c>
      <c r="I177">
        <v>2161423.46</v>
      </c>
      <c r="J177" t="s">
        <v>84</v>
      </c>
      <c r="K177" t="s">
        <v>448</v>
      </c>
      <c r="L177">
        <v>30</v>
      </c>
      <c r="M177" t="s">
        <v>40</v>
      </c>
      <c r="N177">
        <v>1.1176999999999999</v>
      </c>
      <c r="O177">
        <v>1.320456022210408</v>
      </c>
      <c r="P177">
        <v>6.3200452360757699E-3</v>
      </c>
      <c r="Q177">
        <v>6.3200452360757699E-3</v>
      </c>
      <c r="R177">
        <v>13660.294041515406</v>
      </c>
      <c r="S177" t="s">
        <v>23</v>
      </c>
      <c r="T177">
        <v>6.8799999999999998E-3</v>
      </c>
      <c r="U177">
        <v>14870.5934048</v>
      </c>
      <c r="V177">
        <v>-1210.2993632845937</v>
      </c>
      <c r="W177">
        <v>-8.1388773826196317E-2</v>
      </c>
    </row>
    <row r="178" spans="1:23" x14ac:dyDescent="0.25">
      <c r="A178" t="s">
        <v>449</v>
      </c>
      <c r="B178" t="s">
        <v>30</v>
      </c>
      <c r="C178" t="s">
        <v>103</v>
      </c>
      <c r="D178" t="s">
        <v>31</v>
      </c>
      <c r="E178" t="s">
        <v>74</v>
      </c>
      <c r="F178" s="1">
        <v>45711</v>
      </c>
      <c r="G178">
        <v>45741</v>
      </c>
      <c r="H178" t="s">
        <v>9</v>
      </c>
      <c r="I178">
        <v>3195095.69</v>
      </c>
      <c r="J178" t="s">
        <v>75</v>
      </c>
      <c r="K178" t="s">
        <v>450</v>
      </c>
      <c r="L178">
        <v>30</v>
      </c>
      <c r="M178" t="s">
        <v>30</v>
      </c>
      <c r="N178">
        <v>1.0825</v>
      </c>
      <c r="O178">
        <v>1.2953987913600191</v>
      </c>
      <c r="P178">
        <v>6.6689255791030069E-3</v>
      </c>
      <c r="Q178">
        <v>6.6689255791030069E-3</v>
      </c>
      <c r="R178">
        <v>21307.855374722771</v>
      </c>
      <c r="S178" t="s">
        <v>11</v>
      </c>
      <c r="T178">
        <v>6.5599999999999999E-3</v>
      </c>
      <c r="U178">
        <v>20959.827726399999</v>
      </c>
      <c r="V178">
        <v>348.02764832277171</v>
      </c>
      <c r="W178">
        <v>1.6604509009604727E-2</v>
      </c>
    </row>
    <row r="179" spans="1:23" x14ac:dyDescent="0.25">
      <c r="A179" t="s">
        <v>451</v>
      </c>
      <c r="B179" t="s">
        <v>20</v>
      </c>
      <c r="C179" t="s">
        <v>123</v>
      </c>
      <c r="D179" t="s">
        <v>31</v>
      </c>
      <c r="E179" t="s">
        <v>124</v>
      </c>
      <c r="F179" s="1">
        <v>46225</v>
      </c>
      <c r="G179">
        <v>46270</v>
      </c>
      <c r="H179" t="s">
        <v>6</v>
      </c>
      <c r="I179">
        <v>27683.27</v>
      </c>
      <c r="J179" t="s">
        <v>75</v>
      </c>
      <c r="K179" t="s">
        <v>452</v>
      </c>
      <c r="L179">
        <v>45</v>
      </c>
      <c r="M179" t="s">
        <v>20</v>
      </c>
      <c r="N179">
        <v>1.1408</v>
      </c>
      <c r="O179">
        <v>1.3367705647996251</v>
      </c>
      <c r="P179">
        <v>6.132344245551793E-3</v>
      </c>
      <c r="Q179">
        <v>1.1408</v>
      </c>
      <c r="R179">
        <v>31581.074416000003</v>
      </c>
      <c r="S179" t="s">
        <v>21</v>
      </c>
      <c r="T179">
        <v>1.101</v>
      </c>
      <c r="U179">
        <v>30479.280269999999</v>
      </c>
      <c r="V179">
        <v>1101.7941460000038</v>
      </c>
      <c r="W179">
        <v>3.6148955495004666E-2</v>
      </c>
    </row>
    <row r="180" spans="1:23" x14ac:dyDescent="0.25">
      <c r="A180" t="s">
        <v>453</v>
      </c>
      <c r="B180" t="s">
        <v>34</v>
      </c>
      <c r="C180" t="s">
        <v>177</v>
      </c>
      <c r="D180" t="s">
        <v>31</v>
      </c>
      <c r="E180" t="s">
        <v>74</v>
      </c>
      <c r="F180" s="1">
        <v>46140</v>
      </c>
      <c r="G180">
        <v>46200</v>
      </c>
      <c r="H180" t="s">
        <v>8</v>
      </c>
      <c r="I180">
        <v>2365.29</v>
      </c>
      <c r="J180" t="s">
        <v>75</v>
      </c>
      <c r="K180" t="s">
        <v>454</v>
      </c>
      <c r="L180">
        <v>60</v>
      </c>
      <c r="M180" t="s">
        <v>34</v>
      </c>
      <c r="N180">
        <v>1.1679999999999999</v>
      </c>
      <c r="O180">
        <v>1.3469411289857578</v>
      </c>
      <c r="P180">
        <v>6.2600493086075668E-3</v>
      </c>
      <c r="Q180">
        <v>1.3469411289857578</v>
      </c>
      <c r="R180">
        <v>3185.9063829787228</v>
      </c>
      <c r="S180" t="s">
        <v>19</v>
      </c>
      <c r="T180">
        <v>1.2709999999999999</v>
      </c>
      <c r="U180">
        <v>3006.2835899999995</v>
      </c>
      <c r="V180">
        <v>179.62279297872328</v>
      </c>
      <c r="W180">
        <v>5.9749118006103781E-2</v>
      </c>
    </row>
    <row r="181" spans="1:23" x14ac:dyDescent="0.25">
      <c r="A181" t="s">
        <v>455</v>
      </c>
      <c r="B181" t="s">
        <v>40</v>
      </c>
      <c r="C181" t="s">
        <v>78</v>
      </c>
      <c r="D181" t="s">
        <v>33</v>
      </c>
      <c r="E181" t="s">
        <v>79</v>
      </c>
      <c r="F181" s="1">
        <v>45809</v>
      </c>
      <c r="G181">
        <v>45839</v>
      </c>
      <c r="H181" t="s">
        <v>9</v>
      </c>
      <c r="I181">
        <v>1834402.22</v>
      </c>
      <c r="J181" t="s">
        <v>75</v>
      </c>
      <c r="K181" t="s">
        <v>456</v>
      </c>
      <c r="L181">
        <v>30</v>
      </c>
      <c r="M181" t="s">
        <v>40</v>
      </c>
      <c r="N181">
        <v>1.1711</v>
      </c>
      <c r="O181">
        <v>1.3568532035685321</v>
      </c>
      <c r="P181">
        <v>6.790166405751725E-3</v>
      </c>
      <c r="Q181">
        <v>6.790166405751725E-3</v>
      </c>
      <c r="R181">
        <v>12455.896328880384</v>
      </c>
      <c r="S181" t="s">
        <v>12</v>
      </c>
      <c r="T181">
        <v>6.7000000000000002E-3</v>
      </c>
      <c r="U181">
        <v>12290.494874</v>
      </c>
      <c r="V181">
        <v>165.40145488038434</v>
      </c>
      <c r="W181">
        <v>1.34576725002574E-2</v>
      </c>
    </row>
    <row r="182" spans="1:23" x14ac:dyDescent="0.25">
      <c r="A182" t="s">
        <v>457</v>
      </c>
      <c r="B182" t="s">
        <v>24</v>
      </c>
      <c r="C182" t="s">
        <v>73</v>
      </c>
      <c r="D182" t="s">
        <v>31</v>
      </c>
      <c r="E182" t="s">
        <v>74</v>
      </c>
      <c r="F182" s="1">
        <v>45884</v>
      </c>
      <c r="G182">
        <v>45914</v>
      </c>
      <c r="H182" t="s">
        <v>6</v>
      </c>
      <c r="I182">
        <v>20551.939999999999</v>
      </c>
      <c r="J182" t="s">
        <v>75</v>
      </c>
      <c r="K182" t="s">
        <v>458</v>
      </c>
      <c r="L182">
        <v>30</v>
      </c>
      <c r="M182" t="s">
        <v>24</v>
      </c>
      <c r="N182">
        <v>1.1688000000000001</v>
      </c>
      <c r="O182">
        <v>1.3556019485038275</v>
      </c>
      <c r="P182">
        <v>6.8028636284267509E-3</v>
      </c>
      <c r="Q182">
        <v>1.1688000000000001</v>
      </c>
      <c r="R182">
        <v>24021.107472</v>
      </c>
      <c r="S182" t="s">
        <v>13</v>
      </c>
      <c r="T182">
        <v>1.0880000000000001</v>
      </c>
      <c r="U182">
        <v>22360.510719999998</v>
      </c>
      <c r="V182">
        <v>1660.5967520000013</v>
      </c>
      <c r="W182">
        <v>7.426470588235301E-2</v>
      </c>
    </row>
    <row r="183" spans="1:23" x14ac:dyDescent="0.25">
      <c r="A183" t="s">
        <v>459</v>
      </c>
      <c r="B183" t="s">
        <v>42</v>
      </c>
      <c r="C183" t="s">
        <v>151</v>
      </c>
      <c r="D183" t="s">
        <v>35</v>
      </c>
      <c r="E183" t="s">
        <v>152</v>
      </c>
      <c r="F183" s="1">
        <v>45930</v>
      </c>
      <c r="G183">
        <v>45960</v>
      </c>
      <c r="H183" t="s">
        <v>8</v>
      </c>
      <c r="I183">
        <v>4803.07</v>
      </c>
      <c r="J183" t="s">
        <v>75</v>
      </c>
      <c r="K183" t="s">
        <v>460</v>
      </c>
      <c r="L183">
        <v>30</v>
      </c>
      <c r="M183" t="s">
        <v>42</v>
      </c>
      <c r="N183">
        <v>1.1740999999999999</v>
      </c>
      <c r="O183">
        <v>1.344286695672086</v>
      </c>
      <c r="P183">
        <v>6.7570211786372007E-3</v>
      </c>
      <c r="Q183">
        <v>1.344286695672086</v>
      </c>
      <c r="R183">
        <v>6456.7030993817261</v>
      </c>
      <c r="S183" t="s">
        <v>13</v>
      </c>
      <c r="T183">
        <v>1.282</v>
      </c>
      <c r="U183">
        <v>6157.5357399999994</v>
      </c>
      <c r="V183">
        <v>299.16735938172678</v>
      </c>
      <c r="W183">
        <v>4.8585566046869068E-2</v>
      </c>
    </row>
    <row r="184" spans="1:23" x14ac:dyDescent="0.25">
      <c r="A184" t="s">
        <v>461</v>
      </c>
      <c r="B184" t="s">
        <v>41</v>
      </c>
      <c r="C184" t="s">
        <v>172</v>
      </c>
      <c r="D184" t="s">
        <v>33</v>
      </c>
      <c r="E184" t="s">
        <v>83</v>
      </c>
      <c r="F184" s="1">
        <v>46227</v>
      </c>
      <c r="G184">
        <v>46257</v>
      </c>
      <c r="H184" t="s">
        <v>9</v>
      </c>
      <c r="I184">
        <v>1494290.56</v>
      </c>
      <c r="J184" t="s">
        <v>75</v>
      </c>
      <c r="K184" t="s">
        <v>462</v>
      </c>
      <c r="L184">
        <v>30</v>
      </c>
      <c r="M184" t="s">
        <v>41</v>
      </c>
      <c r="N184">
        <v>1.1376999999999999</v>
      </c>
      <c r="O184">
        <v>1.3323886260364455</v>
      </c>
      <c r="P184">
        <v>6.1041957291554884E-3</v>
      </c>
      <c r="Q184">
        <v>6.1041957291554884E-3</v>
      </c>
      <c r="R184">
        <v>9121.4420544693639</v>
      </c>
      <c r="S184" t="s">
        <v>21</v>
      </c>
      <c r="T184">
        <v>6.7400000000000003E-3</v>
      </c>
      <c r="U184">
        <v>10071.518374400001</v>
      </c>
      <c r="V184">
        <v>-950.0763199306366</v>
      </c>
      <c r="W184">
        <v>-9.4332977870105542E-2</v>
      </c>
    </row>
    <row r="185" spans="1:23" x14ac:dyDescent="0.25">
      <c r="A185" t="s">
        <v>463</v>
      </c>
      <c r="B185" t="s">
        <v>28</v>
      </c>
      <c r="C185" t="s">
        <v>111</v>
      </c>
      <c r="D185" t="s">
        <v>31</v>
      </c>
      <c r="E185" t="s">
        <v>74</v>
      </c>
      <c r="F185" s="1">
        <v>46004</v>
      </c>
      <c r="G185">
        <v>46049</v>
      </c>
      <c r="H185" t="s">
        <v>9</v>
      </c>
      <c r="I185">
        <v>2020818.06</v>
      </c>
      <c r="J185" t="s">
        <v>75</v>
      </c>
      <c r="K185" t="s">
        <v>464</v>
      </c>
      <c r="L185">
        <v>45</v>
      </c>
      <c r="M185" t="s">
        <v>28</v>
      </c>
      <c r="N185">
        <v>1.1555</v>
      </c>
      <c r="O185">
        <v>1.3367963164349013</v>
      </c>
      <c r="P185">
        <v>6.2983756677204832E-3</v>
      </c>
      <c r="Q185">
        <v>6.2983756677204832E-3</v>
      </c>
      <c r="R185">
        <v>12727.871297994112</v>
      </c>
      <c r="S185" t="s">
        <v>14</v>
      </c>
      <c r="T185">
        <v>6.9800000000000001E-3</v>
      </c>
      <c r="U185">
        <v>14105.3100588</v>
      </c>
      <c r="V185">
        <v>-1377.4387608058878</v>
      </c>
      <c r="W185">
        <v>-9.7653915799357657E-2</v>
      </c>
    </row>
    <row r="186" spans="1:23" x14ac:dyDescent="0.25">
      <c r="A186" t="s">
        <v>465</v>
      </c>
      <c r="B186" t="s">
        <v>44</v>
      </c>
      <c r="C186" t="s">
        <v>138</v>
      </c>
      <c r="D186" t="s">
        <v>33</v>
      </c>
      <c r="E186" t="s">
        <v>88</v>
      </c>
      <c r="F186" s="1">
        <v>46258</v>
      </c>
      <c r="G186">
        <v>46303</v>
      </c>
      <c r="H186" t="s">
        <v>9</v>
      </c>
      <c r="I186">
        <v>1028798.79</v>
      </c>
      <c r="J186" t="s">
        <v>75</v>
      </c>
      <c r="K186" t="s">
        <v>466</v>
      </c>
      <c r="L186">
        <v>45</v>
      </c>
      <c r="M186" t="s">
        <v>44</v>
      </c>
      <c r="N186">
        <v>1.1664000000000001</v>
      </c>
      <c r="O186">
        <v>1.3634132086499124</v>
      </c>
      <c r="P186">
        <v>6.2844827586206907E-3</v>
      </c>
      <c r="Q186">
        <v>6.2844827586206907E-3</v>
      </c>
      <c r="R186">
        <v>6465.4682578448292</v>
      </c>
      <c r="S186" t="s">
        <v>21</v>
      </c>
      <c r="T186">
        <v>6.7400000000000003E-3</v>
      </c>
      <c r="U186">
        <v>6934.1038446000002</v>
      </c>
      <c r="V186">
        <v>-468.63558675517106</v>
      </c>
      <c r="W186">
        <v>-6.7584160442033983E-2</v>
      </c>
    </row>
    <row r="187" spans="1:23" x14ac:dyDescent="0.25">
      <c r="A187" t="s">
        <v>467</v>
      </c>
      <c r="B187" t="s">
        <v>20</v>
      </c>
      <c r="C187" t="s">
        <v>123</v>
      </c>
      <c r="D187" t="s">
        <v>31</v>
      </c>
      <c r="E187" t="s">
        <v>124</v>
      </c>
      <c r="F187" s="1">
        <v>46174</v>
      </c>
      <c r="G187">
        <v>46219</v>
      </c>
      <c r="H187" t="s">
        <v>6</v>
      </c>
      <c r="I187">
        <v>33328.5</v>
      </c>
      <c r="J187" t="s">
        <v>75</v>
      </c>
      <c r="K187" t="s">
        <v>468</v>
      </c>
      <c r="L187">
        <v>45</v>
      </c>
      <c r="M187" t="s">
        <v>20</v>
      </c>
      <c r="N187">
        <v>1.1646000000000001</v>
      </c>
      <c r="O187">
        <v>1.3464673441781416</v>
      </c>
      <c r="P187">
        <v>6.2700549154732421E-3</v>
      </c>
      <c r="Q187">
        <v>1.1646000000000001</v>
      </c>
      <c r="R187">
        <v>38814.371100000004</v>
      </c>
      <c r="S187" t="s">
        <v>19</v>
      </c>
      <c r="T187">
        <v>1.083</v>
      </c>
      <c r="U187">
        <v>36094.765500000001</v>
      </c>
      <c r="V187">
        <v>2719.6056000000026</v>
      </c>
      <c r="W187">
        <v>7.5346260387811698E-2</v>
      </c>
    </row>
    <row r="188" spans="1:23" x14ac:dyDescent="0.25">
      <c r="A188" t="s">
        <v>469</v>
      </c>
      <c r="B188" t="s">
        <v>32</v>
      </c>
      <c r="C188" t="s">
        <v>106</v>
      </c>
      <c r="D188" t="s">
        <v>31</v>
      </c>
      <c r="E188" t="s">
        <v>74</v>
      </c>
      <c r="F188" s="1">
        <v>46201</v>
      </c>
      <c r="G188">
        <v>46231</v>
      </c>
      <c r="H188" t="s">
        <v>6</v>
      </c>
      <c r="I188">
        <v>20500.900000000001</v>
      </c>
      <c r="J188" t="s">
        <v>75</v>
      </c>
      <c r="K188" t="s">
        <v>470</v>
      </c>
      <c r="L188">
        <v>30</v>
      </c>
      <c r="M188" t="s">
        <v>32</v>
      </c>
      <c r="N188">
        <v>1.1400999999999999</v>
      </c>
      <c r="O188">
        <v>1.3218090964951943</v>
      </c>
      <c r="P188">
        <v>6.1861096039066733E-3</v>
      </c>
      <c r="Q188">
        <v>1.1400999999999999</v>
      </c>
      <c r="R188">
        <v>23373.076089999999</v>
      </c>
      <c r="S188" t="s">
        <v>19</v>
      </c>
      <c r="T188">
        <v>1.083</v>
      </c>
      <c r="U188">
        <v>22202.474700000002</v>
      </c>
      <c r="V188">
        <v>1170.6013899999962</v>
      </c>
      <c r="W188">
        <v>5.2723915050784678E-2</v>
      </c>
    </row>
    <row r="189" spans="1:23" x14ac:dyDescent="0.25">
      <c r="A189" t="s">
        <v>471</v>
      </c>
      <c r="B189" t="s">
        <v>28</v>
      </c>
      <c r="C189" t="s">
        <v>111</v>
      </c>
      <c r="D189" t="s">
        <v>31</v>
      </c>
      <c r="E189" t="s">
        <v>74</v>
      </c>
      <c r="F189" s="1">
        <v>46238</v>
      </c>
      <c r="G189">
        <v>46283</v>
      </c>
      <c r="H189" t="s">
        <v>9</v>
      </c>
      <c r="I189">
        <v>3850722.83</v>
      </c>
      <c r="J189" t="s">
        <v>75</v>
      </c>
      <c r="K189" t="s">
        <v>472</v>
      </c>
      <c r="L189">
        <v>45</v>
      </c>
      <c r="M189" t="s">
        <v>28</v>
      </c>
      <c r="N189">
        <v>1.1515</v>
      </c>
      <c r="O189">
        <v>1.3445976716215742</v>
      </c>
      <c r="P189">
        <v>6.352752951561293E-3</v>
      </c>
      <c r="Q189">
        <v>6.352752951561293E-3</v>
      </c>
      <c r="R189">
        <v>24462.690823926954</v>
      </c>
      <c r="S189" t="s">
        <v>21</v>
      </c>
      <c r="T189">
        <v>6.7400000000000003E-3</v>
      </c>
      <c r="U189">
        <v>25953.871874200002</v>
      </c>
      <c r="V189">
        <v>-1491.1810502730477</v>
      </c>
      <c r="W189">
        <v>-5.7455051697137639E-2</v>
      </c>
    </row>
    <row r="190" spans="1:23" x14ac:dyDescent="0.25">
      <c r="A190" t="s">
        <v>473</v>
      </c>
      <c r="B190" t="s">
        <v>38</v>
      </c>
      <c r="C190" t="s">
        <v>87</v>
      </c>
      <c r="D190" t="s">
        <v>33</v>
      </c>
      <c r="E190" t="s">
        <v>88</v>
      </c>
      <c r="F190" s="1">
        <v>46253</v>
      </c>
      <c r="G190">
        <v>46283</v>
      </c>
      <c r="H190" t="s">
        <v>6</v>
      </c>
      <c r="I190">
        <v>6438.88</v>
      </c>
      <c r="J190" t="s">
        <v>75</v>
      </c>
      <c r="K190" t="s">
        <v>474</v>
      </c>
      <c r="L190">
        <v>30</v>
      </c>
      <c r="M190" t="s">
        <v>38</v>
      </c>
      <c r="N190">
        <v>1.1605000000000001</v>
      </c>
      <c r="O190">
        <v>1.3555976077002152</v>
      </c>
      <c r="P190">
        <v>6.2858845195536781E-3</v>
      </c>
      <c r="Q190">
        <v>1.1605000000000001</v>
      </c>
      <c r="R190">
        <v>7472.3202400000009</v>
      </c>
      <c r="S190" t="s">
        <v>21</v>
      </c>
      <c r="T190">
        <v>1.101</v>
      </c>
      <c r="U190">
        <v>7089.2068799999997</v>
      </c>
      <c r="V190">
        <v>383.11336000000119</v>
      </c>
      <c r="W190">
        <v>5.404178019981852E-2</v>
      </c>
    </row>
    <row r="191" spans="1:23" x14ac:dyDescent="0.25">
      <c r="A191" t="s">
        <v>473</v>
      </c>
      <c r="B191" t="s">
        <v>20</v>
      </c>
      <c r="C191" t="s">
        <v>123</v>
      </c>
      <c r="D191" t="s">
        <v>31</v>
      </c>
      <c r="E191" t="s">
        <v>124</v>
      </c>
      <c r="F191" s="1">
        <v>46028</v>
      </c>
      <c r="G191">
        <v>46073</v>
      </c>
      <c r="H191" t="s">
        <v>6</v>
      </c>
      <c r="I191">
        <v>16852.86</v>
      </c>
      <c r="J191" t="s">
        <v>75</v>
      </c>
      <c r="K191" t="s">
        <v>475</v>
      </c>
      <c r="L191">
        <v>45</v>
      </c>
      <c r="M191" t="s">
        <v>20</v>
      </c>
      <c r="N191">
        <v>1.1707000000000001</v>
      </c>
      <c r="O191">
        <v>1.3513794297587443</v>
      </c>
      <c r="P191">
        <v>6.3923774161843408E-3</v>
      </c>
      <c r="Q191">
        <v>1.1707000000000001</v>
      </c>
      <c r="R191">
        <v>19729.643202000003</v>
      </c>
      <c r="S191" t="s">
        <v>16</v>
      </c>
      <c r="T191">
        <v>1.0649999999999999</v>
      </c>
      <c r="U191">
        <v>17948.295900000001</v>
      </c>
      <c r="V191">
        <v>1781.3473020000019</v>
      </c>
      <c r="W191">
        <v>9.9248826291079909E-2</v>
      </c>
    </row>
    <row r="192" spans="1:23" x14ac:dyDescent="0.25">
      <c r="A192" t="s">
        <v>476</v>
      </c>
      <c r="B192" t="s">
        <v>42</v>
      </c>
      <c r="C192" t="s">
        <v>151</v>
      </c>
      <c r="D192" t="s">
        <v>35</v>
      </c>
      <c r="E192" t="s">
        <v>152</v>
      </c>
      <c r="F192" s="1">
        <v>45916</v>
      </c>
      <c r="G192">
        <v>45946</v>
      </c>
      <c r="H192" t="s">
        <v>8</v>
      </c>
      <c r="I192">
        <v>3870.29</v>
      </c>
      <c r="J192" t="s">
        <v>75</v>
      </c>
      <c r="K192" t="s">
        <v>477</v>
      </c>
      <c r="L192">
        <v>30</v>
      </c>
      <c r="M192" t="s">
        <v>42</v>
      </c>
      <c r="N192">
        <v>1.1807000000000001</v>
      </c>
      <c r="O192">
        <v>1.3640249537892792</v>
      </c>
      <c r="P192">
        <v>6.8032267358110058E-3</v>
      </c>
      <c r="Q192">
        <v>1.3640249537892792</v>
      </c>
      <c r="R192">
        <v>5279.1721384011098</v>
      </c>
      <c r="S192" t="s">
        <v>13</v>
      </c>
      <c r="T192">
        <v>1.282</v>
      </c>
      <c r="U192">
        <v>4961.7117799999996</v>
      </c>
      <c r="V192">
        <v>317.46035840111017</v>
      </c>
      <c r="W192">
        <v>6.3982023236567404E-2</v>
      </c>
    </row>
    <row r="193" spans="1:23" x14ac:dyDescent="0.25">
      <c r="A193" t="s">
        <v>478</v>
      </c>
      <c r="B193" t="s">
        <v>24</v>
      </c>
      <c r="C193" t="s">
        <v>73</v>
      </c>
      <c r="D193" t="s">
        <v>31</v>
      </c>
      <c r="E193" t="s">
        <v>74</v>
      </c>
      <c r="F193" s="1">
        <v>45707</v>
      </c>
      <c r="G193">
        <v>45737</v>
      </c>
      <c r="H193" t="s">
        <v>6</v>
      </c>
      <c r="I193">
        <v>23774.240000000002</v>
      </c>
      <c r="J193" t="s">
        <v>75</v>
      </c>
      <c r="K193" t="s">
        <v>479</v>
      </c>
      <c r="L193">
        <v>30</v>
      </c>
      <c r="M193" t="s">
        <v>24</v>
      </c>
      <c r="N193">
        <v>1.0434000000000001</v>
      </c>
      <c r="O193">
        <v>1.2595668654482244</v>
      </c>
      <c r="P193">
        <v>6.5867053847610641E-3</v>
      </c>
      <c r="Q193">
        <v>1.0434000000000001</v>
      </c>
      <c r="R193">
        <v>24806.042016000003</v>
      </c>
      <c r="S193" t="s">
        <v>11</v>
      </c>
      <c r="T193">
        <v>1.052</v>
      </c>
      <c r="U193">
        <v>25010.500480000002</v>
      </c>
      <c r="V193">
        <v>-204.45846399999937</v>
      </c>
      <c r="W193">
        <v>-8.1749049429657526E-3</v>
      </c>
    </row>
    <row r="194" spans="1:23" x14ac:dyDescent="0.25">
      <c r="A194" t="s">
        <v>480</v>
      </c>
      <c r="B194" t="s">
        <v>44</v>
      </c>
      <c r="C194" t="s">
        <v>138</v>
      </c>
      <c r="D194" t="s">
        <v>33</v>
      </c>
      <c r="E194" t="s">
        <v>88</v>
      </c>
      <c r="F194" s="1">
        <v>45843</v>
      </c>
      <c r="G194">
        <v>45888</v>
      </c>
      <c r="H194" t="s">
        <v>9</v>
      </c>
      <c r="I194">
        <v>677996.53</v>
      </c>
      <c r="J194" t="s">
        <v>75</v>
      </c>
      <c r="K194" t="s">
        <v>481</v>
      </c>
      <c r="L194">
        <v>45</v>
      </c>
      <c r="M194" t="s">
        <v>44</v>
      </c>
      <c r="N194">
        <v>1.1740999999999999</v>
      </c>
      <c r="O194">
        <v>1.344286695672086</v>
      </c>
      <c r="P194">
        <v>6.7570211786372007E-3</v>
      </c>
      <c r="Q194">
        <v>6.7570211786372007E-3</v>
      </c>
      <c r="R194">
        <v>4581.2369122525324</v>
      </c>
      <c r="S194" t="s">
        <v>13</v>
      </c>
      <c r="T194">
        <v>6.8399999999999997E-3</v>
      </c>
      <c r="U194">
        <v>4637.4962652000004</v>
      </c>
      <c r="V194">
        <v>-56.25935294746796</v>
      </c>
      <c r="W194">
        <v>-1.2131406631988235E-2</v>
      </c>
    </row>
    <row r="195" spans="1:23" x14ac:dyDescent="0.25">
      <c r="A195" t="s">
        <v>482</v>
      </c>
      <c r="B195" t="s">
        <v>34</v>
      </c>
      <c r="C195" t="s">
        <v>177</v>
      </c>
      <c r="D195" t="s">
        <v>31</v>
      </c>
      <c r="E195" t="s">
        <v>74</v>
      </c>
      <c r="F195" s="1">
        <v>45780</v>
      </c>
      <c r="G195">
        <v>45840</v>
      </c>
      <c r="H195" t="s">
        <v>8</v>
      </c>
      <c r="I195">
        <v>13166.07</v>
      </c>
      <c r="J195" t="s">
        <v>75</v>
      </c>
      <c r="K195" t="s">
        <v>483</v>
      </c>
      <c r="L195">
        <v>60</v>
      </c>
      <c r="M195" t="s">
        <v>34</v>
      </c>
      <c r="N195">
        <v>1.1781999999999999</v>
      </c>
      <c r="O195">
        <v>1.3653957584888168</v>
      </c>
      <c r="P195">
        <v>6.9477532727916019E-3</v>
      </c>
      <c r="Q195">
        <v>1.3653957584888168</v>
      </c>
      <c r="R195">
        <v>17976.896133966857</v>
      </c>
      <c r="S195" t="s">
        <v>12</v>
      </c>
      <c r="T195">
        <v>1.26</v>
      </c>
      <c r="U195">
        <v>16589.248199999998</v>
      </c>
      <c r="V195">
        <v>1387.6479339668585</v>
      </c>
      <c r="W195">
        <v>8.3647427372076977E-2</v>
      </c>
    </row>
    <row r="196" spans="1:23" x14ac:dyDescent="0.25">
      <c r="A196" t="s">
        <v>484</v>
      </c>
      <c r="B196" t="s">
        <v>24</v>
      </c>
      <c r="C196" t="s">
        <v>73</v>
      </c>
      <c r="D196" t="s">
        <v>31</v>
      </c>
      <c r="E196" t="s">
        <v>74</v>
      </c>
      <c r="F196" s="1">
        <v>45666</v>
      </c>
      <c r="G196">
        <v>45696</v>
      </c>
      <c r="H196" t="s">
        <v>6</v>
      </c>
      <c r="I196">
        <v>24837.32</v>
      </c>
      <c r="J196" t="s">
        <v>75</v>
      </c>
      <c r="K196" t="s">
        <v>485</v>
      </c>
      <c r="L196">
        <v>30</v>
      </c>
      <c r="M196" t="s">
        <v>24</v>
      </c>
      <c r="N196">
        <v>1.0305</v>
      </c>
      <c r="O196">
        <v>1.2295962199312713</v>
      </c>
      <c r="P196">
        <v>6.339197834645669E-3</v>
      </c>
      <c r="Q196">
        <v>1.0305</v>
      </c>
      <c r="R196">
        <v>25594.858259999997</v>
      </c>
      <c r="S196" t="s">
        <v>11</v>
      </c>
      <c r="T196">
        <v>1.052</v>
      </c>
      <c r="U196">
        <v>26128.860640000003</v>
      </c>
      <c r="V196">
        <v>-534.00238000000536</v>
      </c>
      <c r="W196">
        <v>-2.0437262357414651E-2</v>
      </c>
    </row>
    <row r="197" spans="1:23" x14ac:dyDescent="0.25">
      <c r="A197" t="s">
        <v>486</v>
      </c>
      <c r="B197" t="s">
        <v>32</v>
      </c>
      <c r="C197" t="s">
        <v>106</v>
      </c>
      <c r="D197" t="s">
        <v>31</v>
      </c>
      <c r="E197" t="s">
        <v>74</v>
      </c>
      <c r="F197" s="1">
        <v>46050</v>
      </c>
      <c r="G197">
        <v>46080</v>
      </c>
      <c r="H197" t="s">
        <v>6</v>
      </c>
      <c r="I197">
        <v>11789.89</v>
      </c>
      <c r="J197" t="s">
        <v>75</v>
      </c>
      <c r="K197" t="s">
        <v>487</v>
      </c>
      <c r="L197">
        <v>30</v>
      </c>
      <c r="M197" t="s">
        <v>32</v>
      </c>
      <c r="N197">
        <v>1.1974</v>
      </c>
      <c r="O197">
        <v>1.3786989061600461</v>
      </c>
      <c r="P197">
        <v>6.5517618734952949E-3</v>
      </c>
      <c r="Q197">
        <v>1.1974</v>
      </c>
      <c r="R197">
        <v>14117.214286</v>
      </c>
      <c r="S197" t="s">
        <v>16</v>
      </c>
      <c r="T197">
        <v>1.0649999999999999</v>
      </c>
      <c r="U197">
        <v>12556.232849999999</v>
      </c>
      <c r="V197">
        <v>1560.9814360000018</v>
      </c>
      <c r="W197">
        <v>0.12431924882629124</v>
      </c>
    </row>
    <row r="198" spans="1:23" x14ac:dyDescent="0.25">
      <c r="A198" t="s">
        <v>488</v>
      </c>
      <c r="B198" t="s">
        <v>34</v>
      </c>
      <c r="C198" t="s">
        <v>177</v>
      </c>
      <c r="D198" t="s">
        <v>31</v>
      </c>
      <c r="E198" t="s">
        <v>74</v>
      </c>
      <c r="F198" s="1">
        <v>46169</v>
      </c>
      <c r="G198">
        <v>46229</v>
      </c>
      <c r="H198" t="s">
        <v>8</v>
      </c>
      <c r="I198">
        <v>10731.89</v>
      </c>
      <c r="J198" t="s">
        <v>75</v>
      </c>
      <c r="K198" t="s">
        <v>489</v>
      </c>
      <c r="L198">
        <v>60</v>
      </c>
      <c r="M198" t="s">
        <v>34</v>
      </c>
      <c r="N198">
        <v>1.1637</v>
      </c>
      <c r="O198">
        <v>1.3434851878362466</v>
      </c>
      <c r="P198">
        <v>6.2726390685640355E-3</v>
      </c>
      <c r="Q198">
        <v>1.3434851878362466</v>
      </c>
      <c r="R198">
        <v>14418.135252487935</v>
      </c>
      <c r="S198" t="s">
        <v>19</v>
      </c>
      <c r="T198">
        <v>1.2709999999999999</v>
      </c>
      <c r="U198">
        <v>13640.232189999999</v>
      </c>
      <c r="V198">
        <v>777.90306248793604</v>
      </c>
      <c r="W198">
        <v>5.7030045504521294E-2</v>
      </c>
    </row>
    <row r="199" spans="1:23" x14ac:dyDescent="0.25">
      <c r="A199" t="s">
        <v>490</v>
      </c>
      <c r="B199" t="s">
        <v>32</v>
      </c>
      <c r="C199" t="s">
        <v>106</v>
      </c>
      <c r="D199" t="s">
        <v>31</v>
      </c>
      <c r="E199" t="s">
        <v>74</v>
      </c>
      <c r="F199" s="1">
        <v>45983</v>
      </c>
      <c r="G199">
        <v>46013</v>
      </c>
      <c r="H199" t="s">
        <v>6</v>
      </c>
      <c r="I199">
        <v>9337.57</v>
      </c>
      <c r="J199" t="s">
        <v>75</v>
      </c>
      <c r="K199" t="s">
        <v>491</v>
      </c>
      <c r="L199">
        <v>30</v>
      </c>
      <c r="M199" t="s">
        <v>32</v>
      </c>
      <c r="N199">
        <v>1.1555</v>
      </c>
      <c r="O199">
        <v>1.3367963164349013</v>
      </c>
      <c r="P199">
        <v>6.2983756677204832E-3</v>
      </c>
      <c r="Q199">
        <v>1.1555</v>
      </c>
      <c r="R199">
        <v>10789.562135</v>
      </c>
      <c r="S199" t="s">
        <v>14</v>
      </c>
      <c r="T199">
        <v>1.1060000000000001</v>
      </c>
      <c r="U199">
        <v>10327.352420000001</v>
      </c>
      <c r="V199">
        <v>462.20971499999905</v>
      </c>
      <c r="W199">
        <v>4.4755877034357953E-2</v>
      </c>
    </row>
    <row r="200" spans="1:23" x14ac:dyDescent="0.25">
      <c r="A200" t="s">
        <v>492</v>
      </c>
      <c r="B200" t="s">
        <v>25</v>
      </c>
      <c r="C200" t="s">
        <v>169</v>
      </c>
      <c r="D200" t="s">
        <v>31</v>
      </c>
      <c r="E200" t="s">
        <v>124</v>
      </c>
      <c r="F200" s="1">
        <v>46047</v>
      </c>
      <c r="G200">
        <v>46107</v>
      </c>
      <c r="H200" t="s">
        <v>6</v>
      </c>
      <c r="I200">
        <v>73927.63</v>
      </c>
      <c r="J200" t="s">
        <v>75</v>
      </c>
      <c r="K200" t="s">
        <v>493</v>
      </c>
      <c r="L200">
        <v>60</v>
      </c>
      <c r="M200" t="s">
        <v>25</v>
      </c>
      <c r="N200">
        <v>1.1555</v>
      </c>
      <c r="O200">
        <v>1.3367963164349013</v>
      </c>
      <c r="P200">
        <v>6.2983756677204832E-3</v>
      </c>
      <c r="Q200">
        <v>1.1555</v>
      </c>
      <c r="R200">
        <v>85423.376465000008</v>
      </c>
      <c r="S200" t="s">
        <v>16</v>
      </c>
      <c r="T200">
        <v>1.0649999999999999</v>
      </c>
      <c r="U200">
        <v>78732.925950000004</v>
      </c>
      <c r="V200">
        <v>6690.4505150000041</v>
      </c>
      <c r="W200">
        <v>8.4976525821596288E-2</v>
      </c>
    </row>
    <row r="201" spans="1:23" x14ac:dyDescent="0.25">
      <c r="A201" t="s">
        <v>494</v>
      </c>
      <c r="B201" t="s">
        <v>40</v>
      </c>
      <c r="C201" t="s">
        <v>78</v>
      </c>
      <c r="D201" t="s">
        <v>33</v>
      </c>
      <c r="E201" t="s">
        <v>79</v>
      </c>
      <c r="F201" s="1">
        <v>45707</v>
      </c>
      <c r="G201">
        <v>45737</v>
      </c>
      <c r="H201" t="s">
        <v>9</v>
      </c>
      <c r="I201">
        <v>1824977.12</v>
      </c>
      <c r="J201" t="s">
        <v>75</v>
      </c>
      <c r="K201" t="s">
        <v>495</v>
      </c>
      <c r="L201">
        <v>30</v>
      </c>
      <c r="M201" t="s">
        <v>40</v>
      </c>
      <c r="N201">
        <v>1.0434000000000001</v>
      </c>
      <c r="O201">
        <v>1.2595668654482244</v>
      </c>
      <c r="P201">
        <v>6.5867053847610641E-3</v>
      </c>
      <c r="Q201">
        <v>6.5867053847610641E-3</v>
      </c>
      <c r="R201">
        <v>12020.58662336974</v>
      </c>
      <c r="S201" t="s">
        <v>11</v>
      </c>
      <c r="T201">
        <v>6.5599999999999999E-3</v>
      </c>
      <c r="U201">
        <v>11971.849907200001</v>
      </c>
      <c r="V201">
        <v>48.736716169738429</v>
      </c>
      <c r="W201">
        <v>4.0709427989426795E-3</v>
      </c>
    </row>
    <row r="202" spans="1:23" x14ac:dyDescent="0.25">
      <c r="A202" t="s">
        <v>496</v>
      </c>
      <c r="B202" t="s">
        <v>20</v>
      </c>
      <c r="C202" t="s">
        <v>123</v>
      </c>
      <c r="D202" t="s">
        <v>31</v>
      </c>
      <c r="E202" t="s">
        <v>124</v>
      </c>
      <c r="F202" s="1">
        <v>46323</v>
      </c>
      <c r="G202">
        <v>46368</v>
      </c>
      <c r="H202" t="s">
        <v>6</v>
      </c>
      <c r="I202">
        <v>48769.97</v>
      </c>
      <c r="J202" t="s">
        <v>84</v>
      </c>
      <c r="K202" t="s">
        <v>497</v>
      </c>
      <c r="L202">
        <v>45</v>
      </c>
      <c r="M202" t="s">
        <v>20</v>
      </c>
      <c r="N202">
        <v>1.1176999999999999</v>
      </c>
      <c r="O202">
        <v>1.320456022210408</v>
      </c>
      <c r="P202">
        <v>6.3200452360757699E-3</v>
      </c>
      <c r="Q202">
        <v>1.1176999999999999</v>
      </c>
      <c r="R202">
        <v>54510.195468999998</v>
      </c>
      <c r="S202" t="s">
        <v>23</v>
      </c>
      <c r="T202">
        <v>1.119</v>
      </c>
      <c r="U202">
        <v>54573.596429999998</v>
      </c>
      <c r="V202">
        <v>-63.40096099999937</v>
      </c>
      <c r="W202">
        <v>-1.1617515638963245E-3</v>
      </c>
    </row>
    <row r="203" spans="1:23" x14ac:dyDescent="0.25">
      <c r="A203" t="s">
        <v>498</v>
      </c>
      <c r="B203" t="s">
        <v>32</v>
      </c>
      <c r="C203" t="s">
        <v>106</v>
      </c>
      <c r="D203" t="s">
        <v>31</v>
      </c>
      <c r="E203" t="s">
        <v>74</v>
      </c>
      <c r="F203" s="1">
        <v>45960</v>
      </c>
      <c r="G203">
        <v>45990</v>
      </c>
      <c r="H203" t="s">
        <v>6</v>
      </c>
      <c r="I203">
        <v>8451.6299999999992</v>
      </c>
      <c r="J203" t="s">
        <v>75</v>
      </c>
      <c r="K203" t="s">
        <v>499</v>
      </c>
      <c r="L203">
        <v>30</v>
      </c>
      <c r="M203" t="s">
        <v>32</v>
      </c>
      <c r="N203">
        <v>1.155</v>
      </c>
      <c r="O203">
        <v>1.312350869219407</v>
      </c>
      <c r="P203">
        <v>6.4753041430733868E-3</v>
      </c>
      <c r="Q203">
        <v>1.155</v>
      </c>
      <c r="R203">
        <v>9761.6326499999996</v>
      </c>
      <c r="S203" t="s">
        <v>14</v>
      </c>
      <c r="T203">
        <v>1.1060000000000001</v>
      </c>
      <c r="U203">
        <v>9347.5027800000007</v>
      </c>
      <c r="V203">
        <v>414.12986999999885</v>
      </c>
      <c r="W203">
        <v>4.4303797468354306E-2</v>
      </c>
    </row>
    <row r="204" spans="1:23" x14ac:dyDescent="0.25">
      <c r="A204" t="s">
        <v>500</v>
      </c>
      <c r="B204" t="s">
        <v>22</v>
      </c>
      <c r="C204" t="s">
        <v>127</v>
      </c>
      <c r="D204" t="s">
        <v>31</v>
      </c>
      <c r="E204" t="s">
        <v>124</v>
      </c>
      <c r="F204" s="1">
        <v>45791</v>
      </c>
      <c r="G204">
        <v>45851</v>
      </c>
      <c r="H204" t="s">
        <v>9</v>
      </c>
      <c r="I204">
        <v>8474925.3399999999</v>
      </c>
      <c r="J204" t="s">
        <v>75</v>
      </c>
      <c r="K204" t="s">
        <v>501</v>
      </c>
      <c r="L204">
        <v>60</v>
      </c>
      <c r="M204" t="s">
        <v>22</v>
      </c>
      <c r="N204">
        <v>1.1214</v>
      </c>
      <c r="O204">
        <v>1.3326203208556149</v>
      </c>
      <c r="P204">
        <v>6.8373879641485278E-3</v>
      </c>
      <c r="Q204">
        <v>6.8373879641485278E-3</v>
      </c>
      <c r="R204">
        <v>57946.352516773368</v>
      </c>
      <c r="S204" t="s">
        <v>12</v>
      </c>
      <c r="T204">
        <v>6.7000000000000002E-3</v>
      </c>
      <c r="U204">
        <v>56781.999777999998</v>
      </c>
      <c r="V204">
        <v>1164.3527387733702</v>
      </c>
      <c r="W204">
        <v>2.0505666290825054E-2</v>
      </c>
    </row>
    <row r="205" spans="1:23" x14ac:dyDescent="0.25">
      <c r="A205" t="s">
        <v>502</v>
      </c>
      <c r="B205" t="s">
        <v>40</v>
      </c>
      <c r="C205" t="s">
        <v>78</v>
      </c>
      <c r="D205" t="s">
        <v>33</v>
      </c>
      <c r="E205" t="s">
        <v>79</v>
      </c>
      <c r="F205" s="1">
        <v>46218</v>
      </c>
      <c r="G205">
        <v>46248</v>
      </c>
      <c r="H205" t="s">
        <v>9</v>
      </c>
      <c r="I205">
        <v>1818382.37</v>
      </c>
      <c r="J205" t="s">
        <v>75</v>
      </c>
      <c r="K205" t="s">
        <v>503</v>
      </c>
      <c r="L205">
        <v>30</v>
      </c>
      <c r="M205" t="s">
        <v>40</v>
      </c>
      <c r="N205">
        <v>1.1406000000000001</v>
      </c>
      <c r="O205">
        <v>1.3404157803814651</v>
      </c>
      <c r="P205">
        <v>6.1580822805312602E-3</v>
      </c>
      <c r="Q205">
        <v>6.1580822805312602E-3</v>
      </c>
      <c r="R205">
        <v>11197.748251927438</v>
      </c>
      <c r="S205" t="s">
        <v>21</v>
      </c>
      <c r="T205">
        <v>6.7400000000000003E-3</v>
      </c>
      <c r="U205">
        <v>12255.897173800002</v>
      </c>
      <c r="V205">
        <v>-1058.1489218725637</v>
      </c>
      <c r="W205">
        <v>-8.6337940573997116E-2</v>
      </c>
    </row>
    <row r="206" spans="1:23" x14ac:dyDescent="0.25">
      <c r="A206" t="s">
        <v>504</v>
      </c>
      <c r="B206" t="s">
        <v>42</v>
      </c>
      <c r="C206" t="s">
        <v>151</v>
      </c>
      <c r="D206" t="s">
        <v>35</v>
      </c>
      <c r="E206" t="s">
        <v>152</v>
      </c>
      <c r="F206" s="1">
        <v>45973</v>
      </c>
      <c r="G206">
        <v>46003</v>
      </c>
      <c r="H206" t="s">
        <v>8</v>
      </c>
      <c r="I206">
        <v>2391.33</v>
      </c>
      <c r="J206" t="s">
        <v>75</v>
      </c>
      <c r="K206" t="s">
        <v>505</v>
      </c>
      <c r="L206">
        <v>30</v>
      </c>
      <c r="M206" t="s">
        <v>42</v>
      </c>
      <c r="N206">
        <v>1.1576</v>
      </c>
      <c r="O206">
        <v>1.312025388189958</v>
      </c>
      <c r="P206">
        <v>6.4601819297951894E-3</v>
      </c>
      <c r="Q206">
        <v>1.312025388189958</v>
      </c>
      <c r="R206">
        <v>3137.4856715402921</v>
      </c>
      <c r="S206" t="s">
        <v>14</v>
      </c>
      <c r="T206">
        <v>1.304</v>
      </c>
      <c r="U206">
        <v>3118.29432</v>
      </c>
      <c r="V206">
        <v>19.191351540292089</v>
      </c>
      <c r="W206">
        <v>6.1544387959800049E-3</v>
      </c>
    </row>
    <row r="207" spans="1:23" x14ac:dyDescent="0.25">
      <c r="A207" t="s">
        <v>506</v>
      </c>
      <c r="B207" t="s">
        <v>34</v>
      </c>
      <c r="C207" t="s">
        <v>177</v>
      </c>
      <c r="D207" t="s">
        <v>31</v>
      </c>
      <c r="E207" t="s">
        <v>74</v>
      </c>
      <c r="F207" s="1">
        <v>45815</v>
      </c>
      <c r="G207">
        <v>45875</v>
      </c>
      <c r="H207" t="s">
        <v>8</v>
      </c>
      <c r="I207">
        <v>9039.24</v>
      </c>
      <c r="J207" t="s">
        <v>75</v>
      </c>
      <c r="K207" t="s">
        <v>507</v>
      </c>
      <c r="L207">
        <v>60</v>
      </c>
      <c r="M207" t="s">
        <v>34</v>
      </c>
      <c r="N207">
        <v>1.1638999999999999</v>
      </c>
      <c r="O207">
        <v>1.3449272012941993</v>
      </c>
      <c r="P207">
        <v>6.7633215178104474E-3</v>
      </c>
      <c r="Q207">
        <v>1.3449272012941993</v>
      </c>
      <c r="R207">
        <v>12157.119755026577</v>
      </c>
      <c r="S207" t="s">
        <v>12</v>
      </c>
      <c r="T207">
        <v>1.26</v>
      </c>
      <c r="U207">
        <v>11389.4424</v>
      </c>
      <c r="V207">
        <v>767.67735502657706</v>
      </c>
      <c r="W207">
        <v>6.7402540709681893E-2</v>
      </c>
    </row>
    <row r="208" spans="1:23" x14ac:dyDescent="0.25">
      <c r="A208" t="s">
        <v>508</v>
      </c>
      <c r="B208" t="s">
        <v>32</v>
      </c>
      <c r="C208" t="s">
        <v>106</v>
      </c>
      <c r="D208" t="s">
        <v>31</v>
      </c>
      <c r="E208" t="s">
        <v>74</v>
      </c>
      <c r="F208" s="1">
        <v>45693</v>
      </c>
      <c r="G208">
        <v>45723</v>
      </c>
      <c r="H208" t="s">
        <v>6</v>
      </c>
      <c r="I208">
        <v>17678.93</v>
      </c>
      <c r="J208" t="s">
        <v>75</v>
      </c>
      <c r="K208" t="s">
        <v>509</v>
      </c>
      <c r="L208">
        <v>30</v>
      </c>
      <c r="M208" t="s">
        <v>32</v>
      </c>
      <c r="N208">
        <v>1.0422</v>
      </c>
      <c r="O208">
        <v>1.2543780465788048</v>
      </c>
      <c r="P208">
        <v>6.5444270015698591E-3</v>
      </c>
      <c r="Q208">
        <v>1.0422</v>
      </c>
      <c r="R208">
        <v>18424.980846000002</v>
      </c>
      <c r="S208" t="s">
        <v>11</v>
      </c>
      <c r="T208">
        <v>1.052</v>
      </c>
      <c r="U208">
        <v>18598.234360000002</v>
      </c>
      <c r="V208">
        <v>-173.253514</v>
      </c>
      <c r="W208">
        <v>-9.3155893536121664E-3</v>
      </c>
    </row>
    <row r="209" spans="1:23" x14ac:dyDescent="0.25">
      <c r="A209" t="s">
        <v>510</v>
      </c>
      <c r="B209" t="s">
        <v>28</v>
      </c>
      <c r="C209" t="s">
        <v>111</v>
      </c>
      <c r="D209" t="s">
        <v>31</v>
      </c>
      <c r="E209" t="s">
        <v>74</v>
      </c>
      <c r="F209" s="1">
        <v>46244</v>
      </c>
      <c r="G209">
        <v>46289</v>
      </c>
      <c r="H209" t="s">
        <v>9</v>
      </c>
      <c r="I209">
        <v>2136672.86</v>
      </c>
      <c r="J209" t="s">
        <v>75</v>
      </c>
      <c r="K209" t="s">
        <v>511</v>
      </c>
      <c r="L209">
        <v>45</v>
      </c>
      <c r="M209" t="s">
        <v>28</v>
      </c>
      <c r="N209">
        <v>1.1555</v>
      </c>
      <c r="O209">
        <v>1.3504353415532051</v>
      </c>
      <c r="P209">
        <v>6.3035295401232885E-3</v>
      </c>
      <c r="Q209">
        <v>6.3035295401232885E-3</v>
      </c>
      <c r="R209">
        <v>13468.580490589711</v>
      </c>
      <c r="S209" t="s">
        <v>21</v>
      </c>
      <c r="T209">
        <v>6.7400000000000003E-3</v>
      </c>
      <c r="U209">
        <v>14401.175076399999</v>
      </c>
      <c r="V209">
        <v>-932.59458581028775</v>
      </c>
      <c r="W209">
        <v>-6.4758228468354787E-2</v>
      </c>
    </row>
    <row r="210" spans="1:23" x14ac:dyDescent="0.25">
      <c r="A210" t="s">
        <v>512</v>
      </c>
      <c r="B210" t="s">
        <v>26</v>
      </c>
      <c r="C210" t="s">
        <v>94</v>
      </c>
      <c r="D210" t="s">
        <v>31</v>
      </c>
      <c r="E210" t="s">
        <v>74</v>
      </c>
      <c r="F210" s="1">
        <v>46337</v>
      </c>
      <c r="G210">
        <v>46367</v>
      </c>
      <c r="H210" t="s">
        <v>8</v>
      </c>
      <c r="I210">
        <v>27932.39</v>
      </c>
      <c r="J210" t="s">
        <v>84</v>
      </c>
      <c r="K210" t="s">
        <v>513</v>
      </c>
      <c r="L210">
        <v>30</v>
      </c>
      <c r="M210" t="s">
        <v>26</v>
      </c>
      <c r="N210">
        <v>1.1176999999999999</v>
      </c>
      <c r="O210">
        <v>1.320456022210408</v>
      </c>
      <c r="P210">
        <v>6.3200452360757699E-3</v>
      </c>
      <c r="Q210">
        <v>1.320456022210408</v>
      </c>
      <c r="R210">
        <v>36883.492590229776</v>
      </c>
      <c r="S210" t="s">
        <v>23</v>
      </c>
      <c r="T210">
        <v>1.3149999999999999</v>
      </c>
      <c r="U210">
        <v>36731.092850000001</v>
      </c>
      <c r="V210">
        <v>152.39974022977549</v>
      </c>
      <c r="W210">
        <v>4.1490663197018239E-3</v>
      </c>
    </row>
    <row r="211" spans="1:23" x14ac:dyDescent="0.25">
      <c r="A211" t="s">
        <v>514</v>
      </c>
      <c r="B211" t="s">
        <v>32</v>
      </c>
      <c r="C211" t="s">
        <v>106</v>
      </c>
      <c r="D211" t="s">
        <v>31</v>
      </c>
      <c r="E211" t="s">
        <v>74</v>
      </c>
      <c r="F211" s="1">
        <v>45750</v>
      </c>
      <c r="G211">
        <v>45780</v>
      </c>
      <c r="H211" t="s">
        <v>6</v>
      </c>
      <c r="I211">
        <v>13265.77</v>
      </c>
      <c r="J211" t="s">
        <v>75</v>
      </c>
      <c r="K211" t="s">
        <v>515</v>
      </c>
      <c r="L211">
        <v>30</v>
      </c>
      <c r="M211" t="s">
        <v>32</v>
      </c>
      <c r="N211">
        <v>1.1096999999999999</v>
      </c>
      <c r="O211">
        <v>1.3185128857098725</v>
      </c>
      <c r="P211">
        <v>6.8428192637355863E-3</v>
      </c>
      <c r="Q211">
        <v>1.1096999999999999</v>
      </c>
      <c r="R211">
        <v>14721.024969</v>
      </c>
      <c r="S211" t="s">
        <v>12</v>
      </c>
      <c r="T211">
        <v>1.07</v>
      </c>
      <c r="U211">
        <v>14194.373900000001</v>
      </c>
      <c r="V211">
        <v>526.65106899999955</v>
      </c>
      <c r="W211">
        <v>3.7102803738317723E-2</v>
      </c>
    </row>
    <row r="212" spans="1:23" x14ac:dyDescent="0.25">
      <c r="A212" t="s">
        <v>516</v>
      </c>
      <c r="B212" t="s">
        <v>39</v>
      </c>
      <c r="C212" t="s">
        <v>82</v>
      </c>
      <c r="D212" t="s">
        <v>33</v>
      </c>
      <c r="E212" t="s">
        <v>83</v>
      </c>
      <c r="F212" s="1">
        <v>46237</v>
      </c>
      <c r="G212">
        <v>46282</v>
      </c>
      <c r="H212" t="s">
        <v>8</v>
      </c>
      <c r="I212">
        <v>13333.54</v>
      </c>
      <c r="J212" t="s">
        <v>75</v>
      </c>
      <c r="K212" t="s">
        <v>517</v>
      </c>
      <c r="L212">
        <v>45</v>
      </c>
      <c r="M212" t="s">
        <v>39</v>
      </c>
      <c r="N212">
        <v>1.1535</v>
      </c>
      <c r="O212">
        <v>1.3470274310137447</v>
      </c>
      <c r="P212">
        <v>6.3824489570076916E-3</v>
      </c>
      <c r="Q212">
        <v>1.3470274310137447</v>
      </c>
      <c r="R212">
        <v>17960.644132519006</v>
      </c>
      <c r="S212" t="s">
        <v>21</v>
      </c>
      <c r="T212">
        <v>1.2929999999999999</v>
      </c>
      <c r="U212">
        <v>17240.267220000002</v>
      </c>
      <c r="V212">
        <v>720.37691251900469</v>
      </c>
      <c r="W212">
        <v>4.1784556081782394E-2</v>
      </c>
    </row>
    <row r="213" spans="1:23" x14ac:dyDescent="0.25">
      <c r="A213" t="s">
        <v>518</v>
      </c>
      <c r="B213" t="s">
        <v>37</v>
      </c>
      <c r="C213" t="s">
        <v>91</v>
      </c>
      <c r="D213" t="s">
        <v>31</v>
      </c>
      <c r="E213" t="s">
        <v>74</v>
      </c>
      <c r="F213" s="1">
        <v>46219</v>
      </c>
      <c r="G213">
        <v>46249</v>
      </c>
      <c r="H213" t="s">
        <v>6</v>
      </c>
      <c r="I213">
        <v>7285.15</v>
      </c>
      <c r="J213" t="s">
        <v>75</v>
      </c>
      <c r="K213" t="s">
        <v>519</v>
      </c>
      <c r="L213">
        <v>30</v>
      </c>
      <c r="M213" t="s">
        <v>37</v>
      </c>
      <c r="N213">
        <v>1.1467000000000001</v>
      </c>
      <c r="O213">
        <v>1.3510774922531312</v>
      </c>
      <c r="P213">
        <v>6.1653852357653636E-3</v>
      </c>
      <c r="Q213">
        <v>1.1467000000000001</v>
      </c>
      <c r="R213">
        <v>8353.8815049999994</v>
      </c>
      <c r="S213" t="s">
        <v>21</v>
      </c>
      <c r="T213">
        <v>1.101</v>
      </c>
      <c r="U213">
        <v>8020.9501499999997</v>
      </c>
      <c r="V213">
        <v>332.93135499999971</v>
      </c>
      <c r="W213">
        <v>4.1507720254314227E-2</v>
      </c>
    </row>
    <row r="214" spans="1:23" x14ac:dyDescent="0.25">
      <c r="A214" t="s">
        <v>520</v>
      </c>
      <c r="B214" t="s">
        <v>38</v>
      </c>
      <c r="C214" t="s">
        <v>87</v>
      </c>
      <c r="D214" t="s">
        <v>33</v>
      </c>
      <c r="E214" t="s">
        <v>88</v>
      </c>
      <c r="F214" s="1">
        <v>46344</v>
      </c>
      <c r="G214">
        <v>46374</v>
      </c>
      <c r="H214" t="s">
        <v>6</v>
      </c>
      <c r="I214">
        <v>6166.32</v>
      </c>
      <c r="J214" t="s">
        <v>84</v>
      </c>
      <c r="K214" t="s">
        <v>521</v>
      </c>
      <c r="L214">
        <v>30</v>
      </c>
      <c r="M214" t="s">
        <v>38</v>
      </c>
      <c r="N214">
        <v>1.1176999999999999</v>
      </c>
      <c r="O214">
        <v>1.320456022210408</v>
      </c>
      <c r="P214">
        <v>6.3200452360757699E-3</v>
      </c>
      <c r="Q214">
        <v>1.1176999999999999</v>
      </c>
      <c r="R214">
        <v>6892.095863999999</v>
      </c>
      <c r="S214" t="s">
        <v>23</v>
      </c>
      <c r="T214">
        <v>1.119</v>
      </c>
      <c r="U214">
        <v>6900.1120799999999</v>
      </c>
      <c r="V214">
        <v>-8.0162160000008953</v>
      </c>
      <c r="W214">
        <v>-1.1617515638964657E-3</v>
      </c>
    </row>
    <row r="215" spans="1:23" x14ac:dyDescent="0.25">
      <c r="A215" t="s">
        <v>522</v>
      </c>
      <c r="B215" t="s">
        <v>36</v>
      </c>
      <c r="C215" t="s">
        <v>116</v>
      </c>
      <c r="D215" t="s">
        <v>31</v>
      </c>
      <c r="E215" t="s">
        <v>74</v>
      </c>
      <c r="F215" s="1">
        <v>46362</v>
      </c>
      <c r="G215">
        <v>46407</v>
      </c>
      <c r="H215" t="s">
        <v>6</v>
      </c>
      <c r="I215">
        <v>9715.17</v>
      </c>
      <c r="J215" t="s">
        <v>84</v>
      </c>
      <c r="K215" t="s">
        <v>523</v>
      </c>
      <c r="L215">
        <v>45</v>
      </c>
      <c r="M215" t="s">
        <v>36</v>
      </c>
      <c r="N215">
        <v>1.1176999999999999</v>
      </c>
      <c r="O215">
        <v>1.320456022210408</v>
      </c>
      <c r="P215">
        <v>6.3200452360757699E-3</v>
      </c>
      <c r="Q215">
        <v>1.1176999999999999</v>
      </c>
      <c r="R215">
        <v>10858.645509</v>
      </c>
      <c r="S215" t="s">
        <v>23</v>
      </c>
      <c r="T215">
        <v>1.119</v>
      </c>
      <c r="U215">
        <v>10871.275229999999</v>
      </c>
      <c r="V215">
        <v>-12.629720999999336</v>
      </c>
      <c r="W215">
        <v>-1.1617515638962749E-3</v>
      </c>
    </row>
    <row r="216" spans="1:23" x14ac:dyDescent="0.25">
      <c r="A216" t="s">
        <v>524</v>
      </c>
      <c r="B216" t="s">
        <v>30</v>
      </c>
      <c r="C216" t="s">
        <v>103</v>
      </c>
      <c r="D216" t="s">
        <v>31</v>
      </c>
      <c r="E216" t="s">
        <v>74</v>
      </c>
      <c r="F216" s="1">
        <v>45780</v>
      </c>
      <c r="G216">
        <v>45810</v>
      </c>
      <c r="H216" t="s">
        <v>9</v>
      </c>
      <c r="I216">
        <v>786020.85</v>
      </c>
      <c r="J216" t="s">
        <v>75</v>
      </c>
      <c r="K216" t="s">
        <v>525</v>
      </c>
      <c r="L216">
        <v>30</v>
      </c>
      <c r="M216" t="s">
        <v>30</v>
      </c>
      <c r="N216">
        <v>1.1781999999999999</v>
      </c>
      <c r="O216">
        <v>1.3653957584888168</v>
      </c>
      <c r="P216">
        <v>6.9477532727916019E-3</v>
      </c>
      <c r="Q216">
        <v>6.9477532727916019E-3</v>
      </c>
      <c r="R216">
        <v>5461.0789330699363</v>
      </c>
      <c r="S216" t="s">
        <v>12</v>
      </c>
      <c r="T216">
        <v>6.7000000000000002E-3</v>
      </c>
      <c r="U216">
        <v>5266.3396949999997</v>
      </c>
      <c r="V216">
        <v>194.73923806993662</v>
      </c>
      <c r="W216">
        <v>3.6978100416656966E-2</v>
      </c>
    </row>
    <row r="217" spans="1:23" x14ac:dyDescent="0.25">
      <c r="A217" t="s">
        <v>526</v>
      </c>
      <c r="B217" t="s">
        <v>44</v>
      </c>
      <c r="C217" t="s">
        <v>138</v>
      </c>
      <c r="D217" t="s">
        <v>33</v>
      </c>
      <c r="E217" t="s">
        <v>88</v>
      </c>
      <c r="F217" s="1">
        <v>46159</v>
      </c>
      <c r="G217">
        <v>46204</v>
      </c>
      <c r="H217" t="s">
        <v>9</v>
      </c>
      <c r="I217">
        <v>491914.96</v>
      </c>
      <c r="J217" t="s">
        <v>75</v>
      </c>
      <c r="K217" t="s">
        <v>527</v>
      </c>
      <c r="L217">
        <v>45</v>
      </c>
      <c r="M217" t="s">
        <v>44</v>
      </c>
      <c r="N217">
        <v>1.1628000000000001</v>
      </c>
      <c r="O217">
        <v>1.3357840321654222</v>
      </c>
      <c r="P217">
        <v>6.3072249945758298E-3</v>
      </c>
      <c r="Q217">
        <v>6.3072249945758298E-3</v>
      </c>
      <c r="R217">
        <v>3102.6183309177695</v>
      </c>
      <c r="S217" t="s">
        <v>19</v>
      </c>
      <c r="T217">
        <v>6.6E-3</v>
      </c>
      <c r="U217">
        <v>3246.6387360000003</v>
      </c>
      <c r="V217">
        <v>-144.02040508223081</v>
      </c>
      <c r="W217">
        <v>-4.4359849306692553E-2</v>
      </c>
    </row>
    <row r="218" spans="1:23" x14ac:dyDescent="0.25">
      <c r="A218" t="s">
        <v>528</v>
      </c>
      <c r="B218" t="s">
        <v>24</v>
      </c>
      <c r="C218" t="s">
        <v>73</v>
      </c>
      <c r="D218" t="s">
        <v>31</v>
      </c>
      <c r="E218" t="s">
        <v>74</v>
      </c>
      <c r="F218" s="1">
        <v>46023</v>
      </c>
      <c r="G218">
        <v>46053</v>
      </c>
      <c r="H218" t="s">
        <v>6</v>
      </c>
      <c r="I218">
        <v>41558.6</v>
      </c>
      <c r="J218" t="s">
        <v>75</v>
      </c>
      <c r="K218" t="s">
        <v>529</v>
      </c>
      <c r="L218">
        <v>30</v>
      </c>
      <c r="M218" t="s">
        <v>24</v>
      </c>
      <c r="N218">
        <v>1.1555</v>
      </c>
      <c r="O218">
        <v>1.3367963164349013</v>
      </c>
      <c r="P218">
        <v>6.2983756677204832E-3</v>
      </c>
      <c r="Q218">
        <v>1.1555</v>
      </c>
      <c r="R218">
        <v>48020.962299999999</v>
      </c>
      <c r="S218" t="s">
        <v>16</v>
      </c>
      <c r="T218">
        <v>1.0649999999999999</v>
      </c>
      <c r="U218">
        <v>44259.909</v>
      </c>
      <c r="V218">
        <v>3761.0532999999996</v>
      </c>
      <c r="W218">
        <v>8.4976525821596233E-2</v>
      </c>
    </row>
    <row r="219" spans="1:23" x14ac:dyDescent="0.25">
      <c r="A219" t="s">
        <v>530</v>
      </c>
      <c r="B219" t="s">
        <v>36</v>
      </c>
      <c r="C219" t="s">
        <v>116</v>
      </c>
      <c r="D219" t="s">
        <v>31</v>
      </c>
      <c r="E219" t="s">
        <v>74</v>
      </c>
      <c r="F219" s="1">
        <v>46093</v>
      </c>
      <c r="G219">
        <v>46138</v>
      </c>
      <c r="H219" t="s">
        <v>6</v>
      </c>
      <c r="I219">
        <v>16012.43</v>
      </c>
      <c r="J219" t="s">
        <v>75</v>
      </c>
      <c r="K219" t="s">
        <v>531</v>
      </c>
      <c r="L219">
        <v>45</v>
      </c>
      <c r="M219" t="s">
        <v>36</v>
      </c>
      <c r="N219">
        <v>1.1547000000000001</v>
      </c>
      <c r="O219">
        <v>1.338891272335146</v>
      </c>
      <c r="P219">
        <v>6.2950444311181382E-3</v>
      </c>
      <c r="Q219">
        <v>1.1547000000000001</v>
      </c>
      <c r="R219">
        <v>18489.552921000002</v>
      </c>
      <c r="S219" t="s">
        <v>16</v>
      </c>
      <c r="T219">
        <v>1.0649999999999999</v>
      </c>
      <c r="U219">
        <v>17053.237949999999</v>
      </c>
      <c r="V219">
        <v>1436.3149710000034</v>
      </c>
      <c r="W219">
        <v>8.4225352112676261E-2</v>
      </c>
    </row>
    <row r="220" spans="1:23" x14ac:dyDescent="0.25">
      <c r="A220" t="s">
        <v>532</v>
      </c>
      <c r="B220" t="s">
        <v>20</v>
      </c>
      <c r="C220" t="s">
        <v>123</v>
      </c>
      <c r="D220" t="s">
        <v>31</v>
      </c>
      <c r="E220" t="s">
        <v>124</v>
      </c>
      <c r="F220" s="1">
        <v>45858</v>
      </c>
      <c r="G220">
        <v>45903</v>
      </c>
      <c r="H220" t="s">
        <v>6</v>
      </c>
      <c r="I220">
        <v>74522.149999999994</v>
      </c>
      <c r="J220" t="s">
        <v>75</v>
      </c>
      <c r="K220" t="s">
        <v>533</v>
      </c>
      <c r="L220">
        <v>45</v>
      </c>
      <c r="M220" t="s">
        <v>20</v>
      </c>
      <c r="N220">
        <v>1.1607000000000001</v>
      </c>
      <c r="O220">
        <v>1.3375201659368519</v>
      </c>
      <c r="P220">
        <v>6.5780674412014746E-3</v>
      </c>
      <c r="Q220">
        <v>1.1607000000000001</v>
      </c>
      <c r="R220">
        <v>86497.859505</v>
      </c>
      <c r="S220" t="s">
        <v>13</v>
      </c>
      <c r="T220">
        <v>1.0880000000000001</v>
      </c>
      <c r="U220">
        <v>81080.099199999997</v>
      </c>
      <c r="V220">
        <v>5417.7603050000034</v>
      </c>
      <c r="W220">
        <v>6.6819852941176511E-2</v>
      </c>
    </row>
    <row r="221" spans="1:23" x14ac:dyDescent="0.25">
      <c r="A221" t="s">
        <v>534</v>
      </c>
      <c r="B221" t="s">
        <v>38</v>
      </c>
      <c r="C221" t="s">
        <v>87</v>
      </c>
      <c r="D221" t="s">
        <v>33</v>
      </c>
      <c r="E221" t="s">
        <v>88</v>
      </c>
      <c r="F221" s="1">
        <v>46133</v>
      </c>
      <c r="G221">
        <v>46163</v>
      </c>
      <c r="H221" t="s">
        <v>6</v>
      </c>
      <c r="I221">
        <v>4077.56</v>
      </c>
      <c r="J221" t="s">
        <v>75</v>
      </c>
      <c r="K221" t="s">
        <v>535</v>
      </c>
      <c r="L221">
        <v>30</v>
      </c>
      <c r="M221" t="s">
        <v>38</v>
      </c>
      <c r="N221">
        <v>1.1767000000000001</v>
      </c>
      <c r="O221">
        <v>1.351984833687597</v>
      </c>
      <c r="P221">
        <v>6.2878059207010801E-3</v>
      </c>
      <c r="Q221">
        <v>1.1767000000000001</v>
      </c>
      <c r="R221">
        <v>4798.0648520000004</v>
      </c>
      <c r="S221" t="s">
        <v>19</v>
      </c>
      <c r="T221">
        <v>1.083</v>
      </c>
      <c r="U221">
        <v>4415.99748</v>
      </c>
      <c r="V221">
        <v>382.06737200000043</v>
      </c>
      <c r="W221">
        <v>8.651892890120047E-2</v>
      </c>
    </row>
    <row r="222" spans="1:23" x14ac:dyDescent="0.25">
      <c r="A222" t="s">
        <v>536</v>
      </c>
      <c r="B222" t="s">
        <v>25</v>
      </c>
      <c r="C222" t="s">
        <v>169</v>
      </c>
      <c r="D222" t="s">
        <v>31</v>
      </c>
      <c r="E222" t="s">
        <v>124</v>
      </c>
      <c r="F222" s="1">
        <v>45898</v>
      </c>
      <c r="G222">
        <v>45958</v>
      </c>
      <c r="H222" t="s">
        <v>6</v>
      </c>
      <c r="I222">
        <v>37139.82</v>
      </c>
      <c r="J222" t="s">
        <v>75</v>
      </c>
      <c r="K222" t="s">
        <v>537</v>
      </c>
      <c r="L222">
        <v>60</v>
      </c>
      <c r="M222" t="s">
        <v>25</v>
      </c>
      <c r="N222">
        <v>1.1657999999999999</v>
      </c>
      <c r="O222">
        <v>1.3449469312413473</v>
      </c>
      <c r="P222">
        <v>6.7889587700908456E-3</v>
      </c>
      <c r="Q222">
        <v>1.1657999999999999</v>
      </c>
      <c r="R222">
        <v>43297.602156000001</v>
      </c>
      <c r="S222" t="s">
        <v>13</v>
      </c>
      <c r="T222">
        <v>1.0880000000000001</v>
      </c>
      <c r="U222">
        <v>40408.124159999999</v>
      </c>
      <c r="V222">
        <v>2889.4779960000014</v>
      </c>
      <c r="W222">
        <v>7.1507352941176508E-2</v>
      </c>
    </row>
    <row r="223" spans="1:23" x14ac:dyDescent="0.25">
      <c r="A223" t="s">
        <v>538</v>
      </c>
      <c r="B223" t="s">
        <v>26</v>
      </c>
      <c r="C223" t="s">
        <v>94</v>
      </c>
      <c r="D223" t="s">
        <v>31</v>
      </c>
      <c r="E223" t="s">
        <v>74</v>
      </c>
      <c r="F223" s="1">
        <v>46035</v>
      </c>
      <c r="G223">
        <v>46065</v>
      </c>
      <c r="H223" t="s">
        <v>8</v>
      </c>
      <c r="I223">
        <v>8690.43</v>
      </c>
      <c r="J223" t="s">
        <v>75</v>
      </c>
      <c r="K223" t="s">
        <v>539</v>
      </c>
      <c r="L223">
        <v>30</v>
      </c>
      <c r="M223" t="s">
        <v>26</v>
      </c>
      <c r="N223">
        <v>1.1654</v>
      </c>
      <c r="O223">
        <v>1.3457274826789838</v>
      </c>
      <c r="P223">
        <v>6.2953759723422646E-3</v>
      </c>
      <c r="Q223">
        <v>1.3457274826789838</v>
      </c>
      <c r="R223">
        <v>11694.950487297921</v>
      </c>
      <c r="S223" t="s">
        <v>16</v>
      </c>
      <c r="T223">
        <v>1.2490000000000001</v>
      </c>
      <c r="U223">
        <v>10854.347070000002</v>
      </c>
      <c r="V223">
        <v>840.6034172979198</v>
      </c>
      <c r="W223">
        <v>7.7443941296223881E-2</v>
      </c>
    </row>
    <row r="224" spans="1:23" x14ac:dyDescent="0.25">
      <c r="A224" t="s">
        <v>540</v>
      </c>
      <c r="B224" t="s">
        <v>25</v>
      </c>
      <c r="C224" t="s">
        <v>169</v>
      </c>
      <c r="D224" t="s">
        <v>31</v>
      </c>
      <c r="E224" t="s">
        <v>124</v>
      </c>
      <c r="F224" s="1">
        <v>45901</v>
      </c>
      <c r="G224">
        <v>45961</v>
      </c>
      <c r="H224" t="s">
        <v>6</v>
      </c>
      <c r="I224">
        <v>17057.650000000001</v>
      </c>
      <c r="J224" t="s">
        <v>75</v>
      </c>
      <c r="K224" t="s">
        <v>541</v>
      </c>
      <c r="L224">
        <v>60</v>
      </c>
      <c r="M224" t="s">
        <v>25</v>
      </c>
      <c r="N224">
        <v>1.1715</v>
      </c>
      <c r="O224">
        <v>1.3524590163934427</v>
      </c>
      <c r="P224">
        <v>6.7924856496782045E-3</v>
      </c>
      <c r="Q224">
        <v>1.1715</v>
      </c>
      <c r="R224">
        <v>19983.036975000003</v>
      </c>
      <c r="S224" t="s">
        <v>13</v>
      </c>
      <c r="T224">
        <v>1.0880000000000001</v>
      </c>
      <c r="U224">
        <v>18558.723200000004</v>
      </c>
      <c r="V224">
        <v>1424.3137749999987</v>
      </c>
      <c r="W224">
        <v>7.6746323529411672E-2</v>
      </c>
    </row>
    <row r="225" spans="1:23" x14ac:dyDescent="0.25">
      <c r="A225" t="s">
        <v>542</v>
      </c>
      <c r="B225" t="s">
        <v>28</v>
      </c>
      <c r="C225" t="s">
        <v>111</v>
      </c>
      <c r="D225" t="s">
        <v>31</v>
      </c>
      <c r="E225" t="s">
        <v>74</v>
      </c>
      <c r="F225" s="1">
        <v>45729</v>
      </c>
      <c r="G225">
        <v>45774</v>
      </c>
      <c r="H225" t="s">
        <v>9</v>
      </c>
      <c r="I225">
        <v>5176259.58</v>
      </c>
      <c r="J225" t="s">
        <v>75</v>
      </c>
      <c r="K225" t="s">
        <v>543</v>
      </c>
      <c r="L225">
        <v>45</v>
      </c>
      <c r="M225" t="s">
        <v>28</v>
      </c>
      <c r="N225">
        <v>1.083</v>
      </c>
      <c r="O225">
        <v>1.2927021413736304</v>
      </c>
      <c r="P225">
        <v>6.741782868525897E-3</v>
      </c>
      <c r="Q225">
        <v>6.741782868525897E-3</v>
      </c>
      <c r="R225">
        <v>34897.218159487056</v>
      </c>
      <c r="S225" t="s">
        <v>11</v>
      </c>
      <c r="T225">
        <v>6.5599999999999999E-3</v>
      </c>
      <c r="U225">
        <v>33956.262844800003</v>
      </c>
      <c r="V225">
        <v>940.95531468705303</v>
      </c>
      <c r="W225">
        <v>2.7710803128947657E-2</v>
      </c>
    </row>
    <row r="226" spans="1:23" x14ac:dyDescent="0.25">
      <c r="A226" t="s">
        <v>544</v>
      </c>
      <c r="B226" t="s">
        <v>37</v>
      </c>
      <c r="C226" t="s">
        <v>91</v>
      </c>
      <c r="D226" t="s">
        <v>31</v>
      </c>
      <c r="E226" t="s">
        <v>74</v>
      </c>
      <c r="F226" s="1">
        <v>46000</v>
      </c>
      <c r="G226">
        <v>46030</v>
      </c>
      <c r="H226" t="s">
        <v>6</v>
      </c>
      <c r="I226">
        <v>12654.34</v>
      </c>
      <c r="J226" t="s">
        <v>75</v>
      </c>
      <c r="K226" t="s">
        <v>545</v>
      </c>
      <c r="L226">
        <v>30</v>
      </c>
      <c r="M226" t="s">
        <v>37</v>
      </c>
      <c r="N226">
        <v>1.1637</v>
      </c>
      <c r="O226">
        <v>1.3322266742987978</v>
      </c>
      <c r="P226">
        <v>6.3953616179380076E-3</v>
      </c>
      <c r="Q226">
        <v>1.1637</v>
      </c>
      <c r="R226">
        <v>14725.855458</v>
      </c>
      <c r="S226" t="s">
        <v>14</v>
      </c>
      <c r="T226">
        <v>1.1060000000000001</v>
      </c>
      <c r="U226">
        <v>13995.700040000002</v>
      </c>
      <c r="V226">
        <v>730.15541799999846</v>
      </c>
      <c r="W226">
        <v>5.2169981916817244E-2</v>
      </c>
    </row>
    <row r="227" spans="1:23" x14ac:dyDescent="0.25">
      <c r="A227" t="s">
        <v>546</v>
      </c>
      <c r="B227" t="s">
        <v>22</v>
      </c>
      <c r="C227" t="s">
        <v>127</v>
      </c>
      <c r="D227" t="s">
        <v>31</v>
      </c>
      <c r="E227" t="s">
        <v>124</v>
      </c>
      <c r="F227" s="1">
        <v>45787</v>
      </c>
      <c r="G227">
        <v>45847</v>
      </c>
      <c r="H227" t="s">
        <v>9</v>
      </c>
      <c r="I227">
        <v>16507999.01</v>
      </c>
      <c r="J227" t="s">
        <v>75</v>
      </c>
      <c r="K227" t="s">
        <v>547</v>
      </c>
      <c r="L227">
        <v>60</v>
      </c>
      <c r="M227" t="s">
        <v>22</v>
      </c>
      <c r="N227">
        <v>1.169</v>
      </c>
      <c r="O227">
        <v>1.3487942771431869</v>
      </c>
      <c r="P227">
        <v>6.7858594067452252E-3</v>
      </c>
      <c r="Q227">
        <v>6.7858594067452252E-3</v>
      </c>
      <c r="R227">
        <v>112020.96036854936</v>
      </c>
      <c r="S227" t="s">
        <v>12</v>
      </c>
      <c r="T227">
        <v>6.7000000000000002E-3</v>
      </c>
      <c r="U227">
        <v>110603.59336700001</v>
      </c>
      <c r="V227">
        <v>1417.3670015493553</v>
      </c>
      <c r="W227">
        <v>1.2814836827645464E-2</v>
      </c>
    </row>
    <row r="228" spans="1:23" x14ac:dyDescent="0.25">
      <c r="A228" t="s">
        <v>548</v>
      </c>
      <c r="B228" t="s">
        <v>22</v>
      </c>
      <c r="C228" t="s">
        <v>127</v>
      </c>
      <c r="D228" t="s">
        <v>31</v>
      </c>
      <c r="E228" t="s">
        <v>124</v>
      </c>
      <c r="F228" s="1">
        <v>46175</v>
      </c>
      <c r="G228">
        <v>46235</v>
      </c>
      <c r="H228" t="s">
        <v>9</v>
      </c>
      <c r="I228">
        <v>9766897.0099999998</v>
      </c>
      <c r="J228" t="s">
        <v>75</v>
      </c>
      <c r="K228" t="s">
        <v>549</v>
      </c>
      <c r="L228">
        <v>60</v>
      </c>
      <c r="M228" t="s">
        <v>22</v>
      </c>
      <c r="N228">
        <v>1.1649</v>
      </c>
      <c r="O228">
        <v>1.3472503325044816</v>
      </c>
      <c r="P228">
        <v>6.2598742543930356E-3</v>
      </c>
      <c r="Q228">
        <v>6.2598742543930356E-3</v>
      </c>
      <c r="R228">
        <v>61139.547138207316</v>
      </c>
      <c r="S228" t="s">
        <v>19</v>
      </c>
      <c r="T228">
        <v>6.6E-3</v>
      </c>
      <c r="U228">
        <v>64461.520266</v>
      </c>
      <c r="V228">
        <v>-3321.973127792684</v>
      </c>
      <c r="W228">
        <v>-5.1534203879843136E-2</v>
      </c>
    </row>
    <row r="229" spans="1:23" x14ac:dyDescent="0.25">
      <c r="A229" t="s">
        <v>550</v>
      </c>
      <c r="B229" t="s">
        <v>37</v>
      </c>
      <c r="C229" t="s">
        <v>91</v>
      </c>
      <c r="D229" t="s">
        <v>31</v>
      </c>
      <c r="E229" t="s">
        <v>74</v>
      </c>
      <c r="F229" s="1">
        <v>45832</v>
      </c>
      <c r="G229">
        <v>45862</v>
      </c>
      <c r="H229" t="s">
        <v>6</v>
      </c>
      <c r="I229">
        <v>5280.72</v>
      </c>
      <c r="J229" t="s">
        <v>75</v>
      </c>
      <c r="K229" t="s">
        <v>551</v>
      </c>
      <c r="L229">
        <v>30</v>
      </c>
      <c r="M229" t="s">
        <v>37</v>
      </c>
      <c r="N229">
        <v>1.1607000000000001</v>
      </c>
      <c r="O229">
        <v>1.3612055822680897</v>
      </c>
      <c r="P229">
        <v>6.8978427527188451E-3</v>
      </c>
      <c r="Q229">
        <v>1.1607000000000001</v>
      </c>
      <c r="R229">
        <v>6129.3317040000011</v>
      </c>
      <c r="S229" t="s">
        <v>12</v>
      </c>
      <c r="T229">
        <v>1.07</v>
      </c>
      <c r="U229">
        <v>5650.3704000000007</v>
      </c>
      <c r="V229">
        <v>478.96130400000038</v>
      </c>
      <c r="W229">
        <v>8.4766355140186975E-2</v>
      </c>
    </row>
    <row r="230" spans="1:23" x14ac:dyDescent="0.25">
      <c r="A230" t="s">
        <v>552</v>
      </c>
      <c r="B230" t="s">
        <v>28</v>
      </c>
      <c r="C230" t="s">
        <v>111</v>
      </c>
      <c r="D230" t="s">
        <v>31</v>
      </c>
      <c r="E230" t="s">
        <v>74</v>
      </c>
      <c r="F230" s="1">
        <v>45937</v>
      </c>
      <c r="G230">
        <v>45982</v>
      </c>
      <c r="H230" t="s">
        <v>9</v>
      </c>
      <c r="I230">
        <v>3427851.17</v>
      </c>
      <c r="J230" t="s">
        <v>75</v>
      </c>
      <c r="K230" t="s">
        <v>553</v>
      </c>
      <c r="L230">
        <v>45</v>
      </c>
      <c r="M230" t="s">
        <v>28</v>
      </c>
      <c r="N230">
        <v>1.1666000000000001</v>
      </c>
      <c r="O230">
        <v>1.3404573135700335</v>
      </c>
      <c r="P230">
        <v>6.6265265549559785E-3</v>
      </c>
      <c r="Q230">
        <v>6.6265265549559785E-3</v>
      </c>
      <c r="R230">
        <v>22714.746804441918</v>
      </c>
      <c r="S230" t="s">
        <v>14</v>
      </c>
      <c r="T230">
        <v>6.9800000000000001E-3</v>
      </c>
      <c r="U230">
        <v>23926.401166600001</v>
      </c>
      <c r="V230">
        <v>-1211.6543621580822</v>
      </c>
      <c r="W230">
        <v>-5.0640894705447304E-2</v>
      </c>
    </row>
    <row r="231" spans="1:23" x14ac:dyDescent="0.25">
      <c r="A231" t="s">
        <v>554</v>
      </c>
      <c r="B231" t="s">
        <v>43</v>
      </c>
      <c r="C231" t="s">
        <v>215</v>
      </c>
      <c r="D231" t="s">
        <v>35</v>
      </c>
      <c r="E231" t="s">
        <v>152</v>
      </c>
      <c r="F231" s="1">
        <v>46387</v>
      </c>
      <c r="G231">
        <v>46417</v>
      </c>
      <c r="H231" t="s">
        <v>6</v>
      </c>
      <c r="I231">
        <v>6825.07</v>
      </c>
      <c r="J231" t="s">
        <v>84</v>
      </c>
      <c r="K231" t="s">
        <v>555</v>
      </c>
      <c r="L231">
        <v>30</v>
      </c>
      <c r="M231" t="s">
        <v>43</v>
      </c>
      <c r="N231">
        <v>1.1176999999999999</v>
      </c>
      <c r="O231">
        <v>1.320456022210408</v>
      </c>
      <c r="P231">
        <v>6.3200452360757699E-3</v>
      </c>
      <c r="Q231">
        <v>1.1176999999999999</v>
      </c>
      <c r="R231">
        <v>7628.3807389999993</v>
      </c>
      <c r="S231" t="s">
        <v>23</v>
      </c>
      <c r="T231">
        <v>1.119</v>
      </c>
      <c r="U231">
        <v>7637.2533299999996</v>
      </c>
      <c r="V231">
        <v>-8.8725910000002841</v>
      </c>
      <c r="W231">
        <v>-1.1617515638963733E-3</v>
      </c>
    </row>
    <row r="232" spans="1:23" x14ac:dyDescent="0.25">
      <c r="A232" t="s">
        <v>556</v>
      </c>
      <c r="B232" t="s">
        <v>28</v>
      </c>
      <c r="C232" t="s">
        <v>111</v>
      </c>
      <c r="D232" t="s">
        <v>31</v>
      </c>
      <c r="E232" t="s">
        <v>74</v>
      </c>
      <c r="F232" s="1">
        <v>45830</v>
      </c>
      <c r="G232">
        <v>45875</v>
      </c>
      <c r="H232" t="s">
        <v>9</v>
      </c>
      <c r="I232">
        <v>667468.22</v>
      </c>
      <c r="J232" t="s">
        <v>75</v>
      </c>
      <c r="K232" t="s">
        <v>557</v>
      </c>
      <c r="L232">
        <v>45</v>
      </c>
      <c r="M232" t="s">
        <v>28</v>
      </c>
      <c r="N232">
        <v>1.1685000000000001</v>
      </c>
      <c r="O232">
        <v>1.3513357233722678</v>
      </c>
      <c r="P232">
        <v>6.7590236001850998E-3</v>
      </c>
      <c r="Q232">
        <v>6.7590236001850998E-3</v>
      </c>
      <c r="R232">
        <v>4511.4334513535405</v>
      </c>
      <c r="S232" t="s">
        <v>12</v>
      </c>
      <c r="T232">
        <v>6.7000000000000002E-3</v>
      </c>
      <c r="U232">
        <v>4472.0370739999998</v>
      </c>
      <c r="V232">
        <v>39.396377353540629</v>
      </c>
      <c r="W232">
        <v>8.809492564940357E-3</v>
      </c>
    </row>
    <row r="233" spans="1:23" x14ac:dyDescent="0.25">
      <c r="A233" t="s">
        <v>558</v>
      </c>
      <c r="B233" t="s">
        <v>24</v>
      </c>
      <c r="C233" t="s">
        <v>73</v>
      </c>
      <c r="D233" t="s">
        <v>31</v>
      </c>
      <c r="E233" t="s">
        <v>74</v>
      </c>
      <c r="F233" s="1">
        <v>46234</v>
      </c>
      <c r="G233">
        <v>46264</v>
      </c>
      <c r="H233" t="s">
        <v>6</v>
      </c>
      <c r="I233">
        <v>34319.64</v>
      </c>
      <c r="J233" t="s">
        <v>75</v>
      </c>
      <c r="K233" t="s">
        <v>559</v>
      </c>
      <c r="L233">
        <v>30</v>
      </c>
      <c r="M233" t="s">
        <v>24</v>
      </c>
      <c r="N233">
        <v>1.1485000000000001</v>
      </c>
      <c r="O233">
        <v>1.3421289425402874</v>
      </c>
      <c r="P233">
        <v>6.2408302994077054E-3</v>
      </c>
      <c r="Q233">
        <v>1.1485000000000001</v>
      </c>
      <c r="R233">
        <v>39416.106540000001</v>
      </c>
      <c r="S233" t="s">
        <v>21</v>
      </c>
      <c r="T233">
        <v>1.101</v>
      </c>
      <c r="U233">
        <v>37785.923640000001</v>
      </c>
      <c r="V233">
        <v>1630.1828999999998</v>
      </c>
      <c r="W233">
        <v>4.3142597638510437E-2</v>
      </c>
    </row>
    <row r="234" spans="1:23" x14ac:dyDescent="0.25">
      <c r="A234" t="s">
        <v>560</v>
      </c>
      <c r="B234" t="s">
        <v>40</v>
      </c>
      <c r="C234" t="s">
        <v>78</v>
      </c>
      <c r="D234" t="s">
        <v>33</v>
      </c>
      <c r="E234" t="s">
        <v>79</v>
      </c>
      <c r="F234" s="1">
        <v>45953</v>
      </c>
      <c r="G234">
        <v>45983</v>
      </c>
      <c r="H234" t="s">
        <v>9</v>
      </c>
      <c r="I234">
        <v>1441004.29</v>
      </c>
      <c r="J234" t="s">
        <v>75</v>
      </c>
      <c r="K234" t="s">
        <v>561</v>
      </c>
      <c r="L234">
        <v>30</v>
      </c>
      <c r="M234" t="s">
        <v>40</v>
      </c>
      <c r="N234">
        <v>1.1593</v>
      </c>
      <c r="O234">
        <v>1.3339086411230008</v>
      </c>
      <c r="P234">
        <v>6.5519385102294561E-3</v>
      </c>
      <c r="Q234">
        <v>6.5519385102294561E-3</v>
      </c>
      <c r="R234">
        <v>9441.3715010568558</v>
      </c>
      <c r="S234" t="s">
        <v>14</v>
      </c>
      <c r="T234">
        <v>6.9800000000000001E-3</v>
      </c>
      <c r="U234">
        <v>10058.2099442</v>
      </c>
      <c r="V234">
        <v>-616.8384431431441</v>
      </c>
      <c r="W234">
        <v>-6.1326860998645184E-2</v>
      </c>
    </row>
    <row r="235" spans="1:23" x14ac:dyDescent="0.25">
      <c r="A235" t="s">
        <v>562</v>
      </c>
      <c r="B235" t="s">
        <v>30</v>
      </c>
      <c r="C235" t="s">
        <v>103</v>
      </c>
      <c r="D235" t="s">
        <v>31</v>
      </c>
      <c r="E235" t="s">
        <v>74</v>
      </c>
      <c r="F235" s="1">
        <v>45783</v>
      </c>
      <c r="G235">
        <v>45813</v>
      </c>
      <c r="H235" t="s">
        <v>9</v>
      </c>
      <c r="I235">
        <v>635264.03</v>
      </c>
      <c r="J235" t="s">
        <v>75</v>
      </c>
      <c r="K235" t="s">
        <v>563</v>
      </c>
      <c r="L235">
        <v>30</v>
      </c>
      <c r="M235" t="s">
        <v>30</v>
      </c>
      <c r="N235">
        <v>1.1325000000000001</v>
      </c>
      <c r="O235">
        <v>1.3372298972724053</v>
      </c>
      <c r="P235">
        <v>7.0063103192279149E-3</v>
      </c>
      <c r="Q235">
        <v>7.0063103192279149E-3</v>
      </c>
      <c r="R235">
        <v>4450.856928823312</v>
      </c>
      <c r="S235" t="s">
        <v>12</v>
      </c>
      <c r="T235">
        <v>6.7000000000000002E-3</v>
      </c>
      <c r="U235">
        <v>4256.2690010000006</v>
      </c>
      <c r="V235">
        <v>194.58792782331147</v>
      </c>
      <c r="W235">
        <v>4.5717958093718578E-2</v>
      </c>
    </row>
    <row r="236" spans="1:23" x14ac:dyDescent="0.25">
      <c r="A236" t="s">
        <v>564</v>
      </c>
      <c r="B236" t="s">
        <v>40</v>
      </c>
      <c r="C236" t="s">
        <v>78</v>
      </c>
      <c r="D236" t="s">
        <v>33</v>
      </c>
      <c r="E236" t="s">
        <v>79</v>
      </c>
      <c r="F236" s="1">
        <v>45717</v>
      </c>
      <c r="G236">
        <v>45747</v>
      </c>
      <c r="H236" t="s">
        <v>9</v>
      </c>
      <c r="I236">
        <v>2744034.26</v>
      </c>
      <c r="J236" t="s">
        <v>75</v>
      </c>
      <c r="K236" t="s">
        <v>565</v>
      </c>
      <c r="L236">
        <v>30</v>
      </c>
      <c r="M236" t="s">
        <v>40</v>
      </c>
      <c r="N236">
        <v>1.0803</v>
      </c>
      <c r="O236">
        <v>1.2944700736924091</v>
      </c>
      <c r="P236">
        <v>6.7007815407517683E-3</v>
      </c>
      <c r="Q236">
        <v>6.7007815407517683E-3</v>
      </c>
      <c r="R236">
        <v>18387.174116598439</v>
      </c>
      <c r="S236" t="s">
        <v>11</v>
      </c>
      <c r="T236">
        <v>6.5599999999999999E-3</v>
      </c>
      <c r="U236">
        <v>18000.8647456</v>
      </c>
      <c r="V236">
        <v>386.30937099843868</v>
      </c>
      <c r="W236">
        <v>2.146060072435494E-2</v>
      </c>
    </row>
    <row r="237" spans="1:23" x14ac:dyDescent="0.25">
      <c r="A237" t="s">
        <v>566</v>
      </c>
      <c r="B237" t="s">
        <v>44</v>
      </c>
      <c r="C237" t="s">
        <v>138</v>
      </c>
      <c r="D237" t="s">
        <v>33</v>
      </c>
      <c r="E237" t="s">
        <v>88</v>
      </c>
      <c r="F237" s="1">
        <v>45850</v>
      </c>
      <c r="G237">
        <v>45895</v>
      </c>
      <c r="H237" t="s">
        <v>9</v>
      </c>
      <c r="I237">
        <v>128042.27</v>
      </c>
      <c r="J237" t="s">
        <v>75</v>
      </c>
      <c r="K237" t="s">
        <v>567</v>
      </c>
      <c r="L237">
        <v>45</v>
      </c>
      <c r="M237" t="s">
        <v>44</v>
      </c>
      <c r="N237">
        <v>1.1611</v>
      </c>
      <c r="O237">
        <v>1.3372106414833584</v>
      </c>
      <c r="P237">
        <v>6.5450958286358508E-3</v>
      </c>
      <c r="Q237">
        <v>6.5450958286358508E-3</v>
      </c>
      <c r="R237">
        <v>838.04892726606533</v>
      </c>
      <c r="S237" t="s">
        <v>13</v>
      </c>
      <c r="T237">
        <v>6.8399999999999997E-3</v>
      </c>
      <c r="U237">
        <v>875.80912679999994</v>
      </c>
      <c r="V237">
        <v>-37.76019953393461</v>
      </c>
      <c r="W237">
        <v>-4.3114644936279069E-2</v>
      </c>
    </row>
    <row r="238" spans="1:23" x14ac:dyDescent="0.25">
      <c r="A238" t="s">
        <v>568</v>
      </c>
      <c r="B238" t="s">
        <v>44</v>
      </c>
      <c r="C238" t="s">
        <v>138</v>
      </c>
      <c r="D238" t="s">
        <v>33</v>
      </c>
      <c r="E238" t="s">
        <v>88</v>
      </c>
      <c r="F238" s="1">
        <v>46064</v>
      </c>
      <c r="G238">
        <v>46109</v>
      </c>
      <c r="H238" t="s">
        <v>9</v>
      </c>
      <c r="I238">
        <v>519155.84</v>
      </c>
      <c r="J238" t="s">
        <v>75</v>
      </c>
      <c r="K238" t="s">
        <v>569</v>
      </c>
      <c r="L238">
        <v>45</v>
      </c>
      <c r="M238" t="s">
        <v>44</v>
      </c>
      <c r="N238">
        <v>1.19</v>
      </c>
      <c r="O238">
        <v>1.3679733302678467</v>
      </c>
      <c r="P238">
        <v>6.5102029651512667E-3</v>
      </c>
      <c r="Q238">
        <v>6.5102029651512667E-3</v>
      </c>
      <c r="R238">
        <v>3379.8098889435969</v>
      </c>
      <c r="S238" t="s">
        <v>16</v>
      </c>
      <c r="T238">
        <v>6.4599999999999996E-3</v>
      </c>
      <c r="U238">
        <v>3353.7467264000002</v>
      </c>
      <c r="V238">
        <v>26.063162543596718</v>
      </c>
      <c r="W238">
        <v>7.7713568345614461E-3</v>
      </c>
    </row>
    <row r="239" spans="1:23" x14ac:dyDescent="0.25">
      <c r="A239" t="s">
        <v>570</v>
      </c>
      <c r="B239" t="s">
        <v>38</v>
      </c>
      <c r="C239" t="s">
        <v>87</v>
      </c>
      <c r="D239" t="s">
        <v>33</v>
      </c>
      <c r="E239" t="s">
        <v>88</v>
      </c>
      <c r="F239" s="1">
        <v>46171</v>
      </c>
      <c r="G239">
        <v>46201</v>
      </c>
      <c r="H239" t="s">
        <v>6</v>
      </c>
      <c r="I239">
        <v>4417.8500000000004</v>
      </c>
      <c r="J239" t="s">
        <v>75</v>
      </c>
      <c r="K239" t="s">
        <v>571</v>
      </c>
      <c r="L239">
        <v>30</v>
      </c>
      <c r="M239" t="s">
        <v>38</v>
      </c>
      <c r="N239">
        <v>1.1644000000000001</v>
      </c>
      <c r="O239">
        <v>1.3426657288147321</v>
      </c>
      <c r="P239">
        <v>6.2787813426799684E-3</v>
      </c>
      <c r="Q239">
        <v>1.1644000000000001</v>
      </c>
      <c r="R239">
        <v>5144.1445400000011</v>
      </c>
      <c r="S239" t="s">
        <v>19</v>
      </c>
      <c r="T239">
        <v>1.083</v>
      </c>
      <c r="U239">
        <v>4784.5315500000006</v>
      </c>
      <c r="V239">
        <v>359.61299000000054</v>
      </c>
      <c r="W239">
        <v>7.5161588180978872E-2</v>
      </c>
    </row>
    <row r="240" spans="1:23" x14ac:dyDescent="0.25">
      <c r="A240" t="s">
        <v>572</v>
      </c>
      <c r="B240" t="s">
        <v>30</v>
      </c>
      <c r="C240" t="s">
        <v>103</v>
      </c>
      <c r="D240" t="s">
        <v>31</v>
      </c>
      <c r="E240" t="s">
        <v>74</v>
      </c>
      <c r="F240" s="1">
        <v>45795</v>
      </c>
      <c r="G240">
        <v>45825</v>
      </c>
      <c r="H240" t="s">
        <v>9</v>
      </c>
      <c r="I240">
        <v>1027781.15</v>
      </c>
      <c r="J240" t="s">
        <v>75</v>
      </c>
      <c r="K240" t="s">
        <v>573</v>
      </c>
      <c r="L240">
        <v>30</v>
      </c>
      <c r="M240" t="s">
        <v>30</v>
      </c>
      <c r="N240">
        <v>1.1756</v>
      </c>
      <c r="O240">
        <v>1.355158501440922</v>
      </c>
      <c r="P240">
        <v>6.8261525955173614E-3</v>
      </c>
      <c r="Q240">
        <v>6.8261525955173614E-3</v>
      </c>
      <c r="R240">
        <v>7015.790964696319</v>
      </c>
      <c r="S240" t="s">
        <v>12</v>
      </c>
      <c r="T240">
        <v>6.7000000000000002E-3</v>
      </c>
      <c r="U240">
        <v>6886.1337050000002</v>
      </c>
      <c r="V240">
        <v>129.65725969631876</v>
      </c>
      <c r="W240">
        <v>1.8828745599606209E-2</v>
      </c>
    </row>
    <row r="241" spans="1:23" x14ac:dyDescent="0.25">
      <c r="A241" t="s">
        <v>574</v>
      </c>
      <c r="B241" t="s">
        <v>43</v>
      </c>
      <c r="C241" t="s">
        <v>215</v>
      </c>
      <c r="D241" t="s">
        <v>35</v>
      </c>
      <c r="E241" t="s">
        <v>152</v>
      </c>
      <c r="F241" s="1">
        <v>46138</v>
      </c>
      <c r="G241">
        <v>46168</v>
      </c>
      <c r="H241" t="s">
        <v>6</v>
      </c>
      <c r="I241">
        <v>4221.0600000000004</v>
      </c>
      <c r="J241" t="s">
        <v>75</v>
      </c>
      <c r="K241" t="s">
        <v>575</v>
      </c>
      <c r="L241">
        <v>30</v>
      </c>
      <c r="M241" t="s">
        <v>43</v>
      </c>
      <c r="N241">
        <v>1.1712</v>
      </c>
      <c r="O241">
        <v>1.3492621222768799</v>
      </c>
      <c r="P241">
        <v>6.2728295217181727E-3</v>
      </c>
      <c r="Q241">
        <v>1.1712</v>
      </c>
      <c r="R241">
        <v>4943.7054720000006</v>
      </c>
      <c r="S241" t="s">
        <v>19</v>
      </c>
      <c r="T241">
        <v>1.083</v>
      </c>
      <c r="U241">
        <v>4571.40798</v>
      </c>
      <c r="V241">
        <v>372.2974920000006</v>
      </c>
      <c r="W241">
        <v>8.1440443213296534E-2</v>
      </c>
    </row>
    <row r="242" spans="1:23" x14ac:dyDescent="0.25">
      <c r="A242" t="s">
        <v>576</v>
      </c>
      <c r="B242" t="s">
        <v>37</v>
      </c>
      <c r="C242" t="s">
        <v>91</v>
      </c>
      <c r="D242" t="s">
        <v>31</v>
      </c>
      <c r="E242" t="s">
        <v>74</v>
      </c>
      <c r="F242" s="1">
        <v>45784</v>
      </c>
      <c r="G242">
        <v>45814</v>
      </c>
      <c r="H242" t="s">
        <v>6</v>
      </c>
      <c r="I242">
        <v>4133.1499999999996</v>
      </c>
      <c r="J242" t="s">
        <v>75</v>
      </c>
      <c r="K242" t="s">
        <v>577</v>
      </c>
      <c r="L242">
        <v>30</v>
      </c>
      <c r="M242" t="s">
        <v>37</v>
      </c>
      <c r="N242">
        <v>1.1359999999999999</v>
      </c>
      <c r="O242">
        <v>1.3347432734108799</v>
      </c>
      <c r="P242">
        <v>6.9740315550371416E-3</v>
      </c>
      <c r="Q242">
        <v>1.1359999999999999</v>
      </c>
      <c r="R242">
        <v>4695.2583999999988</v>
      </c>
      <c r="S242" t="s">
        <v>12</v>
      </c>
      <c r="T242">
        <v>1.07</v>
      </c>
      <c r="U242">
        <v>4422.4704999999994</v>
      </c>
      <c r="V242">
        <v>272.78789999999935</v>
      </c>
      <c r="W242">
        <v>6.1682242990654064E-2</v>
      </c>
    </row>
    <row r="243" spans="1:23" x14ac:dyDescent="0.25">
      <c r="A243" t="s">
        <v>578</v>
      </c>
      <c r="B243" t="s">
        <v>20</v>
      </c>
      <c r="C243" t="s">
        <v>123</v>
      </c>
      <c r="D243" t="s">
        <v>31</v>
      </c>
      <c r="E243" t="s">
        <v>124</v>
      </c>
      <c r="F243" s="1">
        <v>45736</v>
      </c>
      <c r="G243">
        <v>45781</v>
      </c>
      <c r="H243" t="s">
        <v>6</v>
      </c>
      <c r="I243">
        <v>29191.33</v>
      </c>
      <c r="J243" t="s">
        <v>75</v>
      </c>
      <c r="K243" t="s">
        <v>579</v>
      </c>
      <c r="L243">
        <v>45</v>
      </c>
      <c r="M243" t="s">
        <v>20</v>
      </c>
      <c r="N243">
        <v>1.0832999999999999</v>
      </c>
      <c r="O243">
        <v>1.2944198829011828</v>
      </c>
      <c r="P243">
        <v>6.7348461299347219E-3</v>
      </c>
      <c r="Q243">
        <v>1.0832999999999999</v>
      </c>
      <c r="R243">
        <v>31622.967788999998</v>
      </c>
      <c r="S243" t="s">
        <v>11</v>
      </c>
      <c r="T243">
        <v>1.052</v>
      </c>
      <c r="U243">
        <v>30709.279160000002</v>
      </c>
      <c r="V243">
        <v>913.68862899999658</v>
      </c>
      <c r="W243">
        <v>2.9752851711026502E-2</v>
      </c>
    </row>
    <row r="244" spans="1:23" x14ac:dyDescent="0.25">
      <c r="A244" t="s">
        <v>580</v>
      </c>
      <c r="B244" t="s">
        <v>28</v>
      </c>
      <c r="C244" t="s">
        <v>111</v>
      </c>
      <c r="D244" t="s">
        <v>31</v>
      </c>
      <c r="E244" t="s">
        <v>74</v>
      </c>
      <c r="F244" s="1">
        <v>46325</v>
      </c>
      <c r="G244">
        <v>46370</v>
      </c>
      <c r="H244" t="s">
        <v>9</v>
      </c>
      <c r="I244">
        <v>1828174.94</v>
      </c>
      <c r="J244" t="s">
        <v>84</v>
      </c>
      <c r="K244" t="s">
        <v>581</v>
      </c>
      <c r="L244">
        <v>45</v>
      </c>
      <c r="M244" t="s">
        <v>28</v>
      </c>
      <c r="N244">
        <v>1.1176999999999999</v>
      </c>
      <c r="O244">
        <v>1.320456022210408</v>
      </c>
      <c r="P244">
        <v>6.3200452360757699E-3</v>
      </c>
      <c r="Q244">
        <v>6.3200452360757699E-3</v>
      </c>
      <c r="R244">
        <v>11554.148320260107</v>
      </c>
      <c r="S244" t="s">
        <v>23</v>
      </c>
      <c r="T244">
        <v>6.8799999999999998E-3</v>
      </c>
      <c r="U244">
        <v>12577.843587199999</v>
      </c>
      <c r="V244">
        <v>-1023.6952669398925</v>
      </c>
      <c r="W244">
        <v>-8.1388773826196151E-2</v>
      </c>
    </row>
    <row r="245" spans="1:23" x14ac:dyDescent="0.25">
      <c r="A245" t="s">
        <v>582</v>
      </c>
      <c r="B245" t="s">
        <v>24</v>
      </c>
      <c r="C245" t="s">
        <v>73</v>
      </c>
      <c r="D245" t="s">
        <v>31</v>
      </c>
      <c r="E245" t="s">
        <v>74</v>
      </c>
      <c r="F245" s="1">
        <v>45852</v>
      </c>
      <c r="G245">
        <v>45882</v>
      </c>
      <c r="H245" t="s">
        <v>6</v>
      </c>
      <c r="I245">
        <v>46085.52</v>
      </c>
      <c r="J245" t="s">
        <v>75</v>
      </c>
      <c r="K245" t="s">
        <v>583</v>
      </c>
      <c r="L245">
        <v>30</v>
      </c>
      <c r="M245" t="s">
        <v>24</v>
      </c>
      <c r="N245">
        <v>1.169</v>
      </c>
      <c r="O245">
        <v>1.3487942771431869</v>
      </c>
      <c r="P245">
        <v>6.7858594067452252E-3</v>
      </c>
      <c r="Q245">
        <v>1.169</v>
      </c>
      <c r="R245">
        <v>53873.972880000001</v>
      </c>
      <c r="S245" t="s">
        <v>13</v>
      </c>
      <c r="T245">
        <v>1.0880000000000001</v>
      </c>
      <c r="U245">
        <v>50141.045760000001</v>
      </c>
      <c r="V245">
        <v>3732.9271200000003</v>
      </c>
      <c r="W245">
        <v>7.4448529411764705E-2</v>
      </c>
    </row>
    <row r="246" spans="1:23" x14ac:dyDescent="0.25">
      <c r="A246" t="s">
        <v>584</v>
      </c>
      <c r="B246" t="s">
        <v>26</v>
      </c>
      <c r="C246" t="s">
        <v>94</v>
      </c>
      <c r="D246" t="s">
        <v>31</v>
      </c>
      <c r="E246" t="s">
        <v>74</v>
      </c>
      <c r="F246" s="1">
        <v>45888</v>
      </c>
      <c r="G246">
        <v>45918</v>
      </c>
      <c r="H246" t="s">
        <v>8</v>
      </c>
      <c r="I246">
        <v>21002.83</v>
      </c>
      <c r="J246" t="s">
        <v>75</v>
      </c>
      <c r="K246" t="s">
        <v>585</v>
      </c>
      <c r="L246">
        <v>30</v>
      </c>
      <c r="M246" t="s">
        <v>26</v>
      </c>
      <c r="N246">
        <v>1.1681999999999999</v>
      </c>
      <c r="O246">
        <v>1.3520833333333333</v>
      </c>
      <c r="P246">
        <v>6.7655064574042969E-3</v>
      </c>
      <c r="Q246">
        <v>1.3520833333333333</v>
      </c>
      <c r="R246">
        <v>28397.576395833334</v>
      </c>
      <c r="S246" t="s">
        <v>13</v>
      </c>
      <c r="T246">
        <v>1.282</v>
      </c>
      <c r="U246">
        <v>26925.628060000003</v>
      </c>
      <c r="V246">
        <v>1471.9483358333309</v>
      </c>
      <c r="W246">
        <v>5.4667186687467402E-2</v>
      </c>
    </row>
    <row r="247" spans="1:23" x14ac:dyDescent="0.25">
      <c r="A247" t="s">
        <v>586</v>
      </c>
      <c r="B247" t="s">
        <v>32</v>
      </c>
      <c r="C247" t="s">
        <v>106</v>
      </c>
      <c r="D247" t="s">
        <v>31</v>
      </c>
      <c r="E247" t="s">
        <v>74</v>
      </c>
      <c r="F247" s="1">
        <v>46167</v>
      </c>
      <c r="G247">
        <v>46197</v>
      </c>
      <c r="H247" t="s">
        <v>6</v>
      </c>
      <c r="I247">
        <v>16031.59</v>
      </c>
      <c r="J247" t="s">
        <v>75</v>
      </c>
      <c r="K247" t="s">
        <v>587</v>
      </c>
      <c r="L247">
        <v>30</v>
      </c>
      <c r="M247" t="s">
        <v>32</v>
      </c>
      <c r="N247">
        <v>1.1642999999999999</v>
      </c>
      <c r="O247">
        <v>1.3498347921859601</v>
      </c>
      <c r="P247">
        <v>6.2921530479896235E-3</v>
      </c>
      <c r="Q247">
        <v>1.1642999999999999</v>
      </c>
      <c r="R247">
        <v>18665.580236999998</v>
      </c>
      <c r="S247" t="s">
        <v>19</v>
      </c>
      <c r="T247">
        <v>1.083</v>
      </c>
      <c r="U247">
        <v>17362.21197</v>
      </c>
      <c r="V247">
        <v>1303.368266999998</v>
      </c>
      <c r="W247">
        <v>7.506925207756221E-2</v>
      </c>
    </row>
    <row r="248" spans="1:23" x14ac:dyDescent="0.25">
      <c r="A248" t="s">
        <v>588</v>
      </c>
      <c r="B248" t="s">
        <v>42</v>
      </c>
      <c r="C248" t="s">
        <v>151</v>
      </c>
      <c r="D248" t="s">
        <v>35</v>
      </c>
      <c r="E248" t="s">
        <v>152</v>
      </c>
      <c r="F248" s="1">
        <v>46093</v>
      </c>
      <c r="G248">
        <v>46123</v>
      </c>
      <c r="H248" t="s">
        <v>8</v>
      </c>
      <c r="I248">
        <v>3556.08</v>
      </c>
      <c r="J248" t="s">
        <v>75</v>
      </c>
      <c r="K248" t="s">
        <v>589</v>
      </c>
      <c r="L248">
        <v>30</v>
      </c>
      <c r="M248" t="s">
        <v>42</v>
      </c>
      <c r="N248">
        <v>1.1547000000000001</v>
      </c>
      <c r="O248">
        <v>1.338891272335146</v>
      </c>
      <c r="P248">
        <v>6.2950444311181382E-3</v>
      </c>
      <c r="Q248">
        <v>1.338891272335146</v>
      </c>
      <c r="R248">
        <v>4761.2044757255662</v>
      </c>
      <c r="S248" t="s">
        <v>16</v>
      </c>
      <c r="T248">
        <v>1.2490000000000001</v>
      </c>
      <c r="U248">
        <v>4441.5439200000001</v>
      </c>
      <c r="V248">
        <v>319.66055572556616</v>
      </c>
      <c r="W248">
        <v>7.1970594343591709E-2</v>
      </c>
    </row>
    <row r="249" spans="1:23" x14ac:dyDescent="0.25">
      <c r="A249" t="s">
        <v>590</v>
      </c>
      <c r="B249" t="s">
        <v>44</v>
      </c>
      <c r="C249" t="s">
        <v>138</v>
      </c>
      <c r="D249" t="s">
        <v>33</v>
      </c>
      <c r="E249" t="s">
        <v>88</v>
      </c>
      <c r="F249" s="1">
        <v>45749</v>
      </c>
      <c r="G249">
        <v>45794</v>
      </c>
      <c r="H249" t="s">
        <v>9</v>
      </c>
      <c r="I249">
        <v>277381.71999999997</v>
      </c>
      <c r="J249" t="s">
        <v>75</v>
      </c>
      <c r="K249" t="s">
        <v>591</v>
      </c>
      <c r="L249">
        <v>45</v>
      </c>
      <c r="M249" t="s">
        <v>44</v>
      </c>
      <c r="N249">
        <v>1.0803</v>
      </c>
      <c r="O249">
        <v>1.2944700736924091</v>
      </c>
      <c r="P249">
        <v>6.7007815407517683E-3</v>
      </c>
      <c r="Q249">
        <v>6.7007815407517683E-3</v>
      </c>
      <c r="R249">
        <v>1858.6743091179753</v>
      </c>
      <c r="S249" t="s">
        <v>12</v>
      </c>
      <c r="T249">
        <v>6.7000000000000002E-3</v>
      </c>
      <c r="U249">
        <v>1858.4575239999999</v>
      </c>
      <c r="V249">
        <v>0.21678511797540523</v>
      </c>
      <c r="W249">
        <v>1.1664787339815749E-4</v>
      </c>
    </row>
    <row r="250" spans="1:23" x14ac:dyDescent="0.25">
      <c r="A250" t="s">
        <v>592</v>
      </c>
      <c r="B250" t="s">
        <v>30</v>
      </c>
      <c r="C250" t="s">
        <v>103</v>
      </c>
      <c r="D250" t="s">
        <v>31</v>
      </c>
      <c r="E250" t="s">
        <v>74</v>
      </c>
      <c r="F250" s="1">
        <v>45857</v>
      </c>
      <c r="G250">
        <v>45887</v>
      </c>
      <c r="H250" t="s">
        <v>9</v>
      </c>
      <c r="I250">
        <v>669495.13</v>
      </c>
      <c r="J250" t="s">
        <v>75</v>
      </c>
      <c r="K250" t="s">
        <v>593</v>
      </c>
      <c r="L250">
        <v>30</v>
      </c>
      <c r="M250" t="s">
        <v>30</v>
      </c>
      <c r="N250">
        <v>1.1655</v>
      </c>
      <c r="O250">
        <v>1.3410424577148774</v>
      </c>
      <c r="P250">
        <v>6.6330886119173637E-3</v>
      </c>
      <c r="Q250">
        <v>6.6330886119173637E-3</v>
      </c>
      <c r="R250">
        <v>4440.8205225371348</v>
      </c>
      <c r="S250" t="s">
        <v>13</v>
      </c>
      <c r="T250">
        <v>6.8399999999999997E-3</v>
      </c>
      <c r="U250">
        <v>4579.3466891999997</v>
      </c>
      <c r="V250">
        <v>-138.52616666286485</v>
      </c>
      <c r="W250">
        <v>-3.0250202936057898E-2</v>
      </c>
    </row>
    <row r="251" spans="1:23" x14ac:dyDescent="0.25">
      <c r="A251" t="s">
        <v>594</v>
      </c>
      <c r="B251" t="s">
        <v>38</v>
      </c>
      <c r="C251" t="s">
        <v>87</v>
      </c>
      <c r="D251" t="s">
        <v>33</v>
      </c>
      <c r="E251" t="s">
        <v>88</v>
      </c>
      <c r="F251" s="1">
        <v>45817</v>
      </c>
      <c r="G251">
        <v>45847</v>
      </c>
      <c r="H251" t="s">
        <v>6</v>
      </c>
      <c r="I251">
        <v>6761.92</v>
      </c>
      <c r="J251" t="s">
        <v>75</v>
      </c>
      <c r="K251" t="s">
        <v>595</v>
      </c>
      <c r="L251">
        <v>30</v>
      </c>
      <c r="M251" t="s">
        <v>38</v>
      </c>
      <c r="N251">
        <v>1.141</v>
      </c>
      <c r="O251">
        <v>1.354463437796771</v>
      </c>
      <c r="P251">
        <v>6.9201843765162542E-3</v>
      </c>
      <c r="Q251">
        <v>1.141</v>
      </c>
      <c r="R251">
        <v>7715.3507200000004</v>
      </c>
      <c r="S251" t="s">
        <v>12</v>
      </c>
      <c r="T251">
        <v>1.07</v>
      </c>
      <c r="U251">
        <v>7235.2544000000007</v>
      </c>
      <c r="V251">
        <v>480.09631999999965</v>
      </c>
      <c r="W251">
        <v>6.6355140186915837E-2</v>
      </c>
    </row>
    <row r="252" spans="1:23" x14ac:dyDescent="0.25">
      <c r="A252" t="s">
        <v>596</v>
      </c>
      <c r="B252" t="s">
        <v>30</v>
      </c>
      <c r="C252" t="s">
        <v>103</v>
      </c>
      <c r="D252" t="s">
        <v>31</v>
      </c>
      <c r="E252" t="s">
        <v>74</v>
      </c>
      <c r="F252" s="1">
        <v>45983</v>
      </c>
      <c r="G252">
        <v>46013</v>
      </c>
      <c r="H252" t="s">
        <v>9</v>
      </c>
      <c r="I252">
        <v>4771842.43</v>
      </c>
      <c r="J252" t="s">
        <v>75</v>
      </c>
      <c r="K252" t="s">
        <v>597</v>
      </c>
      <c r="L252">
        <v>30</v>
      </c>
      <c r="M252" t="s">
        <v>30</v>
      </c>
      <c r="N252">
        <v>1.1555</v>
      </c>
      <c r="O252">
        <v>1.3367963164349013</v>
      </c>
      <c r="P252">
        <v>6.2983756677204832E-3</v>
      </c>
      <c r="Q252">
        <v>6.2983756677204832E-3</v>
      </c>
      <c r="R252">
        <v>30054.856251308182</v>
      </c>
      <c r="S252" t="s">
        <v>14</v>
      </c>
      <c r="T252">
        <v>6.9800000000000001E-3</v>
      </c>
      <c r="U252">
        <v>33307.460161399998</v>
      </c>
      <c r="V252">
        <v>-3252.6039100918169</v>
      </c>
      <c r="W252">
        <v>-9.7653915799357713E-2</v>
      </c>
    </row>
    <row r="253" spans="1:23" x14ac:dyDescent="0.25">
      <c r="A253" t="s">
        <v>598</v>
      </c>
      <c r="B253" t="s">
        <v>24</v>
      </c>
      <c r="C253" t="s">
        <v>73</v>
      </c>
      <c r="D253" t="s">
        <v>31</v>
      </c>
      <c r="E253" t="s">
        <v>74</v>
      </c>
      <c r="F253" s="1">
        <v>46245</v>
      </c>
      <c r="G253">
        <v>46275</v>
      </c>
      <c r="H253" t="s">
        <v>6</v>
      </c>
      <c r="I253">
        <v>21253.33</v>
      </c>
      <c r="J253" t="s">
        <v>75</v>
      </c>
      <c r="K253" t="s">
        <v>599</v>
      </c>
      <c r="L253">
        <v>30</v>
      </c>
      <c r="M253" t="s">
        <v>24</v>
      </c>
      <c r="N253">
        <v>1.1539999999999999</v>
      </c>
      <c r="O253">
        <v>1.3499760186235858</v>
      </c>
      <c r="P253">
        <v>6.2812976268234264E-3</v>
      </c>
      <c r="Q253">
        <v>1.1539999999999999</v>
      </c>
      <c r="R253">
        <v>24526.342820000002</v>
      </c>
      <c r="S253" t="s">
        <v>21</v>
      </c>
      <c r="T253">
        <v>1.101</v>
      </c>
      <c r="U253">
        <v>23399.91633</v>
      </c>
      <c r="V253">
        <v>1126.4264900000016</v>
      </c>
      <c r="W253">
        <v>4.8138056312443306E-2</v>
      </c>
    </row>
    <row r="254" spans="1:23" x14ac:dyDescent="0.25">
      <c r="A254" t="s">
        <v>598</v>
      </c>
      <c r="B254" t="s">
        <v>26</v>
      </c>
      <c r="C254" t="s">
        <v>94</v>
      </c>
      <c r="D254" t="s">
        <v>31</v>
      </c>
      <c r="E254" t="s">
        <v>74</v>
      </c>
      <c r="F254" s="1">
        <v>45769</v>
      </c>
      <c r="G254">
        <v>45799</v>
      </c>
      <c r="H254" t="s">
        <v>8</v>
      </c>
      <c r="I254">
        <v>12125.7</v>
      </c>
      <c r="J254" t="s">
        <v>75</v>
      </c>
      <c r="K254" t="s">
        <v>600</v>
      </c>
      <c r="L254">
        <v>30</v>
      </c>
      <c r="M254" t="s">
        <v>26</v>
      </c>
      <c r="N254">
        <v>1.1476</v>
      </c>
      <c r="O254">
        <v>1.3366255910922686</v>
      </c>
      <c r="P254">
        <v>7.1257373486494869E-3</v>
      </c>
      <c r="Q254">
        <v>1.3366255910922686</v>
      </c>
      <c r="R254">
        <v>16207.520929907523</v>
      </c>
      <c r="S254" t="s">
        <v>12</v>
      </c>
      <c r="T254">
        <v>1.26</v>
      </c>
      <c r="U254">
        <v>15278.382000000001</v>
      </c>
      <c r="V254">
        <v>929.13892990752174</v>
      </c>
      <c r="W254">
        <v>6.0813961184340175E-2</v>
      </c>
    </row>
    <row r="255" spans="1:23" x14ac:dyDescent="0.25">
      <c r="A255" t="s">
        <v>601</v>
      </c>
      <c r="B255" t="s">
        <v>20</v>
      </c>
      <c r="C255" t="s">
        <v>123</v>
      </c>
      <c r="D255" t="s">
        <v>31</v>
      </c>
      <c r="E255" t="s">
        <v>124</v>
      </c>
      <c r="F255" s="1">
        <v>46318</v>
      </c>
      <c r="G255">
        <v>46363</v>
      </c>
      <c r="H255" t="s">
        <v>6</v>
      </c>
      <c r="I255">
        <v>24189.27</v>
      </c>
      <c r="J255" t="s">
        <v>84</v>
      </c>
      <c r="K255" t="s">
        <v>602</v>
      </c>
      <c r="L255">
        <v>45</v>
      </c>
      <c r="M255" t="s">
        <v>20</v>
      </c>
      <c r="N255">
        <v>1.1176999999999999</v>
      </c>
      <c r="O255">
        <v>1.320456022210408</v>
      </c>
      <c r="P255">
        <v>6.3200452360757699E-3</v>
      </c>
      <c r="Q255">
        <v>1.1176999999999999</v>
      </c>
      <c r="R255">
        <v>27036.347078999999</v>
      </c>
      <c r="S255" t="s">
        <v>23</v>
      </c>
      <c r="T255">
        <v>1.119</v>
      </c>
      <c r="U255">
        <v>27067.793130000002</v>
      </c>
      <c r="V255">
        <v>-31.446051000002626</v>
      </c>
      <c r="W255">
        <v>-1.1617515638964329E-3</v>
      </c>
    </row>
    <row r="256" spans="1:23" x14ac:dyDescent="0.25">
      <c r="A256" t="s">
        <v>603</v>
      </c>
      <c r="B256" t="s">
        <v>36</v>
      </c>
      <c r="C256" t="s">
        <v>116</v>
      </c>
      <c r="D256" t="s">
        <v>31</v>
      </c>
      <c r="E256" t="s">
        <v>74</v>
      </c>
      <c r="F256" s="1">
        <v>45694</v>
      </c>
      <c r="G256">
        <v>45739</v>
      </c>
      <c r="H256" t="s">
        <v>6</v>
      </c>
      <c r="I256">
        <v>31031.439999999999</v>
      </c>
      <c r="J256" t="s">
        <v>75</v>
      </c>
      <c r="K256" t="s">
        <v>604</v>
      </c>
      <c r="L256">
        <v>45</v>
      </c>
      <c r="M256" t="s">
        <v>36</v>
      </c>
      <c r="N256">
        <v>1.036</v>
      </c>
      <c r="O256">
        <v>1.2379313641143295</v>
      </c>
      <c r="P256">
        <v>6.5590376701487822E-3</v>
      </c>
      <c r="Q256">
        <v>1.036</v>
      </c>
      <c r="R256">
        <v>32148.571840000001</v>
      </c>
      <c r="S256" t="s">
        <v>11</v>
      </c>
      <c r="T256">
        <v>1.052</v>
      </c>
      <c r="U256">
        <v>32645.07488</v>
      </c>
      <c r="V256">
        <v>-496.5030399999996</v>
      </c>
      <c r="W256">
        <v>-1.5209125475285159E-2</v>
      </c>
    </row>
    <row r="257" spans="1:23" x14ac:dyDescent="0.25">
      <c r="A257" t="s">
        <v>605</v>
      </c>
      <c r="B257" t="s">
        <v>26</v>
      </c>
      <c r="C257" t="s">
        <v>94</v>
      </c>
      <c r="D257" t="s">
        <v>31</v>
      </c>
      <c r="E257" t="s">
        <v>74</v>
      </c>
      <c r="F257" s="1">
        <v>45796</v>
      </c>
      <c r="G257">
        <v>45826</v>
      </c>
      <c r="H257" t="s">
        <v>8</v>
      </c>
      <c r="I257">
        <v>10140.66</v>
      </c>
      <c r="J257" t="s">
        <v>75</v>
      </c>
      <c r="K257" t="s">
        <v>606</v>
      </c>
      <c r="L257">
        <v>30</v>
      </c>
      <c r="M257" t="s">
        <v>26</v>
      </c>
      <c r="N257">
        <v>1.1262000000000001</v>
      </c>
      <c r="O257">
        <v>1.337688561586887</v>
      </c>
      <c r="P257">
        <v>6.8981991914737239E-3</v>
      </c>
      <c r="Q257">
        <v>1.337688561586887</v>
      </c>
      <c r="R257">
        <v>13565.04488894168</v>
      </c>
      <c r="S257" t="s">
        <v>12</v>
      </c>
      <c r="T257">
        <v>1.26</v>
      </c>
      <c r="U257">
        <v>12777.231599999999</v>
      </c>
      <c r="V257">
        <v>787.81328894168109</v>
      </c>
      <c r="W257">
        <v>6.1657588561021402E-2</v>
      </c>
    </row>
    <row r="258" spans="1:23" x14ac:dyDescent="0.25">
      <c r="A258" t="s">
        <v>607</v>
      </c>
      <c r="B258" t="s">
        <v>43</v>
      </c>
      <c r="C258" t="s">
        <v>215</v>
      </c>
      <c r="D258" t="s">
        <v>35</v>
      </c>
      <c r="E258" t="s">
        <v>152</v>
      </c>
      <c r="F258" s="1">
        <v>45951</v>
      </c>
      <c r="G258">
        <v>45981</v>
      </c>
      <c r="H258" t="s">
        <v>6</v>
      </c>
      <c r="I258">
        <v>7269.7</v>
      </c>
      <c r="J258" t="s">
        <v>75</v>
      </c>
      <c r="K258" t="s">
        <v>608</v>
      </c>
      <c r="L258">
        <v>30</v>
      </c>
      <c r="M258" t="s">
        <v>43</v>
      </c>
      <c r="N258">
        <v>1.1607000000000001</v>
      </c>
      <c r="O258">
        <v>1.3375201659368519</v>
      </c>
      <c r="P258">
        <v>6.5780674412014746E-3</v>
      </c>
      <c r="Q258">
        <v>1.1607000000000001</v>
      </c>
      <c r="R258">
        <v>8437.9407900000006</v>
      </c>
      <c r="S258" t="s">
        <v>14</v>
      </c>
      <c r="T258">
        <v>1.1060000000000001</v>
      </c>
      <c r="U258">
        <v>8040.2882000000009</v>
      </c>
      <c r="V258">
        <v>397.65258999999969</v>
      </c>
      <c r="W258">
        <v>4.9457504520795614E-2</v>
      </c>
    </row>
    <row r="259" spans="1:23" x14ac:dyDescent="0.25">
      <c r="A259" t="s">
        <v>609</v>
      </c>
      <c r="B259" t="s">
        <v>41</v>
      </c>
      <c r="C259" t="s">
        <v>172</v>
      </c>
      <c r="D259" t="s">
        <v>33</v>
      </c>
      <c r="E259" t="s">
        <v>83</v>
      </c>
      <c r="F259" s="1">
        <v>46163</v>
      </c>
      <c r="G259">
        <v>46193</v>
      </c>
      <c r="H259" t="s">
        <v>9</v>
      </c>
      <c r="I259">
        <v>968246.57</v>
      </c>
      <c r="J259" t="s">
        <v>75</v>
      </c>
      <c r="K259" t="s">
        <v>610</v>
      </c>
      <c r="L259">
        <v>30</v>
      </c>
      <c r="M259" t="s">
        <v>41</v>
      </c>
      <c r="N259">
        <v>1.1598999999999999</v>
      </c>
      <c r="O259">
        <v>1.3419642960443348</v>
      </c>
      <c r="P259">
        <v>6.2836556693211983E-3</v>
      </c>
      <c r="Q259">
        <v>6.2836556693211983E-3</v>
      </c>
      <c r="R259">
        <v>6084.1280488813045</v>
      </c>
      <c r="S259" t="s">
        <v>19</v>
      </c>
      <c r="T259">
        <v>6.6E-3</v>
      </c>
      <c r="U259">
        <v>6390.4273619999994</v>
      </c>
      <c r="V259">
        <v>-306.29931311869495</v>
      </c>
      <c r="W259">
        <v>-4.7930959193757748E-2</v>
      </c>
    </row>
    <row r="260" spans="1:23" x14ac:dyDescent="0.25">
      <c r="A260" t="s">
        <v>611</v>
      </c>
      <c r="B260" t="s">
        <v>38</v>
      </c>
      <c r="C260" t="s">
        <v>87</v>
      </c>
      <c r="D260" t="s">
        <v>33</v>
      </c>
      <c r="E260" t="s">
        <v>88</v>
      </c>
      <c r="F260" s="1">
        <v>45869</v>
      </c>
      <c r="G260">
        <v>45899</v>
      </c>
      <c r="H260" t="s">
        <v>6</v>
      </c>
      <c r="I260">
        <v>11988.67</v>
      </c>
      <c r="J260" t="s">
        <v>75</v>
      </c>
      <c r="K260" t="s">
        <v>612</v>
      </c>
      <c r="L260">
        <v>30</v>
      </c>
      <c r="M260" t="s">
        <v>38</v>
      </c>
      <c r="N260">
        <v>1.1446000000000001</v>
      </c>
      <c r="O260">
        <v>1.3233899872817667</v>
      </c>
      <c r="P260">
        <v>6.6732742537313431E-3</v>
      </c>
      <c r="Q260">
        <v>1.1446000000000001</v>
      </c>
      <c r="R260">
        <v>13722.231682000001</v>
      </c>
      <c r="S260" t="s">
        <v>13</v>
      </c>
      <c r="T260">
        <v>1.0880000000000001</v>
      </c>
      <c r="U260">
        <v>13043.672960000002</v>
      </c>
      <c r="V260">
        <v>678.55872199999976</v>
      </c>
      <c r="W260">
        <v>5.2022058823529387E-2</v>
      </c>
    </row>
    <row r="261" spans="1:23" x14ac:dyDescent="0.25">
      <c r="A261" t="s">
        <v>613</v>
      </c>
      <c r="B261" t="s">
        <v>32</v>
      </c>
      <c r="C261" t="s">
        <v>106</v>
      </c>
      <c r="D261" t="s">
        <v>31</v>
      </c>
      <c r="E261" t="s">
        <v>74</v>
      </c>
      <c r="F261" s="1">
        <v>45850</v>
      </c>
      <c r="G261">
        <v>45880</v>
      </c>
      <c r="H261" t="s">
        <v>6</v>
      </c>
      <c r="I261">
        <v>6614.98</v>
      </c>
      <c r="J261" t="s">
        <v>75</v>
      </c>
      <c r="K261" t="s">
        <v>614</v>
      </c>
      <c r="L261">
        <v>30</v>
      </c>
      <c r="M261" t="s">
        <v>32</v>
      </c>
      <c r="N261">
        <v>1.1611</v>
      </c>
      <c r="O261">
        <v>1.3372106414833584</v>
      </c>
      <c r="P261">
        <v>6.5450958286358508E-3</v>
      </c>
      <c r="Q261">
        <v>1.1611</v>
      </c>
      <c r="R261">
        <v>7680.6532779999998</v>
      </c>
      <c r="S261" t="s">
        <v>13</v>
      </c>
      <c r="T261">
        <v>1.0880000000000001</v>
      </c>
      <c r="U261">
        <v>7197.0982400000003</v>
      </c>
      <c r="V261">
        <v>483.55503799999951</v>
      </c>
      <c r="W261">
        <v>6.7187499999999928E-2</v>
      </c>
    </row>
    <row r="262" spans="1:23" x14ac:dyDescent="0.25">
      <c r="A262" t="s">
        <v>615</v>
      </c>
      <c r="B262" t="s">
        <v>40</v>
      </c>
      <c r="C262" t="s">
        <v>78</v>
      </c>
      <c r="D262" t="s">
        <v>33</v>
      </c>
      <c r="E262" t="s">
        <v>79</v>
      </c>
      <c r="F262" s="1">
        <v>45708</v>
      </c>
      <c r="G262">
        <v>45738</v>
      </c>
      <c r="H262" t="s">
        <v>9</v>
      </c>
      <c r="I262">
        <v>1824412.16</v>
      </c>
      <c r="J262" t="s">
        <v>75</v>
      </c>
      <c r="K262" t="s">
        <v>616</v>
      </c>
      <c r="L262">
        <v>30</v>
      </c>
      <c r="M262" t="s">
        <v>40</v>
      </c>
      <c r="N262">
        <v>1.0443</v>
      </c>
      <c r="O262">
        <v>1.2608816391582047</v>
      </c>
      <c r="P262">
        <v>6.6685823754789276E-3</v>
      </c>
      <c r="Q262">
        <v>6.6685823754789276E-3</v>
      </c>
      <c r="R262">
        <v>12166.24277578544</v>
      </c>
      <c r="S262" t="s">
        <v>11</v>
      </c>
      <c r="T262">
        <v>6.5599999999999999E-3</v>
      </c>
      <c r="U262">
        <v>11968.143769599999</v>
      </c>
      <c r="V262">
        <v>198.09900618544089</v>
      </c>
      <c r="W262">
        <v>1.6552191383982829E-2</v>
      </c>
    </row>
    <row r="263" spans="1:23" x14ac:dyDescent="0.25">
      <c r="A263" t="s">
        <v>617</v>
      </c>
      <c r="B263" t="s">
        <v>37</v>
      </c>
      <c r="C263" t="s">
        <v>91</v>
      </c>
      <c r="D263" t="s">
        <v>31</v>
      </c>
      <c r="E263" t="s">
        <v>74</v>
      </c>
      <c r="F263" s="1">
        <v>46099</v>
      </c>
      <c r="G263">
        <v>46129</v>
      </c>
      <c r="H263" t="s">
        <v>6</v>
      </c>
      <c r="I263">
        <v>8523.14</v>
      </c>
      <c r="J263" t="s">
        <v>75</v>
      </c>
      <c r="K263" t="s">
        <v>618</v>
      </c>
      <c r="L263">
        <v>30</v>
      </c>
      <c r="M263" t="s">
        <v>37</v>
      </c>
      <c r="N263">
        <v>1.1499999999999999</v>
      </c>
      <c r="O263">
        <v>1.3311263644045235</v>
      </c>
      <c r="P263">
        <v>6.267371518883862E-3</v>
      </c>
      <c r="Q263">
        <v>1.1499999999999999</v>
      </c>
      <c r="R263">
        <v>9801.610999999999</v>
      </c>
      <c r="S263" t="s">
        <v>16</v>
      </c>
      <c r="T263">
        <v>1.0649999999999999</v>
      </c>
      <c r="U263">
        <v>9077.1440999999995</v>
      </c>
      <c r="V263">
        <v>724.46689999999944</v>
      </c>
      <c r="W263">
        <v>7.9812206572769898E-2</v>
      </c>
    </row>
    <row r="264" spans="1:23" x14ac:dyDescent="0.25">
      <c r="A264" t="s">
        <v>619</v>
      </c>
      <c r="B264" t="s">
        <v>26</v>
      </c>
      <c r="C264" t="s">
        <v>94</v>
      </c>
      <c r="D264" t="s">
        <v>31</v>
      </c>
      <c r="E264" t="s">
        <v>74</v>
      </c>
      <c r="F264" s="1">
        <v>46151</v>
      </c>
      <c r="G264">
        <v>46181</v>
      </c>
      <c r="H264" t="s">
        <v>8</v>
      </c>
      <c r="I264">
        <v>23468.77</v>
      </c>
      <c r="J264" t="s">
        <v>75</v>
      </c>
      <c r="K264" t="s">
        <v>620</v>
      </c>
      <c r="L264">
        <v>30</v>
      </c>
      <c r="M264" t="s">
        <v>26</v>
      </c>
      <c r="N264">
        <v>1.1760999999999999</v>
      </c>
      <c r="O264">
        <v>1.3610693206804767</v>
      </c>
      <c r="P264">
        <v>6.3790204480121491E-3</v>
      </c>
      <c r="Q264">
        <v>1.3610693206804767</v>
      </c>
      <c r="R264">
        <v>31942.622841106353</v>
      </c>
      <c r="S264" t="s">
        <v>19</v>
      </c>
      <c r="T264">
        <v>1.2709999999999999</v>
      </c>
      <c r="U264">
        <v>29828.806669999998</v>
      </c>
      <c r="V264">
        <v>2113.8161711063549</v>
      </c>
      <c r="W264">
        <v>7.086492579109116E-2</v>
      </c>
    </row>
    <row r="265" spans="1:23" x14ac:dyDescent="0.25">
      <c r="A265" t="s">
        <v>621</v>
      </c>
      <c r="B265" t="s">
        <v>34</v>
      </c>
      <c r="C265" t="s">
        <v>177</v>
      </c>
      <c r="D265" t="s">
        <v>31</v>
      </c>
      <c r="E265" t="s">
        <v>74</v>
      </c>
      <c r="F265" s="1">
        <v>46324</v>
      </c>
      <c r="G265">
        <v>46384</v>
      </c>
      <c r="H265" t="s">
        <v>8</v>
      </c>
      <c r="I265">
        <v>7943.55</v>
      </c>
      <c r="J265" t="s">
        <v>84</v>
      </c>
      <c r="K265" t="s">
        <v>622</v>
      </c>
      <c r="L265">
        <v>60</v>
      </c>
      <c r="M265" t="s">
        <v>34</v>
      </c>
      <c r="N265">
        <v>1.1176999999999999</v>
      </c>
      <c r="O265">
        <v>1.320456022210408</v>
      </c>
      <c r="P265">
        <v>6.3200452360757699E-3</v>
      </c>
      <c r="Q265">
        <v>1.320456022210408</v>
      </c>
      <c r="R265">
        <v>10489.108435229487</v>
      </c>
      <c r="S265" t="s">
        <v>23</v>
      </c>
      <c r="T265">
        <v>1.3149999999999999</v>
      </c>
      <c r="U265">
        <v>10445.768249999999</v>
      </c>
      <c r="V265">
        <v>43.34018522948827</v>
      </c>
      <c r="W265">
        <v>4.1490663197020737E-3</v>
      </c>
    </row>
    <row r="266" spans="1:23" x14ac:dyDescent="0.25">
      <c r="A266" t="s">
        <v>623</v>
      </c>
      <c r="B266" t="s">
        <v>34</v>
      </c>
      <c r="C266" t="s">
        <v>177</v>
      </c>
      <c r="D266" t="s">
        <v>31</v>
      </c>
      <c r="E266" t="s">
        <v>74</v>
      </c>
      <c r="F266" s="1">
        <v>45810</v>
      </c>
      <c r="G266">
        <v>45870</v>
      </c>
      <c r="H266" t="s">
        <v>8</v>
      </c>
      <c r="I266">
        <v>2732.74</v>
      </c>
      <c r="J266" t="s">
        <v>75</v>
      </c>
      <c r="K266" t="s">
        <v>624</v>
      </c>
      <c r="L266">
        <v>60</v>
      </c>
      <c r="M266" t="s">
        <v>34</v>
      </c>
      <c r="N266">
        <v>1.1418999999999999</v>
      </c>
      <c r="O266">
        <v>1.3539245909414275</v>
      </c>
      <c r="P266">
        <v>7.0063811510614801E-3</v>
      </c>
      <c r="Q266">
        <v>1.3539245909414275</v>
      </c>
      <c r="R266">
        <v>3699.923886649276</v>
      </c>
      <c r="S266" t="s">
        <v>12</v>
      </c>
      <c r="T266">
        <v>1.26</v>
      </c>
      <c r="U266">
        <v>3443.2523999999999</v>
      </c>
      <c r="V266">
        <v>256.67148664927618</v>
      </c>
      <c r="W266">
        <v>7.4543326143989966E-2</v>
      </c>
    </row>
    <row r="267" spans="1:23" x14ac:dyDescent="0.25">
      <c r="A267" t="s">
        <v>625</v>
      </c>
      <c r="B267" t="s">
        <v>37</v>
      </c>
      <c r="C267" t="s">
        <v>91</v>
      </c>
      <c r="D267" t="s">
        <v>31</v>
      </c>
      <c r="E267" t="s">
        <v>74</v>
      </c>
      <c r="F267" s="1">
        <v>45892</v>
      </c>
      <c r="G267">
        <v>45922</v>
      </c>
      <c r="H267" t="s">
        <v>6</v>
      </c>
      <c r="I267">
        <v>3306.26</v>
      </c>
      <c r="J267" t="s">
        <v>75</v>
      </c>
      <c r="K267" t="s">
        <v>626</v>
      </c>
      <c r="L267">
        <v>30</v>
      </c>
      <c r="M267" t="s">
        <v>37</v>
      </c>
      <c r="N267">
        <v>1.1655</v>
      </c>
      <c r="O267">
        <v>1.3326091927738395</v>
      </c>
      <c r="P267">
        <v>6.4289260301174916E-3</v>
      </c>
      <c r="Q267">
        <v>1.1655</v>
      </c>
      <c r="R267">
        <v>3853.4460300000001</v>
      </c>
      <c r="S267" t="s">
        <v>13</v>
      </c>
      <c r="T267">
        <v>1.0880000000000001</v>
      </c>
      <c r="U267">
        <v>3597.2108800000005</v>
      </c>
      <c r="V267">
        <v>256.23514999999952</v>
      </c>
      <c r="W267">
        <v>7.1231617647058681E-2</v>
      </c>
    </row>
    <row r="268" spans="1:23" x14ac:dyDescent="0.25">
      <c r="A268" t="s">
        <v>627</v>
      </c>
      <c r="B268" t="s">
        <v>36</v>
      </c>
      <c r="C268" t="s">
        <v>116</v>
      </c>
      <c r="D268" t="s">
        <v>31</v>
      </c>
      <c r="E268" t="s">
        <v>74</v>
      </c>
      <c r="F268" s="1">
        <v>46220</v>
      </c>
      <c r="G268">
        <v>46265</v>
      </c>
      <c r="H268" t="s">
        <v>6</v>
      </c>
      <c r="I268">
        <v>17065.990000000002</v>
      </c>
      <c r="J268" t="s">
        <v>75</v>
      </c>
      <c r="K268" t="s">
        <v>628</v>
      </c>
      <c r="L268">
        <v>45</v>
      </c>
      <c r="M268" t="s">
        <v>36</v>
      </c>
      <c r="N268">
        <v>1.1435</v>
      </c>
      <c r="O268">
        <v>1.3437448588685985</v>
      </c>
      <c r="P268">
        <v>6.1594398060867217E-3</v>
      </c>
      <c r="Q268">
        <v>1.1435</v>
      </c>
      <c r="R268">
        <v>19514.959565000001</v>
      </c>
      <c r="S268" t="s">
        <v>21</v>
      </c>
      <c r="T268">
        <v>1.101</v>
      </c>
      <c r="U268">
        <v>18789.654990000003</v>
      </c>
      <c r="V268">
        <v>725.30457499999829</v>
      </c>
      <c r="W268">
        <v>3.8601271571298723E-2</v>
      </c>
    </row>
    <row r="269" spans="1:23" x14ac:dyDescent="0.25">
      <c r="A269" t="s">
        <v>629</v>
      </c>
      <c r="B269" t="s">
        <v>30</v>
      </c>
      <c r="C269" t="s">
        <v>103</v>
      </c>
      <c r="D269" t="s">
        <v>31</v>
      </c>
      <c r="E269" t="s">
        <v>74</v>
      </c>
      <c r="F269" s="1">
        <v>45978</v>
      </c>
      <c r="G269">
        <v>46008</v>
      </c>
      <c r="H269" t="s">
        <v>9</v>
      </c>
      <c r="I269">
        <v>2653155.1</v>
      </c>
      <c r="J269" t="s">
        <v>75</v>
      </c>
      <c r="K269" t="s">
        <v>630</v>
      </c>
      <c r="L269">
        <v>30</v>
      </c>
      <c r="M269" t="s">
        <v>30</v>
      </c>
      <c r="N269">
        <v>1.1593</v>
      </c>
      <c r="O269">
        <v>1.3181353041500854</v>
      </c>
      <c r="P269">
        <v>6.4559781700729525E-3</v>
      </c>
      <c r="Q269">
        <v>6.4559781700729525E-3</v>
      </c>
      <c r="R269">
        <v>17128.711407417723</v>
      </c>
      <c r="S269" t="s">
        <v>14</v>
      </c>
      <c r="T269">
        <v>6.9800000000000001E-3</v>
      </c>
      <c r="U269">
        <v>18519.022598</v>
      </c>
      <c r="V269">
        <v>-1390.311190582277</v>
      </c>
      <c r="W269">
        <v>-7.5074760734533938E-2</v>
      </c>
    </row>
    <row r="270" spans="1:23" x14ac:dyDescent="0.25">
      <c r="A270" t="s">
        <v>631</v>
      </c>
      <c r="B270" t="s">
        <v>44</v>
      </c>
      <c r="C270" t="s">
        <v>138</v>
      </c>
      <c r="D270" t="s">
        <v>33</v>
      </c>
      <c r="E270" t="s">
        <v>88</v>
      </c>
      <c r="F270" s="1">
        <v>46123</v>
      </c>
      <c r="G270">
        <v>46168</v>
      </c>
      <c r="H270" t="s">
        <v>9</v>
      </c>
      <c r="I270">
        <v>1147404.6100000001</v>
      </c>
      <c r="J270" t="s">
        <v>75</v>
      </c>
      <c r="K270" t="s">
        <v>632</v>
      </c>
      <c r="L270">
        <v>45</v>
      </c>
      <c r="M270" t="s">
        <v>44</v>
      </c>
      <c r="N270">
        <v>1.1711</v>
      </c>
      <c r="O270">
        <v>1.3444693186384249</v>
      </c>
      <c r="P270">
        <v>6.2817143163653921E-3</v>
      </c>
      <c r="Q270">
        <v>6.2817143163653921E-3</v>
      </c>
      <c r="R270">
        <v>7207.6679653006504</v>
      </c>
      <c r="S270" t="s">
        <v>19</v>
      </c>
      <c r="T270">
        <v>6.6E-3</v>
      </c>
      <c r="U270">
        <v>7572.8704260000004</v>
      </c>
      <c r="V270">
        <v>-365.20246069935001</v>
      </c>
      <c r="W270">
        <v>-4.8225103581001107E-2</v>
      </c>
    </row>
    <row r="271" spans="1:23" x14ac:dyDescent="0.25">
      <c r="A271" t="s">
        <v>633</v>
      </c>
      <c r="B271" t="s">
        <v>26</v>
      </c>
      <c r="C271" t="s">
        <v>94</v>
      </c>
      <c r="D271" t="s">
        <v>31</v>
      </c>
      <c r="E271" t="s">
        <v>74</v>
      </c>
      <c r="F271" s="1">
        <v>46315</v>
      </c>
      <c r="G271">
        <v>46345</v>
      </c>
      <c r="H271" t="s">
        <v>8</v>
      </c>
      <c r="I271">
        <v>17386.09</v>
      </c>
      <c r="J271" t="s">
        <v>84</v>
      </c>
      <c r="K271" t="s">
        <v>634</v>
      </c>
      <c r="L271">
        <v>30</v>
      </c>
      <c r="M271" t="s">
        <v>26</v>
      </c>
      <c r="N271">
        <v>1.1176999999999999</v>
      </c>
      <c r="O271">
        <v>1.320456022210408</v>
      </c>
      <c r="P271">
        <v>6.3200452360757699E-3</v>
      </c>
      <c r="Q271">
        <v>1.320456022210408</v>
      </c>
      <c r="R271">
        <v>22957.567243192152</v>
      </c>
      <c r="S271" t="s">
        <v>23</v>
      </c>
      <c r="T271">
        <v>1.3149999999999999</v>
      </c>
      <c r="U271">
        <v>22862.708350000001</v>
      </c>
      <c r="V271">
        <v>94.858893192151299</v>
      </c>
      <c r="W271">
        <v>4.1490663197018517E-3</v>
      </c>
    </row>
    <row r="272" spans="1:23" x14ac:dyDescent="0.25">
      <c r="A272" t="s">
        <v>635</v>
      </c>
      <c r="B272" t="s">
        <v>24</v>
      </c>
      <c r="C272" t="s">
        <v>73</v>
      </c>
      <c r="D272" t="s">
        <v>31</v>
      </c>
      <c r="E272" t="s">
        <v>74</v>
      </c>
      <c r="F272" s="1">
        <v>45725</v>
      </c>
      <c r="G272">
        <v>45755</v>
      </c>
      <c r="H272" t="s">
        <v>6</v>
      </c>
      <c r="I272">
        <v>17516.009999999998</v>
      </c>
      <c r="J272" t="s">
        <v>75</v>
      </c>
      <c r="K272" t="s">
        <v>636</v>
      </c>
      <c r="L272">
        <v>30</v>
      </c>
      <c r="M272" t="s">
        <v>24</v>
      </c>
      <c r="N272">
        <v>1.1376999999999999</v>
      </c>
      <c r="O272">
        <v>1.3170415475267123</v>
      </c>
      <c r="P272">
        <v>6.981039455114438E-3</v>
      </c>
      <c r="Q272">
        <v>1.1376999999999999</v>
      </c>
      <c r="R272">
        <v>19927.964576999999</v>
      </c>
      <c r="S272" t="s">
        <v>11</v>
      </c>
      <c r="T272">
        <v>1.052</v>
      </c>
      <c r="U272">
        <v>18426.842519999998</v>
      </c>
      <c r="V272">
        <v>1501.1220570000005</v>
      </c>
      <c r="W272">
        <v>8.1463878326996225E-2</v>
      </c>
    </row>
    <row r="273" spans="1:23" x14ac:dyDescent="0.25">
      <c r="A273" t="s">
        <v>637</v>
      </c>
      <c r="B273" t="s">
        <v>22</v>
      </c>
      <c r="C273" t="s">
        <v>127</v>
      </c>
      <c r="D273" t="s">
        <v>31</v>
      </c>
      <c r="E273" t="s">
        <v>124</v>
      </c>
      <c r="F273" s="1">
        <v>45815</v>
      </c>
      <c r="G273">
        <v>45875</v>
      </c>
      <c r="H273" t="s">
        <v>9</v>
      </c>
      <c r="I273">
        <v>4780895.83</v>
      </c>
      <c r="J273" t="s">
        <v>75</v>
      </c>
      <c r="K273" t="s">
        <v>638</v>
      </c>
      <c r="L273">
        <v>60</v>
      </c>
      <c r="M273" t="s">
        <v>22</v>
      </c>
      <c r="N273">
        <v>1.1638999999999999</v>
      </c>
      <c r="O273">
        <v>1.3449272012941993</v>
      </c>
      <c r="P273">
        <v>6.7633215178104474E-3</v>
      </c>
      <c r="Q273">
        <v>6.7633215178104474E-3</v>
      </c>
      <c r="R273">
        <v>32334.735641449239</v>
      </c>
      <c r="S273" t="s">
        <v>12</v>
      </c>
      <c r="T273">
        <v>6.7000000000000002E-3</v>
      </c>
      <c r="U273">
        <v>32032.002061000003</v>
      </c>
      <c r="V273">
        <v>302.73358044923589</v>
      </c>
      <c r="W273">
        <v>9.4509728075293734E-3</v>
      </c>
    </row>
    <row r="274" spans="1:23" x14ac:dyDescent="0.25">
      <c r="A274" t="s">
        <v>639</v>
      </c>
      <c r="B274" t="s">
        <v>37</v>
      </c>
      <c r="C274" t="s">
        <v>91</v>
      </c>
      <c r="D274" t="s">
        <v>31</v>
      </c>
      <c r="E274" t="s">
        <v>74</v>
      </c>
      <c r="F274" s="1">
        <v>45947</v>
      </c>
      <c r="G274">
        <v>45977</v>
      </c>
      <c r="H274" t="s">
        <v>6</v>
      </c>
      <c r="I274">
        <v>8458.9500000000007</v>
      </c>
      <c r="J274" t="s">
        <v>75</v>
      </c>
      <c r="K274" t="s">
        <v>640</v>
      </c>
      <c r="L274">
        <v>30</v>
      </c>
      <c r="M274" t="s">
        <v>37</v>
      </c>
      <c r="N274">
        <v>1.1680999999999999</v>
      </c>
      <c r="O274">
        <v>1.3434157561817135</v>
      </c>
      <c r="P274">
        <v>6.6482640865110987E-3</v>
      </c>
      <c r="Q274">
        <v>1.1680999999999999</v>
      </c>
      <c r="R274">
        <v>9880.8994949999997</v>
      </c>
      <c r="S274" t="s">
        <v>14</v>
      </c>
      <c r="T274">
        <v>1.1060000000000001</v>
      </c>
      <c r="U274">
        <v>9355.5987000000023</v>
      </c>
      <c r="V274">
        <v>525.30079499999738</v>
      </c>
      <c r="W274">
        <v>5.614828209764889E-2</v>
      </c>
    </row>
    <row r="275" spans="1:23" x14ac:dyDescent="0.25">
      <c r="A275" t="s">
        <v>641</v>
      </c>
      <c r="B275" t="s">
        <v>38</v>
      </c>
      <c r="C275" t="s">
        <v>87</v>
      </c>
      <c r="D275" t="s">
        <v>33</v>
      </c>
      <c r="E275" t="s">
        <v>88</v>
      </c>
      <c r="F275" s="1">
        <v>46109</v>
      </c>
      <c r="G275">
        <v>46139</v>
      </c>
      <c r="H275" t="s">
        <v>6</v>
      </c>
      <c r="I275">
        <v>11001.74</v>
      </c>
      <c r="J275" t="s">
        <v>75</v>
      </c>
      <c r="K275" t="s">
        <v>642</v>
      </c>
      <c r="L275">
        <v>30</v>
      </c>
      <c r="M275" t="s">
        <v>38</v>
      </c>
      <c r="N275">
        <v>1.1516999999999999</v>
      </c>
      <c r="O275">
        <v>1.3280673431734318</v>
      </c>
      <c r="P275">
        <v>6.2538010425716769E-3</v>
      </c>
      <c r="Q275">
        <v>1.1516999999999999</v>
      </c>
      <c r="R275">
        <v>12670.703958</v>
      </c>
      <c r="S275" t="s">
        <v>16</v>
      </c>
      <c r="T275">
        <v>1.0649999999999999</v>
      </c>
      <c r="U275">
        <v>11716.853099999998</v>
      </c>
      <c r="V275">
        <v>953.85085800000161</v>
      </c>
      <c r="W275">
        <v>8.1408450704225505E-2</v>
      </c>
    </row>
    <row r="276" spans="1:23" x14ac:dyDescent="0.25">
      <c r="A276" t="s">
        <v>643</v>
      </c>
      <c r="B276" t="s">
        <v>37</v>
      </c>
      <c r="C276" t="s">
        <v>91</v>
      </c>
      <c r="D276" t="s">
        <v>31</v>
      </c>
      <c r="E276" t="s">
        <v>74</v>
      </c>
      <c r="F276" s="1">
        <v>46272</v>
      </c>
      <c r="G276">
        <v>46302</v>
      </c>
      <c r="H276" t="s">
        <v>6</v>
      </c>
      <c r="I276">
        <v>16921.79</v>
      </c>
      <c r="J276" t="s">
        <v>75</v>
      </c>
      <c r="K276" t="s">
        <v>644</v>
      </c>
      <c r="L276">
        <v>30</v>
      </c>
      <c r="M276" t="s">
        <v>37</v>
      </c>
      <c r="N276">
        <v>1.1621999999999999</v>
      </c>
      <c r="O276">
        <v>1.3530630777469903</v>
      </c>
      <c r="P276">
        <v>6.4620517097581315E-3</v>
      </c>
      <c r="Q276">
        <v>1.1621999999999999</v>
      </c>
      <c r="R276">
        <v>19666.504337999999</v>
      </c>
      <c r="S276" t="s">
        <v>21</v>
      </c>
      <c r="T276">
        <v>1.101</v>
      </c>
      <c r="U276">
        <v>18630.890790000001</v>
      </c>
      <c r="V276">
        <v>1035.6135479999975</v>
      </c>
      <c r="W276">
        <v>5.5585831062670163E-2</v>
      </c>
    </row>
    <row r="277" spans="1:23" x14ac:dyDescent="0.25">
      <c r="A277" t="s">
        <v>645</v>
      </c>
      <c r="B277" t="s">
        <v>26</v>
      </c>
      <c r="C277" t="s">
        <v>94</v>
      </c>
      <c r="D277" t="s">
        <v>31</v>
      </c>
      <c r="E277" t="s">
        <v>74</v>
      </c>
      <c r="F277" s="1">
        <v>45761</v>
      </c>
      <c r="G277">
        <v>45791</v>
      </c>
      <c r="H277" t="s">
        <v>8</v>
      </c>
      <c r="I277">
        <v>4096.4799999999996</v>
      </c>
      <c r="J277" t="s">
        <v>75</v>
      </c>
      <c r="K277" t="s">
        <v>646</v>
      </c>
      <c r="L277">
        <v>30</v>
      </c>
      <c r="M277" t="s">
        <v>26</v>
      </c>
      <c r="N277">
        <v>1.1376999999999999</v>
      </c>
      <c r="O277">
        <v>1.3170415475267123</v>
      </c>
      <c r="P277">
        <v>6.981039455114438E-3</v>
      </c>
      <c r="Q277">
        <v>1.3170415475267123</v>
      </c>
      <c r="R277">
        <v>5395.2343586122261</v>
      </c>
      <c r="S277" t="s">
        <v>12</v>
      </c>
      <c r="T277">
        <v>1.26</v>
      </c>
      <c r="U277">
        <v>5161.5647999999992</v>
      </c>
      <c r="V277">
        <v>233.66955861222687</v>
      </c>
      <c r="W277">
        <v>4.5271069465644777E-2</v>
      </c>
    </row>
    <row r="278" spans="1:23" x14ac:dyDescent="0.25">
      <c r="A278" t="s">
        <v>647</v>
      </c>
      <c r="B278" t="s">
        <v>42</v>
      </c>
      <c r="C278" t="s">
        <v>151</v>
      </c>
      <c r="D278" t="s">
        <v>35</v>
      </c>
      <c r="E278" t="s">
        <v>152</v>
      </c>
      <c r="F278" s="1">
        <v>45764</v>
      </c>
      <c r="G278">
        <v>45794</v>
      </c>
      <c r="H278" t="s">
        <v>8</v>
      </c>
      <c r="I278">
        <v>6487.03</v>
      </c>
      <c r="J278" t="s">
        <v>75</v>
      </c>
      <c r="K278" t="s">
        <v>648</v>
      </c>
      <c r="L278">
        <v>30</v>
      </c>
      <c r="M278" t="s">
        <v>42</v>
      </c>
      <c r="N278">
        <v>1.1359999999999999</v>
      </c>
      <c r="O278">
        <v>1.322883793509019</v>
      </c>
      <c r="P278">
        <v>7.0132115075935298E-3</v>
      </c>
      <c r="Q278">
        <v>1.322883793509019</v>
      </c>
      <c r="R278">
        <v>8581.5868550068117</v>
      </c>
      <c r="S278" t="s">
        <v>12</v>
      </c>
      <c r="T278">
        <v>1.26</v>
      </c>
      <c r="U278">
        <v>8173.6578</v>
      </c>
      <c r="V278">
        <v>407.92905500681172</v>
      </c>
      <c r="W278">
        <v>4.9907772626205583E-2</v>
      </c>
    </row>
    <row r="279" spans="1:23" x14ac:dyDescent="0.25">
      <c r="A279" t="s">
        <v>649</v>
      </c>
      <c r="B279" t="s">
        <v>24</v>
      </c>
      <c r="C279" t="s">
        <v>73</v>
      </c>
      <c r="D279" t="s">
        <v>31</v>
      </c>
      <c r="E279" t="s">
        <v>74</v>
      </c>
      <c r="F279" s="1">
        <v>45938</v>
      </c>
      <c r="G279">
        <v>45968</v>
      </c>
      <c r="H279" t="s">
        <v>6</v>
      </c>
      <c r="I279">
        <v>41501.9</v>
      </c>
      <c r="J279" t="s">
        <v>75</v>
      </c>
      <c r="K279" t="s">
        <v>650</v>
      </c>
      <c r="L279">
        <v>30</v>
      </c>
      <c r="M279" t="s">
        <v>24</v>
      </c>
      <c r="N279">
        <v>1.1627000000000001</v>
      </c>
      <c r="O279">
        <v>1.3409064698420021</v>
      </c>
      <c r="P279">
        <v>6.5493156086295279E-3</v>
      </c>
      <c r="Q279">
        <v>1.1627000000000001</v>
      </c>
      <c r="R279">
        <v>48254.259130000006</v>
      </c>
      <c r="S279" t="s">
        <v>14</v>
      </c>
      <c r="T279">
        <v>1.1060000000000001</v>
      </c>
      <c r="U279">
        <v>45901.101400000007</v>
      </c>
      <c r="V279">
        <v>2353.157729999999</v>
      </c>
      <c r="W279">
        <v>5.1265822784810094E-2</v>
      </c>
    </row>
    <row r="280" spans="1:23" x14ac:dyDescent="0.25">
      <c r="A280" t="s">
        <v>651</v>
      </c>
      <c r="B280" t="s">
        <v>34</v>
      </c>
      <c r="C280" t="s">
        <v>177</v>
      </c>
      <c r="D280" t="s">
        <v>31</v>
      </c>
      <c r="E280" t="s">
        <v>74</v>
      </c>
      <c r="F280" s="1">
        <v>46036</v>
      </c>
      <c r="G280">
        <v>46096</v>
      </c>
      <c r="H280" t="s">
        <v>8</v>
      </c>
      <c r="I280">
        <v>6408.87</v>
      </c>
      <c r="J280" t="s">
        <v>75</v>
      </c>
      <c r="K280" t="s">
        <v>652</v>
      </c>
      <c r="L280">
        <v>60</v>
      </c>
      <c r="M280" t="s">
        <v>34</v>
      </c>
      <c r="N280">
        <v>1.1651</v>
      </c>
      <c r="O280">
        <v>1.3441393631748961</v>
      </c>
      <c r="P280">
        <v>6.3039714316632401E-3</v>
      </c>
      <c r="Q280">
        <v>1.3441393631748961</v>
      </c>
      <c r="R280">
        <v>8614.4144404706967</v>
      </c>
      <c r="S280" t="s">
        <v>16</v>
      </c>
      <c r="T280">
        <v>1.2490000000000001</v>
      </c>
      <c r="U280">
        <v>8004.6786300000003</v>
      </c>
      <c r="V280">
        <v>609.73581047069638</v>
      </c>
      <c r="W280">
        <v>7.6172428482703045E-2</v>
      </c>
    </row>
    <row r="281" spans="1:23" x14ac:dyDescent="0.25">
      <c r="A281" t="s">
        <v>653</v>
      </c>
      <c r="B281" t="s">
        <v>26</v>
      </c>
      <c r="C281" t="s">
        <v>94</v>
      </c>
      <c r="D281" t="s">
        <v>31</v>
      </c>
      <c r="E281" t="s">
        <v>74</v>
      </c>
      <c r="F281" s="1">
        <v>46166</v>
      </c>
      <c r="G281">
        <v>46196</v>
      </c>
      <c r="H281" t="s">
        <v>8</v>
      </c>
      <c r="I281">
        <v>30359.47</v>
      </c>
      <c r="J281" t="s">
        <v>75</v>
      </c>
      <c r="K281" t="s">
        <v>654</v>
      </c>
      <c r="L281">
        <v>30</v>
      </c>
      <c r="M281" t="s">
        <v>26</v>
      </c>
      <c r="N281">
        <v>1.1595</v>
      </c>
      <c r="O281">
        <v>1.3417343608970353</v>
      </c>
      <c r="P281">
        <v>6.2835311331490814E-3</v>
      </c>
      <c r="Q281">
        <v>1.3417343608970353</v>
      </c>
      <c r="R281">
        <v>40734.344077622722</v>
      </c>
      <c r="S281" t="s">
        <v>19</v>
      </c>
      <c r="T281">
        <v>1.2709999999999999</v>
      </c>
      <c r="U281">
        <v>38586.88637</v>
      </c>
      <c r="V281">
        <v>2147.4577076227215</v>
      </c>
      <c r="W281">
        <v>5.5652526276188413E-2</v>
      </c>
    </row>
    <row r="282" spans="1:23" x14ac:dyDescent="0.25">
      <c r="A282" t="s">
        <v>655</v>
      </c>
      <c r="B282" t="s">
        <v>25</v>
      </c>
      <c r="C282" t="s">
        <v>169</v>
      </c>
      <c r="D282" t="s">
        <v>31</v>
      </c>
      <c r="E282" t="s">
        <v>124</v>
      </c>
      <c r="F282" s="1">
        <v>46335</v>
      </c>
      <c r="G282">
        <v>46395</v>
      </c>
      <c r="H282" t="s">
        <v>6</v>
      </c>
      <c r="I282">
        <v>72033.210000000006</v>
      </c>
      <c r="J282" t="s">
        <v>84</v>
      </c>
      <c r="K282" t="s">
        <v>656</v>
      </c>
      <c r="L282">
        <v>60</v>
      </c>
      <c r="M282" t="s">
        <v>25</v>
      </c>
      <c r="N282">
        <v>1.1176999999999999</v>
      </c>
      <c r="O282">
        <v>1.320456022210408</v>
      </c>
      <c r="P282">
        <v>6.3200452360757699E-3</v>
      </c>
      <c r="Q282">
        <v>1.1176999999999999</v>
      </c>
      <c r="R282">
        <v>80511.518817000004</v>
      </c>
      <c r="S282" t="s">
        <v>23</v>
      </c>
      <c r="T282">
        <v>1.119</v>
      </c>
      <c r="U282">
        <v>80605.161990000008</v>
      </c>
      <c r="V282">
        <v>-93.643173000004026</v>
      </c>
      <c r="W282">
        <v>-1.1617515638963859E-3</v>
      </c>
    </row>
    <row r="283" spans="1:23" x14ac:dyDescent="0.25">
      <c r="A283" t="s">
        <v>657</v>
      </c>
      <c r="B283" t="s">
        <v>26</v>
      </c>
      <c r="C283" t="s">
        <v>94</v>
      </c>
      <c r="D283" t="s">
        <v>31</v>
      </c>
      <c r="E283" t="s">
        <v>74</v>
      </c>
      <c r="F283" s="1">
        <v>46089</v>
      </c>
      <c r="G283">
        <v>46119</v>
      </c>
      <c r="H283" t="s">
        <v>8</v>
      </c>
      <c r="I283">
        <v>22175.29</v>
      </c>
      <c r="J283" t="s">
        <v>75</v>
      </c>
      <c r="K283" t="s">
        <v>658</v>
      </c>
      <c r="L283">
        <v>30</v>
      </c>
      <c r="M283" t="s">
        <v>26</v>
      </c>
      <c r="N283">
        <v>1.1555</v>
      </c>
      <c r="O283">
        <v>1.3367963164349013</v>
      </c>
      <c r="P283">
        <v>6.2983756677204832E-3</v>
      </c>
      <c r="Q283">
        <v>1.3367963164349013</v>
      </c>
      <c r="R283">
        <v>29643.845987875702</v>
      </c>
      <c r="S283" t="s">
        <v>16</v>
      </c>
      <c r="T283">
        <v>1.2490000000000001</v>
      </c>
      <c r="U283">
        <v>27696.937210000004</v>
      </c>
      <c r="V283">
        <v>1946.9087778756984</v>
      </c>
      <c r="W283">
        <v>7.0293287778143407E-2</v>
      </c>
    </row>
    <row r="284" spans="1:23" x14ac:dyDescent="0.25">
      <c r="A284" t="s">
        <v>659</v>
      </c>
      <c r="B284" t="s">
        <v>25</v>
      </c>
      <c r="C284" t="s">
        <v>169</v>
      </c>
      <c r="D284" t="s">
        <v>31</v>
      </c>
      <c r="E284" t="s">
        <v>124</v>
      </c>
      <c r="F284" s="1">
        <v>46217</v>
      </c>
      <c r="G284">
        <v>46277</v>
      </c>
      <c r="H284" t="s">
        <v>6</v>
      </c>
      <c r="I284">
        <v>37820.660000000003</v>
      </c>
      <c r="J284" t="s">
        <v>75</v>
      </c>
      <c r="K284" t="s">
        <v>660</v>
      </c>
      <c r="L284">
        <v>60</v>
      </c>
      <c r="M284" t="s">
        <v>25</v>
      </c>
      <c r="N284">
        <v>1.1405000000000001</v>
      </c>
      <c r="O284">
        <v>1.338379393299302</v>
      </c>
      <c r="P284">
        <v>6.164531646938004E-3</v>
      </c>
      <c r="Q284">
        <v>1.1405000000000001</v>
      </c>
      <c r="R284">
        <v>43134.462730000007</v>
      </c>
      <c r="S284" t="s">
        <v>21</v>
      </c>
      <c r="T284">
        <v>1.101</v>
      </c>
      <c r="U284">
        <v>41640.54666</v>
      </c>
      <c r="V284">
        <v>1493.9160700000066</v>
      </c>
      <c r="W284">
        <v>3.5876475930971999E-2</v>
      </c>
    </row>
    <row r="285" spans="1:23" x14ac:dyDescent="0.25">
      <c r="A285" t="s">
        <v>661</v>
      </c>
      <c r="B285" t="s">
        <v>43</v>
      </c>
      <c r="C285" t="s">
        <v>215</v>
      </c>
      <c r="D285" t="s">
        <v>35</v>
      </c>
      <c r="E285" t="s">
        <v>152</v>
      </c>
      <c r="F285" s="1">
        <v>45924</v>
      </c>
      <c r="G285">
        <v>45954</v>
      </c>
      <c r="H285" t="s">
        <v>6</v>
      </c>
      <c r="I285">
        <v>9777.81</v>
      </c>
      <c r="J285" t="s">
        <v>75</v>
      </c>
      <c r="K285" t="s">
        <v>662</v>
      </c>
      <c r="L285">
        <v>30</v>
      </c>
      <c r="M285" t="s">
        <v>43</v>
      </c>
      <c r="N285">
        <v>1.1756</v>
      </c>
      <c r="O285">
        <v>1.3464666132172718</v>
      </c>
      <c r="P285">
        <v>6.7365767004756178E-3</v>
      </c>
      <c r="Q285">
        <v>1.1756</v>
      </c>
      <c r="R285">
        <v>11494.793436</v>
      </c>
      <c r="S285" t="s">
        <v>13</v>
      </c>
      <c r="T285">
        <v>1.0880000000000001</v>
      </c>
      <c r="U285">
        <v>10638.25728</v>
      </c>
      <c r="V285">
        <v>856.53615600000012</v>
      </c>
      <c r="W285">
        <v>8.051470588235296E-2</v>
      </c>
    </row>
    <row r="286" spans="1:23" x14ac:dyDescent="0.25">
      <c r="A286" t="s">
        <v>663</v>
      </c>
      <c r="B286" t="s">
        <v>26</v>
      </c>
      <c r="C286" t="s">
        <v>94</v>
      </c>
      <c r="D286" t="s">
        <v>31</v>
      </c>
      <c r="E286" t="s">
        <v>74</v>
      </c>
      <c r="F286" s="1">
        <v>46046</v>
      </c>
      <c r="G286">
        <v>46076</v>
      </c>
      <c r="H286" t="s">
        <v>8</v>
      </c>
      <c r="I286">
        <v>31609.21</v>
      </c>
      <c r="J286" t="s">
        <v>75</v>
      </c>
      <c r="K286" t="s">
        <v>664</v>
      </c>
      <c r="L286">
        <v>30</v>
      </c>
      <c r="M286" t="s">
        <v>26</v>
      </c>
      <c r="N286">
        <v>1.1555</v>
      </c>
      <c r="O286">
        <v>1.3367963164349013</v>
      </c>
      <c r="P286">
        <v>6.2983756677204832E-3</v>
      </c>
      <c r="Q286">
        <v>1.3367963164349013</v>
      </c>
      <c r="R286">
        <v>42255.075493417244</v>
      </c>
      <c r="S286" t="s">
        <v>16</v>
      </c>
      <c r="T286">
        <v>1.2490000000000001</v>
      </c>
      <c r="U286">
        <v>39479.903290000002</v>
      </c>
      <c r="V286">
        <v>2775.1722034172417</v>
      </c>
      <c r="W286">
        <v>7.0293287778143435E-2</v>
      </c>
    </row>
    <row r="287" spans="1:23" x14ac:dyDescent="0.25">
      <c r="A287" t="s">
        <v>665</v>
      </c>
      <c r="B287" t="s">
        <v>30</v>
      </c>
      <c r="C287" t="s">
        <v>103</v>
      </c>
      <c r="D287" t="s">
        <v>31</v>
      </c>
      <c r="E287" t="s">
        <v>74</v>
      </c>
      <c r="F287" s="1">
        <v>46283</v>
      </c>
      <c r="G287">
        <v>46313</v>
      </c>
      <c r="H287" t="s">
        <v>9</v>
      </c>
      <c r="I287">
        <v>3839562.82</v>
      </c>
      <c r="J287" t="s">
        <v>75</v>
      </c>
      <c r="K287" t="s">
        <v>666</v>
      </c>
      <c r="L287">
        <v>30</v>
      </c>
      <c r="M287" t="s">
        <v>30</v>
      </c>
      <c r="N287">
        <v>1.1459999999999999</v>
      </c>
      <c r="O287">
        <v>1.3344201210992082</v>
      </c>
      <c r="P287">
        <v>6.3335912457168119E-3</v>
      </c>
      <c r="Q287">
        <v>6.3335912457168119E-3</v>
      </c>
      <c r="R287">
        <v>24318.221464131755</v>
      </c>
      <c r="S287" t="s">
        <v>21</v>
      </c>
      <c r="T287">
        <v>6.7400000000000003E-3</v>
      </c>
      <c r="U287">
        <v>25878.6534068</v>
      </c>
      <c r="V287">
        <v>-1560.431942668245</v>
      </c>
      <c r="W287">
        <v>-6.0298034760116935E-2</v>
      </c>
    </row>
    <row r="288" spans="1:23" x14ac:dyDescent="0.25">
      <c r="A288" t="s">
        <v>667</v>
      </c>
      <c r="B288" t="s">
        <v>30</v>
      </c>
      <c r="C288" t="s">
        <v>103</v>
      </c>
      <c r="D288" t="s">
        <v>31</v>
      </c>
      <c r="E288" t="s">
        <v>74</v>
      </c>
      <c r="F288" s="1">
        <v>45847</v>
      </c>
      <c r="G288">
        <v>45877</v>
      </c>
      <c r="H288" t="s">
        <v>9</v>
      </c>
      <c r="I288">
        <v>2452158.31</v>
      </c>
      <c r="J288" t="s">
        <v>75</v>
      </c>
      <c r="K288" t="s">
        <v>668</v>
      </c>
      <c r="L288">
        <v>30</v>
      </c>
      <c r="M288" t="s">
        <v>30</v>
      </c>
      <c r="N288">
        <v>1.1698</v>
      </c>
      <c r="O288">
        <v>1.3581794961105307</v>
      </c>
      <c r="P288">
        <v>6.815824739264697E-3</v>
      </c>
      <c r="Q288">
        <v>6.815824739264697E-3</v>
      </c>
      <c r="R288">
        <v>16713.48127389151</v>
      </c>
      <c r="S288" t="s">
        <v>13</v>
      </c>
      <c r="T288">
        <v>6.8399999999999997E-3</v>
      </c>
      <c r="U288">
        <v>16772.762840399999</v>
      </c>
      <c r="V288">
        <v>-59.28156650848905</v>
      </c>
      <c r="W288">
        <v>-3.5343948443424898E-3</v>
      </c>
    </row>
    <row r="289" spans="1:23" x14ac:dyDescent="0.25">
      <c r="A289" t="s">
        <v>669</v>
      </c>
      <c r="B289" t="s">
        <v>22</v>
      </c>
      <c r="C289" t="s">
        <v>127</v>
      </c>
      <c r="D289" t="s">
        <v>31</v>
      </c>
      <c r="E289" t="s">
        <v>124</v>
      </c>
      <c r="F289" s="1">
        <v>46015</v>
      </c>
      <c r="G289">
        <v>46075</v>
      </c>
      <c r="H289" t="s">
        <v>9</v>
      </c>
      <c r="I289">
        <v>3610222.04</v>
      </c>
      <c r="J289" t="s">
        <v>75</v>
      </c>
      <c r="K289" t="s">
        <v>670</v>
      </c>
      <c r="L289">
        <v>60</v>
      </c>
      <c r="M289" t="s">
        <v>22</v>
      </c>
      <c r="N289">
        <v>1.1787000000000001</v>
      </c>
      <c r="O289">
        <v>1.350326497880628</v>
      </c>
      <c r="P289">
        <v>6.4119023010390033E-3</v>
      </c>
      <c r="Q289">
        <v>6.4119023010390033E-3</v>
      </c>
      <c r="R289">
        <v>23148.391005537724</v>
      </c>
      <c r="S289" t="s">
        <v>14</v>
      </c>
      <c r="T289">
        <v>6.9800000000000001E-3</v>
      </c>
      <c r="U289">
        <v>25199.3498392</v>
      </c>
      <c r="V289">
        <v>-2050.9588336622764</v>
      </c>
      <c r="W289">
        <v>-8.1389355152005294E-2</v>
      </c>
    </row>
    <row r="290" spans="1:23" x14ac:dyDescent="0.25">
      <c r="A290" t="s">
        <v>671</v>
      </c>
      <c r="B290" t="s">
        <v>26</v>
      </c>
      <c r="C290" t="s">
        <v>94</v>
      </c>
      <c r="D290" t="s">
        <v>31</v>
      </c>
      <c r="E290" t="s">
        <v>74</v>
      </c>
      <c r="F290" s="1">
        <v>46371</v>
      </c>
      <c r="G290">
        <v>46401</v>
      </c>
      <c r="H290" t="s">
        <v>8</v>
      </c>
      <c r="I290">
        <v>36123.78</v>
      </c>
      <c r="J290" t="s">
        <v>84</v>
      </c>
      <c r="K290" t="s">
        <v>672</v>
      </c>
      <c r="L290">
        <v>30</v>
      </c>
      <c r="M290" t="s">
        <v>26</v>
      </c>
      <c r="N290">
        <v>1.1176999999999999</v>
      </c>
      <c r="O290">
        <v>1.320456022210408</v>
      </c>
      <c r="P290">
        <v>6.3200452360757699E-3</v>
      </c>
      <c r="Q290">
        <v>1.320456022210408</v>
      </c>
      <c r="R290">
        <v>47699.862846003889</v>
      </c>
      <c r="S290" t="s">
        <v>23</v>
      </c>
      <c r="T290">
        <v>1.3149999999999999</v>
      </c>
      <c r="U290">
        <v>47502.770699999994</v>
      </c>
      <c r="V290">
        <v>197.09214600389532</v>
      </c>
      <c r="W290">
        <v>4.1490663197019653E-3</v>
      </c>
    </row>
    <row r="291" spans="1:23" x14ac:dyDescent="0.25">
      <c r="A291" t="s">
        <v>673</v>
      </c>
      <c r="B291" t="s">
        <v>38</v>
      </c>
      <c r="C291" t="s">
        <v>87</v>
      </c>
      <c r="D291" t="s">
        <v>33</v>
      </c>
      <c r="E291" t="s">
        <v>88</v>
      </c>
      <c r="F291" s="1">
        <v>46117</v>
      </c>
      <c r="G291">
        <v>46147</v>
      </c>
      <c r="H291" t="s">
        <v>6</v>
      </c>
      <c r="I291">
        <v>2124.56</v>
      </c>
      <c r="J291" t="s">
        <v>75</v>
      </c>
      <c r="K291" t="s">
        <v>674</v>
      </c>
      <c r="L291">
        <v>30</v>
      </c>
      <c r="M291" t="s">
        <v>38</v>
      </c>
      <c r="N291">
        <v>1.1525000000000001</v>
      </c>
      <c r="O291">
        <v>1.3208714886594157</v>
      </c>
      <c r="P291">
        <v>6.2656300967706864E-3</v>
      </c>
      <c r="Q291">
        <v>1.1525000000000001</v>
      </c>
      <c r="R291">
        <v>2448.5554000000002</v>
      </c>
      <c r="S291" t="s">
        <v>19</v>
      </c>
      <c r="T291">
        <v>1.083</v>
      </c>
      <c r="U291">
        <v>2300.8984799999998</v>
      </c>
      <c r="V291">
        <v>147.65692000000035</v>
      </c>
      <c r="W291">
        <v>6.4173591874423064E-2</v>
      </c>
    </row>
    <row r="292" spans="1:23" x14ac:dyDescent="0.25">
      <c r="A292" t="s">
        <v>675</v>
      </c>
      <c r="B292" t="s">
        <v>30</v>
      </c>
      <c r="C292" t="s">
        <v>103</v>
      </c>
      <c r="D292" t="s">
        <v>31</v>
      </c>
      <c r="E292" t="s">
        <v>74</v>
      </c>
      <c r="F292" s="1">
        <v>46321</v>
      </c>
      <c r="G292">
        <v>46351</v>
      </c>
      <c r="H292" t="s">
        <v>9</v>
      </c>
      <c r="I292">
        <v>2173261.19</v>
      </c>
      <c r="J292" t="s">
        <v>84</v>
      </c>
      <c r="K292" t="s">
        <v>676</v>
      </c>
      <c r="L292">
        <v>30</v>
      </c>
      <c r="M292" t="s">
        <v>30</v>
      </c>
      <c r="N292">
        <v>1.1176999999999999</v>
      </c>
      <c r="O292">
        <v>1.320456022210408</v>
      </c>
      <c r="P292">
        <v>6.3200452360757699E-3</v>
      </c>
      <c r="Q292">
        <v>6.3200452360757699E-3</v>
      </c>
      <c r="R292">
        <v>13735.109030607859</v>
      </c>
      <c r="S292" t="s">
        <v>23</v>
      </c>
      <c r="T292">
        <v>6.8799999999999998E-3</v>
      </c>
      <c r="U292">
        <v>14952.036987199999</v>
      </c>
      <c r="V292">
        <v>-1216.9279565921406</v>
      </c>
      <c r="W292">
        <v>-8.1388773826196192E-2</v>
      </c>
    </row>
    <row r="293" spans="1:23" x14ac:dyDescent="0.25">
      <c r="A293" t="s">
        <v>677</v>
      </c>
      <c r="B293" t="s">
        <v>30</v>
      </c>
      <c r="C293" t="s">
        <v>103</v>
      </c>
      <c r="D293" t="s">
        <v>31</v>
      </c>
      <c r="E293" t="s">
        <v>74</v>
      </c>
      <c r="F293" s="1">
        <v>46365</v>
      </c>
      <c r="G293">
        <v>46395</v>
      </c>
      <c r="H293" t="s">
        <v>9</v>
      </c>
      <c r="I293">
        <v>4242148.76</v>
      </c>
      <c r="J293" t="s">
        <v>84</v>
      </c>
      <c r="K293" t="s">
        <v>678</v>
      </c>
      <c r="L293">
        <v>30</v>
      </c>
      <c r="M293" t="s">
        <v>30</v>
      </c>
      <c r="N293">
        <v>1.1176999999999999</v>
      </c>
      <c r="O293">
        <v>1.320456022210408</v>
      </c>
      <c r="P293">
        <v>6.3200452360757699E-3</v>
      </c>
      <c r="Q293">
        <v>6.3200452360757699E-3</v>
      </c>
      <c r="R293">
        <v>26810.572061362735</v>
      </c>
      <c r="S293" t="s">
        <v>23</v>
      </c>
      <c r="T293">
        <v>6.8799999999999998E-3</v>
      </c>
      <c r="U293">
        <v>29185.983468799997</v>
      </c>
      <c r="V293">
        <v>-2375.4114074372628</v>
      </c>
      <c r="W293">
        <v>-8.1388773826196151E-2</v>
      </c>
    </row>
    <row r="294" spans="1:23" x14ac:dyDescent="0.25">
      <c r="A294" t="s">
        <v>679</v>
      </c>
      <c r="B294" t="s">
        <v>37</v>
      </c>
      <c r="C294" t="s">
        <v>91</v>
      </c>
      <c r="D294" t="s">
        <v>31</v>
      </c>
      <c r="E294" t="s">
        <v>74</v>
      </c>
      <c r="F294" s="1">
        <v>45777</v>
      </c>
      <c r="G294">
        <v>45807</v>
      </c>
      <c r="H294" t="s">
        <v>6</v>
      </c>
      <c r="I294">
        <v>14071.68</v>
      </c>
      <c r="J294" t="s">
        <v>75</v>
      </c>
      <c r="K294" t="s">
        <v>680</v>
      </c>
      <c r="L294">
        <v>30</v>
      </c>
      <c r="M294" t="s">
        <v>37</v>
      </c>
      <c r="N294">
        <v>1.1373</v>
      </c>
      <c r="O294">
        <v>1.3351725757220005</v>
      </c>
      <c r="P294">
        <v>6.9910253257929669E-3</v>
      </c>
      <c r="Q294">
        <v>1.1373</v>
      </c>
      <c r="R294">
        <v>16003.721664000001</v>
      </c>
      <c r="S294" t="s">
        <v>12</v>
      </c>
      <c r="T294">
        <v>1.07</v>
      </c>
      <c r="U294">
        <v>15056.697600000001</v>
      </c>
      <c r="V294">
        <v>947.02406399999927</v>
      </c>
      <c r="W294">
        <v>6.2897196261682192E-2</v>
      </c>
    </row>
    <row r="295" spans="1:23" x14ac:dyDescent="0.25">
      <c r="A295" t="s">
        <v>681</v>
      </c>
      <c r="B295" t="s">
        <v>38</v>
      </c>
      <c r="C295" t="s">
        <v>87</v>
      </c>
      <c r="D295" t="s">
        <v>33</v>
      </c>
      <c r="E295" t="s">
        <v>88</v>
      </c>
      <c r="F295" s="1">
        <v>45806</v>
      </c>
      <c r="G295">
        <v>45836</v>
      </c>
      <c r="H295" t="s">
        <v>6</v>
      </c>
      <c r="I295">
        <v>2488.75</v>
      </c>
      <c r="J295" t="s">
        <v>75</v>
      </c>
      <c r="K295" t="s">
        <v>682</v>
      </c>
      <c r="L295">
        <v>30</v>
      </c>
      <c r="M295" t="s">
        <v>38</v>
      </c>
      <c r="N295">
        <v>1.1281000000000001</v>
      </c>
      <c r="O295">
        <v>1.3466634833472604</v>
      </c>
      <c r="P295">
        <v>6.900960420872332E-3</v>
      </c>
      <c r="Q295">
        <v>1.1281000000000001</v>
      </c>
      <c r="R295">
        <v>2807.5588750000002</v>
      </c>
      <c r="S295" t="s">
        <v>12</v>
      </c>
      <c r="T295">
        <v>1.07</v>
      </c>
      <c r="U295">
        <v>2662.9625000000001</v>
      </c>
      <c r="V295">
        <v>144.59637500000008</v>
      </c>
      <c r="W295">
        <v>5.4299065420560774E-2</v>
      </c>
    </row>
    <row r="296" spans="1:23" x14ac:dyDescent="0.25">
      <c r="A296" t="s">
        <v>683</v>
      </c>
      <c r="B296" t="s">
        <v>22</v>
      </c>
      <c r="C296" t="s">
        <v>127</v>
      </c>
      <c r="D296" t="s">
        <v>31</v>
      </c>
      <c r="E296" t="s">
        <v>124</v>
      </c>
      <c r="F296" s="1">
        <v>46289</v>
      </c>
      <c r="G296">
        <v>46349</v>
      </c>
      <c r="H296" t="s">
        <v>9</v>
      </c>
      <c r="I296">
        <v>8932739.9000000004</v>
      </c>
      <c r="J296" t="s">
        <v>75</v>
      </c>
      <c r="K296" t="s">
        <v>684</v>
      </c>
      <c r="L296">
        <v>60</v>
      </c>
      <c r="M296" t="s">
        <v>22</v>
      </c>
      <c r="N296">
        <v>1.1367</v>
      </c>
      <c r="O296">
        <v>1.3219593887377017</v>
      </c>
      <c r="P296">
        <v>6.2950656255191901E-3</v>
      </c>
      <c r="Q296">
        <v>6.2950656255191901E-3</v>
      </c>
      <c r="R296">
        <v>56232.183886193729</v>
      </c>
      <c r="S296" t="s">
        <v>21</v>
      </c>
      <c r="T296">
        <v>6.7400000000000003E-3</v>
      </c>
      <c r="U296">
        <v>60206.666926000005</v>
      </c>
      <c r="V296">
        <v>-3974.4830398062768</v>
      </c>
      <c r="W296">
        <v>-6.6014002148488182E-2</v>
      </c>
    </row>
    <row r="297" spans="1:23" x14ac:dyDescent="0.25">
      <c r="A297" t="s">
        <v>685</v>
      </c>
      <c r="B297" t="s">
        <v>42</v>
      </c>
      <c r="C297" t="s">
        <v>151</v>
      </c>
      <c r="D297" t="s">
        <v>35</v>
      </c>
      <c r="E297" t="s">
        <v>152</v>
      </c>
      <c r="F297" s="1">
        <v>46162</v>
      </c>
      <c r="G297">
        <v>46192</v>
      </c>
      <c r="H297" t="s">
        <v>8</v>
      </c>
      <c r="I297">
        <v>4457.6099999999997</v>
      </c>
      <c r="J297" t="s">
        <v>75</v>
      </c>
      <c r="K297" t="s">
        <v>686</v>
      </c>
      <c r="L297">
        <v>30</v>
      </c>
      <c r="M297" t="s">
        <v>42</v>
      </c>
      <c r="N297">
        <v>1.1599999999999999</v>
      </c>
      <c r="O297">
        <v>1.3401883195655939</v>
      </c>
      <c r="P297">
        <v>6.2879444926279273E-3</v>
      </c>
      <c r="Q297">
        <v>1.3401883195655939</v>
      </c>
      <c r="R297">
        <v>5974.0368551787869</v>
      </c>
      <c r="S297" t="s">
        <v>19</v>
      </c>
      <c r="T297">
        <v>1.2709999999999999</v>
      </c>
      <c r="U297">
        <v>5665.6223099999988</v>
      </c>
      <c r="V297">
        <v>308.4145451787881</v>
      </c>
      <c r="W297">
        <v>5.4436128690475337E-2</v>
      </c>
    </row>
    <row r="298" spans="1:23" x14ac:dyDescent="0.25">
      <c r="A298" t="s">
        <v>687</v>
      </c>
      <c r="B298" t="s">
        <v>37</v>
      </c>
      <c r="C298" t="s">
        <v>91</v>
      </c>
      <c r="D298" t="s">
        <v>31</v>
      </c>
      <c r="E298" t="s">
        <v>74</v>
      </c>
      <c r="F298" s="1">
        <v>46299</v>
      </c>
      <c r="G298">
        <v>46329</v>
      </c>
      <c r="H298" t="s">
        <v>6</v>
      </c>
      <c r="I298">
        <v>9372.51</v>
      </c>
      <c r="J298" t="s">
        <v>84</v>
      </c>
      <c r="K298" t="s">
        <v>688</v>
      </c>
      <c r="L298">
        <v>30</v>
      </c>
      <c r="M298" t="s">
        <v>37</v>
      </c>
      <c r="N298">
        <v>1.1225000000000001</v>
      </c>
      <c r="O298">
        <v>1.3200757353027648</v>
      </c>
      <c r="P298">
        <v>6.3421662240804562E-3</v>
      </c>
      <c r="Q298">
        <v>1.1225000000000001</v>
      </c>
      <c r="R298">
        <v>10520.642475000001</v>
      </c>
      <c r="S298" t="s">
        <v>23</v>
      </c>
      <c r="T298">
        <v>1.119</v>
      </c>
      <c r="U298">
        <v>10487.83869</v>
      </c>
      <c r="V298">
        <v>32.803785000000062</v>
      </c>
      <c r="W298">
        <v>3.1277926720286028E-3</v>
      </c>
    </row>
    <row r="299" spans="1:23" x14ac:dyDescent="0.25">
      <c r="A299" t="s">
        <v>689</v>
      </c>
      <c r="B299" t="s">
        <v>26</v>
      </c>
      <c r="C299" t="s">
        <v>94</v>
      </c>
      <c r="D299" t="s">
        <v>31</v>
      </c>
      <c r="E299" t="s">
        <v>74</v>
      </c>
      <c r="F299" s="1">
        <v>45743</v>
      </c>
      <c r="G299">
        <v>45773</v>
      </c>
      <c r="H299" t="s">
        <v>8</v>
      </c>
      <c r="I299">
        <v>42311.57</v>
      </c>
      <c r="J299" t="s">
        <v>75</v>
      </c>
      <c r="K299" t="s">
        <v>690</v>
      </c>
      <c r="L299">
        <v>30</v>
      </c>
      <c r="M299" t="s">
        <v>26</v>
      </c>
      <c r="N299">
        <v>1.0785</v>
      </c>
      <c r="O299">
        <v>1.2944381766244988</v>
      </c>
      <c r="P299">
        <v>6.63488157490003E-3</v>
      </c>
      <c r="Q299">
        <v>1.2944381766244988</v>
      </c>
      <c r="R299">
        <v>54769.711520919845</v>
      </c>
      <c r="S299" t="s">
        <v>11</v>
      </c>
      <c r="T299">
        <v>1.238</v>
      </c>
      <c r="U299">
        <v>52381.723659999996</v>
      </c>
      <c r="V299">
        <v>2387.9878609198495</v>
      </c>
      <c r="W299">
        <v>4.5588187903472473E-2</v>
      </c>
    </row>
    <row r="300" spans="1:23" x14ac:dyDescent="0.25">
      <c r="A300" t="s">
        <v>691</v>
      </c>
      <c r="B300" t="s">
        <v>40</v>
      </c>
      <c r="C300" t="s">
        <v>78</v>
      </c>
      <c r="D300" t="s">
        <v>33</v>
      </c>
      <c r="E300" t="s">
        <v>79</v>
      </c>
      <c r="F300" s="1">
        <v>46065</v>
      </c>
      <c r="G300">
        <v>46095</v>
      </c>
      <c r="H300" t="s">
        <v>9</v>
      </c>
      <c r="I300">
        <v>1738652.36</v>
      </c>
      <c r="J300" t="s">
        <v>75</v>
      </c>
      <c r="K300" t="s">
        <v>692</v>
      </c>
      <c r="L300">
        <v>30</v>
      </c>
      <c r="M300" t="s">
        <v>40</v>
      </c>
      <c r="N300">
        <v>1.1874</v>
      </c>
      <c r="O300">
        <v>1.3631041212260362</v>
      </c>
      <c r="P300">
        <v>6.5055884286653511E-3</v>
      </c>
      <c r="Q300">
        <v>6.5055884286653511E-3</v>
      </c>
      <c r="R300">
        <v>11310.956674687704</v>
      </c>
      <c r="S300" t="s">
        <v>16</v>
      </c>
      <c r="T300">
        <v>6.4599999999999996E-3</v>
      </c>
      <c r="U300">
        <v>11231.6942456</v>
      </c>
      <c r="V300">
        <v>79.262429087704732</v>
      </c>
      <c r="W300">
        <v>7.0570323011379761E-3</v>
      </c>
    </row>
    <row r="301" spans="1:23" x14ac:dyDescent="0.25">
      <c r="A301" t="s">
        <v>693</v>
      </c>
      <c r="B301" t="s">
        <v>32</v>
      </c>
      <c r="C301" t="s">
        <v>106</v>
      </c>
      <c r="D301" t="s">
        <v>31</v>
      </c>
      <c r="E301" t="s">
        <v>74</v>
      </c>
      <c r="F301" s="1">
        <v>45973</v>
      </c>
      <c r="G301">
        <v>46003</v>
      </c>
      <c r="H301" t="s">
        <v>6</v>
      </c>
      <c r="I301">
        <v>22309.34</v>
      </c>
      <c r="J301" t="s">
        <v>75</v>
      </c>
      <c r="K301" t="s">
        <v>694</v>
      </c>
      <c r="L301">
        <v>30</v>
      </c>
      <c r="M301" t="s">
        <v>32</v>
      </c>
      <c r="N301">
        <v>1.1576</v>
      </c>
      <c r="O301">
        <v>1.312025388189958</v>
      </c>
      <c r="P301">
        <v>6.4601819297951894E-3</v>
      </c>
      <c r="Q301">
        <v>1.1576</v>
      </c>
      <c r="R301">
        <v>25825.291984</v>
      </c>
      <c r="S301" t="s">
        <v>14</v>
      </c>
      <c r="T301">
        <v>1.1060000000000001</v>
      </c>
      <c r="U301">
        <v>24674.130040000004</v>
      </c>
      <c r="V301">
        <v>1151.1619439999959</v>
      </c>
      <c r="W301">
        <v>4.6654611211573063E-2</v>
      </c>
    </row>
    <row r="302" spans="1:23" x14ac:dyDescent="0.25">
      <c r="A302" t="s">
        <v>695</v>
      </c>
      <c r="B302" t="s">
        <v>22</v>
      </c>
      <c r="C302" t="s">
        <v>127</v>
      </c>
      <c r="D302" t="s">
        <v>31</v>
      </c>
      <c r="E302" t="s">
        <v>124</v>
      </c>
      <c r="F302" s="1">
        <v>45726</v>
      </c>
      <c r="G302">
        <v>45786</v>
      </c>
      <c r="H302" t="s">
        <v>9</v>
      </c>
      <c r="I302">
        <v>14253941.93</v>
      </c>
      <c r="J302" t="s">
        <v>75</v>
      </c>
      <c r="K302" t="s">
        <v>696</v>
      </c>
      <c r="L302">
        <v>60</v>
      </c>
      <c r="M302" t="s">
        <v>22</v>
      </c>
      <c r="N302">
        <v>1.0845</v>
      </c>
      <c r="O302">
        <v>1.2933964626888812</v>
      </c>
      <c r="P302">
        <v>6.8040654997176741E-3</v>
      </c>
      <c r="Q302">
        <v>6.8040654997176741E-3</v>
      </c>
      <c r="R302">
        <v>96984.754520892151</v>
      </c>
      <c r="S302" t="s">
        <v>11</v>
      </c>
      <c r="T302">
        <v>6.5599999999999999E-3</v>
      </c>
      <c r="U302">
        <v>93505.859060799994</v>
      </c>
      <c r="V302">
        <v>3478.895460092157</v>
      </c>
      <c r="W302">
        <v>3.7205106664279577E-2</v>
      </c>
    </row>
    <row r="303" spans="1:23" x14ac:dyDescent="0.25">
      <c r="A303" t="s">
        <v>697</v>
      </c>
      <c r="B303" t="s">
        <v>26</v>
      </c>
      <c r="C303" t="s">
        <v>94</v>
      </c>
      <c r="D303" t="s">
        <v>31</v>
      </c>
      <c r="E303" t="s">
        <v>74</v>
      </c>
      <c r="F303" s="1">
        <v>45691</v>
      </c>
      <c r="G303">
        <v>45721</v>
      </c>
      <c r="H303" t="s">
        <v>8</v>
      </c>
      <c r="I303">
        <v>14280.91</v>
      </c>
      <c r="J303" t="s">
        <v>75</v>
      </c>
      <c r="K303" t="s">
        <v>698</v>
      </c>
      <c r="L303">
        <v>30</v>
      </c>
      <c r="M303" t="s">
        <v>26</v>
      </c>
      <c r="N303">
        <v>1.0274000000000001</v>
      </c>
      <c r="O303">
        <v>1.2358063895304081</v>
      </c>
      <c r="P303">
        <v>6.4669226411531444E-3</v>
      </c>
      <c r="Q303">
        <v>1.2358063895304081</v>
      </c>
      <c r="R303">
        <v>17648.439826308699</v>
      </c>
      <c r="S303" t="s">
        <v>11</v>
      </c>
      <c r="T303">
        <v>1.238</v>
      </c>
      <c r="U303">
        <v>17679.76658</v>
      </c>
      <c r="V303">
        <v>-31.326753691300837</v>
      </c>
      <c r="W303">
        <v>-1.7718986022552362E-3</v>
      </c>
    </row>
    <row r="304" spans="1:23" x14ac:dyDescent="0.25">
      <c r="A304" t="s">
        <v>699</v>
      </c>
      <c r="B304" t="s">
        <v>36</v>
      </c>
      <c r="C304" t="s">
        <v>116</v>
      </c>
      <c r="D304" t="s">
        <v>31</v>
      </c>
      <c r="E304" t="s">
        <v>74</v>
      </c>
      <c r="F304" s="1">
        <v>45699</v>
      </c>
      <c r="G304">
        <v>45744</v>
      </c>
      <c r="H304" t="s">
        <v>6</v>
      </c>
      <c r="I304">
        <v>7880.56</v>
      </c>
      <c r="J304" t="s">
        <v>75</v>
      </c>
      <c r="K304" t="s">
        <v>700</v>
      </c>
      <c r="L304">
        <v>45</v>
      </c>
      <c r="M304" t="s">
        <v>36</v>
      </c>
      <c r="N304">
        <v>1.0324</v>
      </c>
      <c r="O304">
        <v>1.238557974926519</v>
      </c>
      <c r="P304">
        <v>6.5640895218718204E-3</v>
      </c>
      <c r="Q304">
        <v>1.0324</v>
      </c>
      <c r="R304">
        <v>8135.890144</v>
      </c>
      <c r="S304" t="s">
        <v>11</v>
      </c>
      <c r="T304">
        <v>1.052</v>
      </c>
      <c r="U304">
        <v>8290.3491200000008</v>
      </c>
      <c r="V304">
        <v>-154.4589760000008</v>
      </c>
      <c r="W304">
        <v>-1.863117870722443E-2</v>
      </c>
    </row>
    <row r="305" spans="1:23" x14ac:dyDescent="0.25">
      <c r="A305" t="s">
        <v>701</v>
      </c>
      <c r="B305" t="s">
        <v>42</v>
      </c>
      <c r="C305" t="s">
        <v>151</v>
      </c>
      <c r="D305" t="s">
        <v>35</v>
      </c>
      <c r="E305" t="s">
        <v>152</v>
      </c>
      <c r="F305" s="1">
        <v>45838</v>
      </c>
      <c r="G305">
        <v>45868</v>
      </c>
      <c r="H305" t="s">
        <v>8</v>
      </c>
      <c r="I305">
        <v>5095.0600000000004</v>
      </c>
      <c r="J305" t="s">
        <v>75</v>
      </c>
      <c r="K305" t="s">
        <v>702</v>
      </c>
      <c r="L305">
        <v>30</v>
      </c>
      <c r="M305" t="s">
        <v>42</v>
      </c>
      <c r="N305">
        <v>1.1719999999999999</v>
      </c>
      <c r="O305">
        <v>1.3699590882524837</v>
      </c>
      <c r="P305">
        <v>6.9279423065555356E-3</v>
      </c>
      <c r="Q305">
        <v>1.3699590882524837</v>
      </c>
      <c r="R305">
        <v>6980.0237521916997</v>
      </c>
      <c r="S305" t="s">
        <v>12</v>
      </c>
      <c r="T305">
        <v>1.26</v>
      </c>
      <c r="U305">
        <v>6419.7756000000008</v>
      </c>
      <c r="V305">
        <v>560.24815219169886</v>
      </c>
      <c r="W305">
        <v>8.7269117660701223E-2</v>
      </c>
    </row>
    <row r="306" spans="1:23" x14ac:dyDescent="0.25">
      <c r="A306" t="s">
        <v>703</v>
      </c>
      <c r="B306" t="s">
        <v>41</v>
      </c>
      <c r="C306" t="s">
        <v>172</v>
      </c>
      <c r="D306" t="s">
        <v>33</v>
      </c>
      <c r="E306" t="s">
        <v>83</v>
      </c>
      <c r="F306" s="1">
        <v>45857</v>
      </c>
      <c r="G306">
        <v>45887</v>
      </c>
      <c r="H306" t="s">
        <v>9</v>
      </c>
      <c r="I306">
        <v>1635368.43</v>
      </c>
      <c r="J306" t="s">
        <v>75</v>
      </c>
      <c r="K306" t="s">
        <v>704</v>
      </c>
      <c r="L306">
        <v>30</v>
      </c>
      <c r="M306" t="s">
        <v>41</v>
      </c>
      <c r="N306">
        <v>1.1655</v>
      </c>
      <c r="O306">
        <v>1.3410424577148774</v>
      </c>
      <c r="P306">
        <v>6.6330886119173637E-3</v>
      </c>
      <c r="Q306">
        <v>6.6330886119173637E-3</v>
      </c>
      <c r="R306">
        <v>10847.543709322177</v>
      </c>
      <c r="S306" t="s">
        <v>13</v>
      </c>
      <c r="T306">
        <v>6.8399999999999997E-3</v>
      </c>
      <c r="U306">
        <v>11185.920061199999</v>
      </c>
      <c r="V306">
        <v>-338.37635187782143</v>
      </c>
      <c r="W306">
        <v>-3.0250202936057926E-2</v>
      </c>
    </row>
    <row r="307" spans="1:23" x14ac:dyDescent="0.25">
      <c r="A307" t="s">
        <v>705</v>
      </c>
      <c r="B307" t="s">
        <v>38</v>
      </c>
      <c r="C307" t="s">
        <v>87</v>
      </c>
      <c r="D307" t="s">
        <v>33</v>
      </c>
      <c r="E307" t="s">
        <v>88</v>
      </c>
      <c r="F307" s="1">
        <v>46268</v>
      </c>
      <c r="G307">
        <v>46298</v>
      </c>
      <c r="H307" t="s">
        <v>6</v>
      </c>
      <c r="I307">
        <v>2088.75</v>
      </c>
      <c r="J307" t="s">
        <v>75</v>
      </c>
      <c r="K307" t="s">
        <v>706</v>
      </c>
      <c r="L307">
        <v>30</v>
      </c>
      <c r="M307" t="s">
        <v>38</v>
      </c>
      <c r="N307">
        <v>1.1615</v>
      </c>
      <c r="O307">
        <v>1.3497182034745221</v>
      </c>
      <c r="P307">
        <v>6.4096904144362891E-3</v>
      </c>
      <c r="Q307">
        <v>1.1615</v>
      </c>
      <c r="R307">
        <v>2426.0831250000001</v>
      </c>
      <c r="S307" t="s">
        <v>21</v>
      </c>
      <c r="T307">
        <v>1.101</v>
      </c>
      <c r="U307">
        <v>2299.7137499999999</v>
      </c>
      <c r="V307">
        <v>126.36937500000022</v>
      </c>
      <c r="W307">
        <v>5.4950045413260769E-2</v>
      </c>
    </row>
    <row r="308" spans="1:23" x14ac:dyDescent="0.25">
      <c r="A308" t="s">
        <v>707</v>
      </c>
      <c r="B308" t="s">
        <v>38</v>
      </c>
      <c r="C308" t="s">
        <v>87</v>
      </c>
      <c r="D308" t="s">
        <v>33</v>
      </c>
      <c r="E308" t="s">
        <v>88</v>
      </c>
      <c r="F308" s="1">
        <v>46284</v>
      </c>
      <c r="G308">
        <v>46314</v>
      </c>
      <c r="H308" t="s">
        <v>6</v>
      </c>
      <c r="I308">
        <v>7658.05</v>
      </c>
      <c r="J308" t="s">
        <v>75</v>
      </c>
      <c r="K308" t="s">
        <v>708</v>
      </c>
      <c r="L308">
        <v>30</v>
      </c>
      <c r="M308" t="s">
        <v>38</v>
      </c>
      <c r="N308">
        <v>1.1459999999999999</v>
      </c>
      <c r="O308">
        <v>1.3344201210992082</v>
      </c>
      <c r="P308">
        <v>6.3335912457168119E-3</v>
      </c>
      <c r="Q308">
        <v>1.1459999999999999</v>
      </c>
      <c r="R308">
        <v>8776.1252999999997</v>
      </c>
      <c r="S308" t="s">
        <v>21</v>
      </c>
      <c r="T308">
        <v>1.101</v>
      </c>
      <c r="U308">
        <v>8431.5130499999996</v>
      </c>
      <c r="V308">
        <v>344.61225000000013</v>
      </c>
      <c r="W308">
        <v>4.0871934604904653E-2</v>
      </c>
    </row>
    <row r="309" spans="1:23" x14ac:dyDescent="0.25">
      <c r="A309" t="s">
        <v>709</v>
      </c>
      <c r="B309" t="s">
        <v>34</v>
      </c>
      <c r="C309" t="s">
        <v>177</v>
      </c>
      <c r="D309" t="s">
        <v>31</v>
      </c>
      <c r="E309" t="s">
        <v>74</v>
      </c>
      <c r="F309" s="1">
        <v>45952</v>
      </c>
      <c r="G309">
        <v>46012</v>
      </c>
      <c r="H309" t="s">
        <v>8</v>
      </c>
      <c r="I309">
        <v>25439.48</v>
      </c>
      <c r="J309" t="s">
        <v>75</v>
      </c>
      <c r="K309" t="s">
        <v>710</v>
      </c>
      <c r="L309">
        <v>60</v>
      </c>
      <c r="M309" t="s">
        <v>34</v>
      </c>
      <c r="N309">
        <v>1.1587000000000001</v>
      </c>
      <c r="O309">
        <v>1.333525146737254</v>
      </c>
      <c r="P309">
        <v>6.5865165984538435E-3</v>
      </c>
      <c r="Q309">
        <v>1.333525146737254</v>
      </c>
      <c r="R309">
        <v>33924.186299919435</v>
      </c>
      <c r="S309" t="s">
        <v>14</v>
      </c>
      <c r="T309">
        <v>1.304</v>
      </c>
      <c r="U309">
        <v>33173.081920000004</v>
      </c>
      <c r="V309">
        <v>751.10437991943036</v>
      </c>
      <c r="W309">
        <v>2.2641983694212945E-2</v>
      </c>
    </row>
    <row r="310" spans="1:23" x14ac:dyDescent="0.25">
      <c r="A310" t="s">
        <v>711</v>
      </c>
      <c r="B310" t="s">
        <v>25</v>
      </c>
      <c r="C310" t="s">
        <v>169</v>
      </c>
      <c r="D310" t="s">
        <v>31</v>
      </c>
      <c r="E310" t="s">
        <v>124</v>
      </c>
      <c r="F310" s="1">
        <v>46059</v>
      </c>
      <c r="G310">
        <v>46119</v>
      </c>
      <c r="H310" t="s">
        <v>6</v>
      </c>
      <c r="I310">
        <v>56816.59</v>
      </c>
      <c r="J310" t="s">
        <v>75</v>
      </c>
      <c r="K310" t="s">
        <v>712</v>
      </c>
      <c r="L310">
        <v>60</v>
      </c>
      <c r="M310" t="s">
        <v>25</v>
      </c>
      <c r="N310">
        <v>1.1794</v>
      </c>
      <c r="O310">
        <v>1.3589123170872219</v>
      </c>
      <c r="P310">
        <v>6.3658444432449935E-3</v>
      </c>
      <c r="Q310">
        <v>1.1794</v>
      </c>
      <c r="R310">
        <v>67009.486246</v>
      </c>
      <c r="S310" t="s">
        <v>16</v>
      </c>
      <c r="T310">
        <v>1.0649999999999999</v>
      </c>
      <c r="U310">
        <v>60509.668349999993</v>
      </c>
      <c r="V310">
        <v>6499.8178960000077</v>
      </c>
      <c r="W310">
        <v>0.10741784037558699</v>
      </c>
    </row>
    <row r="311" spans="1:23" x14ac:dyDescent="0.25">
      <c r="A311" t="s">
        <v>713</v>
      </c>
      <c r="B311" t="s">
        <v>30</v>
      </c>
      <c r="C311" t="s">
        <v>103</v>
      </c>
      <c r="D311" t="s">
        <v>31</v>
      </c>
      <c r="E311" t="s">
        <v>74</v>
      </c>
      <c r="F311" s="1">
        <v>46207</v>
      </c>
      <c r="G311">
        <v>46237</v>
      </c>
      <c r="H311" t="s">
        <v>9</v>
      </c>
      <c r="I311">
        <v>1169908.44</v>
      </c>
      <c r="J311" t="s">
        <v>75</v>
      </c>
      <c r="K311" t="s">
        <v>714</v>
      </c>
      <c r="L311">
        <v>30</v>
      </c>
      <c r="M311" t="s">
        <v>30</v>
      </c>
      <c r="N311">
        <v>1.1448</v>
      </c>
      <c r="O311">
        <v>1.3355109659356044</v>
      </c>
      <c r="P311">
        <v>6.2055507372072863E-3</v>
      </c>
      <c r="Q311">
        <v>6.2055507372072863E-3</v>
      </c>
      <c r="R311">
        <v>7259.9261823070256</v>
      </c>
      <c r="S311" t="s">
        <v>21</v>
      </c>
      <c r="T311">
        <v>6.7400000000000003E-3</v>
      </c>
      <c r="U311">
        <v>7885.1828856000002</v>
      </c>
      <c r="V311">
        <v>-625.25670329297463</v>
      </c>
      <c r="W311">
        <v>-7.9295142847583752E-2</v>
      </c>
    </row>
    <row r="312" spans="1:23" x14ac:dyDescent="0.25">
      <c r="A312" t="s">
        <v>715</v>
      </c>
      <c r="B312" t="s">
        <v>36</v>
      </c>
      <c r="C312" t="s">
        <v>116</v>
      </c>
      <c r="D312" t="s">
        <v>31</v>
      </c>
      <c r="E312" t="s">
        <v>74</v>
      </c>
      <c r="F312" s="1">
        <v>46369</v>
      </c>
      <c r="G312">
        <v>46414</v>
      </c>
      <c r="H312" t="s">
        <v>6</v>
      </c>
      <c r="I312">
        <v>9516.27</v>
      </c>
      <c r="J312" t="s">
        <v>84</v>
      </c>
      <c r="K312" t="s">
        <v>716</v>
      </c>
      <c r="L312">
        <v>45</v>
      </c>
      <c r="M312" t="s">
        <v>36</v>
      </c>
      <c r="N312">
        <v>1.1176999999999999</v>
      </c>
      <c r="O312">
        <v>1.320456022210408</v>
      </c>
      <c r="P312">
        <v>6.3200452360757699E-3</v>
      </c>
      <c r="Q312">
        <v>1.1176999999999999</v>
      </c>
      <c r="R312">
        <v>10636.334978999999</v>
      </c>
      <c r="S312" t="s">
        <v>23</v>
      </c>
      <c r="T312">
        <v>1.119</v>
      </c>
      <c r="U312">
        <v>10648.70613</v>
      </c>
      <c r="V312">
        <v>-12.371151000001191</v>
      </c>
      <c r="W312">
        <v>-1.1617515638964479E-3</v>
      </c>
    </row>
    <row r="313" spans="1:23" x14ac:dyDescent="0.25">
      <c r="A313" t="s">
        <v>717</v>
      </c>
      <c r="B313" t="s">
        <v>40</v>
      </c>
      <c r="C313" t="s">
        <v>78</v>
      </c>
      <c r="D313" t="s">
        <v>33</v>
      </c>
      <c r="E313" t="s">
        <v>79</v>
      </c>
      <c r="F313" s="1">
        <v>46381</v>
      </c>
      <c r="G313">
        <v>46411</v>
      </c>
      <c r="H313" t="s">
        <v>9</v>
      </c>
      <c r="I313">
        <v>486839.99</v>
      </c>
      <c r="J313" t="s">
        <v>84</v>
      </c>
      <c r="K313" t="s">
        <v>718</v>
      </c>
      <c r="L313">
        <v>30</v>
      </c>
      <c r="M313" t="s">
        <v>40</v>
      </c>
      <c r="N313">
        <v>1.1176999999999999</v>
      </c>
      <c r="O313">
        <v>1.320456022210408</v>
      </c>
      <c r="P313">
        <v>6.3200452360757699E-3</v>
      </c>
      <c r="Q313">
        <v>6.3200452360757699E-3</v>
      </c>
      <c r="R313">
        <v>3076.8507595306755</v>
      </c>
      <c r="S313" t="s">
        <v>23</v>
      </c>
      <c r="T313">
        <v>6.8799999999999998E-3</v>
      </c>
      <c r="U313">
        <v>3349.4591311999998</v>
      </c>
      <c r="V313">
        <v>-272.60837166932424</v>
      </c>
      <c r="W313">
        <v>-8.1388773826196151E-2</v>
      </c>
    </row>
    <row r="314" spans="1:23" x14ac:dyDescent="0.25">
      <c r="A314" t="s">
        <v>717</v>
      </c>
      <c r="B314" t="s">
        <v>22</v>
      </c>
      <c r="C314" t="s">
        <v>127</v>
      </c>
      <c r="D314" t="s">
        <v>31</v>
      </c>
      <c r="E314" t="s">
        <v>124</v>
      </c>
      <c r="F314" s="1">
        <v>45836</v>
      </c>
      <c r="G314">
        <v>45896</v>
      </c>
      <c r="H314" t="s">
        <v>9</v>
      </c>
      <c r="I314">
        <v>11211875.68</v>
      </c>
      <c r="J314" t="s">
        <v>75</v>
      </c>
      <c r="K314" t="s">
        <v>719</v>
      </c>
      <c r="L314">
        <v>60</v>
      </c>
      <c r="M314" t="s">
        <v>22</v>
      </c>
      <c r="N314">
        <v>1.1736</v>
      </c>
      <c r="O314">
        <v>1.3477262287551677</v>
      </c>
      <c r="P314">
        <v>6.7529777317452098E-3</v>
      </c>
      <c r="Q314">
        <v>6.7529777317452098E-3</v>
      </c>
      <c r="R314">
        <v>75713.546798135678</v>
      </c>
      <c r="S314" t="s">
        <v>12</v>
      </c>
      <c r="T314">
        <v>6.7000000000000002E-3</v>
      </c>
      <c r="U314">
        <v>75119.567056</v>
      </c>
      <c r="V314">
        <v>593.97974213567795</v>
      </c>
      <c r="W314">
        <v>7.9071241410760395E-3</v>
      </c>
    </row>
    <row r="315" spans="1:23" x14ac:dyDescent="0.25">
      <c r="A315" t="s">
        <v>720</v>
      </c>
      <c r="B315" t="s">
        <v>39</v>
      </c>
      <c r="C315" t="s">
        <v>82</v>
      </c>
      <c r="D315" t="s">
        <v>33</v>
      </c>
      <c r="E315" t="s">
        <v>83</v>
      </c>
      <c r="F315" s="1">
        <v>45799</v>
      </c>
      <c r="G315">
        <v>45844</v>
      </c>
      <c r="H315" t="s">
        <v>8</v>
      </c>
      <c r="I315">
        <v>1893.21</v>
      </c>
      <c r="J315" t="s">
        <v>75</v>
      </c>
      <c r="K315" t="s">
        <v>721</v>
      </c>
      <c r="L315">
        <v>45</v>
      </c>
      <c r="M315" t="s">
        <v>39</v>
      </c>
      <c r="N315">
        <v>1.1309</v>
      </c>
      <c r="O315">
        <v>1.341995965349472</v>
      </c>
      <c r="P315">
        <v>6.9726863555089709E-3</v>
      </c>
      <c r="Q315">
        <v>1.341995965349472</v>
      </c>
      <c r="R315">
        <v>2540.6801815592739</v>
      </c>
      <c r="S315" t="s">
        <v>12</v>
      </c>
      <c r="T315">
        <v>1.26</v>
      </c>
      <c r="U315">
        <v>2385.4446000000003</v>
      </c>
      <c r="V315">
        <v>155.23558155927367</v>
      </c>
      <c r="W315">
        <v>6.5076162975771332E-2</v>
      </c>
    </row>
    <row r="316" spans="1:23" x14ac:dyDescent="0.25">
      <c r="A316" t="s">
        <v>722</v>
      </c>
      <c r="B316" t="s">
        <v>42</v>
      </c>
      <c r="C316" t="s">
        <v>151</v>
      </c>
      <c r="D316" t="s">
        <v>35</v>
      </c>
      <c r="E316" t="s">
        <v>152</v>
      </c>
      <c r="F316" s="1">
        <v>45876</v>
      </c>
      <c r="G316">
        <v>45906</v>
      </c>
      <c r="H316" t="s">
        <v>8</v>
      </c>
      <c r="I316">
        <v>5439.22</v>
      </c>
      <c r="J316" t="s">
        <v>75</v>
      </c>
      <c r="K316" t="s">
        <v>723</v>
      </c>
      <c r="L316">
        <v>30</v>
      </c>
      <c r="M316" t="s">
        <v>42</v>
      </c>
      <c r="N316">
        <v>1.1642999999999999</v>
      </c>
      <c r="O316">
        <v>1.3424420615703907</v>
      </c>
      <c r="P316">
        <v>6.7849650349650348E-3</v>
      </c>
      <c r="Q316">
        <v>1.3424420615703907</v>
      </c>
      <c r="R316">
        <v>7301.8377101349006</v>
      </c>
      <c r="S316" t="s">
        <v>13</v>
      </c>
      <c r="T316">
        <v>1.282</v>
      </c>
      <c r="U316">
        <v>6973.0800400000007</v>
      </c>
      <c r="V316">
        <v>328.75767013489985</v>
      </c>
      <c r="W316">
        <v>4.7146693892660352E-2</v>
      </c>
    </row>
    <row r="317" spans="1:23" x14ac:dyDescent="0.25">
      <c r="A317" t="s">
        <v>724</v>
      </c>
      <c r="B317" t="s">
        <v>24</v>
      </c>
      <c r="C317" t="s">
        <v>73</v>
      </c>
      <c r="D317" t="s">
        <v>31</v>
      </c>
      <c r="E317" t="s">
        <v>74</v>
      </c>
      <c r="F317" s="1">
        <v>46353</v>
      </c>
      <c r="G317">
        <v>46383</v>
      </c>
      <c r="H317" t="s">
        <v>6</v>
      </c>
      <c r="I317">
        <v>22998.89</v>
      </c>
      <c r="J317" t="s">
        <v>84</v>
      </c>
      <c r="K317" t="s">
        <v>725</v>
      </c>
      <c r="L317">
        <v>30</v>
      </c>
      <c r="M317" t="s">
        <v>24</v>
      </c>
      <c r="N317">
        <v>1.1176999999999999</v>
      </c>
      <c r="O317">
        <v>1.320456022210408</v>
      </c>
      <c r="P317">
        <v>6.3200452360757699E-3</v>
      </c>
      <c r="Q317">
        <v>1.1176999999999999</v>
      </c>
      <c r="R317">
        <v>25705.859352999996</v>
      </c>
      <c r="S317" t="s">
        <v>23</v>
      </c>
      <c r="T317">
        <v>1.119</v>
      </c>
      <c r="U317">
        <v>25735.75791</v>
      </c>
      <c r="V317">
        <v>-29.898557000004075</v>
      </c>
      <c r="W317">
        <v>-1.1617515638964943E-3</v>
      </c>
    </row>
    <row r="318" spans="1:23" x14ac:dyDescent="0.25">
      <c r="A318" t="s">
        <v>726</v>
      </c>
      <c r="B318" t="s">
        <v>32</v>
      </c>
      <c r="C318" t="s">
        <v>106</v>
      </c>
      <c r="D318" t="s">
        <v>31</v>
      </c>
      <c r="E318" t="s">
        <v>74</v>
      </c>
      <c r="F318" s="1">
        <v>45808</v>
      </c>
      <c r="G318">
        <v>45838</v>
      </c>
      <c r="H318" t="s">
        <v>6</v>
      </c>
      <c r="I318">
        <v>12455.41</v>
      </c>
      <c r="J318" t="s">
        <v>75</v>
      </c>
      <c r="K318" t="s">
        <v>727</v>
      </c>
      <c r="L318">
        <v>30</v>
      </c>
      <c r="M318" t="s">
        <v>32</v>
      </c>
      <c r="N318">
        <v>1.1606000000000001</v>
      </c>
      <c r="O318">
        <v>1.3462475350887368</v>
      </c>
      <c r="P318">
        <v>6.7359257109692395E-3</v>
      </c>
      <c r="Q318">
        <v>1.1606000000000001</v>
      </c>
      <c r="R318">
        <v>14455.748846</v>
      </c>
      <c r="S318" t="s">
        <v>12</v>
      </c>
      <c r="T318">
        <v>1.07</v>
      </c>
      <c r="U318">
        <v>13327.288700000001</v>
      </c>
      <c r="V318">
        <v>1128.4601459999994</v>
      </c>
      <c r="W318">
        <v>8.4672897196261629E-2</v>
      </c>
    </row>
    <row r="319" spans="1:23" x14ac:dyDescent="0.25">
      <c r="A319" t="s">
        <v>728</v>
      </c>
      <c r="B319" t="s">
        <v>36</v>
      </c>
      <c r="C319" t="s">
        <v>116</v>
      </c>
      <c r="D319" t="s">
        <v>31</v>
      </c>
      <c r="E319" t="s">
        <v>74</v>
      </c>
      <c r="F319" s="1">
        <v>46313</v>
      </c>
      <c r="G319">
        <v>46358</v>
      </c>
      <c r="H319" t="s">
        <v>6</v>
      </c>
      <c r="I319">
        <v>15123.34</v>
      </c>
      <c r="J319" t="s">
        <v>84</v>
      </c>
      <c r="K319" t="s">
        <v>729</v>
      </c>
      <c r="L319">
        <v>45</v>
      </c>
      <c r="M319" t="s">
        <v>36</v>
      </c>
      <c r="N319">
        <v>1.1176999999999999</v>
      </c>
      <c r="O319">
        <v>1.320456022210408</v>
      </c>
      <c r="P319">
        <v>6.3200452360757699E-3</v>
      </c>
      <c r="Q319">
        <v>1.1176999999999999</v>
      </c>
      <c r="R319">
        <v>16903.357118</v>
      </c>
      <c r="S319" t="s">
        <v>23</v>
      </c>
      <c r="T319">
        <v>1.119</v>
      </c>
      <c r="U319">
        <v>16923.017459999999</v>
      </c>
      <c r="V319">
        <v>-19.660341999999218</v>
      </c>
      <c r="W319">
        <v>-1.1617515638962898E-3</v>
      </c>
    </row>
    <row r="320" spans="1:23" x14ac:dyDescent="0.25">
      <c r="A320" t="s">
        <v>730</v>
      </c>
      <c r="B320" t="s">
        <v>42</v>
      </c>
      <c r="C320" t="s">
        <v>151</v>
      </c>
      <c r="D320" t="s">
        <v>35</v>
      </c>
      <c r="E320" t="s">
        <v>152</v>
      </c>
      <c r="F320" s="1">
        <v>46290</v>
      </c>
      <c r="G320">
        <v>46320</v>
      </c>
      <c r="H320" t="s">
        <v>8</v>
      </c>
      <c r="I320">
        <v>6013.83</v>
      </c>
      <c r="J320" t="s">
        <v>75</v>
      </c>
      <c r="K320" t="s">
        <v>731</v>
      </c>
      <c r="L320">
        <v>30</v>
      </c>
      <c r="M320" t="s">
        <v>42</v>
      </c>
      <c r="N320">
        <v>1.1403000000000001</v>
      </c>
      <c r="O320">
        <v>1.3252367947004475</v>
      </c>
      <c r="P320">
        <v>6.3455759599332232E-3</v>
      </c>
      <c r="Q320">
        <v>1.3252367947004475</v>
      </c>
      <c r="R320">
        <v>7969.7487930733923</v>
      </c>
      <c r="S320" t="s">
        <v>21</v>
      </c>
      <c r="T320">
        <v>1.2929999999999999</v>
      </c>
      <c r="U320">
        <v>7775.8821899999994</v>
      </c>
      <c r="V320">
        <v>193.86660307339298</v>
      </c>
      <c r="W320">
        <v>2.4931782444275047E-2</v>
      </c>
    </row>
    <row r="321" spans="1:23" x14ac:dyDescent="0.25">
      <c r="A321" t="s">
        <v>732</v>
      </c>
      <c r="B321" t="s">
        <v>22</v>
      </c>
      <c r="C321" t="s">
        <v>127</v>
      </c>
      <c r="D321" t="s">
        <v>31</v>
      </c>
      <c r="E321" t="s">
        <v>124</v>
      </c>
      <c r="F321" s="1">
        <v>45793</v>
      </c>
      <c r="G321">
        <v>45853</v>
      </c>
      <c r="H321" t="s">
        <v>9</v>
      </c>
      <c r="I321">
        <v>9515858.3699999992</v>
      </c>
      <c r="J321" t="s">
        <v>75</v>
      </c>
      <c r="K321" t="s">
        <v>733</v>
      </c>
      <c r="L321">
        <v>60</v>
      </c>
      <c r="M321" t="s">
        <v>22</v>
      </c>
      <c r="N321">
        <v>1.1194</v>
      </c>
      <c r="O321">
        <v>1.3283493532692536</v>
      </c>
      <c r="P321">
        <v>6.8653787181846048E-3</v>
      </c>
      <c r="Q321">
        <v>6.8653787181846048E-3</v>
      </c>
      <c r="R321">
        <v>65329.971538656835</v>
      </c>
      <c r="S321" t="s">
        <v>12</v>
      </c>
      <c r="T321">
        <v>6.7000000000000002E-3</v>
      </c>
      <c r="U321">
        <v>63756.251078999994</v>
      </c>
      <c r="V321">
        <v>1573.7204596568408</v>
      </c>
      <c r="W321">
        <v>2.4683390773821583E-2</v>
      </c>
    </row>
    <row r="322" spans="1:23" x14ac:dyDescent="0.25">
      <c r="A322" t="s">
        <v>734</v>
      </c>
      <c r="B322" t="s">
        <v>32</v>
      </c>
      <c r="C322" t="s">
        <v>106</v>
      </c>
      <c r="D322" t="s">
        <v>31</v>
      </c>
      <c r="E322" t="s">
        <v>74</v>
      </c>
      <c r="F322" s="1">
        <v>45921</v>
      </c>
      <c r="G322">
        <v>45951</v>
      </c>
      <c r="H322" t="s">
        <v>6</v>
      </c>
      <c r="I322">
        <v>17936.400000000001</v>
      </c>
      <c r="J322" t="s">
        <v>75</v>
      </c>
      <c r="K322" t="s">
        <v>735</v>
      </c>
      <c r="L322">
        <v>30</v>
      </c>
      <c r="M322" t="s">
        <v>32</v>
      </c>
      <c r="N322">
        <v>1.1738999999999999</v>
      </c>
      <c r="O322">
        <v>1.3425205855443734</v>
      </c>
      <c r="P322">
        <v>6.3375263186308912E-3</v>
      </c>
      <c r="Q322">
        <v>1.1738999999999999</v>
      </c>
      <c r="R322">
        <v>21055.539960000002</v>
      </c>
      <c r="S322" t="s">
        <v>13</v>
      </c>
      <c r="T322">
        <v>1.0880000000000001</v>
      </c>
      <c r="U322">
        <v>19514.803200000002</v>
      </c>
      <c r="V322">
        <v>1540.7367599999998</v>
      </c>
      <c r="W322">
        <v>7.8952205882352924E-2</v>
      </c>
    </row>
    <row r="323" spans="1:23" x14ac:dyDescent="0.25">
      <c r="A323" t="s">
        <v>736</v>
      </c>
      <c r="B323" t="s">
        <v>24</v>
      </c>
      <c r="C323" t="s">
        <v>73</v>
      </c>
      <c r="D323" t="s">
        <v>31</v>
      </c>
      <c r="E323" t="s">
        <v>74</v>
      </c>
      <c r="F323" s="1">
        <v>46330</v>
      </c>
      <c r="G323">
        <v>46360</v>
      </c>
      <c r="H323" t="s">
        <v>6</v>
      </c>
      <c r="I323">
        <v>21596.38</v>
      </c>
      <c r="J323" t="s">
        <v>84</v>
      </c>
      <c r="K323" t="s">
        <v>737</v>
      </c>
      <c r="L323">
        <v>30</v>
      </c>
      <c r="M323" t="s">
        <v>24</v>
      </c>
      <c r="N323">
        <v>1.1176999999999999</v>
      </c>
      <c r="O323">
        <v>1.320456022210408</v>
      </c>
      <c r="P323">
        <v>6.3200452360757699E-3</v>
      </c>
      <c r="Q323">
        <v>1.1176999999999999</v>
      </c>
      <c r="R323">
        <v>24138.273925999998</v>
      </c>
      <c r="S323" t="s">
        <v>23</v>
      </c>
      <c r="T323">
        <v>1.119</v>
      </c>
      <c r="U323">
        <v>24166.34922</v>
      </c>
      <c r="V323">
        <v>-28.075294000002032</v>
      </c>
      <c r="W323">
        <v>-1.1617515638964202E-3</v>
      </c>
    </row>
    <row r="324" spans="1:23" x14ac:dyDescent="0.25">
      <c r="A324" t="s">
        <v>738</v>
      </c>
      <c r="B324" t="s">
        <v>39</v>
      </c>
      <c r="C324" t="s">
        <v>82</v>
      </c>
      <c r="D324" t="s">
        <v>33</v>
      </c>
      <c r="E324" t="s">
        <v>83</v>
      </c>
      <c r="F324" s="1">
        <v>45913</v>
      </c>
      <c r="G324">
        <v>45958</v>
      </c>
      <c r="H324" t="s">
        <v>8</v>
      </c>
      <c r="I324">
        <v>12551.28</v>
      </c>
      <c r="J324" t="s">
        <v>75</v>
      </c>
      <c r="K324" t="s">
        <v>739</v>
      </c>
      <c r="L324">
        <v>45</v>
      </c>
      <c r="M324" t="s">
        <v>39</v>
      </c>
      <c r="N324">
        <v>1.1641999999999999</v>
      </c>
      <c r="O324">
        <v>1.3417079635818829</v>
      </c>
      <c r="P324">
        <v>6.3437227550130768E-3</v>
      </c>
      <c r="Q324">
        <v>1.3417079635818829</v>
      </c>
      <c r="R324">
        <v>16840.152329146018</v>
      </c>
      <c r="S324" t="s">
        <v>13</v>
      </c>
      <c r="T324">
        <v>1.282</v>
      </c>
      <c r="U324">
        <v>16090.740960000001</v>
      </c>
      <c r="V324">
        <v>749.41136914601702</v>
      </c>
      <c r="W324">
        <v>4.6574074556851044E-2</v>
      </c>
    </row>
    <row r="325" spans="1:23" x14ac:dyDescent="0.25">
      <c r="A325" t="s">
        <v>740</v>
      </c>
      <c r="B325" t="s">
        <v>38</v>
      </c>
      <c r="C325" t="s">
        <v>87</v>
      </c>
      <c r="D325" t="s">
        <v>33</v>
      </c>
      <c r="E325" t="s">
        <v>88</v>
      </c>
      <c r="F325" s="1">
        <v>46194</v>
      </c>
      <c r="G325">
        <v>46224</v>
      </c>
      <c r="H325" t="s">
        <v>6</v>
      </c>
      <c r="I325">
        <v>6919.61</v>
      </c>
      <c r="J325" t="s">
        <v>75</v>
      </c>
      <c r="K325" t="s">
        <v>741</v>
      </c>
      <c r="L325">
        <v>30</v>
      </c>
      <c r="M325" t="s">
        <v>38</v>
      </c>
      <c r="N325">
        <v>1.1467000000000001</v>
      </c>
      <c r="O325">
        <v>1.3233240626406473</v>
      </c>
      <c r="P325">
        <v>6.2024015577672011E-3</v>
      </c>
      <c r="Q325">
        <v>1.1467000000000001</v>
      </c>
      <c r="R325">
        <v>7934.7167870000003</v>
      </c>
      <c r="S325" t="s">
        <v>19</v>
      </c>
      <c r="T325">
        <v>1.083</v>
      </c>
      <c r="U325">
        <v>7493.9376299999994</v>
      </c>
      <c r="V325">
        <v>440.77915700000085</v>
      </c>
      <c r="W325">
        <v>5.8818097876269737E-2</v>
      </c>
    </row>
    <row r="326" spans="1:23" x14ac:dyDescent="0.25">
      <c r="A326" t="s">
        <v>742</v>
      </c>
      <c r="B326" t="s">
        <v>39</v>
      </c>
      <c r="C326" t="s">
        <v>82</v>
      </c>
      <c r="D326" t="s">
        <v>33</v>
      </c>
      <c r="E326" t="s">
        <v>83</v>
      </c>
      <c r="F326" s="1">
        <v>45681</v>
      </c>
      <c r="G326">
        <v>45726</v>
      </c>
      <c r="H326" t="s">
        <v>8</v>
      </c>
      <c r="I326">
        <v>1994.53</v>
      </c>
      <c r="J326" t="s">
        <v>75</v>
      </c>
      <c r="K326" t="s">
        <v>743</v>
      </c>
      <c r="L326">
        <v>45</v>
      </c>
      <c r="M326" t="s">
        <v>39</v>
      </c>
      <c r="N326">
        <v>1.0471999999999999</v>
      </c>
      <c r="O326">
        <v>1.2405672112115431</v>
      </c>
      <c r="P326">
        <v>6.3892617449664421E-3</v>
      </c>
      <c r="Q326">
        <v>1.2405672112115431</v>
      </c>
      <c r="R326">
        <v>2474.3485197777591</v>
      </c>
      <c r="S326" t="s">
        <v>11</v>
      </c>
      <c r="T326">
        <v>1.238</v>
      </c>
      <c r="U326">
        <v>2469.2281400000002</v>
      </c>
      <c r="V326">
        <v>5.1203797777588989</v>
      </c>
      <c r="W326">
        <v>2.0736762613433111E-3</v>
      </c>
    </row>
    <row r="327" spans="1:23" x14ac:dyDescent="0.25">
      <c r="A327" t="s">
        <v>744</v>
      </c>
      <c r="B327" t="s">
        <v>32</v>
      </c>
      <c r="C327" t="s">
        <v>106</v>
      </c>
      <c r="D327" t="s">
        <v>31</v>
      </c>
      <c r="E327" t="s">
        <v>74</v>
      </c>
      <c r="F327" s="1">
        <v>45798</v>
      </c>
      <c r="G327">
        <v>45828</v>
      </c>
      <c r="H327" t="s">
        <v>6</v>
      </c>
      <c r="I327">
        <v>22717.78</v>
      </c>
      <c r="J327" t="s">
        <v>75</v>
      </c>
      <c r="K327" t="s">
        <v>745</v>
      </c>
      <c r="L327">
        <v>30</v>
      </c>
      <c r="M327" t="s">
        <v>32</v>
      </c>
      <c r="N327">
        <v>1.1321000000000001</v>
      </c>
      <c r="O327">
        <v>1.3403978214539427</v>
      </c>
      <c r="P327">
        <v>6.9556402064389292E-3</v>
      </c>
      <c r="Q327">
        <v>1.1321000000000001</v>
      </c>
      <c r="R327">
        <v>25718.798738000001</v>
      </c>
      <c r="S327" t="s">
        <v>12</v>
      </c>
      <c r="T327">
        <v>1.07</v>
      </c>
      <c r="U327">
        <v>24308.024600000001</v>
      </c>
      <c r="V327">
        <v>1410.7741380000007</v>
      </c>
      <c r="W327">
        <v>5.8037383177570116E-2</v>
      </c>
    </row>
    <row r="328" spans="1:23" x14ac:dyDescent="0.25">
      <c r="A328" t="s">
        <v>746</v>
      </c>
      <c r="B328" t="s">
        <v>40</v>
      </c>
      <c r="C328" t="s">
        <v>78</v>
      </c>
      <c r="D328" t="s">
        <v>33</v>
      </c>
      <c r="E328" t="s">
        <v>79</v>
      </c>
      <c r="F328" s="1">
        <v>45778</v>
      </c>
      <c r="G328">
        <v>45808</v>
      </c>
      <c r="H328" t="s">
        <v>9</v>
      </c>
      <c r="I328">
        <v>1494091.52</v>
      </c>
      <c r="J328" t="s">
        <v>75</v>
      </c>
      <c r="K328" t="s">
        <v>747</v>
      </c>
      <c r="L328">
        <v>30</v>
      </c>
      <c r="M328" t="s">
        <v>40</v>
      </c>
      <c r="N328">
        <v>1.181</v>
      </c>
      <c r="O328">
        <v>1.3751746623195156</v>
      </c>
      <c r="P328">
        <v>7.0005927682276238E-3</v>
      </c>
      <c r="Q328">
        <v>7.0005927682276238E-3</v>
      </c>
      <c r="R328">
        <v>10459.526289982219</v>
      </c>
      <c r="S328" t="s">
        <v>12</v>
      </c>
      <c r="T328">
        <v>6.7000000000000002E-3</v>
      </c>
      <c r="U328">
        <v>10010.413184000001</v>
      </c>
      <c r="V328">
        <v>449.11310598221826</v>
      </c>
      <c r="W328">
        <v>4.4864592272779676E-2</v>
      </c>
    </row>
    <row r="329" spans="1:23" x14ac:dyDescent="0.25">
      <c r="A329" t="s">
        <v>748</v>
      </c>
      <c r="B329" t="s">
        <v>25</v>
      </c>
      <c r="C329" t="s">
        <v>169</v>
      </c>
      <c r="D329" t="s">
        <v>31</v>
      </c>
      <c r="E329" t="s">
        <v>124</v>
      </c>
      <c r="F329" s="1">
        <v>46176</v>
      </c>
      <c r="G329">
        <v>46236</v>
      </c>
      <c r="H329" t="s">
        <v>6</v>
      </c>
      <c r="I329">
        <v>80405.05</v>
      </c>
      <c r="J329" t="s">
        <v>75</v>
      </c>
      <c r="K329" t="s">
        <v>749</v>
      </c>
      <c r="L329">
        <v>60</v>
      </c>
      <c r="M329" t="s">
        <v>25</v>
      </c>
      <c r="N329">
        <v>1.1614</v>
      </c>
      <c r="O329">
        <v>1.3446798656941068</v>
      </c>
      <c r="P329">
        <v>6.2555208445545622E-3</v>
      </c>
      <c r="Q329">
        <v>1.1614</v>
      </c>
      <c r="R329">
        <v>93382.425069999998</v>
      </c>
      <c r="S329" t="s">
        <v>19</v>
      </c>
      <c r="T329">
        <v>1.083</v>
      </c>
      <c r="U329">
        <v>87078.669150000002</v>
      </c>
      <c r="V329">
        <v>6303.755919999996</v>
      </c>
      <c r="W329">
        <v>7.2391505078485643E-2</v>
      </c>
    </row>
    <row r="330" spans="1:23" x14ac:dyDescent="0.25">
      <c r="A330" t="s">
        <v>750</v>
      </c>
      <c r="B330" t="s">
        <v>30</v>
      </c>
      <c r="C330" t="s">
        <v>103</v>
      </c>
      <c r="D330" t="s">
        <v>31</v>
      </c>
      <c r="E330" t="s">
        <v>74</v>
      </c>
      <c r="F330" s="1">
        <v>46341</v>
      </c>
      <c r="G330">
        <v>46371</v>
      </c>
      <c r="H330" t="s">
        <v>9</v>
      </c>
      <c r="I330">
        <v>2531601.56</v>
      </c>
      <c r="J330" t="s">
        <v>84</v>
      </c>
      <c r="K330" t="s">
        <v>751</v>
      </c>
      <c r="L330">
        <v>30</v>
      </c>
      <c r="M330" t="s">
        <v>30</v>
      </c>
      <c r="N330">
        <v>1.1176999999999999</v>
      </c>
      <c r="O330">
        <v>1.320456022210408</v>
      </c>
      <c r="P330">
        <v>6.3200452360757699E-3</v>
      </c>
      <c r="Q330">
        <v>6.3200452360757699E-3</v>
      </c>
      <c r="R330">
        <v>15999.836378919988</v>
      </c>
      <c r="S330" t="s">
        <v>23</v>
      </c>
      <c r="T330">
        <v>6.8799999999999998E-3</v>
      </c>
      <c r="U330">
        <v>17417.418732800001</v>
      </c>
      <c r="V330">
        <v>-1417.5823538800123</v>
      </c>
      <c r="W330">
        <v>-8.1388773826196206E-2</v>
      </c>
    </row>
    <row r="331" spans="1:23" x14ac:dyDescent="0.25">
      <c r="A331" t="s">
        <v>752</v>
      </c>
      <c r="B331" t="s">
        <v>44</v>
      </c>
      <c r="C331" t="s">
        <v>138</v>
      </c>
      <c r="D331" t="s">
        <v>33</v>
      </c>
      <c r="E331" t="s">
        <v>88</v>
      </c>
      <c r="F331" s="1">
        <v>46093</v>
      </c>
      <c r="G331">
        <v>46138</v>
      </c>
      <c r="H331" t="s">
        <v>9</v>
      </c>
      <c r="I331">
        <v>446201.94</v>
      </c>
      <c r="J331" t="s">
        <v>75</v>
      </c>
      <c r="K331" t="s">
        <v>753</v>
      </c>
      <c r="L331">
        <v>45</v>
      </c>
      <c r="M331" t="s">
        <v>44</v>
      </c>
      <c r="N331">
        <v>1.1547000000000001</v>
      </c>
      <c r="O331">
        <v>1.338891272335146</v>
      </c>
      <c r="P331">
        <v>6.2950444311181382E-3</v>
      </c>
      <c r="Q331">
        <v>6.2950444311181382E-3</v>
      </c>
      <c r="R331">
        <v>2808.8610375511098</v>
      </c>
      <c r="S331" t="s">
        <v>16</v>
      </c>
      <c r="T331">
        <v>6.4599999999999996E-3</v>
      </c>
      <c r="U331">
        <v>2882.4645323999998</v>
      </c>
      <c r="V331">
        <v>-73.603494848890023</v>
      </c>
      <c r="W331">
        <v>-2.5534917783569821E-2</v>
      </c>
    </row>
    <row r="332" spans="1:23" x14ac:dyDescent="0.25">
      <c r="A332" t="s">
        <v>754</v>
      </c>
      <c r="B332" t="s">
        <v>42</v>
      </c>
      <c r="C332" t="s">
        <v>151</v>
      </c>
      <c r="D332" t="s">
        <v>35</v>
      </c>
      <c r="E332" t="s">
        <v>152</v>
      </c>
      <c r="F332" s="1">
        <v>45882</v>
      </c>
      <c r="G332">
        <v>45912</v>
      </c>
      <c r="H332" t="s">
        <v>8</v>
      </c>
      <c r="I332">
        <v>6984.04</v>
      </c>
      <c r="J332" t="s">
        <v>75</v>
      </c>
      <c r="K332" t="s">
        <v>755</v>
      </c>
      <c r="L332">
        <v>30</v>
      </c>
      <c r="M332" t="s">
        <v>42</v>
      </c>
      <c r="N332">
        <v>1.1711</v>
      </c>
      <c r="O332">
        <v>1.3568532035685321</v>
      </c>
      <c r="P332">
        <v>6.790166405751725E-3</v>
      </c>
      <c r="Q332">
        <v>1.3568532035685321</v>
      </c>
      <c r="R332">
        <v>9476.3170478507709</v>
      </c>
      <c r="S332" t="s">
        <v>13</v>
      </c>
      <c r="T332">
        <v>1.282</v>
      </c>
      <c r="U332">
        <v>8953.5392800000009</v>
      </c>
      <c r="V332">
        <v>522.77776785077003</v>
      </c>
      <c r="W332">
        <v>5.8387834296826806E-2</v>
      </c>
    </row>
    <row r="333" spans="1:23" x14ac:dyDescent="0.25">
      <c r="A333" t="s">
        <v>756</v>
      </c>
      <c r="B333" t="s">
        <v>43</v>
      </c>
      <c r="C333" t="s">
        <v>215</v>
      </c>
      <c r="D333" t="s">
        <v>35</v>
      </c>
      <c r="E333" t="s">
        <v>152</v>
      </c>
      <c r="F333" s="1">
        <v>45960</v>
      </c>
      <c r="G333">
        <v>45990</v>
      </c>
      <c r="H333" t="s">
        <v>6</v>
      </c>
      <c r="I333">
        <v>3457.05</v>
      </c>
      <c r="J333" t="s">
        <v>75</v>
      </c>
      <c r="K333" t="s">
        <v>757</v>
      </c>
      <c r="L333">
        <v>30</v>
      </c>
      <c r="M333" t="s">
        <v>43</v>
      </c>
      <c r="N333">
        <v>1.155</v>
      </c>
      <c r="O333">
        <v>1.312350869219407</v>
      </c>
      <c r="P333">
        <v>6.4753041430733868E-3</v>
      </c>
      <c r="Q333">
        <v>1.155</v>
      </c>
      <c r="R333">
        <v>3992.8927500000004</v>
      </c>
      <c r="S333" t="s">
        <v>14</v>
      </c>
      <c r="T333">
        <v>1.1060000000000001</v>
      </c>
      <c r="U333">
        <v>3823.4973000000005</v>
      </c>
      <c r="V333">
        <v>169.39544999999998</v>
      </c>
      <c r="W333">
        <v>4.4303797468354424E-2</v>
      </c>
    </row>
    <row r="334" spans="1:23" x14ac:dyDescent="0.25">
      <c r="A334" t="s">
        <v>758</v>
      </c>
      <c r="B334" t="s">
        <v>38</v>
      </c>
      <c r="C334" t="s">
        <v>87</v>
      </c>
      <c r="D334" t="s">
        <v>33</v>
      </c>
      <c r="E334" t="s">
        <v>88</v>
      </c>
      <c r="F334" s="1">
        <v>46306</v>
      </c>
      <c r="G334">
        <v>46336</v>
      </c>
      <c r="H334" t="s">
        <v>6</v>
      </c>
      <c r="I334">
        <v>7229.56</v>
      </c>
      <c r="J334" t="s">
        <v>84</v>
      </c>
      <c r="K334" t="s">
        <v>759</v>
      </c>
      <c r="L334">
        <v>30</v>
      </c>
      <c r="M334" t="s">
        <v>38</v>
      </c>
      <c r="N334">
        <v>1.1176999999999999</v>
      </c>
      <c r="O334">
        <v>1.320456022210408</v>
      </c>
      <c r="P334">
        <v>6.3200452360757699E-3</v>
      </c>
      <c r="Q334">
        <v>1.1176999999999999</v>
      </c>
      <c r="R334">
        <v>8080.4792120000002</v>
      </c>
      <c r="S334" t="s">
        <v>23</v>
      </c>
      <c r="T334">
        <v>1.119</v>
      </c>
      <c r="U334">
        <v>8089.8776400000006</v>
      </c>
      <c r="V334">
        <v>-9.3984280000004219</v>
      </c>
      <c r="W334">
        <v>-1.1617515638963881E-3</v>
      </c>
    </row>
    <row r="335" spans="1:23" x14ac:dyDescent="0.25">
      <c r="A335" t="s">
        <v>760</v>
      </c>
      <c r="B335" t="s">
        <v>42</v>
      </c>
      <c r="C335" t="s">
        <v>151</v>
      </c>
      <c r="D335" t="s">
        <v>35</v>
      </c>
      <c r="E335" t="s">
        <v>152</v>
      </c>
      <c r="F335" s="1">
        <v>46364</v>
      </c>
      <c r="G335">
        <v>46394</v>
      </c>
      <c r="H335" t="s">
        <v>8</v>
      </c>
      <c r="I335">
        <v>7624.72</v>
      </c>
      <c r="J335" t="s">
        <v>84</v>
      </c>
      <c r="K335" t="s">
        <v>761</v>
      </c>
      <c r="L335">
        <v>30</v>
      </c>
      <c r="M335" t="s">
        <v>42</v>
      </c>
      <c r="N335">
        <v>1.1176999999999999</v>
      </c>
      <c r="O335">
        <v>1.320456022210408</v>
      </c>
      <c r="P335">
        <v>6.3200452360757699E-3</v>
      </c>
      <c r="Q335">
        <v>1.320456022210408</v>
      </c>
      <c r="R335">
        <v>10068.107441668142</v>
      </c>
      <c r="S335" t="s">
        <v>23</v>
      </c>
      <c r="T335">
        <v>1.3149999999999999</v>
      </c>
      <c r="U335">
        <v>10026.506799999999</v>
      </c>
      <c r="V335">
        <v>41.600641668142998</v>
      </c>
      <c r="W335">
        <v>4.1490663197019922E-3</v>
      </c>
    </row>
    <row r="336" spans="1:23" x14ac:dyDescent="0.25">
      <c r="A336" t="s">
        <v>762</v>
      </c>
      <c r="B336" t="s">
        <v>40</v>
      </c>
      <c r="C336" t="s">
        <v>78</v>
      </c>
      <c r="D336" t="s">
        <v>33</v>
      </c>
      <c r="E336" t="s">
        <v>79</v>
      </c>
      <c r="F336" s="1">
        <v>46365</v>
      </c>
      <c r="G336">
        <v>46395</v>
      </c>
      <c r="H336" t="s">
        <v>9</v>
      </c>
      <c r="I336">
        <v>2166248.81</v>
      </c>
      <c r="J336" t="s">
        <v>84</v>
      </c>
      <c r="K336" t="s">
        <v>763</v>
      </c>
      <c r="L336">
        <v>30</v>
      </c>
      <c r="M336" t="s">
        <v>40</v>
      </c>
      <c r="N336">
        <v>1.1176999999999999</v>
      </c>
      <c r="O336">
        <v>1.320456022210408</v>
      </c>
      <c r="P336">
        <v>6.3200452360757699E-3</v>
      </c>
      <c r="Q336">
        <v>6.3200452360757699E-3</v>
      </c>
      <c r="R336">
        <v>13690.790471795306</v>
      </c>
      <c r="S336" t="s">
        <v>23</v>
      </c>
      <c r="T336">
        <v>6.8799999999999998E-3</v>
      </c>
      <c r="U336">
        <v>14903.7918128</v>
      </c>
      <c r="V336">
        <v>-1213.001341004694</v>
      </c>
      <c r="W336">
        <v>-8.1388773826196206E-2</v>
      </c>
    </row>
    <row r="337" spans="1:23" x14ac:dyDescent="0.25">
      <c r="A337" t="s">
        <v>764</v>
      </c>
      <c r="B337" t="s">
        <v>36</v>
      </c>
      <c r="C337" t="s">
        <v>116</v>
      </c>
      <c r="D337" t="s">
        <v>31</v>
      </c>
      <c r="E337" t="s">
        <v>74</v>
      </c>
      <c r="F337" s="1">
        <v>46125</v>
      </c>
      <c r="G337">
        <v>46170</v>
      </c>
      <c r="H337" t="s">
        <v>6</v>
      </c>
      <c r="I337">
        <v>5008.63</v>
      </c>
      <c r="J337" t="s">
        <v>75</v>
      </c>
      <c r="K337" t="s">
        <v>765</v>
      </c>
      <c r="L337">
        <v>45</v>
      </c>
      <c r="M337" t="s">
        <v>36</v>
      </c>
      <c r="N337">
        <v>1.1684000000000001</v>
      </c>
      <c r="O337">
        <v>1.3420937765627514</v>
      </c>
      <c r="P337">
        <v>6.2564926372155293E-3</v>
      </c>
      <c r="Q337">
        <v>1.1684000000000001</v>
      </c>
      <c r="R337">
        <v>5852.0832920000003</v>
      </c>
      <c r="S337" t="s">
        <v>19</v>
      </c>
      <c r="T337">
        <v>1.083</v>
      </c>
      <c r="U337">
        <v>5424.3462899999995</v>
      </c>
      <c r="V337">
        <v>427.73700200000076</v>
      </c>
      <c r="W337">
        <v>7.8855032317636339E-2</v>
      </c>
    </row>
    <row r="338" spans="1:23" x14ac:dyDescent="0.25">
      <c r="A338" t="s">
        <v>766</v>
      </c>
      <c r="B338" t="s">
        <v>25</v>
      </c>
      <c r="C338" t="s">
        <v>169</v>
      </c>
      <c r="D338" t="s">
        <v>31</v>
      </c>
      <c r="E338" t="s">
        <v>124</v>
      </c>
      <c r="F338" s="1">
        <v>45763</v>
      </c>
      <c r="G338">
        <v>45823</v>
      </c>
      <c r="H338" t="s">
        <v>6</v>
      </c>
      <c r="I338">
        <v>46110.879999999997</v>
      </c>
      <c r="J338" t="s">
        <v>75</v>
      </c>
      <c r="K338" t="s">
        <v>767</v>
      </c>
      <c r="L338">
        <v>60</v>
      </c>
      <c r="M338" t="s">
        <v>25</v>
      </c>
      <c r="N338">
        <v>1.1355</v>
      </c>
      <c r="O338">
        <v>1.3262398093858767</v>
      </c>
      <c r="P338">
        <v>7.0053673884878766E-3</v>
      </c>
      <c r="Q338">
        <v>1.1355</v>
      </c>
      <c r="R338">
        <v>52358.904239999996</v>
      </c>
      <c r="S338" t="s">
        <v>12</v>
      </c>
      <c r="T338">
        <v>1.07</v>
      </c>
      <c r="U338">
        <v>49338.641600000003</v>
      </c>
      <c r="V338">
        <v>3020.2626399999936</v>
      </c>
      <c r="W338">
        <v>6.1214953271027904E-2</v>
      </c>
    </row>
    <row r="339" spans="1:23" x14ac:dyDescent="0.25">
      <c r="A339" t="s">
        <v>768</v>
      </c>
      <c r="B339" t="s">
        <v>40</v>
      </c>
      <c r="C339" t="s">
        <v>78</v>
      </c>
      <c r="D339" t="s">
        <v>33</v>
      </c>
      <c r="E339" t="s">
        <v>79</v>
      </c>
      <c r="F339" s="1">
        <v>46090</v>
      </c>
      <c r="G339">
        <v>46120</v>
      </c>
      <c r="H339" t="s">
        <v>9</v>
      </c>
      <c r="I339">
        <v>559195.89</v>
      </c>
      <c r="J339" t="s">
        <v>75</v>
      </c>
      <c r="K339" t="s">
        <v>769</v>
      </c>
      <c r="L339">
        <v>30</v>
      </c>
      <c r="M339" t="s">
        <v>40</v>
      </c>
      <c r="N339">
        <v>1.1555</v>
      </c>
      <c r="O339">
        <v>1.3353750144458569</v>
      </c>
      <c r="P339">
        <v>6.3090363090363083E-3</v>
      </c>
      <c r="Q339">
        <v>6.3090363090363083E-3</v>
      </c>
      <c r="R339">
        <v>3527.9871738738734</v>
      </c>
      <c r="S339" t="s">
        <v>16</v>
      </c>
      <c r="T339">
        <v>6.4599999999999996E-3</v>
      </c>
      <c r="U339">
        <v>3612.4054493999997</v>
      </c>
      <c r="V339">
        <v>-84.418275526126308</v>
      </c>
      <c r="W339">
        <v>-2.336899240924014E-2</v>
      </c>
    </row>
    <row r="340" spans="1:23" x14ac:dyDescent="0.25">
      <c r="A340" t="s">
        <v>770</v>
      </c>
      <c r="B340" t="s">
        <v>22</v>
      </c>
      <c r="C340" t="s">
        <v>127</v>
      </c>
      <c r="D340" t="s">
        <v>31</v>
      </c>
      <c r="E340" t="s">
        <v>124</v>
      </c>
      <c r="F340" s="1">
        <v>46213</v>
      </c>
      <c r="G340">
        <v>46273</v>
      </c>
      <c r="H340" t="s">
        <v>9</v>
      </c>
      <c r="I340">
        <v>11647487.4</v>
      </c>
      <c r="J340" t="s">
        <v>75</v>
      </c>
      <c r="K340" t="s">
        <v>771</v>
      </c>
      <c r="L340">
        <v>60</v>
      </c>
      <c r="M340" t="s">
        <v>22</v>
      </c>
      <c r="N340">
        <v>1.143</v>
      </c>
      <c r="O340">
        <v>1.3422582349832657</v>
      </c>
      <c r="P340">
        <v>6.1777105177818611E-3</v>
      </c>
      <c r="Q340">
        <v>6.1777105177818611E-3</v>
      </c>
      <c r="R340">
        <v>71954.805416711708</v>
      </c>
      <c r="S340" t="s">
        <v>21</v>
      </c>
      <c r="T340">
        <v>6.7400000000000003E-3</v>
      </c>
      <c r="U340">
        <v>78504.065076000014</v>
      </c>
      <c r="V340">
        <v>-6549.2596592883056</v>
      </c>
      <c r="W340">
        <v>-8.3425739201504381E-2</v>
      </c>
    </row>
    <row r="341" spans="1:23" x14ac:dyDescent="0.25">
      <c r="A341" t="s">
        <v>772</v>
      </c>
      <c r="B341" t="s">
        <v>38</v>
      </c>
      <c r="C341" t="s">
        <v>87</v>
      </c>
      <c r="D341" t="s">
        <v>33</v>
      </c>
      <c r="E341" t="s">
        <v>88</v>
      </c>
      <c r="F341" s="1">
        <v>46229</v>
      </c>
      <c r="G341">
        <v>46259</v>
      </c>
      <c r="H341" t="s">
        <v>6</v>
      </c>
      <c r="I341">
        <v>3777.9</v>
      </c>
      <c r="J341" t="s">
        <v>75</v>
      </c>
      <c r="K341" t="s">
        <v>773</v>
      </c>
      <c r="L341">
        <v>30</v>
      </c>
      <c r="M341" t="s">
        <v>38</v>
      </c>
      <c r="N341">
        <v>1.1376999999999999</v>
      </c>
      <c r="O341">
        <v>1.3323886260364455</v>
      </c>
      <c r="P341">
        <v>6.1041957291554884E-3</v>
      </c>
      <c r="Q341">
        <v>1.1376999999999999</v>
      </c>
      <c r="R341">
        <v>4298.1168299999999</v>
      </c>
      <c r="S341" t="s">
        <v>21</v>
      </c>
      <c r="T341">
        <v>1.101</v>
      </c>
      <c r="U341">
        <v>4159.4678999999996</v>
      </c>
      <c r="V341">
        <v>138.64893000000029</v>
      </c>
      <c r="W341">
        <v>3.3333333333333409E-2</v>
      </c>
    </row>
    <row r="342" spans="1:23" x14ac:dyDescent="0.25">
      <c r="A342" t="s">
        <v>774</v>
      </c>
      <c r="B342" t="s">
        <v>20</v>
      </c>
      <c r="C342" t="s">
        <v>123</v>
      </c>
      <c r="D342" t="s">
        <v>31</v>
      </c>
      <c r="E342" t="s">
        <v>124</v>
      </c>
      <c r="F342" s="1">
        <v>45982</v>
      </c>
      <c r="G342">
        <v>46027</v>
      </c>
      <c r="H342" t="s">
        <v>6</v>
      </c>
      <c r="I342">
        <v>40141.480000000003</v>
      </c>
      <c r="J342" t="s">
        <v>75</v>
      </c>
      <c r="K342" t="s">
        <v>775</v>
      </c>
      <c r="L342">
        <v>45</v>
      </c>
      <c r="M342" t="s">
        <v>20</v>
      </c>
      <c r="N342">
        <v>1.1519999999999999</v>
      </c>
      <c r="O342">
        <v>1.3086447801885721</v>
      </c>
      <c r="P342">
        <v>6.3801506424457236E-3</v>
      </c>
      <c r="Q342">
        <v>1.1519999999999999</v>
      </c>
      <c r="R342">
        <v>46242.984960000002</v>
      </c>
      <c r="S342" t="s">
        <v>14</v>
      </c>
      <c r="T342">
        <v>1.1060000000000001</v>
      </c>
      <c r="U342">
        <v>44396.476880000009</v>
      </c>
      <c r="V342">
        <v>1846.5080799999923</v>
      </c>
      <c r="W342">
        <v>4.1591320072332551E-2</v>
      </c>
    </row>
    <row r="343" spans="1:23" x14ac:dyDescent="0.25">
      <c r="A343" t="s">
        <v>776</v>
      </c>
      <c r="B343" t="s">
        <v>41</v>
      </c>
      <c r="C343" t="s">
        <v>172</v>
      </c>
      <c r="D343" t="s">
        <v>33</v>
      </c>
      <c r="E343" t="s">
        <v>83</v>
      </c>
      <c r="F343" s="1">
        <v>45773</v>
      </c>
      <c r="G343">
        <v>45803</v>
      </c>
      <c r="H343" t="s">
        <v>9</v>
      </c>
      <c r="I343">
        <v>1099282.06</v>
      </c>
      <c r="J343" t="s">
        <v>75</v>
      </c>
      <c r="K343" t="s">
        <v>777</v>
      </c>
      <c r="L343">
        <v>30</v>
      </c>
      <c r="M343" t="s">
        <v>41</v>
      </c>
      <c r="N343">
        <v>1.1607000000000001</v>
      </c>
      <c r="O343">
        <v>1.3612055822680897</v>
      </c>
      <c r="P343">
        <v>6.8978427527188451E-3</v>
      </c>
      <c r="Q343">
        <v>6.8978427527188451E-3</v>
      </c>
      <c r="R343">
        <v>7582.6747907648432</v>
      </c>
      <c r="S343" t="s">
        <v>12</v>
      </c>
      <c r="T343">
        <v>6.7000000000000002E-3</v>
      </c>
      <c r="U343">
        <v>7365.1898020000008</v>
      </c>
      <c r="V343">
        <v>217.48498876484246</v>
      </c>
      <c r="W343">
        <v>2.9528769062514164E-2</v>
      </c>
    </row>
    <row r="344" spans="1:23" x14ac:dyDescent="0.25">
      <c r="A344" t="s">
        <v>778</v>
      </c>
      <c r="B344" t="s">
        <v>40</v>
      </c>
      <c r="C344" t="s">
        <v>78</v>
      </c>
      <c r="D344" t="s">
        <v>33</v>
      </c>
      <c r="E344" t="s">
        <v>779</v>
      </c>
      <c r="F344" s="1">
        <v>45911</v>
      </c>
      <c r="G344">
        <v>45941</v>
      </c>
      <c r="H344" t="s">
        <v>9</v>
      </c>
      <c r="I344">
        <v>606340.79</v>
      </c>
      <c r="J344" t="s">
        <v>75</v>
      </c>
      <c r="K344" t="s">
        <v>780</v>
      </c>
      <c r="L344">
        <v>30</v>
      </c>
      <c r="M344" t="s">
        <v>40</v>
      </c>
      <c r="N344">
        <v>1.1685000000000001</v>
      </c>
      <c r="O344">
        <v>1.3513357233722678</v>
      </c>
      <c r="P344">
        <v>6.7590236001850998E-3</v>
      </c>
      <c r="Q344">
        <v>6.7590236001850998E-3</v>
      </c>
      <c r="R344">
        <v>4098.271709364878</v>
      </c>
      <c r="S344" t="s">
        <v>13</v>
      </c>
      <c r="T344">
        <v>6.8399999999999997E-3</v>
      </c>
      <c r="U344">
        <v>4147.3710036000002</v>
      </c>
      <c r="V344">
        <v>-49.099294235122215</v>
      </c>
      <c r="W344">
        <v>-1.1838654943698805E-2</v>
      </c>
    </row>
    <row r="345" spans="1:23" x14ac:dyDescent="0.25">
      <c r="A345" t="s">
        <v>781</v>
      </c>
      <c r="B345" t="s">
        <v>38</v>
      </c>
      <c r="C345" t="s">
        <v>87</v>
      </c>
      <c r="D345" t="s">
        <v>33</v>
      </c>
      <c r="E345" t="s">
        <v>88</v>
      </c>
      <c r="F345" s="1">
        <v>46323</v>
      </c>
      <c r="G345">
        <v>46353</v>
      </c>
      <c r="H345" t="s">
        <v>6</v>
      </c>
      <c r="I345">
        <v>10621.11</v>
      </c>
      <c r="J345" t="s">
        <v>84</v>
      </c>
      <c r="K345" t="s">
        <v>782</v>
      </c>
      <c r="L345">
        <v>30</v>
      </c>
      <c r="M345" t="s">
        <v>38</v>
      </c>
      <c r="N345">
        <v>1.1176999999999999</v>
      </c>
      <c r="O345">
        <v>1.320456022210408</v>
      </c>
      <c r="P345">
        <v>6.3200452360757699E-3</v>
      </c>
      <c r="Q345">
        <v>1.1176999999999999</v>
      </c>
      <c r="R345">
        <v>11871.214646999999</v>
      </c>
      <c r="S345" t="s">
        <v>23</v>
      </c>
      <c r="T345">
        <v>1.119</v>
      </c>
      <c r="U345">
        <v>11885.02209</v>
      </c>
      <c r="V345">
        <v>-13.807443000001513</v>
      </c>
      <c r="W345">
        <v>-1.1617515638964633E-3</v>
      </c>
    </row>
    <row r="346" spans="1:23" x14ac:dyDescent="0.25">
      <c r="A346" t="s">
        <v>783</v>
      </c>
      <c r="B346" t="s">
        <v>30</v>
      </c>
      <c r="C346" t="s">
        <v>103</v>
      </c>
      <c r="D346" t="s">
        <v>31</v>
      </c>
      <c r="E346" t="s">
        <v>74</v>
      </c>
      <c r="F346" s="1">
        <v>46168</v>
      </c>
      <c r="G346">
        <v>46198</v>
      </c>
      <c r="H346" t="s">
        <v>9</v>
      </c>
      <c r="I346">
        <v>2005781.24</v>
      </c>
      <c r="J346" t="s">
        <v>75</v>
      </c>
      <c r="K346" t="s">
        <v>784</v>
      </c>
      <c r="L346">
        <v>30</v>
      </c>
      <c r="M346" t="s">
        <v>30</v>
      </c>
      <c r="N346">
        <v>1.1634</v>
      </c>
      <c r="O346">
        <v>1.3469175108538349</v>
      </c>
      <c r="P346">
        <v>6.2811791383219958E-3</v>
      </c>
      <c r="Q346">
        <v>6.2811791383219958E-3</v>
      </c>
      <c r="R346">
        <v>12598.671280725624</v>
      </c>
      <c r="S346" t="s">
        <v>19</v>
      </c>
      <c r="T346">
        <v>6.6E-3</v>
      </c>
      <c r="U346">
        <v>13238.156183999999</v>
      </c>
      <c r="V346">
        <v>-639.48490327437503</v>
      </c>
      <c r="W346">
        <v>-4.8306191163333914E-2</v>
      </c>
    </row>
    <row r="347" spans="1:23" x14ac:dyDescent="0.25">
      <c r="A347" t="s">
        <v>785</v>
      </c>
      <c r="B347" t="s">
        <v>44</v>
      </c>
      <c r="C347" t="s">
        <v>138</v>
      </c>
      <c r="D347" t="s">
        <v>33</v>
      </c>
      <c r="E347" t="s">
        <v>88</v>
      </c>
      <c r="F347" s="1">
        <v>46271</v>
      </c>
      <c r="G347">
        <v>46316</v>
      </c>
      <c r="H347" t="s">
        <v>9</v>
      </c>
      <c r="I347">
        <v>914723.61</v>
      </c>
      <c r="J347" t="s">
        <v>75</v>
      </c>
      <c r="K347" t="s">
        <v>786</v>
      </c>
      <c r="L347">
        <v>45</v>
      </c>
      <c r="M347" t="s">
        <v>44</v>
      </c>
      <c r="N347">
        <v>1.1621999999999999</v>
      </c>
      <c r="O347">
        <v>1.3530000698502875</v>
      </c>
      <c r="P347">
        <v>6.400132165868164E-3</v>
      </c>
      <c r="Q347">
        <v>6.400132165868164E-3</v>
      </c>
      <c r="R347">
        <v>5854.3519992400461</v>
      </c>
      <c r="S347" t="s">
        <v>21</v>
      </c>
      <c r="T347">
        <v>6.7400000000000003E-3</v>
      </c>
      <c r="U347">
        <v>6165.2371314000002</v>
      </c>
      <c r="V347">
        <v>-310.88513215995408</v>
      </c>
      <c r="W347">
        <v>-5.042549467831392E-2</v>
      </c>
    </row>
    <row r="348" spans="1:23" x14ac:dyDescent="0.25">
      <c r="A348" t="s">
        <v>787</v>
      </c>
      <c r="B348" t="s">
        <v>38</v>
      </c>
      <c r="C348" t="s">
        <v>87</v>
      </c>
      <c r="D348" t="s">
        <v>33</v>
      </c>
      <c r="E348" t="s">
        <v>88</v>
      </c>
      <c r="F348" s="1">
        <v>46108</v>
      </c>
      <c r="G348">
        <v>46138</v>
      </c>
      <c r="H348" t="s">
        <v>6</v>
      </c>
      <c r="I348">
        <v>5066.67</v>
      </c>
      <c r="J348" t="s">
        <v>75</v>
      </c>
      <c r="K348" t="s">
        <v>788</v>
      </c>
      <c r="L348">
        <v>30</v>
      </c>
      <c r="M348" t="s">
        <v>38</v>
      </c>
      <c r="N348">
        <v>1.1516999999999999</v>
      </c>
      <c r="O348">
        <v>1.3280673431734318</v>
      </c>
      <c r="P348">
        <v>6.2538010425716769E-3</v>
      </c>
      <c r="Q348">
        <v>1.1516999999999999</v>
      </c>
      <c r="R348">
        <v>5835.2838389999997</v>
      </c>
      <c r="S348" t="s">
        <v>16</v>
      </c>
      <c r="T348">
        <v>1.0649999999999999</v>
      </c>
      <c r="U348">
        <v>5396.0035499999994</v>
      </c>
      <c r="V348">
        <v>439.28028900000027</v>
      </c>
      <c r="W348">
        <v>8.1408450704225407E-2</v>
      </c>
    </row>
    <row r="349" spans="1:23" x14ac:dyDescent="0.25">
      <c r="A349" t="s">
        <v>789</v>
      </c>
      <c r="B349" t="s">
        <v>20</v>
      </c>
      <c r="C349" t="s">
        <v>123</v>
      </c>
      <c r="D349" t="s">
        <v>31</v>
      </c>
      <c r="E349" t="s">
        <v>124</v>
      </c>
      <c r="F349" s="1">
        <v>46375</v>
      </c>
      <c r="G349">
        <v>46420</v>
      </c>
      <c r="H349" t="s">
        <v>6</v>
      </c>
      <c r="I349">
        <v>50589.7</v>
      </c>
      <c r="J349" t="s">
        <v>84</v>
      </c>
      <c r="K349" t="s">
        <v>790</v>
      </c>
      <c r="L349">
        <v>45</v>
      </c>
      <c r="M349" t="s">
        <v>20</v>
      </c>
      <c r="N349">
        <v>1.1176999999999999</v>
      </c>
      <c r="O349">
        <v>1.320456022210408</v>
      </c>
      <c r="P349">
        <v>6.3200452360757699E-3</v>
      </c>
      <c r="Q349">
        <v>1.1176999999999999</v>
      </c>
      <c r="R349">
        <v>56544.10768999999</v>
      </c>
      <c r="S349" t="s">
        <v>23</v>
      </c>
      <c r="T349">
        <v>1.119</v>
      </c>
      <c r="U349">
        <v>56609.874299999996</v>
      </c>
      <c r="V349">
        <v>-65.76661000000604</v>
      </c>
      <c r="W349">
        <v>-1.1617515638964427E-3</v>
      </c>
    </row>
    <row r="350" spans="1:23" x14ac:dyDescent="0.25">
      <c r="A350" t="s">
        <v>791</v>
      </c>
      <c r="B350" t="s">
        <v>36</v>
      </c>
      <c r="C350" t="s">
        <v>116</v>
      </c>
      <c r="D350" t="s">
        <v>31</v>
      </c>
      <c r="E350" t="s">
        <v>74</v>
      </c>
      <c r="F350" s="1">
        <v>46294</v>
      </c>
      <c r="G350">
        <v>46339</v>
      </c>
      <c r="H350" t="s">
        <v>6</v>
      </c>
      <c r="I350">
        <v>34631.61</v>
      </c>
      <c r="J350" t="s">
        <v>75</v>
      </c>
      <c r="K350" t="s">
        <v>792</v>
      </c>
      <c r="L350">
        <v>45</v>
      </c>
      <c r="M350" t="s">
        <v>36</v>
      </c>
      <c r="N350">
        <v>1.1355</v>
      </c>
      <c r="O350">
        <v>1.324692596654145</v>
      </c>
      <c r="P350">
        <v>6.3645535564149994E-3</v>
      </c>
      <c r="Q350">
        <v>1.1355</v>
      </c>
      <c r="R350">
        <v>39324.193155000001</v>
      </c>
      <c r="S350" t="s">
        <v>21</v>
      </c>
      <c r="T350">
        <v>1.101</v>
      </c>
      <c r="U350">
        <v>38129.402609999997</v>
      </c>
      <c r="V350">
        <v>1194.7905450000035</v>
      </c>
      <c r="W350">
        <v>3.1335149863760313E-2</v>
      </c>
    </row>
    <row r="351" spans="1:23" x14ac:dyDescent="0.25">
      <c r="A351" t="s">
        <v>793</v>
      </c>
      <c r="B351" t="s">
        <v>20</v>
      </c>
      <c r="C351" t="s">
        <v>123</v>
      </c>
      <c r="D351" t="s">
        <v>31</v>
      </c>
      <c r="E351" t="s">
        <v>124</v>
      </c>
      <c r="F351" s="1">
        <v>45814</v>
      </c>
      <c r="G351">
        <v>45859</v>
      </c>
      <c r="H351" t="s">
        <v>6</v>
      </c>
      <c r="I351">
        <v>58073.81</v>
      </c>
      <c r="J351" t="s">
        <v>75</v>
      </c>
      <c r="K351" t="s">
        <v>794</v>
      </c>
      <c r="L351">
        <v>45</v>
      </c>
      <c r="M351" t="s">
        <v>20</v>
      </c>
      <c r="N351">
        <v>1.1411</v>
      </c>
      <c r="O351">
        <v>1.3542606218846427</v>
      </c>
      <c r="P351">
        <v>6.9317215405175553E-3</v>
      </c>
      <c r="Q351">
        <v>1.1411</v>
      </c>
      <c r="R351">
        <v>66268.024590999994</v>
      </c>
      <c r="S351" t="s">
        <v>12</v>
      </c>
      <c r="T351">
        <v>1.07</v>
      </c>
      <c r="U351">
        <v>62138.976699999999</v>
      </c>
      <c r="V351">
        <v>4129.0478909999947</v>
      </c>
      <c r="W351">
        <v>6.6448598130841044E-2</v>
      </c>
    </row>
    <row r="352" spans="1:23" x14ac:dyDescent="0.25">
      <c r="A352" t="s">
        <v>795</v>
      </c>
      <c r="B352" t="s">
        <v>34</v>
      </c>
      <c r="C352" t="s">
        <v>177</v>
      </c>
      <c r="D352" t="s">
        <v>31</v>
      </c>
      <c r="E352" t="s">
        <v>74</v>
      </c>
      <c r="F352" s="1">
        <v>46319</v>
      </c>
      <c r="G352">
        <v>46379</v>
      </c>
      <c r="H352" t="s">
        <v>8</v>
      </c>
      <c r="I352">
        <v>16554.740000000002</v>
      </c>
      <c r="J352" t="s">
        <v>84</v>
      </c>
      <c r="K352" t="s">
        <v>796</v>
      </c>
      <c r="L352">
        <v>60</v>
      </c>
      <c r="M352" t="s">
        <v>34</v>
      </c>
      <c r="N352">
        <v>1.1176999999999999</v>
      </c>
      <c r="O352">
        <v>1.320456022210408</v>
      </c>
      <c r="P352">
        <v>6.3200452360757699E-3</v>
      </c>
      <c r="Q352">
        <v>1.320456022210408</v>
      </c>
      <c r="R352">
        <v>21859.806129127533</v>
      </c>
      <c r="S352" t="s">
        <v>23</v>
      </c>
      <c r="T352">
        <v>1.3149999999999999</v>
      </c>
      <c r="U352">
        <v>21769.483100000001</v>
      </c>
      <c r="V352">
        <v>90.323029127532209</v>
      </c>
      <c r="W352">
        <v>4.1490663197020147E-3</v>
      </c>
    </row>
    <row r="353" spans="1:23" x14ac:dyDescent="0.25">
      <c r="A353" t="s">
        <v>797</v>
      </c>
      <c r="B353" t="s">
        <v>28</v>
      </c>
      <c r="C353" t="s">
        <v>111</v>
      </c>
      <c r="D353" t="s">
        <v>31</v>
      </c>
      <c r="E353" t="s">
        <v>74</v>
      </c>
      <c r="F353" s="1">
        <v>46042</v>
      </c>
      <c r="G353">
        <v>46087</v>
      </c>
      <c r="H353" t="s">
        <v>9</v>
      </c>
      <c r="I353">
        <v>2341537.13</v>
      </c>
      <c r="J353" t="s">
        <v>75</v>
      </c>
      <c r="K353" t="s">
        <v>798</v>
      </c>
      <c r="L353">
        <v>45</v>
      </c>
      <c r="M353" t="s">
        <v>28</v>
      </c>
      <c r="N353">
        <v>1.1728000000000001</v>
      </c>
      <c r="O353">
        <v>1.3446457234579225</v>
      </c>
      <c r="P353">
        <v>6.3332973323253052E-3</v>
      </c>
      <c r="Q353">
        <v>6.3332973323253052E-3</v>
      </c>
      <c r="R353">
        <v>14829.650858969651</v>
      </c>
      <c r="S353" t="s">
        <v>16</v>
      </c>
      <c r="T353">
        <v>6.4599999999999996E-3</v>
      </c>
      <c r="U353">
        <v>15126.329859799998</v>
      </c>
      <c r="V353">
        <v>-296.67900083034692</v>
      </c>
      <c r="W353">
        <v>-1.9613416048714253E-2</v>
      </c>
    </row>
    <row r="354" spans="1:23" x14ac:dyDescent="0.25">
      <c r="A354" t="s">
        <v>799</v>
      </c>
      <c r="B354" t="s">
        <v>38</v>
      </c>
      <c r="C354" t="s">
        <v>87</v>
      </c>
      <c r="D354" t="s">
        <v>33</v>
      </c>
      <c r="E354" t="s">
        <v>88</v>
      </c>
      <c r="F354" s="1">
        <v>45967</v>
      </c>
      <c r="G354">
        <v>45997</v>
      </c>
      <c r="H354" t="s">
        <v>6</v>
      </c>
      <c r="I354">
        <v>11397.89</v>
      </c>
      <c r="J354" t="s">
        <v>75</v>
      </c>
      <c r="K354" t="s">
        <v>800</v>
      </c>
      <c r="L354">
        <v>30</v>
      </c>
      <c r="M354" t="s">
        <v>38</v>
      </c>
      <c r="N354">
        <v>1.1533</v>
      </c>
      <c r="O354">
        <v>1.3095265130010219</v>
      </c>
      <c r="P354">
        <v>6.5103020039514537E-3</v>
      </c>
      <c r="Q354">
        <v>1.1533</v>
      </c>
      <c r="R354">
        <v>13145.186537</v>
      </c>
      <c r="S354" t="s">
        <v>14</v>
      </c>
      <c r="T354">
        <v>1.1060000000000001</v>
      </c>
      <c r="U354">
        <v>12606.066340000001</v>
      </c>
      <c r="V354">
        <v>539.12019699999837</v>
      </c>
      <c r="W354">
        <v>4.2766726943941999E-2</v>
      </c>
    </row>
    <row r="355" spans="1:23" x14ac:dyDescent="0.25">
      <c r="A355" t="s">
        <v>801</v>
      </c>
      <c r="B355" t="s">
        <v>24</v>
      </c>
      <c r="C355" t="s">
        <v>73</v>
      </c>
      <c r="D355" t="s">
        <v>31</v>
      </c>
      <c r="E355" t="s">
        <v>74</v>
      </c>
      <c r="F355" s="1">
        <v>45941</v>
      </c>
      <c r="G355">
        <v>45971</v>
      </c>
      <c r="H355" t="s">
        <v>6</v>
      </c>
      <c r="I355">
        <v>7954.69</v>
      </c>
      <c r="J355" t="s">
        <v>75</v>
      </c>
      <c r="K355" t="s">
        <v>802</v>
      </c>
      <c r="L355">
        <v>30</v>
      </c>
      <c r="M355" t="s">
        <v>24</v>
      </c>
      <c r="N355">
        <v>1.1845000000000001</v>
      </c>
      <c r="O355">
        <v>1.3577487391104999</v>
      </c>
      <c r="P355">
        <v>6.5085993735919554E-3</v>
      </c>
      <c r="Q355">
        <v>1.1845000000000001</v>
      </c>
      <c r="R355">
        <v>9422.3303049999995</v>
      </c>
      <c r="S355" t="s">
        <v>14</v>
      </c>
      <c r="T355">
        <v>1.1060000000000001</v>
      </c>
      <c r="U355">
        <v>8797.8871400000007</v>
      </c>
      <c r="V355">
        <v>624.44316499999877</v>
      </c>
      <c r="W355">
        <v>7.0976491862567673E-2</v>
      </c>
    </row>
    <row r="356" spans="1:23" x14ac:dyDescent="0.25">
      <c r="A356" t="s">
        <v>803</v>
      </c>
      <c r="B356" t="s">
        <v>34</v>
      </c>
      <c r="C356" t="s">
        <v>177</v>
      </c>
      <c r="D356" t="s">
        <v>31</v>
      </c>
      <c r="E356" t="s">
        <v>74</v>
      </c>
      <c r="F356" s="1">
        <v>46224</v>
      </c>
      <c r="G356">
        <v>46284</v>
      </c>
      <c r="H356" t="s">
        <v>8</v>
      </c>
      <c r="I356">
        <v>22397.54</v>
      </c>
      <c r="J356" t="s">
        <v>75</v>
      </c>
      <c r="K356" t="s">
        <v>804</v>
      </c>
      <c r="L356">
        <v>60</v>
      </c>
      <c r="M356" t="s">
        <v>34</v>
      </c>
      <c r="N356">
        <v>1.1417999999999999</v>
      </c>
      <c r="O356">
        <v>1.3400622029223637</v>
      </c>
      <c r="P356">
        <v>6.1446561188246689E-3</v>
      </c>
      <c r="Q356">
        <v>1.3400622029223637</v>
      </c>
      <c r="R356">
        <v>30014.09679244176</v>
      </c>
      <c r="S356" t="s">
        <v>21</v>
      </c>
      <c r="T356">
        <v>1.2929999999999999</v>
      </c>
      <c r="U356">
        <v>28960.019219999998</v>
      </c>
      <c r="V356">
        <v>1054.0775724417617</v>
      </c>
      <c r="W356">
        <v>3.6397682074527357E-2</v>
      </c>
    </row>
    <row r="357" spans="1:23" x14ac:dyDescent="0.25">
      <c r="A357" t="s">
        <v>805</v>
      </c>
      <c r="B357" t="s">
        <v>32</v>
      </c>
      <c r="C357" t="s">
        <v>106</v>
      </c>
      <c r="D357" t="s">
        <v>31</v>
      </c>
      <c r="E357" t="s">
        <v>806</v>
      </c>
      <c r="F357" s="1">
        <v>45713</v>
      </c>
      <c r="G357">
        <v>45743</v>
      </c>
      <c r="H357" t="s">
        <v>6</v>
      </c>
      <c r="I357">
        <v>17142.560000000001</v>
      </c>
      <c r="J357" t="s">
        <v>75</v>
      </c>
      <c r="K357" t="s">
        <v>807</v>
      </c>
      <c r="L357">
        <v>30</v>
      </c>
      <c r="M357" t="s">
        <v>32</v>
      </c>
      <c r="N357">
        <v>1.0497000000000001</v>
      </c>
      <c r="O357">
        <v>1.2661021855550731</v>
      </c>
      <c r="P357">
        <v>6.6779057191933338E-3</v>
      </c>
      <c r="Q357">
        <v>1.0497000000000001</v>
      </c>
      <c r="R357">
        <v>17994.545232000004</v>
      </c>
      <c r="S357" t="s">
        <v>11</v>
      </c>
      <c r="T357">
        <v>1.052</v>
      </c>
      <c r="U357">
        <v>18033.973120000002</v>
      </c>
      <c r="V357">
        <v>-39.427887999998347</v>
      </c>
      <c r="W357">
        <v>-2.1863117870721516E-3</v>
      </c>
    </row>
    <row r="358" spans="1:23" x14ac:dyDescent="0.25">
      <c r="A358" t="s">
        <v>808</v>
      </c>
      <c r="B358" t="s">
        <v>42</v>
      </c>
      <c r="C358" t="s">
        <v>151</v>
      </c>
      <c r="D358" t="s">
        <v>35</v>
      </c>
      <c r="E358" t="s">
        <v>152</v>
      </c>
      <c r="F358" s="1">
        <v>46114</v>
      </c>
      <c r="G358">
        <v>46144</v>
      </c>
      <c r="H358" t="s">
        <v>8</v>
      </c>
      <c r="I358">
        <v>2999.05</v>
      </c>
      <c r="J358" t="s">
        <v>75</v>
      </c>
      <c r="K358" t="s">
        <v>809</v>
      </c>
      <c r="L358">
        <v>30</v>
      </c>
      <c r="M358" t="s">
        <v>42</v>
      </c>
      <c r="N358">
        <v>1.1525000000000001</v>
      </c>
      <c r="O358">
        <v>1.3208714886594157</v>
      </c>
      <c r="P358">
        <v>6.2656300967706864E-3</v>
      </c>
      <c r="Q358">
        <v>1.3208714886594157</v>
      </c>
      <c r="R358">
        <v>3961.3596380640211</v>
      </c>
      <c r="S358" t="s">
        <v>19</v>
      </c>
      <c r="T358">
        <v>1.2709999999999999</v>
      </c>
      <c r="U358">
        <v>3811.7925500000001</v>
      </c>
      <c r="V358">
        <v>149.56708806402094</v>
      </c>
      <c r="W358">
        <v>3.9237992650995902E-2</v>
      </c>
    </row>
    <row r="359" spans="1:23" x14ac:dyDescent="0.25">
      <c r="A359" t="s">
        <v>810</v>
      </c>
      <c r="B359" t="s">
        <v>41</v>
      </c>
      <c r="C359" t="s">
        <v>172</v>
      </c>
      <c r="D359" t="s">
        <v>33</v>
      </c>
      <c r="E359" t="s">
        <v>83</v>
      </c>
      <c r="F359" s="1">
        <v>45896</v>
      </c>
      <c r="G359">
        <v>45926</v>
      </c>
      <c r="H359" t="s">
        <v>9</v>
      </c>
      <c r="I359">
        <v>1482865.61</v>
      </c>
      <c r="J359" t="s">
        <v>75</v>
      </c>
      <c r="K359" t="s">
        <v>811</v>
      </c>
      <c r="L359">
        <v>30</v>
      </c>
      <c r="M359" t="s">
        <v>41</v>
      </c>
      <c r="N359">
        <v>1.1593</v>
      </c>
      <c r="O359">
        <v>1.3439601205657314</v>
      </c>
      <c r="P359">
        <v>6.7546466235506612E-3</v>
      </c>
      <c r="Q359">
        <v>6.7546466235506612E-3</v>
      </c>
      <c r="R359">
        <v>10016.233185765892</v>
      </c>
      <c r="S359" t="s">
        <v>13</v>
      </c>
      <c r="T359">
        <v>6.8399999999999997E-3</v>
      </c>
      <c r="U359">
        <v>10142.8007724</v>
      </c>
      <c r="V359">
        <v>-126.56758663410801</v>
      </c>
      <c r="W359">
        <v>-1.2478563808382826E-2</v>
      </c>
    </row>
    <row r="360" spans="1:23" x14ac:dyDescent="0.25">
      <c r="A360" t="s">
        <v>812</v>
      </c>
      <c r="B360" t="s">
        <v>32</v>
      </c>
      <c r="C360" t="s">
        <v>106</v>
      </c>
      <c r="D360" t="s">
        <v>31</v>
      </c>
      <c r="E360" t="s">
        <v>74</v>
      </c>
      <c r="F360" s="1">
        <v>45799</v>
      </c>
      <c r="G360">
        <v>45829</v>
      </c>
      <c r="H360" t="s">
        <v>6</v>
      </c>
      <c r="I360">
        <v>10974.45</v>
      </c>
      <c r="J360" t="s">
        <v>75</v>
      </c>
      <c r="K360" t="s">
        <v>813</v>
      </c>
      <c r="L360">
        <v>30</v>
      </c>
      <c r="M360" t="s">
        <v>32</v>
      </c>
      <c r="N360">
        <v>1.1309</v>
      </c>
      <c r="O360">
        <v>1.341995965349472</v>
      </c>
      <c r="P360">
        <v>6.9726863555089709E-3</v>
      </c>
      <c r="Q360">
        <v>1.1309</v>
      </c>
      <c r="R360">
        <v>12411.005505000001</v>
      </c>
      <c r="S360" t="s">
        <v>12</v>
      </c>
      <c r="T360">
        <v>1.07</v>
      </c>
      <c r="U360">
        <v>11742.661500000002</v>
      </c>
      <c r="V360">
        <v>668.34400499999902</v>
      </c>
      <c r="W360">
        <v>5.6915887850467195E-2</v>
      </c>
    </row>
    <row r="361" spans="1:23" x14ac:dyDescent="0.25">
      <c r="A361" t="s">
        <v>814</v>
      </c>
      <c r="B361" t="s">
        <v>24</v>
      </c>
      <c r="C361" t="s">
        <v>73</v>
      </c>
      <c r="D361" t="s">
        <v>31</v>
      </c>
      <c r="E361" t="s">
        <v>74</v>
      </c>
      <c r="F361" s="1">
        <v>46345</v>
      </c>
      <c r="G361">
        <v>46375</v>
      </c>
      <c r="H361" t="s">
        <v>6</v>
      </c>
      <c r="I361">
        <v>30863.759999999998</v>
      </c>
      <c r="J361" t="s">
        <v>84</v>
      </c>
      <c r="K361" t="s">
        <v>815</v>
      </c>
      <c r="L361">
        <v>30</v>
      </c>
      <c r="M361" t="s">
        <v>24</v>
      </c>
      <c r="N361">
        <v>1.1176999999999999</v>
      </c>
      <c r="O361">
        <v>1.320456022210408</v>
      </c>
      <c r="P361">
        <v>6.3200452360757699E-3</v>
      </c>
      <c r="Q361">
        <v>1.1176999999999999</v>
      </c>
      <c r="R361">
        <v>34496.424551999997</v>
      </c>
      <c r="S361" t="s">
        <v>23</v>
      </c>
      <c r="T361">
        <v>1.119</v>
      </c>
      <c r="U361">
        <v>34536.547439999995</v>
      </c>
      <c r="V361">
        <v>-40.122887999998056</v>
      </c>
      <c r="W361">
        <v>-1.1617515638962799E-3</v>
      </c>
    </row>
    <row r="362" spans="1:23" x14ac:dyDescent="0.25">
      <c r="A362" t="s">
        <v>816</v>
      </c>
      <c r="B362" t="s">
        <v>42</v>
      </c>
      <c r="C362" t="s">
        <v>151</v>
      </c>
      <c r="D362" t="s">
        <v>35</v>
      </c>
      <c r="E362" t="s">
        <v>152</v>
      </c>
      <c r="F362" s="1">
        <v>45946</v>
      </c>
      <c r="G362">
        <v>45976</v>
      </c>
      <c r="H362" t="s">
        <v>8</v>
      </c>
      <c r="I362">
        <v>7392.15</v>
      </c>
      <c r="J362" t="s">
        <v>75</v>
      </c>
      <c r="K362" t="s">
        <v>817</v>
      </c>
      <c r="L362">
        <v>30</v>
      </c>
      <c r="M362" t="s">
        <v>42</v>
      </c>
      <c r="N362">
        <v>1.1649</v>
      </c>
      <c r="O362">
        <v>1.3426694329183955</v>
      </c>
      <c r="P362">
        <v>6.6101117857345522E-3</v>
      </c>
      <c r="Q362">
        <v>1.3426694329183955</v>
      </c>
      <c r="R362">
        <v>9925.2138485477171</v>
      </c>
      <c r="S362" t="s">
        <v>14</v>
      </c>
      <c r="T362">
        <v>1.304</v>
      </c>
      <c r="U362">
        <v>9639.3636000000006</v>
      </c>
      <c r="V362">
        <v>285.85024854771655</v>
      </c>
      <c r="W362">
        <v>2.9654473096928986E-2</v>
      </c>
    </row>
    <row r="363" spans="1:23" x14ac:dyDescent="0.25">
      <c r="A363" t="s">
        <v>818</v>
      </c>
      <c r="B363" t="s">
        <v>36</v>
      </c>
      <c r="C363" t="s">
        <v>116</v>
      </c>
      <c r="D363" t="s">
        <v>31</v>
      </c>
      <c r="E363" t="s">
        <v>74</v>
      </c>
      <c r="F363" s="1">
        <v>46066</v>
      </c>
      <c r="G363">
        <v>46111</v>
      </c>
      <c r="H363" t="s">
        <v>6</v>
      </c>
      <c r="I363">
        <v>17074.34</v>
      </c>
      <c r="J363" t="s">
        <v>75</v>
      </c>
      <c r="K363" t="s">
        <v>819</v>
      </c>
      <c r="L363">
        <v>45</v>
      </c>
      <c r="M363" t="s">
        <v>36</v>
      </c>
      <c r="N363">
        <v>1.1861999999999999</v>
      </c>
      <c r="O363">
        <v>1.3609453877925652</v>
      </c>
      <c r="P363">
        <v>6.5236759610625304E-3</v>
      </c>
      <c r="Q363">
        <v>1.1861999999999999</v>
      </c>
      <c r="R363">
        <v>20253.582107999999</v>
      </c>
      <c r="S363" t="s">
        <v>16</v>
      </c>
      <c r="T363">
        <v>1.0649999999999999</v>
      </c>
      <c r="U363">
        <v>18184.1721</v>
      </c>
      <c r="V363">
        <v>2069.4100079999989</v>
      </c>
      <c r="W363">
        <v>0.11380281690140839</v>
      </c>
    </row>
    <row r="364" spans="1:23" x14ac:dyDescent="0.25">
      <c r="A364" t="s">
        <v>820</v>
      </c>
      <c r="B364" t="s">
        <v>34</v>
      </c>
      <c r="C364" t="s">
        <v>177</v>
      </c>
      <c r="D364" t="s">
        <v>31</v>
      </c>
      <c r="E364" t="s">
        <v>74</v>
      </c>
      <c r="F364" s="1">
        <v>45779</v>
      </c>
      <c r="G364">
        <v>45839</v>
      </c>
      <c r="H364" t="s">
        <v>8</v>
      </c>
      <c r="I364">
        <v>23245.11</v>
      </c>
      <c r="J364" t="s">
        <v>75</v>
      </c>
      <c r="K364" t="s">
        <v>821</v>
      </c>
      <c r="L364">
        <v>60</v>
      </c>
      <c r="M364" t="s">
        <v>34</v>
      </c>
      <c r="N364">
        <v>1.1343000000000001</v>
      </c>
      <c r="O364">
        <v>1.3293097386616666</v>
      </c>
      <c r="P364">
        <v>6.9194168242542554E-3</v>
      </c>
      <c r="Q364">
        <v>1.3293097386616666</v>
      </c>
      <c r="R364">
        <v>30899.951099261692</v>
      </c>
      <c r="S364" t="s">
        <v>12</v>
      </c>
      <c r="T364">
        <v>1.26</v>
      </c>
      <c r="U364">
        <v>29288.838599999999</v>
      </c>
      <c r="V364">
        <v>1611.1124992616933</v>
      </c>
      <c r="W364">
        <v>5.5007729096560806E-2</v>
      </c>
    </row>
    <row r="365" spans="1:23" x14ac:dyDescent="0.25">
      <c r="A365" t="s">
        <v>822</v>
      </c>
      <c r="B365" t="s">
        <v>38</v>
      </c>
      <c r="C365" t="s">
        <v>87</v>
      </c>
      <c r="D365" t="s">
        <v>33</v>
      </c>
      <c r="E365" t="s">
        <v>88</v>
      </c>
      <c r="F365" s="1">
        <v>45684</v>
      </c>
      <c r="G365">
        <v>45714</v>
      </c>
      <c r="H365" t="s">
        <v>6</v>
      </c>
      <c r="I365">
        <v>6119.57</v>
      </c>
      <c r="J365" t="s">
        <v>75</v>
      </c>
      <c r="K365" t="s">
        <v>823</v>
      </c>
      <c r="L365">
        <v>30</v>
      </c>
      <c r="M365" t="s">
        <v>38</v>
      </c>
      <c r="N365">
        <v>1.0529999999999999</v>
      </c>
      <c r="O365">
        <v>1.2519915344921884</v>
      </c>
      <c r="P365">
        <v>6.4915849824301822E-3</v>
      </c>
      <c r="Q365">
        <v>1.0529999999999999</v>
      </c>
      <c r="R365">
        <v>6443.9072099999994</v>
      </c>
      <c r="S365" t="s">
        <v>11</v>
      </c>
      <c r="T365">
        <v>1.052</v>
      </c>
      <c r="U365">
        <v>6437.7876399999996</v>
      </c>
      <c r="V365">
        <v>6.1195699999998396</v>
      </c>
      <c r="W365">
        <v>9.5057034220529836E-4</v>
      </c>
    </row>
    <row r="366" spans="1:23" x14ac:dyDescent="0.25">
      <c r="A366" t="s">
        <v>824</v>
      </c>
      <c r="B366" t="s">
        <v>22</v>
      </c>
      <c r="C366" t="s">
        <v>127</v>
      </c>
      <c r="D366" t="s">
        <v>31</v>
      </c>
      <c r="E366" t="s">
        <v>124</v>
      </c>
      <c r="F366" s="1">
        <v>45806</v>
      </c>
      <c r="G366">
        <v>45866</v>
      </c>
      <c r="H366" t="s">
        <v>9</v>
      </c>
      <c r="I366">
        <v>4236793.6900000004</v>
      </c>
      <c r="J366" t="s">
        <v>75</v>
      </c>
      <c r="K366" t="s">
        <v>825</v>
      </c>
      <c r="L366">
        <v>60</v>
      </c>
      <c r="M366" t="s">
        <v>22</v>
      </c>
      <c r="N366">
        <v>1.1281000000000001</v>
      </c>
      <c r="O366">
        <v>1.3466634833472604</v>
      </c>
      <c r="P366">
        <v>6.900960420872332E-3</v>
      </c>
      <c r="Q366">
        <v>6.900960420872332E-3</v>
      </c>
      <c r="R366">
        <v>29237.945566091643</v>
      </c>
      <c r="S366" t="s">
        <v>12</v>
      </c>
      <c r="T366">
        <v>6.7000000000000002E-3</v>
      </c>
      <c r="U366">
        <v>28386.517723000004</v>
      </c>
      <c r="V366">
        <v>851.42784309163835</v>
      </c>
      <c r="W366">
        <v>2.9994092667512157E-2</v>
      </c>
    </row>
    <row r="367" spans="1:23" x14ac:dyDescent="0.25">
      <c r="A367" t="s">
        <v>826</v>
      </c>
      <c r="B367" t="s">
        <v>28</v>
      </c>
      <c r="C367" t="s">
        <v>111</v>
      </c>
      <c r="D367" t="s">
        <v>31</v>
      </c>
      <c r="E367" t="s">
        <v>74</v>
      </c>
      <c r="F367" s="1">
        <v>45904</v>
      </c>
      <c r="G367">
        <v>45949</v>
      </c>
      <c r="H367" t="s">
        <v>9</v>
      </c>
      <c r="I367">
        <v>797002.33</v>
      </c>
      <c r="J367" t="s">
        <v>75</v>
      </c>
      <c r="K367" t="s">
        <v>827</v>
      </c>
      <c r="L367">
        <v>45</v>
      </c>
      <c r="M367" t="s">
        <v>28</v>
      </c>
      <c r="N367">
        <v>1.1647000000000001</v>
      </c>
      <c r="O367">
        <v>1.3444534226018701</v>
      </c>
      <c r="P367">
        <v>6.7417226209770791E-3</v>
      </c>
      <c r="Q367">
        <v>6.7417226209770791E-3</v>
      </c>
      <c r="R367">
        <v>5373.1686371324386</v>
      </c>
      <c r="S367" t="s">
        <v>13</v>
      </c>
      <c r="T367">
        <v>6.8399999999999997E-3</v>
      </c>
      <c r="U367">
        <v>5451.4959371999994</v>
      </c>
      <c r="V367">
        <v>-78.327300067560827</v>
      </c>
      <c r="W367">
        <v>-1.4368037868848041E-2</v>
      </c>
    </row>
    <row r="368" spans="1:23" x14ac:dyDescent="0.25">
      <c r="A368" t="s">
        <v>828</v>
      </c>
      <c r="B368" t="s">
        <v>20</v>
      </c>
      <c r="C368" t="s">
        <v>123</v>
      </c>
      <c r="D368" t="s">
        <v>31</v>
      </c>
      <c r="E368" t="s">
        <v>124</v>
      </c>
      <c r="F368" s="1">
        <v>46247</v>
      </c>
      <c r="G368">
        <v>46292</v>
      </c>
      <c r="H368" t="s">
        <v>6</v>
      </c>
      <c r="I368">
        <v>38229.730000000003</v>
      </c>
      <c r="J368" t="s">
        <v>75</v>
      </c>
      <c r="K368" t="s">
        <v>829</v>
      </c>
      <c r="L368">
        <v>45</v>
      </c>
      <c r="M368" t="s">
        <v>20</v>
      </c>
      <c r="N368">
        <v>1.1534</v>
      </c>
      <c r="O368">
        <v>1.3491636448707451</v>
      </c>
      <c r="P368">
        <v>6.2763236654513792E-3</v>
      </c>
      <c r="Q368">
        <v>1.1534</v>
      </c>
      <c r="R368">
        <v>44094.170582000006</v>
      </c>
      <c r="S368" t="s">
        <v>21</v>
      </c>
      <c r="T368">
        <v>1.101</v>
      </c>
      <c r="U368">
        <v>42090.93273</v>
      </c>
      <c r="V368">
        <v>2003.2378520000057</v>
      </c>
      <c r="W368">
        <v>4.7593097184377972E-2</v>
      </c>
    </row>
    <row r="369" spans="1:23" x14ac:dyDescent="0.25">
      <c r="A369" t="s">
        <v>830</v>
      </c>
      <c r="B369" t="s">
        <v>25</v>
      </c>
      <c r="C369" t="s">
        <v>169</v>
      </c>
      <c r="D369" t="s">
        <v>31</v>
      </c>
      <c r="E369" t="s">
        <v>124</v>
      </c>
      <c r="F369" s="1">
        <v>46340</v>
      </c>
      <c r="G369">
        <v>46400</v>
      </c>
      <c r="H369" t="s">
        <v>6</v>
      </c>
      <c r="I369">
        <v>80286.52</v>
      </c>
      <c r="J369" t="s">
        <v>84</v>
      </c>
      <c r="K369" t="s">
        <v>831</v>
      </c>
      <c r="L369">
        <v>60</v>
      </c>
      <c r="M369" t="s">
        <v>25</v>
      </c>
      <c r="N369">
        <v>1.1176999999999999</v>
      </c>
      <c r="O369">
        <v>1.320456022210408</v>
      </c>
      <c r="P369">
        <v>6.3200452360757699E-3</v>
      </c>
      <c r="Q369">
        <v>1.1176999999999999</v>
      </c>
      <c r="R369">
        <v>89736.243403999993</v>
      </c>
      <c r="S369" t="s">
        <v>23</v>
      </c>
      <c r="T369">
        <v>1.119</v>
      </c>
      <c r="U369">
        <v>89840.615879999998</v>
      </c>
      <c r="V369">
        <v>-104.3724760000041</v>
      </c>
      <c r="W369">
        <v>-1.1617515638963818E-3</v>
      </c>
    </row>
    <row r="370" spans="1:23" x14ac:dyDescent="0.25">
      <c r="A370" t="s">
        <v>832</v>
      </c>
      <c r="B370" t="s">
        <v>25</v>
      </c>
      <c r="C370" t="s">
        <v>169</v>
      </c>
      <c r="D370" t="s">
        <v>31</v>
      </c>
      <c r="E370" t="s">
        <v>124</v>
      </c>
      <c r="F370" s="1">
        <v>46261</v>
      </c>
      <c r="G370">
        <v>46321</v>
      </c>
      <c r="H370" t="s">
        <v>6</v>
      </c>
      <c r="I370">
        <v>50175.6</v>
      </c>
      <c r="J370" t="s">
        <v>75</v>
      </c>
      <c r="K370" t="s">
        <v>833</v>
      </c>
      <c r="L370">
        <v>60</v>
      </c>
      <c r="M370" t="s">
        <v>25</v>
      </c>
      <c r="N370">
        <v>1.1645000000000001</v>
      </c>
      <c r="O370">
        <v>1.3581758805691626</v>
      </c>
      <c r="P370">
        <v>6.2739076558375089E-3</v>
      </c>
      <c r="Q370">
        <v>1.1645000000000001</v>
      </c>
      <c r="R370">
        <v>58429.486199999999</v>
      </c>
      <c r="S370" t="s">
        <v>21</v>
      </c>
      <c r="T370">
        <v>1.101</v>
      </c>
      <c r="U370">
        <v>55243.335599999999</v>
      </c>
      <c r="V370">
        <v>3186.1506000000008</v>
      </c>
      <c r="W370">
        <v>5.7674841053587667E-2</v>
      </c>
    </row>
    <row r="371" spans="1:23" x14ac:dyDescent="0.25">
      <c r="A371" t="s">
        <v>834</v>
      </c>
      <c r="B371" t="s">
        <v>28</v>
      </c>
      <c r="C371" t="s">
        <v>111</v>
      </c>
      <c r="D371" t="s">
        <v>31</v>
      </c>
      <c r="E371" t="s">
        <v>74</v>
      </c>
      <c r="F371" s="1">
        <v>45735</v>
      </c>
      <c r="G371">
        <v>45780</v>
      </c>
      <c r="H371" t="s">
        <v>9</v>
      </c>
      <c r="I371">
        <v>779978.55</v>
      </c>
      <c r="J371" t="s">
        <v>75</v>
      </c>
      <c r="K371" t="s">
        <v>835</v>
      </c>
      <c r="L371">
        <v>45</v>
      </c>
      <c r="M371" t="s">
        <v>28</v>
      </c>
      <c r="N371">
        <v>1.0896999999999999</v>
      </c>
      <c r="O371">
        <v>1.2960584219415303</v>
      </c>
      <c r="P371">
        <v>6.6742206161572847E-3</v>
      </c>
      <c r="Q371">
        <v>6.6742206161572847E-3</v>
      </c>
      <c r="R371">
        <v>5205.7489185704662</v>
      </c>
      <c r="S371" t="s">
        <v>11</v>
      </c>
      <c r="T371">
        <v>6.5599999999999999E-3</v>
      </c>
      <c r="U371">
        <v>5116.6592879999998</v>
      </c>
      <c r="V371">
        <v>89.089630570466397</v>
      </c>
      <c r="W371">
        <v>1.7411679292269187E-2</v>
      </c>
    </row>
    <row r="372" spans="1:23" x14ac:dyDescent="0.25">
      <c r="A372" t="s">
        <v>836</v>
      </c>
      <c r="B372" t="s">
        <v>32</v>
      </c>
      <c r="C372" t="s">
        <v>106</v>
      </c>
      <c r="D372" t="s">
        <v>31</v>
      </c>
      <c r="E372" t="s">
        <v>74</v>
      </c>
      <c r="F372" s="1">
        <v>46277</v>
      </c>
      <c r="G372">
        <v>46307</v>
      </c>
      <c r="H372" t="s">
        <v>6</v>
      </c>
      <c r="I372">
        <v>19877.47</v>
      </c>
      <c r="J372" t="s">
        <v>75</v>
      </c>
      <c r="K372" t="s">
        <v>837</v>
      </c>
      <c r="L372">
        <v>30</v>
      </c>
      <c r="M372" t="s">
        <v>32</v>
      </c>
      <c r="N372">
        <v>1.1592</v>
      </c>
      <c r="O372">
        <v>1.3508127949659152</v>
      </c>
      <c r="P372">
        <v>6.4919354838709675E-3</v>
      </c>
      <c r="Q372">
        <v>1.1592</v>
      </c>
      <c r="R372">
        <v>23041.963224000003</v>
      </c>
      <c r="S372" t="s">
        <v>21</v>
      </c>
      <c r="T372">
        <v>1.101</v>
      </c>
      <c r="U372">
        <v>21885.09447</v>
      </c>
      <c r="V372">
        <v>1156.8687540000028</v>
      </c>
      <c r="W372">
        <v>5.2861035422343453E-2</v>
      </c>
    </row>
    <row r="373" spans="1:23" x14ac:dyDescent="0.25">
      <c r="A373" t="s">
        <v>838</v>
      </c>
      <c r="B373" t="s">
        <v>36</v>
      </c>
      <c r="C373" t="s">
        <v>116</v>
      </c>
      <c r="D373" t="s">
        <v>31</v>
      </c>
      <c r="E373" t="s">
        <v>74</v>
      </c>
      <c r="F373" s="1">
        <v>45918</v>
      </c>
      <c r="G373">
        <v>45963</v>
      </c>
      <c r="H373" t="s">
        <v>6</v>
      </c>
      <c r="I373">
        <v>10559.75</v>
      </c>
      <c r="J373" t="s">
        <v>75</v>
      </c>
      <c r="K373" t="s">
        <v>839</v>
      </c>
      <c r="L373">
        <v>45</v>
      </c>
      <c r="M373" t="s">
        <v>36</v>
      </c>
      <c r="N373">
        <v>1.1818</v>
      </c>
      <c r="O373">
        <v>1.3615207373271889</v>
      </c>
      <c r="P373">
        <v>6.7825987144168954E-3</v>
      </c>
      <c r="Q373">
        <v>1.1818</v>
      </c>
      <c r="R373">
        <v>12479.512549999999</v>
      </c>
      <c r="S373" t="s">
        <v>13</v>
      </c>
      <c r="T373">
        <v>1.0880000000000001</v>
      </c>
      <c r="U373">
        <v>11489.008000000002</v>
      </c>
      <c r="V373">
        <v>990.50454999999783</v>
      </c>
      <c r="W373">
        <v>8.6213235294117452E-2</v>
      </c>
    </row>
    <row r="374" spans="1:23" x14ac:dyDescent="0.25">
      <c r="A374" t="s">
        <v>840</v>
      </c>
      <c r="B374" t="s">
        <v>30</v>
      </c>
      <c r="C374" t="s">
        <v>103</v>
      </c>
      <c r="D374" t="s">
        <v>31</v>
      </c>
      <c r="E374" t="s">
        <v>74</v>
      </c>
      <c r="F374" s="1">
        <v>46011</v>
      </c>
      <c r="G374">
        <v>46041</v>
      </c>
      <c r="H374" t="s">
        <v>9</v>
      </c>
      <c r="I374">
        <v>3033036.62</v>
      </c>
      <c r="J374" t="s">
        <v>75</v>
      </c>
      <c r="K374" t="s">
        <v>841</v>
      </c>
      <c r="L374">
        <v>30</v>
      </c>
      <c r="M374" t="s">
        <v>30</v>
      </c>
      <c r="N374">
        <v>1.1555</v>
      </c>
      <c r="O374">
        <v>1.3367963164349013</v>
      </c>
      <c r="P374">
        <v>6.2983756677204832E-3</v>
      </c>
      <c r="Q374">
        <v>6.2983756677204832E-3</v>
      </c>
      <c r="R374">
        <v>19103.204046713177</v>
      </c>
      <c r="S374" t="s">
        <v>14</v>
      </c>
      <c r="T374">
        <v>6.9800000000000001E-3</v>
      </c>
      <c r="U374">
        <v>21170.5956076</v>
      </c>
      <c r="V374">
        <v>-2067.3915608868228</v>
      </c>
      <c r="W374">
        <v>-9.7653915799357727E-2</v>
      </c>
    </row>
    <row r="375" spans="1:23" x14ac:dyDescent="0.25">
      <c r="A375" t="s">
        <v>842</v>
      </c>
      <c r="B375" t="s">
        <v>24</v>
      </c>
      <c r="C375" t="s">
        <v>73</v>
      </c>
      <c r="D375" t="s">
        <v>31</v>
      </c>
      <c r="E375" t="s">
        <v>74</v>
      </c>
      <c r="F375" s="1">
        <v>46374</v>
      </c>
      <c r="G375">
        <v>46404</v>
      </c>
      <c r="H375" t="s">
        <v>6</v>
      </c>
      <c r="I375">
        <v>7542.09</v>
      </c>
      <c r="J375" t="s">
        <v>84</v>
      </c>
      <c r="K375" t="s">
        <v>843</v>
      </c>
      <c r="L375">
        <v>30</v>
      </c>
      <c r="M375" t="s">
        <v>24</v>
      </c>
      <c r="N375">
        <v>1.1176999999999999</v>
      </c>
      <c r="O375">
        <v>1.320456022210408</v>
      </c>
      <c r="P375">
        <v>6.3200452360757699E-3</v>
      </c>
      <c r="Q375">
        <v>1.1176999999999999</v>
      </c>
      <c r="R375">
        <v>8429.7939929999993</v>
      </c>
      <c r="S375" t="s">
        <v>23</v>
      </c>
      <c r="T375">
        <v>1.119</v>
      </c>
      <c r="U375">
        <v>8439.5987100000002</v>
      </c>
      <c r="V375">
        <v>-9.8047170000008919</v>
      </c>
      <c r="W375">
        <v>-1.1617515638964416E-3</v>
      </c>
    </row>
    <row r="376" spans="1:23" x14ac:dyDescent="0.25">
      <c r="A376" t="s">
        <v>844</v>
      </c>
      <c r="B376" t="s">
        <v>26</v>
      </c>
      <c r="C376" t="s">
        <v>94</v>
      </c>
      <c r="D376" t="s">
        <v>31</v>
      </c>
      <c r="E376" t="s">
        <v>74</v>
      </c>
      <c r="F376" s="1">
        <v>46340</v>
      </c>
      <c r="G376">
        <v>46370</v>
      </c>
      <c r="H376" t="s">
        <v>8</v>
      </c>
      <c r="I376">
        <v>23839.25</v>
      </c>
      <c r="J376" t="s">
        <v>84</v>
      </c>
      <c r="K376" t="s">
        <v>845</v>
      </c>
      <c r="L376">
        <v>30</v>
      </c>
      <c r="M376" t="s">
        <v>26</v>
      </c>
      <c r="N376">
        <v>1.1176999999999999</v>
      </c>
      <c r="O376">
        <v>1.320456022210408</v>
      </c>
      <c r="P376">
        <v>6.3200452360757699E-3</v>
      </c>
      <c r="Q376">
        <v>1.320456022210408</v>
      </c>
      <c r="R376">
        <v>31478.681227479468</v>
      </c>
      <c r="S376" t="s">
        <v>23</v>
      </c>
      <c r="T376">
        <v>1.3149999999999999</v>
      </c>
      <c r="U376">
        <v>31348.61375</v>
      </c>
      <c r="V376">
        <v>130.06747747946793</v>
      </c>
      <c r="W376">
        <v>4.1490663197018699E-3</v>
      </c>
    </row>
    <row r="377" spans="1:23" x14ac:dyDescent="0.25">
      <c r="A377" t="s">
        <v>846</v>
      </c>
      <c r="B377" t="s">
        <v>34</v>
      </c>
      <c r="C377" t="s">
        <v>177</v>
      </c>
      <c r="D377" t="s">
        <v>31</v>
      </c>
      <c r="E377" t="s">
        <v>74</v>
      </c>
      <c r="F377" s="1">
        <v>46386</v>
      </c>
      <c r="G377">
        <v>46446</v>
      </c>
      <c r="H377" t="s">
        <v>8</v>
      </c>
      <c r="I377">
        <v>18376.82</v>
      </c>
      <c r="J377" t="s">
        <v>84</v>
      </c>
      <c r="K377" t="s">
        <v>847</v>
      </c>
      <c r="L377">
        <v>60</v>
      </c>
      <c r="M377" t="s">
        <v>34</v>
      </c>
      <c r="N377">
        <v>1.1176999999999999</v>
      </c>
      <c r="O377">
        <v>1.320456022210408</v>
      </c>
      <c r="P377">
        <v>6.3200452360757699E-3</v>
      </c>
      <c r="Q377">
        <v>1.320456022210408</v>
      </c>
      <c r="R377">
        <v>24265.782638076671</v>
      </c>
      <c r="S377" t="s">
        <v>23</v>
      </c>
      <c r="T377">
        <v>1.3149999999999999</v>
      </c>
      <c r="U377">
        <v>24165.5183</v>
      </c>
      <c r="V377">
        <v>100.26433807667127</v>
      </c>
      <c r="W377">
        <v>4.1490663197019557E-3</v>
      </c>
    </row>
    <row r="378" spans="1:23" x14ac:dyDescent="0.25">
      <c r="A378" t="s">
        <v>848</v>
      </c>
      <c r="B378" t="s">
        <v>26</v>
      </c>
      <c r="C378" t="s">
        <v>94</v>
      </c>
      <c r="D378" t="s">
        <v>31</v>
      </c>
      <c r="E378" t="s">
        <v>74</v>
      </c>
      <c r="F378" s="1">
        <v>46376</v>
      </c>
      <c r="G378">
        <v>46406</v>
      </c>
      <c r="H378" t="s">
        <v>8</v>
      </c>
      <c r="I378">
        <v>19486.419999999998</v>
      </c>
      <c r="J378" t="s">
        <v>84</v>
      </c>
      <c r="K378" t="s">
        <v>849</v>
      </c>
      <c r="L378">
        <v>30</v>
      </c>
      <c r="M378" t="s">
        <v>26</v>
      </c>
      <c r="N378">
        <v>1.1176999999999999</v>
      </c>
      <c r="O378">
        <v>1.320456022210408</v>
      </c>
      <c r="P378">
        <v>6.3200452360757699E-3</v>
      </c>
      <c r="Q378">
        <v>1.320456022210408</v>
      </c>
      <c r="R378">
        <v>25730.960640321337</v>
      </c>
      <c r="S378" t="s">
        <v>23</v>
      </c>
      <c r="T378">
        <v>1.3149999999999999</v>
      </c>
      <c r="U378">
        <v>25624.642299999996</v>
      </c>
      <c r="V378">
        <v>106.31834032134066</v>
      </c>
      <c r="W378">
        <v>4.14906631970198E-3</v>
      </c>
    </row>
    <row r="379" spans="1:23" x14ac:dyDescent="0.25">
      <c r="A379" t="s">
        <v>850</v>
      </c>
      <c r="B379" t="s">
        <v>38</v>
      </c>
      <c r="C379" t="s">
        <v>87</v>
      </c>
      <c r="D379" t="s">
        <v>33</v>
      </c>
      <c r="E379" t="s">
        <v>88</v>
      </c>
      <c r="F379" s="1">
        <v>45702</v>
      </c>
      <c r="G379">
        <v>45732</v>
      </c>
      <c r="H379" t="s">
        <v>6</v>
      </c>
      <c r="I379">
        <v>16085.93</v>
      </c>
      <c r="J379" t="s">
        <v>75</v>
      </c>
      <c r="K379" t="s">
        <v>851</v>
      </c>
      <c r="L379">
        <v>30</v>
      </c>
      <c r="M379" t="s">
        <v>38</v>
      </c>
      <c r="N379">
        <v>1.0478000000000001</v>
      </c>
      <c r="O379">
        <v>1.2591479901460074</v>
      </c>
      <c r="P379">
        <v>6.5450683990255481E-3</v>
      </c>
      <c r="Q379">
        <v>1.0478000000000001</v>
      </c>
      <c r="R379">
        <v>16854.837454</v>
      </c>
      <c r="S379" t="s">
        <v>11</v>
      </c>
      <c r="T379">
        <v>1.052</v>
      </c>
      <c r="U379">
        <v>16922.398360000003</v>
      </c>
      <c r="V379">
        <v>-67.560906000002433</v>
      </c>
      <c r="W379">
        <v>-3.9923954372625007E-3</v>
      </c>
    </row>
    <row r="380" spans="1:23" x14ac:dyDescent="0.25">
      <c r="A380" t="s">
        <v>852</v>
      </c>
      <c r="B380" t="s">
        <v>32</v>
      </c>
      <c r="C380" t="s">
        <v>106</v>
      </c>
      <c r="D380" t="s">
        <v>31</v>
      </c>
      <c r="E380" t="s">
        <v>74</v>
      </c>
      <c r="F380" s="1">
        <v>46018</v>
      </c>
      <c r="G380">
        <v>46048</v>
      </c>
      <c r="H380" t="s">
        <v>6</v>
      </c>
      <c r="I380">
        <v>18633.189999999999</v>
      </c>
      <c r="J380" t="s">
        <v>75</v>
      </c>
      <c r="K380" t="s">
        <v>853</v>
      </c>
      <c r="L380">
        <v>30</v>
      </c>
      <c r="M380" t="s">
        <v>32</v>
      </c>
      <c r="N380">
        <v>1.1555</v>
      </c>
      <c r="O380">
        <v>1.3367963164349013</v>
      </c>
      <c r="P380">
        <v>6.2983756677204832E-3</v>
      </c>
      <c r="Q380">
        <v>1.1555</v>
      </c>
      <c r="R380">
        <v>21530.651044999999</v>
      </c>
      <c r="S380" t="s">
        <v>14</v>
      </c>
      <c r="T380">
        <v>1.1060000000000001</v>
      </c>
      <c r="U380">
        <v>20608.308140000001</v>
      </c>
      <c r="V380">
        <v>922.3429049999977</v>
      </c>
      <c r="W380">
        <v>4.4755877034357933E-2</v>
      </c>
    </row>
    <row r="381" spans="1:23" x14ac:dyDescent="0.25">
      <c r="A381" t="s">
        <v>854</v>
      </c>
      <c r="B381" t="s">
        <v>42</v>
      </c>
      <c r="C381" t="s">
        <v>151</v>
      </c>
      <c r="D381" t="s">
        <v>35</v>
      </c>
      <c r="E381" t="s">
        <v>152</v>
      </c>
      <c r="F381" s="1">
        <v>45937</v>
      </c>
      <c r="G381">
        <v>45967</v>
      </c>
      <c r="H381" t="s">
        <v>8</v>
      </c>
      <c r="I381">
        <v>4586.33</v>
      </c>
      <c r="J381" t="s">
        <v>75</v>
      </c>
      <c r="K381" t="s">
        <v>855</v>
      </c>
      <c r="L381">
        <v>30</v>
      </c>
      <c r="M381" t="s">
        <v>42</v>
      </c>
      <c r="N381">
        <v>1.1666000000000001</v>
      </c>
      <c r="O381">
        <v>1.3404573135700335</v>
      </c>
      <c r="P381">
        <v>6.6265265549559785E-3</v>
      </c>
      <c r="Q381">
        <v>1.3404573135700335</v>
      </c>
      <c r="R381">
        <v>6147.7795909456518</v>
      </c>
      <c r="S381" t="s">
        <v>14</v>
      </c>
      <c r="T381">
        <v>1.304</v>
      </c>
      <c r="U381">
        <v>5980.5743199999997</v>
      </c>
      <c r="V381">
        <v>167.20527094565205</v>
      </c>
      <c r="W381">
        <v>2.7958062553706725E-2</v>
      </c>
    </row>
    <row r="382" spans="1:23" x14ac:dyDescent="0.25">
      <c r="A382" t="s">
        <v>856</v>
      </c>
      <c r="B382" t="s">
        <v>37</v>
      </c>
      <c r="C382" t="s">
        <v>91</v>
      </c>
      <c r="D382" t="s">
        <v>31</v>
      </c>
      <c r="E382" t="s">
        <v>74</v>
      </c>
      <c r="F382" s="1">
        <v>46029</v>
      </c>
      <c r="G382">
        <v>46059</v>
      </c>
      <c r="H382" t="s">
        <v>6</v>
      </c>
      <c r="I382">
        <v>12604.5</v>
      </c>
      <c r="J382" t="s">
        <v>75</v>
      </c>
      <c r="K382" t="s">
        <v>857</v>
      </c>
      <c r="L382">
        <v>30</v>
      </c>
      <c r="M382" t="s">
        <v>37</v>
      </c>
      <c r="N382">
        <v>1.1684000000000001</v>
      </c>
      <c r="O382">
        <v>1.3485687903970454</v>
      </c>
      <c r="P382">
        <v>6.3878410147066873E-3</v>
      </c>
      <c r="Q382">
        <v>1.1684000000000001</v>
      </c>
      <c r="R382">
        <v>14727.097800000001</v>
      </c>
      <c r="S382" t="s">
        <v>16</v>
      </c>
      <c r="T382">
        <v>1.0649999999999999</v>
      </c>
      <c r="U382">
        <v>13423.7925</v>
      </c>
      <c r="V382">
        <v>1303.3053000000018</v>
      </c>
      <c r="W382">
        <v>9.7089201877934406E-2</v>
      </c>
    </row>
    <row r="383" spans="1:23" x14ac:dyDescent="0.25">
      <c r="A383" t="s">
        <v>858</v>
      </c>
      <c r="B383" t="s">
        <v>32</v>
      </c>
      <c r="C383" t="s">
        <v>106</v>
      </c>
      <c r="D383" t="s">
        <v>31</v>
      </c>
      <c r="E383" t="s">
        <v>74</v>
      </c>
      <c r="F383" s="1">
        <v>46275</v>
      </c>
      <c r="G383">
        <v>46305</v>
      </c>
      <c r="H383" t="s">
        <v>6</v>
      </c>
      <c r="I383">
        <v>10536.62</v>
      </c>
      <c r="J383" t="s">
        <v>75</v>
      </c>
      <c r="K383" t="s">
        <v>859</v>
      </c>
      <c r="L383">
        <v>30</v>
      </c>
      <c r="M383" t="s">
        <v>32</v>
      </c>
      <c r="N383">
        <v>1.1616</v>
      </c>
      <c r="O383">
        <v>1.3520339870802538</v>
      </c>
      <c r="P383">
        <v>6.4861242950471831E-3</v>
      </c>
      <c r="Q383">
        <v>1.1616</v>
      </c>
      <c r="R383">
        <v>12239.337792</v>
      </c>
      <c r="S383" t="s">
        <v>21</v>
      </c>
      <c r="T383">
        <v>1.101</v>
      </c>
      <c r="U383">
        <v>11600.81862</v>
      </c>
      <c r="V383">
        <v>638.51917200000025</v>
      </c>
      <c r="W383">
        <v>5.5040871934604926E-2</v>
      </c>
    </row>
    <row r="384" spans="1:23" x14ac:dyDescent="0.25">
      <c r="A384" t="s">
        <v>860</v>
      </c>
      <c r="B384" t="s">
        <v>42</v>
      </c>
      <c r="C384" t="s">
        <v>151</v>
      </c>
      <c r="D384" t="s">
        <v>35</v>
      </c>
      <c r="E384" t="s">
        <v>152</v>
      </c>
      <c r="F384" s="1">
        <v>45966</v>
      </c>
      <c r="G384">
        <v>45996</v>
      </c>
      <c r="H384" t="s">
        <v>8</v>
      </c>
      <c r="I384">
        <v>11020.35</v>
      </c>
      <c r="J384" t="s">
        <v>75</v>
      </c>
      <c r="K384" t="s">
        <v>861</v>
      </c>
      <c r="L384">
        <v>30</v>
      </c>
      <c r="M384" t="s">
        <v>42</v>
      </c>
      <c r="N384">
        <v>1.1492</v>
      </c>
      <c r="O384">
        <v>1.3044267877412032</v>
      </c>
      <c r="P384">
        <v>6.5047829286239891E-3</v>
      </c>
      <c r="Q384">
        <v>1.3044267877412032</v>
      </c>
      <c r="R384">
        <v>14375.23975028377</v>
      </c>
      <c r="S384" t="s">
        <v>14</v>
      </c>
      <c r="T384">
        <v>1.304</v>
      </c>
      <c r="U384">
        <v>14370.536400000001</v>
      </c>
      <c r="V384">
        <v>4.7033502837693959</v>
      </c>
      <c r="W384">
        <v>3.2729121257919053E-4</v>
      </c>
    </row>
    <row r="385" spans="1:23" x14ac:dyDescent="0.25">
      <c r="A385" t="s">
        <v>862</v>
      </c>
      <c r="B385" t="s">
        <v>38</v>
      </c>
      <c r="C385" t="s">
        <v>87</v>
      </c>
      <c r="D385" t="s">
        <v>33</v>
      </c>
      <c r="E385" t="s">
        <v>88</v>
      </c>
      <c r="F385" s="1">
        <v>45980</v>
      </c>
      <c r="G385">
        <v>46010</v>
      </c>
      <c r="H385" t="s">
        <v>6</v>
      </c>
      <c r="I385">
        <v>6030.59</v>
      </c>
      <c r="J385" t="s">
        <v>75</v>
      </c>
      <c r="K385" t="s">
        <v>863</v>
      </c>
      <c r="L385">
        <v>30</v>
      </c>
      <c r="M385" t="s">
        <v>38</v>
      </c>
      <c r="N385">
        <v>1.1583000000000001</v>
      </c>
      <c r="O385">
        <v>1.3122238586156112</v>
      </c>
      <c r="P385">
        <v>6.4047553220901304E-3</v>
      </c>
      <c r="Q385">
        <v>1.1583000000000001</v>
      </c>
      <c r="R385">
        <v>6985.2323970000007</v>
      </c>
      <c r="S385" t="s">
        <v>14</v>
      </c>
      <c r="T385">
        <v>1.1060000000000001</v>
      </c>
      <c r="U385">
        <v>6669.8325400000003</v>
      </c>
      <c r="V385">
        <v>315.39985700000034</v>
      </c>
      <c r="W385">
        <v>4.7287522603978352E-2</v>
      </c>
    </row>
    <row r="386" spans="1:23" x14ac:dyDescent="0.25">
      <c r="A386" t="s">
        <v>864</v>
      </c>
      <c r="B386" t="s">
        <v>24</v>
      </c>
      <c r="C386" t="s">
        <v>73</v>
      </c>
      <c r="D386" t="s">
        <v>31</v>
      </c>
      <c r="E386" t="s">
        <v>74</v>
      </c>
      <c r="F386" s="1">
        <v>46068</v>
      </c>
      <c r="G386">
        <v>46098</v>
      </c>
      <c r="H386" t="s">
        <v>6</v>
      </c>
      <c r="I386">
        <v>14363.5</v>
      </c>
      <c r="J386" t="s">
        <v>75</v>
      </c>
      <c r="K386" t="s">
        <v>865</v>
      </c>
      <c r="L386">
        <v>30</v>
      </c>
      <c r="M386" t="s">
        <v>24</v>
      </c>
      <c r="N386">
        <v>1.1555</v>
      </c>
      <c r="O386">
        <v>1.3367963164349013</v>
      </c>
      <c r="P386">
        <v>6.2983756677204832E-3</v>
      </c>
      <c r="Q386">
        <v>1.1555</v>
      </c>
      <c r="R386">
        <v>16597.024249999999</v>
      </c>
      <c r="S386" t="s">
        <v>16</v>
      </c>
      <c r="T386">
        <v>1.0649999999999999</v>
      </c>
      <c r="U386">
        <v>15297.127499999999</v>
      </c>
      <c r="V386">
        <v>1299.8967499999999</v>
      </c>
      <c r="W386">
        <v>8.4976525821596247E-2</v>
      </c>
    </row>
    <row r="387" spans="1:23" x14ac:dyDescent="0.25">
      <c r="A387" t="s">
        <v>866</v>
      </c>
      <c r="B387" t="s">
        <v>41</v>
      </c>
      <c r="C387" t="s">
        <v>172</v>
      </c>
      <c r="D387" t="s">
        <v>33</v>
      </c>
      <c r="E387" t="s">
        <v>83</v>
      </c>
      <c r="F387" s="1">
        <v>45960</v>
      </c>
      <c r="G387">
        <v>45990</v>
      </c>
      <c r="H387" t="s">
        <v>9</v>
      </c>
      <c r="I387">
        <v>2118844.0699999998</v>
      </c>
      <c r="J387" t="s">
        <v>75</v>
      </c>
      <c r="K387" t="s">
        <v>867</v>
      </c>
      <c r="L387">
        <v>30</v>
      </c>
      <c r="M387" t="s">
        <v>41</v>
      </c>
      <c r="N387">
        <v>1.155</v>
      </c>
      <c r="O387">
        <v>1.312350869219407</v>
      </c>
      <c r="P387">
        <v>6.4753041430733868E-3</v>
      </c>
      <c r="Q387">
        <v>6.4753041430733868E-3</v>
      </c>
      <c r="R387">
        <v>13720.159784997477</v>
      </c>
      <c r="S387" t="s">
        <v>14</v>
      </c>
      <c r="T387">
        <v>6.9800000000000001E-3</v>
      </c>
      <c r="U387">
        <v>14789.531608599998</v>
      </c>
      <c r="V387">
        <v>-1069.3718236025215</v>
      </c>
      <c r="W387">
        <v>-7.2305996694357111E-2</v>
      </c>
    </row>
    <row r="388" spans="1:23" x14ac:dyDescent="0.25">
      <c r="A388" t="s">
        <v>868</v>
      </c>
      <c r="B388" t="s">
        <v>39</v>
      </c>
      <c r="C388" t="s">
        <v>82</v>
      </c>
      <c r="D388" t="s">
        <v>33</v>
      </c>
      <c r="E388" t="s">
        <v>83</v>
      </c>
      <c r="F388" s="1">
        <v>46014</v>
      </c>
      <c r="G388">
        <v>46059</v>
      </c>
      <c r="H388" t="s">
        <v>8</v>
      </c>
      <c r="I388">
        <v>6690.84</v>
      </c>
      <c r="J388" t="s">
        <v>75</v>
      </c>
      <c r="K388" t="s">
        <v>869</v>
      </c>
      <c r="L388">
        <v>45</v>
      </c>
      <c r="M388" t="s">
        <v>39</v>
      </c>
      <c r="N388">
        <v>1.1786000000000001</v>
      </c>
      <c r="O388">
        <v>1.3502119372207584</v>
      </c>
      <c r="P388">
        <v>6.4092664092664101E-3</v>
      </c>
      <c r="Q388">
        <v>1.3502119372207584</v>
      </c>
      <c r="R388">
        <v>9034.0520380341386</v>
      </c>
      <c r="S388" t="s">
        <v>14</v>
      </c>
      <c r="T388">
        <v>1.304</v>
      </c>
      <c r="U388">
        <v>8724.8553600000014</v>
      </c>
      <c r="V388">
        <v>309.19667803413722</v>
      </c>
      <c r="W388">
        <v>3.5438602163158056E-2</v>
      </c>
    </row>
    <row r="389" spans="1:23" x14ac:dyDescent="0.25">
      <c r="A389" t="s">
        <v>870</v>
      </c>
      <c r="B389" t="s">
        <v>34</v>
      </c>
      <c r="C389" t="s">
        <v>177</v>
      </c>
      <c r="D389" t="s">
        <v>31</v>
      </c>
      <c r="E389" t="s">
        <v>74</v>
      </c>
      <c r="F389" s="1">
        <v>46034</v>
      </c>
      <c r="G389">
        <v>46094</v>
      </c>
      <c r="H389" t="s">
        <v>8</v>
      </c>
      <c r="I389">
        <v>13038.32</v>
      </c>
      <c r="J389" t="s">
        <v>75</v>
      </c>
      <c r="K389" t="s">
        <v>871</v>
      </c>
      <c r="L389">
        <v>60</v>
      </c>
      <c r="M389" t="s">
        <v>34</v>
      </c>
      <c r="N389">
        <v>1.1692</v>
      </c>
      <c r="O389">
        <v>1.3479363615402353</v>
      </c>
      <c r="P389">
        <v>6.3398763691573587E-3</v>
      </c>
      <c r="Q389">
        <v>1.3479363615402353</v>
      </c>
      <c r="R389">
        <v>17574.825621397282</v>
      </c>
      <c r="S389" t="s">
        <v>16</v>
      </c>
      <c r="T389">
        <v>1.2490000000000001</v>
      </c>
      <c r="U389">
        <v>16284.861680000002</v>
      </c>
      <c r="V389">
        <v>1289.96394139728</v>
      </c>
      <c r="W389">
        <v>7.9212459199547822E-2</v>
      </c>
    </row>
    <row r="390" spans="1:23" x14ac:dyDescent="0.25">
      <c r="A390" t="s">
        <v>872</v>
      </c>
      <c r="B390" t="s">
        <v>37</v>
      </c>
      <c r="C390" t="s">
        <v>91</v>
      </c>
      <c r="D390" t="s">
        <v>31</v>
      </c>
      <c r="E390" t="s">
        <v>74</v>
      </c>
      <c r="F390" s="1">
        <v>45963</v>
      </c>
      <c r="G390">
        <v>45993</v>
      </c>
      <c r="H390" t="s">
        <v>6</v>
      </c>
      <c r="I390">
        <v>16016.59</v>
      </c>
      <c r="J390" t="s">
        <v>75</v>
      </c>
      <c r="K390" t="s">
        <v>873</v>
      </c>
      <c r="L390">
        <v>30</v>
      </c>
      <c r="M390" t="s">
        <v>37</v>
      </c>
      <c r="N390">
        <v>1.1555</v>
      </c>
      <c r="O390">
        <v>1.3367963164349013</v>
      </c>
      <c r="P390">
        <v>6.2983756677204832E-3</v>
      </c>
      <c r="Q390">
        <v>1.1555</v>
      </c>
      <c r="R390">
        <v>18507.169744999999</v>
      </c>
      <c r="S390" t="s">
        <v>14</v>
      </c>
      <c r="T390">
        <v>1.1060000000000001</v>
      </c>
      <c r="U390">
        <v>17714.348540000003</v>
      </c>
      <c r="V390">
        <v>792.82120499999655</v>
      </c>
      <c r="W390">
        <v>4.4755877034357842E-2</v>
      </c>
    </row>
    <row r="391" spans="1:23" x14ac:dyDescent="0.25">
      <c r="A391" t="s">
        <v>874</v>
      </c>
      <c r="B391" t="s">
        <v>41</v>
      </c>
      <c r="C391" t="s">
        <v>172</v>
      </c>
      <c r="D391" t="s">
        <v>33</v>
      </c>
      <c r="E391" t="s">
        <v>83</v>
      </c>
      <c r="F391" s="1">
        <v>45717</v>
      </c>
      <c r="G391">
        <v>45747</v>
      </c>
      <c r="H391" t="s">
        <v>9</v>
      </c>
      <c r="I391">
        <v>943932.82</v>
      </c>
      <c r="J391" t="s">
        <v>75</v>
      </c>
      <c r="K391" t="s">
        <v>875</v>
      </c>
      <c r="L391">
        <v>30</v>
      </c>
      <c r="M391" t="s">
        <v>41</v>
      </c>
      <c r="N391">
        <v>1.0803</v>
      </c>
      <c r="O391">
        <v>1.2944700736924091</v>
      </c>
      <c r="P391">
        <v>6.7007815407517683E-3</v>
      </c>
      <c r="Q391">
        <v>6.7007815407517683E-3</v>
      </c>
      <c r="R391">
        <v>6325.087615965761</v>
      </c>
      <c r="S391" t="s">
        <v>11</v>
      </c>
      <c r="T391">
        <v>6.5599999999999999E-3</v>
      </c>
      <c r="U391">
        <v>6192.1992991999996</v>
      </c>
      <c r="V391">
        <v>132.88831676576137</v>
      </c>
      <c r="W391">
        <v>2.1460600724354892E-2</v>
      </c>
    </row>
    <row r="392" spans="1:23" x14ac:dyDescent="0.25">
      <c r="A392" t="s">
        <v>876</v>
      </c>
      <c r="B392" t="s">
        <v>22</v>
      </c>
      <c r="C392" t="s">
        <v>127</v>
      </c>
      <c r="D392" t="s">
        <v>31</v>
      </c>
      <c r="E392" t="s">
        <v>124</v>
      </c>
      <c r="F392" s="1">
        <v>46139</v>
      </c>
      <c r="G392">
        <v>46199</v>
      </c>
      <c r="H392" t="s">
        <v>9</v>
      </c>
      <c r="I392">
        <v>14461886.48</v>
      </c>
      <c r="J392" t="s">
        <v>75</v>
      </c>
      <c r="K392" t="s">
        <v>877</v>
      </c>
      <c r="L392">
        <v>60</v>
      </c>
      <c r="M392" t="s">
        <v>22</v>
      </c>
      <c r="N392">
        <v>1.1749000000000001</v>
      </c>
      <c r="O392">
        <v>1.357010857010857</v>
      </c>
      <c r="P392">
        <v>6.280872447343099E-3</v>
      </c>
      <c r="Q392">
        <v>6.280872447343099E-3</v>
      </c>
      <c r="R392">
        <v>90833.264328835678</v>
      </c>
      <c r="S392" t="s">
        <v>19</v>
      </c>
      <c r="T392">
        <v>6.6E-3</v>
      </c>
      <c r="U392">
        <v>95448.45076800001</v>
      </c>
      <c r="V392">
        <v>-4615.1864391643321</v>
      </c>
      <c r="W392">
        <v>-4.8352659493469924E-2</v>
      </c>
    </row>
    <row r="393" spans="1:23" x14ac:dyDescent="0.25">
      <c r="A393" t="s">
        <v>878</v>
      </c>
      <c r="B393" t="s">
        <v>30</v>
      </c>
      <c r="C393" t="s">
        <v>103</v>
      </c>
      <c r="D393" t="s">
        <v>31</v>
      </c>
      <c r="E393" t="s">
        <v>74</v>
      </c>
      <c r="F393" s="1">
        <v>45789</v>
      </c>
      <c r="G393">
        <v>45819</v>
      </c>
      <c r="H393" t="s">
        <v>9</v>
      </c>
      <c r="I393">
        <v>904763.11</v>
      </c>
      <c r="J393" t="s">
        <v>75</v>
      </c>
      <c r="K393" t="s">
        <v>879</v>
      </c>
      <c r="L393">
        <v>30</v>
      </c>
      <c r="M393" t="s">
        <v>30</v>
      </c>
      <c r="N393">
        <v>1.1106</v>
      </c>
      <c r="O393">
        <v>1.3175940206430181</v>
      </c>
      <c r="P393">
        <v>6.753009850419555E-3</v>
      </c>
      <c r="Q393">
        <v>6.753009850419555E-3</v>
      </c>
      <c r="R393">
        <v>6109.8741941262315</v>
      </c>
      <c r="S393" t="s">
        <v>12</v>
      </c>
      <c r="T393">
        <v>6.7000000000000002E-3</v>
      </c>
      <c r="U393">
        <v>6061.9128369999999</v>
      </c>
      <c r="V393">
        <v>47.961357126231633</v>
      </c>
      <c r="W393">
        <v>7.9119179730679518E-3</v>
      </c>
    </row>
    <row r="394" spans="1:23" x14ac:dyDescent="0.25">
      <c r="A394" t="s">
        <v>880</v>
      </c>
      <c r="B394" t="s">
        <v>42</v>
      </c>
      <c r="C394" t="s">
        <v>151</v>
      </c>
      <c r="D394" t="s">
        <v>35</v>
      </c>
      <c r="E394" t="s">
        <v>152</v>
      </c>
      <c r="F394" s="1">
        <v>46299</v>
      </c>
      <c r="G394">
        <v>46329</v>
      </c>
      <c r="H394" t="s">
        <v>8</v>
      </c>
      <c r="I394">
        <v>2609.84</v>
      </c>
      <c r="J394" t="s">
        <v>84</v>
      </c>
      <c r="K394" t="s">
        <v>881</v>
      </c>
      <c r="L394">
        <v>30</v>
      </c>
      <c r="M394" t="s">
        <v>42</v>
      </c>
      <c r="N394">
        <v>1.1225000000000001</v>
      </c>
      <c r="O394">
        <v>1.3200757353027648</v>
      </c>
      <c r="P394">
        <v>6.3421662240804562E-3</v>
      </c>
      <c r="Q394">
        <v>1.3200757353027648</v>
      </c>
      <c r="R394">
        <v>3445.186457022568</v>
      </c>
      <c r="S394" t="s">
        <v>23</v>
      </c>
      <c r="T394">
        <v>1.3149999999999999</v>
      </c>
      <c r="U394">
        <v>3431.9396000000002</v>
      </c>
      <c r="V394">
        <v>13.246857022567838</v>
      </c>
      <c r="W394">
        <v>3.8598747549542646E-3</v>
      </c>
    </row>
    <row r="395" spans="1:23" x14ac:dyDescent="0.25">
      <c r="A395" t="s">
        <v>882</v>
      </c>
      <c r="B395" t="s">
        <v>43</v>
      </c>
      <c r="C395" t="s">
        <v>215</v>
      </c>
      <c r="D395" t="s">
        <v>35</v>
      </c>
      <c r="E395" t="s">
        <v>152</v>
      </c>
      <c r="F395" s="1">
        <v>46064</v>
      </c>
      <c r="G395">
        <v>46094</v>
      </c>
      <c r="H395" t="s">
        <v>6</v>
      </c>
      <c r="I395">
        <v>1677.18</v>
      </c>
      <c r="J395" t="s">
        <v>75</v>
      </c>
      <c r="K395" t="s">
        <v>883</v>
      </c>
      <c r="L395">
        <v>30</v>
      </c>
      <c r="M395" t="s">
        <v>43</v>
      </c>
      <c r="N395">
        <v>1.19</v>
      </c>
      <c r="O395">
        <v>1.3679733302678467</v>
      </c>
      <c r="P395">
        <v>6.5102029651512667E-3</v>
      </c>
      <c r="Q395">
        <v>1.19</v>
      </c>
      <c r="R395">
        <v>1995.8442</v>
      </c>
      <c r="S395" t="s">
        <v>16</v>
      </c>
      <c r="T395">
        <v>1.0649999999999999</v>
      </c>
      <c r="U395">
        <v>1786.1967</v>
      </c>
      <c r="V395">
        <v>209.64750000000004</v>
      </c>
      <c r="W395">
        <v>0.11737089201877937</v>
      </c>
    </row>
    <row r="396" spans="1:23" x14ac:dyDescent="0.25">
      <c r="A396" t="s">
        <v>884</v>
      </c>
      <c r="B396" t="s">
        <v>22</v>
      </c>
      <c r="C396" t="s">
        <v>127</v>
      </c>
      <c r="D396" t="s">
        <v>31</v>
      </c>
      <c r="E396" t="s">
        <v>124</v>
      </c>
      <c r="F396" s="1">
        <v>46327</v>
      </c>
      <c r="G396">
        <v>46387</v>
      </c>
      <c r="H396" t="s">
        <v>9</v>
      </c>
      <c r="I396">
        <v>6317107.7699999996</v>
      </c>
      <c r="J396" t="s">
        <v>84</v>
      </c>
      <c r="K396" t="s">
        <v>885</v>
      </c>
      <c r="L396">
        <v>60</v>
      </c>
      <c r="M396" t="s">
        <v>22</v>
      </c>
      <c r="N396">
        <v>1.1176999999999999</v>
      </c>
      <c r="O396">
        <v>1.320456022210408</v>
      </c>
      <c r="P396">
        <v>6.3200452360757699E-3</v>
      </c>
      <c r="Q396">
        <v>6.3200452360757699E-3</v>
      </c>
      <c r="R396">
        <v>39924.406867565725</v>
      </c>
      <c r="S396" t="s">
        <v>23</v>
      </c>
      <c r="T396">
        <v>6.8799999999999998E-3</v>
      </c>
      <c r="U396">
        <v>43461.701457599993</v>
      </c>
      <c r="V396">
        <v>-3537.2945900342675</v>
      </c>
      <c r="W396">
        <v>-8.1388773826196192E-2</v>
      </c>
    </row>
    <row r="397" spans="1:23" x14ac:dyDescent="0.25">
      <c r="A397" t="s">
        <v>886</v>
      </c>
      <c r="B397" t="s">
        <v>37</v>
      </c>
      <c r="C397" t="s">
        <v>91</v>
      </c>
      <c r="D397" t="s">
        <v>31</v>
      </c>
      <c r="E397" t="s">
        <v>74</v>
      </c>
      <c r="F397" s="1">
        <v>45953</v>
      </c>
      <c r="G397">
        <v>45983</v>
      </c>
      <c r="H397" t="s">
        <v>6</v>
      </c>
      <c r="I397">
        <v>11169.29</v>
      </c>
      <c r="J397" t="s">
        <v>75</v>
      </c>
      <c r="K397" t="s">
        <v>887</v>
      </c>
      <c r="L397">
        <v>30</v>
      </c>
      <c r="M397" t="s">
        <v>37</v>
      </c>
      <c r="N397">
        <v>1.1593</v>
      </c>
      <c r="O397">
        <v>1.3339086411230008</v>
      </c>
      <c r="P397">
        <v>6.5519385102294561E-3</v>
      </c>
      <c r="Q397">
        <v>1.1593</v>
      </c>
      <c r="R397">
        <v>12948.557897000001</v>
      </c>
      <c r="S397" t="s">
        <v>14</v>
      </c>
      <c r="T397">
        <v>1.1060000000000001</v>
      </c>
      <c r="U397">
        <v>12353.234740000002</v>
      </c>
      <c r="V397">
        <v>595.3231569999989</v>
      </c>
      <c r="W397">
        <v>4.8191681735985439E-2</v>
      </c>
    </row>
    <row r="398" spans="1:23" x14ac:dyDescent="0.25">
      <c r="A398" t="s">
        <v>888</v>
      </c>
      <c r="B398" t="s">
        <v>37</v>
      </c>
      <c r="C398" t="s">
        <v>91</v>
      </c>
      <c r="D398" t="s">
        <v>31</v>
      </c>
      <c r="E398" t="s">
        <v>74</v>
      </c>
      <c r="F398" s="1">
        <v>45979</v>
      </c>
      <c r="G398">
        <v>46009</v>
      </c>
      <c r="H398" t="s">
        <v>6</v>
      </c>
      <c r="I398">
        <v>2524.7600000000002</v>
      </c>
      <c r="J398" t="s">
        <v>75</v>
      </c>
      <c r="K398" t="s">
        <v>889</v>
      </c>
      <c r="L398">
        <v>30</v>
      </c>
      <c r="M398" t="s">
        <v>37</v>
      </c>
      <c r="N398">
        <v>1.159</v>
      </c>
      <c r="O398">
        <v>1.3139099875297586</v>
      </c>
      <c r="P398">
        <v>6.4410359008558408E-3</v>
      </c>
      <c r="Q398">
        <v>1.159</v>
      </c>
      <c r="R398">
        <v>2926.1968400000005</v>
      </c>
      <c r="S398" t="s">
        <v>14</v>
      </c>
      <c r="T398">
        <v>1.1060000000000001</v>
      </c>
      <c r="U398">
        <v>2792.3845600000004</v>
      </c>
      <c r="V398">
        <v>133.8122800000001</v>
      </c>
      <c r="W398">
        <v>4.7920433996383391E-2</v>
      </c>
    </row>
    <row r="399" spans="1:23" x14ac:dyDescent="0.25">
      <c r="A399" t="s">
        <v>890</v>
      </c>
      <c r="B399" t="s">
        <v>38</v>
      </c>
      <c r="C399" t="s">
        <v>87</v>
      </c>
      <c r="D399" t="s">
        <v>33</v>
      </c>
      <c r="E399" t="s">
        <v>88</v>
      </c>
      <c r="F399" s="1">
        <v>45886</v>
      </c>
      <c r="G399">
        <v>45916</v>
      </c>
      <c r="H399" t="s">
        <v>6</v>
      </c>
      <c r="I399">
        <v>3444.4</v>
      </c>
      <c r="J399" t="s">
        <v>75</v>
      </c>
      <c r="K399" t="s">
        <v>891</v>
      </c>
      <c r="L399">
        <v>30</v>
      </c>
      <c r="M399" t="s">
        <v>38</v>
      </c>
      <c r="N399">
        <v>1.1566000000000001</v>
      </c>
      <c r="O399">
        <v>1.3215265082266912</v>
      </c>
      <c r="P399">
        <v>6.405272193609127E-3</v>
      </c>
      <c r="Q399">
        <v>1.1566000000000001</v>
      </c>
      <c r="R399">
        <v>3983.7930400000005</v>
      </c>
      <c r="S399" t="s">
        <v>13</v>
      </c>
      <c r="T399">
        <v>1.0880000000000001</v>
      </c>
      <c r="U399">
        <v>3747.5072000000005</v>
      </c>
      <c r="V399">
        <v>236.28584000000001</v>
      </c>
      <c r="W399">
        <v>6.3051470588235292E-2</v>
      </c>
    </row>
    <row r="400" spans="1:23" x14ac:dyDescent="0.25">
      <c r="A400" t="s">
        <v>892</v>
      </c>
      <c r="B400" t="s">
        <v>36</v>
      </c>
      <c r="C400" t="s">
        <v>116</v>
      </c>
      <c r="D400" t="s">
        <v>31</v>
      </c>
      <c r="E400" t="s">
        <v>74</v>
      </c>
      <c r="F400" s="1">
        <v>46302</v>
      </c>
      <c r="G400">
        <v>46347</v>
      </c>
      <c r="H400" t="s">
        <v>6</v>
      </c>
      <c r="I400">
        <v>32264.83</v>
      </c>
      <c r="J400" t="s">
        <v>84</v>
      </c>
      <c r="K400" t="s">
        <v>893</v>
      </c>
      <c r="L400">
        <v>45</v>
      </c>
      <c r="M400" t="s">
        <v>36</v>
      </c>
      <c r="N400">
        <v>1.1176999999999999</v>
      </c>
      <c r="O400">
        <v>1.320456022210408</v>
      </c>
      <c r="P400">
        <v>6.3200452360757699E-3</v>
      </c>
      <c r="Q400">
        <v>1.1176999999999999</v>
      </c>
      <c r="R400">
        <v>36062.400491</v>
      </c>
      <c r="S400" t="s">
        <v>23</v>
      </c>
      <c r="T400">
        <v>1.119</v>
      </c>
      <c r="U400">
        <v>36104.344770000003</v>
      </c>
      <c r="V400">
        <v>-41.944279000003007</v>
      </c>
      <c r="W400">
        <v>-1.1617515638964193E-3</v>
      </c>
    </row>
    <row r="401" spans="1:23" x14ac:dyDescent="0.25">
      <c r="A401" t="s">
        <v>894</v>
      </c>
      <c r="B401" t="s">
        <v>37</v>
      </c>
      <c r="C401" t="s">
        <v>91</v>
      </c>
      <c r="D401" t="s">
        <v>31</v>
      </c>
      <c r="E401" t="s">
        <v>74</v>
      </c>
      <c r="F401" s="1">
        <v>46264</v>
      </c>
      <c r="G401">
        <v>46294</v>
      </c>
      <c r="H401" t="s">
        <v>6</v>
      </c>
      <c r="I401">
        <v>7199.64</v>
      </c>
      <c r="J401" t="s">
        <v>75</v>
      </c>
      <c r="K401" t="s">
        <v>895</v>
      </c>
      <c r="L401">
        <v>30</v>
      </c>
      <c r="M401" t="s">
        <v>37</v>
      </c>
      <c r="N401">
        <v>1.1642999999999999</v>
      </c>
      <c r="O401">
        <v>1.3582594493700419</v>
      </c>
      <c r="P401">
        <v>6.2623709122203094E-3</v>
      </c>
      <c r="Q401">
        <v>1.1642999999999999</v>
      </c>
      <c r="R401">
        <v>8382.5408520000001</v>
      </c>
      <c r="S401" t="s">
        <v>21</v>
      </c>
      <c r="T401">
        <v>1.101</v>
      </c>
      <c r="U401">
        <v>7926.8036400000001</v>
      </c>
      <c r="V401">
        <v>455.737212</v>
      </c>
      <c r="W401">
        <v>5.7493188010899185E-2</v>
      </c>
    </row>
    <row r="402" spans="1:23" x14ac:dyDescent="0.25">
      <c r="A402" t="s">
        <v>896</v>
      </c>
      <c r="B402" t="s">
        <v>22</v>
      </c>
      <c r="C402" t="s">
        <v>127</v>
      </c>
      <c r="D402" t="s">
        <v>31</v>
      </c>
      <c r="E402" t="s">
        <v>124</v>
      </c>
      <c r="F402" s="1">
        <v>46061</v>
      </c>
      <c r="G402">
        <v>46121</v>
      </c>
      <c r="H402" t="s">
        <v>9</v>
      </c>
      <c r="I402">
        <v>14074579.98</v>
      </c>
      <c r="J402" t="s">
        <v>75</v>
      </c>
      <c r="K402" t="s">
        <v>897</v>
      </c>
      <c r="L402">
        <v>60</v>
      </c>
      <c r="M402" t="s">
        <v>22</v>
      </c>
      <c r="N402">
        <v>1.1555</v>
      </c>
      <c r="O402">
        <v>1.3367963164349013</v>
      </c>
      <c r="P402">
        <v>6.2983756677204832E-3</v>
      </c>
      <c r="Q402">
        <v>6.2983756677204832E-3</v>
      </c>
      <c r="R402">
        <v>88646.992079417847</v>
      </c>
      <c r="S402" t="s">
        <v>16</v>
      </c>
      <c r="T402">
        <v>6.4599999999999996E-3</v>
      </c>
      <c r="U402">
        <v>90921.786670799993</v>
      </c>
      <c r="V402">
        <v>-2274.7945913821459</v>
      </c>
      <c r="W402">
        <v>-2.5019246482897241E-2</v>
      </c>
    </row>
    <row r="403" spans="1:23" x14ac:dyDescent="0.25">
      <c r="A403" t="s">
        <v>898</v>
      </c>
      <c r="B403" t="s">
        <v>39</v>
      </c>
      <c r="C403" t="s">
        <v>82</v>
      </c>
      <c r="D403" t="s">
        <v>33</v>
      </c>
      <c r="E403" t="s">
        <v>83</v>
      </c>
      <c r="F403" s="1">
        <v>46329</v>
      </c>
      <c r="G403">
        <v>46374</v>
      </c>
      <c r="H403" t="s">
        <v>8</v>
      </c>
      <c r="I403">
        <v>8521.2000000000007</v>
      </c>
      <c r="J403" t="s">
        <v>84</v>
      </c>
      <c r="K403" t="s">
        <v>899</v>
      </c>
      <c r="L403">
        <v>45</v>
      </c>
      <c r="M403" t="s">
        <v>39</v>
      </c>
      <c r="N403">
        <v>1.1176999999999999</v>
      </c>
      <c r="O403">
        <v>1.320456022210408</v>
      </c>
      <c r="P403">
        <v>6.3200452360757699E-3</v>
      </c>
      <c r="Q403">
        <v>1.320456022210408</v>
      </c>
      <c r="R403">
        <v>11251.869856459331</v>
      </c>
      <c r="S403" t="s">
        <v>23</v>
      </c>
      <c r="T403">
        <v>1.3149999999999999</v>
      </c>
      <c r="U403">
        <v>11205.378000000001</v>
      </c>
      <c r="V403">
        <v>46.491856459329938</v>
      </c>
      <c r="W403">
        <v>4.1490663197020156E-3</v>
      </c>
    </row>
    <row r="404" spans="1:23" x14ac:dyDescent="0.25">
      <c r="A404" t="s">
        <v>900</v>
      </c>
      <c r="B404" t="s">
        <v>34</v>
      </c>
      <c r="C404" t="s">
        <v>177</v>
      </c>
      <c r="D404" t="s">
        <v>31</v>
      </c>
      <c r="E404" t="s">
        <v>74</v>
      </c>
      <c r="F404" s="1">
        <v>46063</v>
      </c>
      <c r="G404">
        <v>46123</v>
      </c>
      <c r="H404" t="s">
        <v>8</v>
      </c>
      <c r="I404">
        <v>9985.31</v>
      </c>
      <c r="J404" t="s">
        <v>75</v>
      </c>
      <c r="K404" t="s">
        <v>901</v>
      </c>
      <c r="L404">
        <v>60</v>
      </c>
      <c r="M404" t="s">
        <v>34</v>
      </c>
      <c r="N404">
        <v>1.1894</v>
      </c>
      <c r="O404">
        <v>1.3679125934445082</v>
      </c>
      <c r="P404">
        <v>6.4462630751720776E-3</v>
      </c>
      <c r="Q404">
        <v>1.3679125934445082</v>
      </c>
      <c r="R404">
        <v>13659.031298447382</v>
      </c>
      <c r="S404" t="s">
        <v>16</v>
      </c>
      <c r="T404">
        <v>1.2490000000000001</v>
      </c>
      <c r="U404">
        <v>12471.652190000001</v>
      </c>
      <c r="V404">
        <v>1187.3791084473814</v>
      </c>
      <c r="W404">
        <v>9.5206239747404414E-2</v>
      </c>
    </row>
    <row r="405" spans="1:23" x14ac:dyDescent="0.25">
      <c r="A405" t="s">
        <v>902</v>
      </c>
      <c r="B405" t="s">
        <v>26</v>
      </c>
      <c r="C405" t="s">
        <v>94</v>
      </c>
      <c r="D405" t="s">
        <v>31</v>
      </c>
      <c r="E405" t="s">
        <v>74</v>
      </c>
      <c r="F405" s="1">
        <v>46209</v>
      </c>
      <c r="G405">
        <v>46239</v>
      </c>
      <c r="H405" t="s">
        <v>8</v>
      </c>
      <c r="I405">
        <v>12335.28</v>
      </c>
      <c r="J405" t="s">
        <v>75</v>
      </c>
      <c r="K405" t="s">
        <v>903</v>
      </c>
      <c r="L405">
        <v>30</v>
      </c>
      <c r="M405" t="s">
        <v>26</v>
      </c>
      <c r="N405">
        <v>1.1415</v>
      </c>
      <c r="O405">
        <v>1.3344946105824311</v>
      </c>
      <c r="P405">
        <v>6.1599481949166255E-3</v>
      </c>
      <c r="Q405">
        <v>1.3344946105824311</v>
      </c>
      <c r="R405">
        <v>16461.364680025254</v>
      </c>
      <c r="S405" t="s">
        <v>21</v>
      </c>
      <c r="T405">
        <v>1.2929999999999999</v>
      </c>
      <c r="U405">
        <v>15949.517040000001</v>
      </c>
      <c r="V405">
        <v>511.84764002525299</v>
      </c>
      <c r="W405">
        <v>3.2091732855708648E-2</v>
      </c>
    </row>
    <row r="406" spans="1:23" x14ac:dyDescent="0.25">
      <c r="A406" t="s">
        <v>904</v>
      </c>
      <c r="B406" t="s">
        <v>40</v>
      </c>
      <c r="C406" t="s">
        <v>78</v>
      </c>
      <c r="D406" t="s">
        <v>33</v>
      </c>
      <c r="E406" t="s">
        <v>79</v>
      </c>
      <c r="F406" s="1">
        <v>45863</v>
      </c>
      <c r="G406">
        <v>45893</v>
      </c>
      <c r="H406" t="s">
        <v>9</v>
      </c>
      <c r="I406">
        <v>1342483.58</v>
      </c>
      <c r="J406" t="s">
        <v>75</v>
      </c>
      <c r="K406" t="s">
        <v>905</v>
      </c>
      <c r="L406">
        <v>30</v>
      </c>
      <c r="M406" t="s">
        <v>40</v>
      </c>
      <c r="N406">
        <v>1.1724000000000001</v>
      </c>
      <c r="O406">
        <v>1.3452667814113597</v>
      </c>
      <c r="P406">
        <v>6.7725723528392354E-3</v>
      </c>
      <c r="Q406">
        <v>6.7725723528392354E-3</v>
      </c>
      <c r="R406">
        <v>9092.0671780486409</v>
      </c>
      <c r="S406" t="s">
        <v>13</v>
      </c>
      <c r="T406">
        <v>6.8399999999999997E-3</v>
      </c>
      <c r="U406">
        <v>9182.5876872000008</v>
      </c>
      <c r="V406">
        <v>-90.520509151359875</v>
      </c>
      <c r="W406">
        <v>-9.8578431521585425E-3</v>
      </c>
    </row>
    <row r="407" spans="1:23" x14ac:dyDescent="0.25">
      <c r="A407" t="s">
        <v>906</v>
      </c>
      <c r="B407" t="s">
        <v>36</v>
      </c>
      <c r="C407" t="s">
        <v>116</v>
      </c>
      <c r="D407" t="s">
        <v>31</v>
      </c>
      <c r="E407" t="s">
        <v>74</v>
      </c>
      <c r="F407" s="1">
        <v>46369</v>
      </c>
      <c r="G407">
        <v>46414</v>
      </c>
      <c r="H407" t="s">
        <v>6</v>
      </c>
      <c r="I407">
        <v>24663.65</v>
      </c>
      <c r="J407" t="s">
        <v>84</v>
      </c>
      <c r="K407" t="s">
        <v>907</v>
      </c>
      <c r="L407">
        <v>45</v>
      </c>
      <c r="M407" t="s">
        <v>36</v>
      </c>
      <c r="N407">
        <v>1.1176999999999999</v>
      </c>
      <c r="O407">
        <v>1.320456022210408</v>
      </c>
      <c r="P407">
        <v>6.3200452360757699E-3</v>
      </c>
      <c r="Q407">
        <v>1.1176999999999999</v>
      </c>
      <c r="R407">
        <v>27566.561604999999</v>
      </c>
      <c r="S407" t="s">
        <v>23</v>
      </c>
      <c r="T407">
        <v>1.119</v>
      </c>
      <c r="U407">
        <v>27598.624350000002</v>
      </c>
      <c r="V407">
        <v>-32.062745000002906</v>
      </c>
      <c r="W407">
        <v>-1.1617515638964412E-3</v>
      </c>
    </row>
    <row r="408" spans="1:23" x14ac:dyDescent="0.25">
      <c r="A408" t="s">
        <v>908</v>
      </c>
      <c r="B408" t="s">
        <v>34</v>
      </c>
      <c r="C408" t="s">
        <v>177</v>
      </c>
      <c r="D408" t="s">
        <v>31</v>
      </c>
      <c r="E408" t="s">
        <v>74</v>
      </c>
      <c r="F408" s="1">
        <v>46174</v>
      </c>
      <c r="G408">
        <v>46234</v>
      </c>
      <c r="H408" t="s">
        <v>8</v>
      </c>
      <c r="I408">
        <v>20951.060000000001</v>
      </c>
      <c r="J408" t="s">
        <v>75</v>
      </c>
      <c r="K408" t="s">
        <v>909</v>
      </c>
      <c r="L408">
        <v>60</v>
      </c>
      <c r="M408" t="s">
        <v>34</v>
      </c>
      <c r="N408">
        <v>1.1646000000000001</v>
      </c>
      <c r="O408">
        <v>1.3464673441781416</v>
      </c>
      <c r="P408">
        <v>6.2700549154732421E-3</v>
      </c>
      <c r="Q408">
        <v>1.3464673441781416</v>
      </c>
      <c r="R408">
        <v>28209.918115916898</v>
      </c>
      <c r="S408" t="s">
        <v>19</v>
      </c>
      <c r="T408">
        <v>1.2709999999999999</v>
      </c>
      <c r="U408">
        <v>26628.797259999999</v>
      </c>
      <c r="V408">
        <v>1581.120855916899</v>
      </c>
      <c r="W408">
        <v>5.9376352618522248E-2</v>
      </c>
    </row>
    <row r="409" spans="1:23" x14ac:dyDescent="0.25">
      <c r="A409" t="s">
        <v>910</v>
      </c>
      <c r="B409" t="s">
        <v>24</v>
      </c>
      <c r="C409" t="s">
        <v>73</v>
      </c>
      <c r="D409" t="s">
        <v>31</v>
      </c>
      <c r="E409" t="s">
        <v>74</v>
      </c>
      <c r="F409" s="1">
        <v>45835</v>
      </c>
      <c r="G409">
        <v>45865</v>
      </c>
      <c r="H409" t="s">
        <v>6</v>
      </c>
      <c r="I409">
        <v>24054.720000000001</v>
      </c>
      <c r="J409" t="s">
        <v>75</v>
      </c>
      <c r="K409" t="s">
        <v>911</v>
      </c>
      <c r="L409">
        <v>30</v>
      </c>
      <c r="M409" t="s">
        <v>24</v>
      </c>
      <c r="N409">
        <v>1.1704000000000001</v>
      </c>
      <c r="O409">
        <v>1.3722593504514013</v>
      </c>
      <c r="P409">
        <v>6.9156227842117708E-3</v>
      </c>
      <c r="Q409">
        <v>1.1704000000000001</v>
      </c>
      <c r="R409">
        <v>28153.644288000003</v>
      </c>
      <c r="S409" t="s">
        <v>12</v>
      </c>
      <c r="T409">
        <v>1.07</v>
      </c>
      <c r="U409">
        <v>25738.550400000004</v>
      </c>
      <c r="V409">
        <v>2415.0938879999994</v>
      </c>
      <c r="W409">
        <v>9.3831775700934539E-2</v>
      </c>
    </row>
    <row r="410" spans="1:23" x14ac:dyDescent="0.25">
      <c r="A410" t="s">
        <v>912</v>
      </c>
      <c r="B410" t="s">
        <v>26</v>
      </c>
      <c r="C410" t="s">
        <v>94</v>
      </c>
      <c r="D410" t="s">
        <v>31</v>
      </c>
      <c r="E410" t="s">
        <v>74</v>
      </c>
      <c r="F410" s="1">
        <v>45773</v>
      </c>
      <c r="G410">
        <v>45803</v>
      </c>
      <c r="H410" t="s">
        <v>8</v>
      </c>
      <c r="I410">
        <v>17704.11</v>
      </c>
      <c r="J410" t="s">
        <v>75</v>
      </c>
      <c r="K410" t="s">
        <v>913</v>
      </c>
      <c r="L410">
        <v>30</v>
      </c>
      <c r="M410" t="s">
        <v>26</v>
      </c>
      <c r="N410">
        <v>1.1607000000000001</v>
      </c>
      <c r="O410">
        <v>1.3612055822680897</v>
      </c>
      <c r="P410">
        <v>6.8978427527188451E-3</v>
      </c>
      <c r="Q410">
        <v>1.3612055822680897</v>
      </c>
      <c r="R410">
        <v>24098.933361088311</v>
      </c>
      <c r="S410" t="s">
        <v>12</v>
      </c>
      <c r="T410">
        <v>1.26</v>
      </c>
      <c r="U410">
        <v>22307.178599999999</v>
      </c>
      <c r="V410">
        <v>1791.7547610883121</v>
      </c>
      <c r="W410">
        <v>8.0321890688960201E-2</v>
      </c>
    </row>
    <row r="411" spans="1:23" x14ac:dyDescent="0.25">
      <c r="A411" t="s">
        <v>914</v>
      </c>
      <c r="B411" t="s">
        <v>39</v>
      </c>
      <c r="C411" t="s">
        <v>82</v>
      </c>
      <c r="D411" t="s">
        <v>33</v>
      </c>
      <c r="E411" t="s">
        <v>83</v>
      </c>
      <c r="F411" s="1">
        <v>46235</v>
      </c>
      <c r="G411">
        <v>46280</v>
      </c>
      <c r="H411" t="s">
        <v>8</v>
      </c>
      <c r="I411">
        <v>11814.48</v>
      </c>
      <c r="J411" t="s">
        <v>75</v>
      </c>
      <c r="K411" t="s">
        <v>915</v>
      </c>
      <c r="L411">
        <v>45</v>
      </c>
      <c r="M411" t="s">
        <v>39</v>
      </c>
      <c r="N411">
        <v>1.1485000000000001</v>
      </c>
      <c r="O411">
        <v>1.3421289425402874</v>
      </c>
      <c r="P411">
        <v>6.2408302994077054E-3</v>
      </c>
      <c r="Q411">
        <v>1.3421289425402874</v>
      </c>
      <c r="R411">
        <v>15856.555549063374</v>
      </c>
      <c r="S411" t="s">
        <v>21</v>
      </c>
      <c r="T411">
        <v>1.2929999999999999</v>
      </c>
      <c r="U411">
        <v>15276.122639999998</v>
      </c>
      <c r="V411">
        <v>580.43290906337643</v>
      </c>
      <c r="W411">
        <v>3.7996088584909167E-2</v>
      </c>
    </row>
    <row r="412" spans="1:23" x14ac:dyDescent="0.25">
      <c r="A412" t="s">
        <v>916</v>
      </c>
      <c r="B412" t="s">
        <v>28</v>
      </c>
      <c r="C412" t="s">
        <v>111</v>
      </c>
      <c r="D412" t="s">
        <v>31</v>
      </c>
      <c r="E412" t="s">
        <v>74</v>
      </c>
      <c r="F412" s="1">
        <v>46126</v>
      </c>
      <c r="G412">
        <v>46171</v>
      </c>
      <c r="H412" t="s">
        <v>9</v>
      </c>
      <c r="I412">
        <v>4614848.28</v>
      </c>
      <c r="J412" t="s">
        <v>75</v>
      </c>
      <c r="K412" t="s">
        <v>917</v>
      </c>
      <c r="L412">
        <v>45</v>
      </c>
      <c r="M412" t="s">
        <v>28</v>
      </c>
      <c r="N412">
        <v>1.1793</v>
      </c>
      <c r="O412">
        <v>1.3568741154948052</v>
      </c>
      <c r="P412">
        <v>6.2953077456894251E-3</v>
      </c>
      <c r="Q412">
        <v>6.2953077456894251E-3</v>
      </c>
      <c r="R412">
        <v>29051.890122265522</v>
      </c>
      <c r="S412" t="s">
        <v>19</v>
      </c>
      <c r="T412">
        <v>6.6E-3</v>
      </c>
      <c r="U412">
        <v>30457.998648000001</v>
      </c>
      <c r="V412">
        <v>-1406.1085257344785</v>
      </c>
      <c r="W412">
        <v>-4.6165493077359808E-2</v>
      </c>
    </row>
    <row r="413" spans="1:23" x14ac:dyDescent="0.25">
      <c r="A413" t="s">
        <v>918</v>
      </c>
      <c r="B413" t="s">
        <v>22</v>
      </c>
      <c r="C413" t="s">
        <v>127</v>
      </c>
      <c r="D413" t="s">
        <v>31</v>
      </c>
      <c r="E413" t="s">
        <v>124</v>
      </c>
      <c r="F413" s="1">
        <v>45770</v>
      </c>
      <c r="G413">
        <v>45830</v>
      </c>
      <c r="H413" t="s">
        <v>9</v>
      </c>
      <c r="I413">
        <v>1601519.28</v>
      </c>
      <c r="J413" t="s">
        <v>75</v>
      </c>
      <c r="K413" t="s">
        <v>919</v>
      </c>
      <c r="L413">
        <v>60</v>
      </c>
      <c r="M413" t="s">
        <v>22</v>
      </c>
      <c r="N413">
        <v>1.1415</v>
      </c>
      <c r="O413">
        <v>1.3305281316657536</v>
      </c>
      <c r="P413">
        <v>7.0602424542305781E-3</v>
      </c>
      <c r="Q413">
        <v>7.0602424542305781E-3</v>
      </c>
      <c r="R413">
        <v>11307.114411924789</v>
      </c>
      <c r="S413" t="s">
        <v>12</v>
      </c>
      <c r="T413">
        <v>6.7000000000000002E-3</v>
      </c>
      <c r="U413">
        <v>10730.179176</v>
      </c>
      <c r="V413">
        <v>576.93523592478959</v>
      </c>
      <c r="W413">
        <v>5.3767530482175953E-2</v>
      </c>
    </row>
    <row r="414" spans="1:23" x14ac:dyDescent="0.25">
      <c r="A414" t="s">
        <v>920</v>
      </c>
      <c r="B414" t="s">
        <v>41</v>
      </c>
      <c r="C414" t="s">
        <v>172</v>
      </c>
      <c r="D414" t="s">
        <v>33</v>
      </c>
      <c r="E414" t="s">
        <v>83</v>
      </c>
      <c r="F414" s="1">
        <v>46167</v>
      </c>
      <c r="G414">
        <v>46197</v>
      </c>
      <c r="H414" t="s">
        <v>9</v>
      </c>
      <c r="I414">
        <v>1544418.48</v>
      </c>
      <c r="J414" t="s">
        <v>75</v>
      </c>
      <c r="K414" t="s">
        <v>921</v>
      </c>
      <c r="L414">
        <v>30</v>
      </c>
      <c r="M414" t="s">
        <v>41</v>
      </c>
      <c r="N414">
        <v>1.1642999999999999</v>
      </c>
      <c r="O414">
        <v>1.3498347921859601</v>
      </c>
      <c r="P414">
        <v>6.2921530479896235E-3</v>
      </c>
      <c r="Q414">
        <v>6.2921530479896235E-3</v>
      </c>
      <c r="R414">
        <v>9717.7174463035008</v>
      </c>
      <c r="S414" t="s">
        <v>19</v>
      </c>
      <c r="T414">
        <v>6.6E-3</v>
      </c>
      <c r="U414">
        <v>10193.161968</v>
      </c>
      <c r="V414">
        <v>-475.44452169649958</v>
      </c>
      <c r="W414">
        <v>-4.6643477577329867E-2</v>
      </c>
    </row>
    <row r="415" spans="1:23" x14ac:dyDescent="0.25">
      <c r="A415" t="s">
        <v>922</v>
      </c>
      <c r="B415" t="s">
        <v>44</v>
      </c>
      <c r="C415" t="s">
        <v>138</v>
      </c>
      <c r="D415" t="s">
        <v>33</v>
      </c>
      <c r="E415" t="s">
        <v>88</v>
      </c>
      <c r="F415" s="1">
        <v>46322</v>
      </c>
      <c r="G415">
        <v>46367</v>
      </c>
      <c r="H415" t="s">
        <v>9</v>
      </c>
      <c r="I415">
        <v>222564.51</v>
      </c>
      <c r="J415" t="s">
        <v>84</v>
      </c>
      <c r="K415" t="s">
        <v>923</v>
      </c>
      <c r="L415">
        <v>45</v>
      </c>
      <c r="M415" t="s">
        <v>44</v>
      </c>
      <c r="N415">
        <v>1.1176999999999999</v>
      </c>
      <c r="O415">
        <v>1.320456022210408</v>
      </c>
      <c r="P415">
        <v>6.3200452360757699E-3</v>
      </c>
      <c r="Q415">
        <v>6.3200452360757699E-3</v>
      </c>
      <c r="R415">
        <v>1406.6177711450382</v>
      </c>
      <c r="S415" t="s">
        <v>23</v>
      </c>
      <c r="T415">
        <v>6.8799999999999998E-3</v>
      </c>
      <c r="U415">
        <v>1531.2438288000001</v>
      </c>
      <c r="V415">
        <v>-124.62605765496187</v>
      </c>
      <c r="W415">
        <v>-8.1388773826196179E-2</v>
      </c>
    </row>
    <row r="416" spans="1:23" x14ac:dyDescent="0.25">
      <c r="A416" t="s">
        <v>924</v>
      </c>
      <c r="B416" t="s">
        <v>28</v>
      </c>
      <c r="C416" t="s">
        <v>111</v>
      </c>
      <c r="D416" t="s">
        <v>31</v>
      </c>
      <c r="E416" t="s">
        <v>74</v>
      </c>
      <c r="F416" s="1">
        <v>46263</v>
      </c>
      <c r="G416">
        <v>46308</v>
      </c>
      <c r="H416" t="s">
        <v>9</v>
      </c>
      <c r="I416">
        <v>1382932.53</v>
      </c>
      <c r="J416" t="s">
        <v>75</v>
      </c>
      <c r="K416" t="s">
        <v>925</v>
      </c>
      <c r="L416">
        <v>45</v>
      </c>
      <c r="M416" t="s">
        <v>28</v>
      </c>
      <c r="N416">
        <v>1.1642999999999999</v>
      </c>
      <c r="O416">
        <v>1.3582594493700419</v>
      </c>
      <c r="P416">
        <v>6.2623709122203094E-3</v>
      </c>
      <c r="Q416">
        <v>6.2623709122203094E-3</v>
      </c>
      <c r="R416">
        <v>8660.4364494352412</v>
      </c>
      <c r="S416" t="s">
        <v>21</v>
      </c>
      <c r="T416">
        <v>6.7400000000000003E-3</v>
      </c>
      <c r="U416">
        <v>9320.9652522000015</v>
      </c>
      <c r="V416">
        <v>-660.52880276476026</v>
      </c>
      <c r="W416">
        <v>-7.0864849818945252E-2</v>
      </c>
    </row>
    <row r="417" spans="1:23" x14ac:dyDescent="0.25">
      <c r="A417" t="s">
        <v>926</v>
      </c>
      <c r="B417" t="s">
        <v>22</v>
      </c>
      <c r="C417" t="s">
        <v>127</v>
      </c>
      <c r="D417" t="s">
        <v>31</v>
      </c>
      <c r="E417" t="s">
        <v>124</v>
      </c>
      <c r="F417" s="1">
        <v>46350</v>
      </c>
      <c r="G417">
        <v>46410</v>
      </c>
      <c r="H417" t="s">
        <v>9</v>
      </c>
      <c r="I417">
        <v>5876418.21</v>
      </c>
      <c r="J417" t="s">
        <v>84</v>
      </c>
      <c r="K417" t="s">
        <v>927</v>
      </c>
      <c r="L417">
        <v>60</v>
      </c>
      <c r="M417" t="s">
        <v>22</v>
      </c>
      <c r="N417">
        <v>1.1176999999999999</v>
      </c>
      <c r="O417">
        <v>1.320456022210408</v>
      </c>
      <c r="P417">
        <v>6.3200452360757699E-3</v>
      </c>
      <c r="Q417">
        <v>6.3200452360757699E-3</v>
      </c>
      <c r="R417">
        <v>37139.228913299405</v>
      </c>
      <c r="S417" t="s">
        <v>23</v>
      </c>
      <c r="T417">
        <v>6.8799999999999998E-3</v>
      </c>
      <c r="U417">
        <v>40429.757284799998</v>
      </c>
      <c r="V417">
        <v>-3290.5283715005935</v>
      </c>
      <c r="W417">
        <v>-8.1388773826196151E-2</v>
      </c>
    </row>
    <row r="418" spans="1:23" x14ac:dyDescent="0.25">
      <c r="A418" t="s">
        <v>928</v>
      </c>
      <c r="B418" t="s">
        <v>20</v>
      </c>
      <c r="C418" t="s">
        <v>123</v>
      </c>
      <c r="D418" t="s">
        <v>31</v>
      </c>
      <c r="E418" t="s">
        <v>124</v>
      </c>
      <c r="F418" s="1">
        <v>46051</v>
      </c>
      <c r="G418">
        <v>46096</v>
      </c>
      <c r="H418" t="s">
        <v>6</v>
      </c>
      <c r="I418">
        <v>23959.06</v>
      </c>
      <c r="J418" t="s">
        <v>75</v>
      </c>
      <c r="K418" t="s">
        <v>929</v>
      </c>
      <c r="L418">
        <v>45</v>
      </c>
      <c r="M418" t="s">
        <v>20</v>
      </c>
      <c r="N418">
        <v>1.1968000000000001</v>
      </c>
      <c r="O418">
        <v>1.3816670514892635</v>
      </c>
      <c r="P418">
        <v>6.5227817745803366E-3</v>
      </c>
      <c r="Q418">
        <v>1.1968000000000001</v>
      </c>
      <c r="R418">
        <v>28674.203008000004</v>
      </c>
      <c r="S418" t="s">
        <v>16</v>
      </c>
      <c r="T418">
        <v>1.0649999999999999</v>
      </c>
      <c r="U418">
        <v>25516.3989</v>
      </c>
      <c r="V418">
        <v>3157.8041080000039</v>
      </c>
      <c r="W418">
        <v>0.12375586854460109</v>
      </c>
    </row>
    <row r="419" spans="1:23" x14ac:dyDescent="0.25">
      <c r="A419" t="s">
        <v>930</v>
      </c>
      <c r="B419" t="s">
        <v>38</v>
      </c>
      <c r="C419" t="s">
        <v>87</v>
      </c>
      <c r="D419" t="s">
        <v>33</v>
      </c>
      <c r="E419" t="s">
        <v>88</v>
      </c>
      <c r="F419" s="1">
        <v>46289</v>
      </c>
      <c r="G419">
        <v>46319</v>
      </c>
      <c r="H419" t="s">
        <v>6</v>
      </c>
      <c r="I419">
        <v>2289.62</v>
      </c>
      <c r="J419" t="s">
        <v>75</v>
      </c>
      <c r="K419" t="s">
        <v>931</v>
      </c>
      <c r="L419">
        <v>30</v>
      </c>
      <c r="M419" t="s">
        <v>38</v>
      </c>
      <c r="N419">
        <v>1.1367</v>
      </c>
      <c r="O419">
        <v>1.3219593887377017</v>
      </c>
      <c r="P419">
        <v>6.2950656255191901E-3</v>
      </c>
      <c r="Q419">
        <v>1.1367</v>
      </c>
      <c r="R419">
        <v>2602.611054</v>
      </c>
      <c r="S419" t="s">
        <v>21</v>
      </c>
      <c r="T419">
        <v>1.101</v>
      </c>
      <c r="U419">
        <v>2520.8716199999999</v>
      </c>
      <c r="V419">
        <v>81.739434000000074</v>
      </c>
      <c r="W419">
        <v>3.2425068119891036E-2</v>
      </c>
    </row>
    <row r="420" spans="1:23" x14ac:dyDescent="0.25">
      <c r="A420" t="s">
        <v>932</v>
      </c>
      <c r="B420" t="s">
        <v>30</v>
      </c>
      <c r="C420" t="s">
        <v>103</v>
      </c>
      <c r="D420" t="s">
        <v>31</v>
      </c>
      <c r="E420" t="s">
        <v>74</v>
      </c>
      <c r="F420" s="1">
        <v>46122</v>
      </c>
      <c r="G420">
        <v>46152</v>
      </c>
      <c r="H420" t="s">
        <v>9</v>
      </c>
      <c r="I420">
        <v>2206851.42</v>
      </c>
      <c r="J420" t="s">
        <v>75</v>
      </c>
      <c r="K420" t="s">
        <v>933</v>
      </c>
      <c r="L420">
        <v>30</v>
      </c>
      <c r="M420" t="s">
        <v>30</v>
      </c>
      <c r="N420">
        <v>1.1711</v>
      </c>
      <c r="O420">
        <v>1.3444693186384249</v>
      </c>
      <c r="P420">
        <v>6.2817143163653921E-3</v>
      </c>
      <c r="Q420">
        <v>6.2817143163653921E-3</v>
      </c>
      <c r="R420">
        <v>13862.810159105295</v>
      </c>
      <c r="S420" t="s">
        <v>19</v>
      </c>
      <c r="T420">
        <v>6.6E-3</v>
      </c>
      <c r="U420">
        <v>14565.219372</v>
      </c>
      <c r="V420">
        <v>-702.40921289470498</v>
      </c>
      <c r="W420">
        <v>-4.8225103581001183E-2</v>
      </c>
    </row>
    <row r="421" spans="1:23" x14ac:dyDescent="0.25">
      <c r="A421" t="s">
        <v>934</v>
      </c>
      <c r="B421" t="s">
        <v>24</v>
      </c>
      <c r="C421" t="s">
        <v>73</v>
      </c>
      <c r="D421" t="s">
        <v>31</v>
      </c>
      <c r="E421" t="s">
        <v>74</v>
      </c>
      <c r="F421" s="1">
        <v>45966</v>
      </c>
      <c r="G421">
        <v>45996</v>
      </c>
      <c r="H421" t="s">
        <v>6</v>
      </c>
      <c r="I421">
        <v>15931.61</v>
      </c>
      <c r="J421" t="s">
        <v>75</v>
      </c>
      <c r="K421" t="s">
        <v>935</v>
      </c>
      <c r="L421">
        <v>30</v>
      </c>
      <c r="M421" t="s">
        <v>24</v>
      </c>
      <c r="N421">
        <v>1.1492</v>
      </c>
      <c r="O421">
        <v>1.3044267877412032</v>
      </c>
      <c r="P421">
        <v>6.5047829286239891E-3</v>
      </c>
      <c r="Q421">
        <v>1.1492</v>
      </c>
      <c r="R421">
        <v>18308.606212000002</v>
      </c>
      <c r="S421" t="s">
        <v>14</v>
      </c>
      <c r="T421">
        <v>1.1060000000000001</v>
      </c>
      <c r="U421">
        <v>17620.360660000002</v>
      </c>
      <c r="V421">
        <v>688.24555200000032</v>
      </c>
      <c r="W421">
        <v>3.9059674502712492E-2</v>
      </c>
    </row>
    <row r="422" spans="1:23" x14ac:dyDescent="0.25">
      <c r="A422" t="s">
        <v>936</v>
      </c>
      <c r="B422" t="s">
        <v>24</v>
      </c>
      <c r="C422" t="s">
        <v>73</v>
      </c>
      <c r="D422" t="s">
        <v>31</v>
      </c>
      <c r="E422" t="s">
        <v>74</v>
      </c>
      <c r="F422" s="1">
        <v>46155</v>
      </c>
      <c r="G422">
        <v>46185</v>
      </c>
      <c r="H422" t="s">
        <v>6</v>
      </c>
      <c r="I422">
        <v>17105.919999999998</v>
      </c>
      <c r="J422" t="s">
        <v>75</v>
      </c>
      <c r="K422" t="s">
        <v>937</v>
      </c>
      <c r="L422">
        <v>30</v>
      </c>
      <c r="M422" t="s">
        <v>24</v>
      </c>
      <c r="N422">
        <v>1.1715</v>
      </c>
      <c r="O422">
        <v>1.3510084993022962</v>
      </c>
      <c r="P422">
        <v>6.3382567764973217E-3</v>
      </c>
      <c r="Q422">
        <v>1.1715</v>
      </c>
      <c r="R422">
        <v>20039.585279999999</v>
      </c>
      <c r="S422" t="s">
        <v>19</v>
      </c>
      <c r="T422">
        <v>1.083</v>
      </c>
      <c r="U422">
        <v>18525.711359999998</v>
      </c>
      <c r="V422">
        <v>1513.8739200000018</v>
      </c>
      <c r="W422">
        <v>8.1717451523545814E-2</v>
      </c>
    </row>
    <row r="423" spans="1:23" x14ac:dyDescent="0.25">
      <c r="A423" t="s">
        <v>938</v>
      </c>
      <c r="B423" t="s">
        <v>25</v>
      </c>
      <c r="C423" t="s">
        <v>169</v>
      </c>
      <c r="D423" t="s">
        <v>31</v>
      </c>
      <c r="E423" t="s">
        <v>124</v>
      </c>
      <c r="F423" s="1">
        <v>46257</v>
      </c>
      <c r="G423">
        <v>46317</v>
      </c>
      <c r="H423" t="s">
        <v>6</v>
      </c>
      <c r="I423">
        <v>55645.09</v>
      </c>
      <c r="J423" t="s">
        <v>75</v>
      </c>
      <c r="K423" t="s">
        <v>939</v>
      </c>
      <c r="L423">
        <v>60</v>
      </c>
      <c r="M423" t="s">
        <v>25</v>
      </c>
      <c r="N423">
        <v>1.1698999999999999</v>
      </c>
      <c r="O423">
        <v>1.3655888875919224</v>
      </c>
      <c r="P423">
        <v>6.3013034579338578E-3</v>
      </c>
      <c r="Q423">
        <v>1.1698999999999999</v>
      </c>
      <c r="R423">
        <v>65099.190790999994</v>
      </c>
      <c r="S423" t="s">
        <v>21</v>
      </c>
      <c r="T423">
        <v>1.101</v>
      </c>
      <c r="U423">
        <v>61265.244089999993</v>
      </c>
      <c r="V423">
        <v>3833.9467010000008</v>
      </c>
      <c r="W423">
        <v>6.2579473206176225E-2</v>
      </c>
    </row>
    <row r="424" spans="1:23" x14ac:dyDescent="0.25">
      <c r="A424" t="s">
        <v>940</v>
      </c>
      <c r="B424" t="s">
        <v>41</v>
      </c>
      <c r="C424" t="s">
        <v>172</v>
      </c>
      <c r="D424" t="s">
        <v>33</v>
      </c>
      <c r="E424" t="s">
        <v>83</v>
      </c>
      <c r="F424" s="1">
        <v>45729</v>
      </c>
      <c r="G424">
        <v>45759</v>
      </c>
      <c r="H424" t="s">
        <v>9</v>
      </c>
      <c r="I424">
        <v>1298860.8600000001</v>
      </c>
      <c r="J424" t="s">
        <v>75</v>
      </c>
      <c r="K424" t="s">
        <v>941</v>
      </c>
      <c r="L424">
        <v>30</v>
      </c>
      <c r="M424" t="s">
        <v>41</v>
      </c>
      <c r="N424">
        <v>1.083</v>
      </c>
      <c r="O424">
        <v>1.2927021413736304</v>
      </c>
      <c r="P424">
        <v>6.741782868525897E-3</v>
      </c>
      <c r="Q424">
        <v>6.741782868525897E-3</v>
      </c>
      <c r="R424">
        <v>8756.637894546815</v>
      </c>
      <c r="S424" t="s">
        <v>11</v>
      </c>
      <c r="T424">
        <v>6.5599999999999999E-3</v>
      </c>
      <c r="U424">
        <v>8520.5272416000007</v>
      </c>
      <c r="V424">
        <v>236.1106529468143</v>
      </c>
      <c r="W424">
        <v>2.7710803128947803E-2</v>
      </c>
    </row>
    <row r="425" spans="1:23" x14ac:dyDescent="0.25">
      <c r="A425" t="s">
        <v>942</v>
      </c>
      <c r="B425" t="s">
        <v>26</v>
      </c>
      <c r="C425" t="s">
        <v>94</v>
      </c>
      <c r="D425" t="s">
        <v>31</v>
      </c>
      <c r="E425" t="s">
        <v>74</v>
      </c>
      <c r="F425" s="1">
        <v>46273</v>
      </c>
      <c r="G425">
        <v>46303</v>
      </c>
      <c r="H425" t="s">
        <v>8</v>
      </c>
      <c r="I425">
        <v>6605.87</v>
      </c>
      <c r="J425" t="s">
        <v>75</v>
      </c>
      <c r="K425" t="s">
        <v>943</v>
      </c>
      <c r="L425">
        <v>30</v>
      </c>
      <c r="M425" t="s">
        <v>26</v>
      </c>
      <c r="N425">
        <v>1.1614</v>
      </c>
      <c r="O425">
        <v>1.3545602985770935</v>
      </c>
      <c r="P425">
        <v>6.4810267857142861E-3</v>
      </c>
      <c r="Q425">
        <v>1.3545602985770935</v>
      </c>
      <c r="R425">
        <v>8948.0492395614638</v>
      </c>
      <c r="S425" t="s">
        <v>21</v>
      </c>
      <c r="T425">
        <v>1.2929999999999999</v>
      </c>
      <c r="U425">
        <v>8541.3899099999999</v>
      </c>
      <c r="V425">
        <v>406.65932956146389</v>
      </c>
      <c r="W425">
        <v>4.7610439734797672E-2</v>
      </c>
    </row>
    <row r="426" spans="1:23" x14ac:dyDescent="0.25">
      <c r="A426" t="s">
        <v>944</v>
      </c>
      <c r="B426" t="s">
        <v>39</v>
      </c>
      <c r="C426" t="s">
        <v>82</v>
      </c>
      <c r="D426" t="s">
        <v>33</v>
      </c>
      <c r="E426" t="s">
        <v>83</v>
      </c>
      <c r="F426" s="1">
        <v>46112</v>
      </c>
      <c r="G426">
        <v>46157</v>
      </c>
      <c r="H426" t="s">
        <v>8</v>
      </c>
      <c r="I426">
        <v>15333.64</v>
      </c>
      <c r="J426" t="s">
        <v>75</v>
      </c>
      <c r="K426" t="s">
        <v>945</v>
      </c>
      <c r="L426">
        <v>45</v>
      </c>
      <c r="M426" t="s">
        <v>39</v>
      </c>
      <c r="N426">
        <v>1.1497999999999999</v>
      </c>
      <c r="O426">
        <v>1.3241509564336138</v>
      </c>
      <c r="P426">
        <v>6.2696984568406128E-3</v>
      </c>
      <c r="Q426">
        <v>1.3241509564336138</v>
      </c>
      <c r="R426">
        <v>20304.054071608716</v>
      </c>
      <c r="S426" t="s">
        <v>16</v>
      </c>
      <c r="T426">
        <v>1.2490000000000001</v>
      </c>
      <c r="U426">
        <v>19151.716360000002</v>
      </c>
      <c r="V426">
        <v>1152.337711608714</v>
      </c>
      <c r="W426">
        <v>6.0168900267104516E-2</v>
      </c>
    </row>
    <row r="427" spans="1:23" x14ac:dyDescent="0.25">
      <c r="A427" t="s">
        <v>946</v>
      </c>
      <c r="B427" t="s">
        <v>28</v>
      </c>
      <c r="C427" t="s">
        <v>111</v>
      </c>
      <c r="D427" t="s">
        <v>31</v>
      </c>
      <c r="E427" t="s">
        <v>74</v>
      </c>
      <c r="F427" s="1">
        <v>46082</v>
      </c>
      <c r="G427">
        <v>46127</v>
      </c>
      <c r="H427" t="s">
        <v>9</v>
      </c>
      <c r="I427">
        <v>3527847.49</v>
      </c>
      <c r="J427" t="s">
        <v>75</v>
      </c>
      <c r="K427" t="s">
        <v>947</v>
      </c>
      <c r="L427">
        <v>45</v>
      </c>
      <c r="M427" t="s">
        <v>28</v>
      </c>
      <c r="N427">
        <v>1.1555</v>
      </c>
      <c r="O427">
        <v>1.3367963164349013</v>
      </c>
      <c r="P427">
        <v>6.2983756677204832E-3</v>
      </c>
      <c r="Q427">
        <v>6.2983756677204832E-3</v>
      </c>
      <c r="R427">
        <v>22219.708790444784</v>
      </c>
      <c r="S427" t="s">
        <v>16</v>
      </c>
      <c r="T427">
        <v>6.4599999999999996E-3</v>
      </c>
      <c r="U427">
        <v>22789.8947854</v>
      </c>
      <c r="V427">
        <v>-570.1859949552163</v>
      </c>
      <c r="W427">
        <v>-2.5019246482897207E-2</v>
      </c>
    </row>
    <row r="428" spans="1:23" x14ac:dyDescent="0.25">
      <c r="A428" t="s">
        <v>948</v>
      </c>
      <c r="B428" t="s">
        <v>40</v>
      </c>
      <c r="C428" t="s">
        <v>78</v>
      </c>
      <c r="D428" t="s">
        <v>33</v>
      </c>
      <c r="E428" t="s">
        <v>79</v>
      </c>
      <c r="F428" s="1">
        <v>46221</v>
      </c>
      <c r="G428">
        <v>46251</v>
      </c>
      <c r="H428" t="s">
        <v>9</v>
      </c>
      <c r="I428">
        <v>1775109.42</v>
      </c>
      <c r="J428" t="s">
        <v>75</v>
      </c>
      <c r="K428" t="s">
        <v>949</v>
      </c>
      <c r="L428">
        <v>30</v>
      </c>
      <c r="M428" t="s">
        <v>40</v>
      </c>
      <c r="N428">
        <v>1.1435</v>
      </c>
      <c r="O428">
        <v>1.3437448588685985</v>
      </c>
      <c r="P428">
        <v>6.1594398060867217E-3</v>
      </c>
      <c r="Q428">
        <v>6.1594398060867217E-3</v>
      </c>
      <c r="R428">
        <v>10933.679621707513</v>
      </c>
      <c r="S428" t="s">
        <v>21</v>
      </c>
      <c r="T428">
        <v>6.7400000000000003E-3</v>
      </c>
      <c r="U428">
        <v>11964.2374908</v>
      </c>
      <c r="V428">
        <v>-1030.5578690924867</v>
      </c>
      <c r="W428">
        <v>-8.6136527286836517E-2</v>
      </c>
    </row>
    <row r="429" spans="1:23" x14ac:dyDescent="0.25">
      <c r="A429" t="s">
        <v>950</v>
      </c>
      <c r="B429" t="s">
        <v>24</v>
      </c>
      <c r="C429" t="s">
        <v>73</v>
      </c>
      <c r="D429" t="s">
        <v>31</v>
      </c>
      <c r="E429" t="s">
        <v>74</v>
      </c>
      <c r="F429" s="1">
        <v>45761</v>
      </c>
      <c r="G429">
        <v>45791</v>
      </c>
      <c r="H429" t="s">
        <v>6</v>
      </c>
      <c r="I429">
        <v>26271.23</v>
      </c>
      <c r="J429" t="s">
        <v>75</v>
      </c>
      <c r="K429" t="s">
        <v>951</v>
      </c>
      <c r="L429">
        <v>30</v>
      </c>
      <c r="M429" t="s">
        <v>24</v>
      </c>
      <c r="N429">
        <v>1.1376999999999999</v>
      </c>
      <c r="O429">
        <v>1.3170415475267123</v>
      </c>
      <c r="P429">
        <v>6.981039455114438E-3</v>
      </c>
      <c r="Q429">
        <v>1.1376999999999999</v>
      </c>
      <c r="R429">
        <v>29888.778370999997</v>
      </c>
      <c r="S429" t="s">
        <v>12</v>
      </c>
      <c r="T429">
        <v>1.07</v>
      </c>
      <c r="U429">
        <v>28110.216100000001</v>
      </c>
      <c r="V429">
        <v>1778.5622709999952</v>
      </c>
      <c r="W429">
        <v>6.3271028037383006E-2</v>
      </c>
    </row>
    <row r="430" spans="1:23" x14ac:dyDescent="0.25">
      <c r="A430" t="s">
        <v>952</v>
      </c>
      <c r="B430" t="s">
        <v>39</v>
      </c>
      <c r="C430" t="s">
        <v>82</v>
      </c>
      <c r="D430" t="s">
        <v>33</v>
      </c>
      <c r="E430" t="s">
        <v>83</v>
      </c>
      <c r="F430" s="1">
        <v>46344</v>
      </c>
      <c r="G430">
        <v>46389</v>
      </c>
      <c r="H430" t="s">
        <v>8</v>
      </c>
      <c r="I430">
        <v>11797.3</v>
      </c>
      <c r="J430" t="s">
        <v>84</v>
      </c>
      <c r="K430" t="s">
        <v>953</v>
      </c>
      <c r="L430">
        <v>45</v>
      </c>
      <c r="M430" t="s">
        <v>39</v>
      </c>
      <c r="N430">
        <v>1.1176999999999999</v>
      </c>
      <c r="O430">
        <v>1.320456022210408</v>
      </c>
      <c r="P430">
        <v>6.3200452360757699E-3</v>
      </c>
      <c r="Q430">
        <v>1.320456022210408</v>
      </c>
      <c r="R430">
        <v>15577.815830822845</v>
      </c>
      <c r="S430" t="s">
        <v>23</v>
      </c>
      <c r="T430">
        <v>1.3149999999999999</v>
      </c>
      <c r="U430">
        <v>15513.449499999999</v>
      </c>
      <c r="V430">
        <v>64.366330822846066</v>
      </c>
      <c r="W430">
        <v>4.1490663197018864E-3</v>
      </c>
    </row>
    <row r="431" spans="1:23" x14ac:dyDescent="0.25">
      <c r="A431" t="s">
        <v>954</v>
      </c>
      <c r="B431" t="s">
        <v>37</v>
      </c>
      <c r="C431" t="s">
        <v>91</v>
      </c>
      <c r="D431" t="s">
        <v>31</v>
      </c>
      <c r="E431" t="s">
        <v>74</v>
      </c>
      <c r="F431" s="1">
        <v>45702</v>
      </c>
      <c r="G431">
        <v>45732</v>
      </c>
      <c r="H431" t="s">
        <v>6</v>
      </c>
      <c r="I431">
        <v>8495.74</v>
      </c>
      <c r="J431" t="s">
        <v>75</v>
      </c>
      <c r="K431" t="s">
        <v>955</v>
      </c>
      <c r="L431">
        <v>30</v>
      </c>
      <c r="M431" t="s">
        <v>37</v>
      </c>
      <c r="N431">
        <v>1.0478000000000001</v>
      </c>
      <c r="O431">
        <v>1.2591479901460074</v>
      </c>
      <c r="P431">
        <v>6.5450683990255481E-3</v>
      </c>
      <c r="Q431">
        <v>1.0478000000000001</v>
      </c>
      <c r="R431">
        <v>8901.8363719999998</v>
      </c>
      <c r="S431" t="s">
        <v>11</v>
      </c>
      <c r="T431">
        <v>1.052</v>
      </c>
      <c r="U431">
        <v>8937.5184800000006</v>
      </c>
      <c r="V431">
        <v>-35.682108000000881</v>
      </c>
      <c r="W431">
        <v>-3.9923954372624556E-3</v>
      </c>
    </row>
    <row r="432" spans="1:23" x14ac:dyDescent="0.25">
      <c r="A432" t="s">
        <v>956</v>
      </c>
      <c r="B432" t="s">
        <v>20</v>
      </c>
      <c r="C432" t="s">
        <v>123</v>
      </c>
      <c r="D432" t="s">
        <v>31</v>
      </c>
      <c r="E432" t="s">
        <v>124</v>
      </c>
      <c r="F432" s="1">
        <v>45690</v>
      </c>
      <c r="G432">
        <v>45735</v>
      </c>
      <c r="H432" t="s">
        <v>6</v>
      </c>
      <c r="I432">
        <v>33195.43</v>
      </c>
      <c r="J432" t="s">
        <v>75</v>
      </c>
      <c r="K432" t="s">
        <v>957</v>
      </c>
      <c r="L432">
        <v>45</v>
      </c>
      <c r="M432" t="s">
        <v>20</v>
      </c>
      <c r="N432">
        <v>1.0466</v>
      </c>
      <c r="O432">
        <v>1.2635518531932874</v>
      </c>
      <c r="P432">
        <v>6.6743192398443976E-3</v>
      </c>
      <c r="Q432">
        <v>1.0466</v>
      </c>
      <c r="R432">
        <v>34742.337037999998</v>
      </c>
      <c r="S432" t="s">
        <v>11</v>
      </c>
      <c r="T432">
        <v>1.052</v>
      </c>
      <c r="U432">
        <v>34921.592360000002</v>
      </c>
      <c r="V432">
        <v>-179.25532200000453</v>
      </c>
      <c r="W432">
        <v>-5.1330798479088747E-3</v>
      </c>
    </row>
    <row r="433" spans="1:23" x14ac:dyDescent="0.25">
      <c r="A433" t="s">
        <v>958</v>
      </c>
      <c r="B433" t="s">
        <v>28</v>
      </c>
      <c r="C433" t="s">
        <v>111</v>
      </c>
      <c r="D433" t="s">
        <v>31</v>
      </c>
      <c r="E433" t="s">
        <v>74</v>
      </c>
      <c r="F433" s="1">
        <v>46160</v>
      </c>
      <c r="G433">
        <v>46205</v>
      </c>
      <c r="H433" t="s">
        <v>9</v>
      </c>
      <c r="I433">
        <v>3798582.64</v>
      </c>
      <c r="J433" t="s">
        <v>75</v>
      </c>
      <c r="K433" t="s">
        <v>959</v>
      </c>
      <c r="L433">
        <v>45</v>
      </c>
      <c r="M433" t="s">
        <v>28</v>
      </c>
      <c r="N433">
        <v>1.1648000000000001</v>
      </c>
      <c r="O433">
        <v>1.3385428637094923</v>
      </c>
      <c r="P433">
        <v>6.2985994700697559E-3</v>
      </c>
      <c r="Q433">
        <v>6.2985994700697559E-3</v>
      </c>
      <c r="R433">
        <v>23925.750603320175</v>
      </c>
      <c r="S433" t="s">
        <v>19</v>
      </c>
      <c r="T433">
        <v>6.6E-3</v>
      </c>
      <c r="U433">
        <v>25070.645424000002</v>
      </c>
      <c r="V433">
        <v>-1144.8948206798268</v>
      </c>
      <c r="W433">
        <v>-4.5666746959127938E-2</v>
      </c>
    </row>
    <row r="434" spans="1:23" x14ac:dyDescent="0.25">
      <c r="A434" t="s">
        <v>960</v>
      </c>
      <c r="B434" t="s">
        <v>36</v>
      </c>
      <c r="C434" t="s">
        <v>116</v>
      </c>
      <c r="D434" t="s">
        <v>31</v>
      </c>
      <c r="E434" t="s">
        <v>74</v>
      </c>
      <c r="F434" s="1">
        <v>46080</v>
      </c>
      <c r="G434">
        <v>46125</v>
      </c>
      <c r="H434" t="s">
        <v>6</v>
      </c>
      <c r="I434">
        <v>17319.96</v>
      </c>
      <c r="J434" t="s">
        <v>75</v>
      </c>
      <c r="K434" t="s">
        <v>961</v>
      </c>
      <c r="L434">
        <v>45</v>
      </c>
      <c r="M434" t="s">
        <v>36</v>
      </c>
      <c r="N434">
        <v>1.1805000000000001</v>
      </c>
      <c r="O434">
        <v>1.347141389934954</v>
      </c>
      <c r="P434">
        <v>6.411231195351111E-3</v>
      </c>
      <c r="Q434">
        <v>1.1805000000000001</v>
      </c>
      <c r="R434">
        <v>20446.212780000002</v>
      </c>
      <c r="S434" t="s">
        <v>16</v>
      </c>
      <c r="T434">
        <v>1.0649999999999999</v>
      </c>
      <c r="U434">
        <v>18445.757399999999</v>
      </c>
      <c r="V434">
        <v>2000.4553800000031</v>
      </c>
      <c r="W434">
        <v>0.10845070422535229</v>
      </c>
    </row>
    <row r="435" spans="1:23" x14ac:dyDescent="0.25">
      <c r="A435" t="s">
        <v>962</v>
      </c>
      <c r="B435" t="s">
        <v>42</v>
      </c>
      <c r="C435" t="s">
        <v>151</v>
      </c>
      <c r="D435" t="s">
        <v>35</v>
      </c>
      <c r="E435" t="s">
        <v>152</v>
      </c>
      <c r="F435" s="1">
        <v>46118</v>
      </c>
      <c r="G435">
        <v>46148</v>
      </c>
      <c r="H435" t="s">
        <v>8</v>
      </c>
      <c r="I435">
        <v>2725.09</v>
      </c>
      <c r="J435" t="s">
        <v>75</v>
      </c>
      <c r="K435" t="s">
        <v>963</v>
      </c>
      <c r="L435">
        <v>30</v>
      </c>
      <c r="M435" t="s">
        <v>42</v>
      </c>
      <c r="N435">
        <v>1.1525000000000001</v>
      </c>
      <c r="O435">
        <v>1.3208714886594157</v>
      </c>
      <c r="P435">
        <v>6.2656300967706864E-3</v>
      </c>
      <c r="Q435">
        <v>1.3208714886594157</v>
      </c>
      <c r="R435">
        <v>3599.4936850308873</v>
      </c>
      <c r="S435" t="s">
        <v>19</v>
      </c>
      <c r="T435">
        <v>1.2709999999999999</v>
      </c>
      <c r="U435">
        <v>3463.5893900000001</v>
      </c>
      <c r="V435">
        <v>135.90429503088717</v>
      </c>
      <c r="W435">
        <v>3.923799265099584E-2</v>
      </c>
    </row>
    <row r="436" spans="1:23" x14ac:dyDescent="0.25">
      <c r="A436" t="s">
        <v>964</v>
      </c>
      <c r="B436" t="s">
        <v>22</v>
      </c>
      <c r="C436" t="s">
        <v>127</v>
      </c>
      <c r="D436" t="s">
        <v>31</v>
      </c>
      <c r="E436" t="s">
        <v>124</v>
      </c>
      <c r="F436" s="1">
        <v>45660</v>
      </c>
      <c r="G436">
        <v>45720</v>
      </c>
      <c r="H436" t="s">
        <v>9</v>
      </c>
      <c r="I436">
        <v>5771798.9800000004</v>
      </c>
      <c r="J436" t="s">
        <v>75</v>
      </c>
      <c r="K436" t="s">
        <v>965</v>
      </c>
      <c r="L436">
        <v>60</v>
      </c>
      <c r="M436" t="s">
        <v>22</v>
      </c>
      <c r="N436">
        <v>1.0299</v>
      </c>
      <c r="O436">
        <v>1.240948031761715</v>
      </c>
      <c r="P436">
        <v>6.3664461890338133E-3</v>
      </c>
      <c r="Q436">
        <v>6.3664461890338133E-3</v>
      </c>
      <c r="R436">
        <v>36745.847620090251</v>
      </c>
      <c r="S436" t="s">
        <v>11</v>
      </c>
      <c r="T436">
        <v>6.5599999999999999E-3</v>
      </c>
      <c r="U436">
        <v>37863.001308800005</v>
      </c>
      <c r="V436">
        <v>-1117.1536887097536</v>
      </c>
      <c r="W436">
        <v>-2.9505154110699306E-2</v>
      </c>
    </row>
    <row r="437" spans="1:23" x14ac:dyDescent="0.25">
      <c r="A437" t="s">
        <v>966</v>
      </c>
      <c r="B437" t="s">
        <v>38</v>
      </c>
      <c r="C437" t="s">
        <v>87</v>
      </c>
      <c r="D437" t="s">
        <v>33</v>
      </c>
      <c r="E437" t="s">
        <v>88</v>
      </c>
      <c r="F437" s="1">
        <v>46357</v>
      </c>
      <c r="G437">
        <v>46387</v>
      </c>
      <c r="H437" t="s">
        <v>6</v>
      </c>
      <c r="I437">
        <v>6881.54</v>
      </c>
      <c r="J437" t="s">
        <v>84</v>
      </c>
      <c r="K437" t="s">
        <v>967</v>
      </c>
      <c r="L437">
        <v>30</v>
      </c>
      <c r="M437" t="s">
        <v>38</v>
      </c>
      <c r="N437">
        <v>1.1176999999999999</v>
      </c>
      <c r="O437">
        <v>1.320456022210408</v>
      </c>
      <c r="P437">
        <v>6.3200452360757699E-3</v>
      </c>
      <c r="Q437">
        <v>1.1176999999999999</v>
      </c>
      <c r="R437">
        <v>7691.4972579999994</v>
      </c>
      <c r="S437" t="s">
        <v>23</v>
      </c>
      <c r="T437">
        <v>1.119</v>
      </c>
      <c r="U437">
        <v>7700.44326</v>
      </c>
      <c r="V437">
        <v>-8.9460020000005898</v>
      </c>
      <c r="W437">
        <v>-1.1617515638964126E-3</v>
      </c>
    </row>
    <row r="438" spans="1:23" x14ac:dyDescent="0.25">
      <c r="A438" t="s">
        <v>968</v>
      </c>
      <c r="B438" t="s">
        <v>43</v>
      </c>
      <c r="C438" t="s">
        <v>215</v>
      </c>
      <c r="D438" t="s">
        <v>35</v>
      </c>
      <c r="E438" t="s">
        <v>152</v>
      </c>
      <c r="F438" s="1">
        <v>45733</v>
      </c>
      <c r="G438">
        <v>45763</v>
      </c>
      <c r="H438" t="s">
        <v>6</v>
      </c>
      <c r="I438">
        <v>4758.9399999999996</v>
      </c>
      <c r="J438" t="s">
        <v>75</v>
      </c>
      <c r="K438" t="s">
        <v>969</v>
      </c>
      <c r="L438">
        <v>30</v>
      </c>
      <c r="M438" t="s">
        <v>43</v>
      </c>
      <c r="N438">
        <v>1.0903</v>
      </c>
      <c r="O438">
        <v>1.2975745602551592</v>
      </c>
      <c r="P438">
        <v>6.7194625909034892E-3</v>
      </c>
      <c r="Q438">
        <v>1.0903</v>
      </c>
      <c r="R438">
        <v>5188.6722819999995</v>
      </c>
      <c r="S438" t="s">
        <v>11</v>
      </c>
      <c r="T438">
        <v>1.052</v>
      </c>
      <c r="U438">
        <v>5006.40488</v>
      </c>
      <c r="V438">
        <v>182.26740199999949</v>
      </c>
      <c r="W438">
        <v>3.6406844106463776E-2</v>
      </c>
    </row>
    <row r="439" spans="1:23" x14ac:dyDescent="0.25">
      <c r="A439" t="s">
        <v>970</v>
      </c>
      <c r="B439" t="s">
        <v>41</v>
      </c>
      <c r="C439" t="s">
        <v>172</v>
      </c>
      <c r="D439" t="s">
        <v>33</v>
      </c>
      <c r="E439" t="s">
        <v>83</v>
      </c>
      <c r="F439" s="1">
        <v>46349</v>
      </c>
      <c r="G439">
        <v>46379</v>
      </c>
      <c r="H439" t="s">
        <v>9</v>
      </c>
      <c r="I439">
        <v>335301.28999999998</v>
      </c>
      <c r="J439" t="s">
        <v>84</v>
      </c>
      <c r="K439" t="s">
        <v>971</v>
      </c>
      <c r="L439">
        <v>30</v>
      </c>
      <c r="M439" t="s">
        <v>41</v>
      </c>
      <c r="N439">
        <v>1.1176999999999999</v>
      </c>
      <c r="O439">
        <v>1.320456022210408</v>
      </c>
      <c r="P439">
        <v>6.3200452360757699E-3</v>
      </c>
      <c r="Q439">
        <v>6.3200452360757699E-3</v>
      </c>
      <c r="R439">
        <v>2119.1193205145601</v>
      </c>
      <c r="S439" t="s">
        <v>23</v>
      </c>
      <c r="T439">
        <v>6.8799999999999998E-3</v>
      </c>
      <c r="U439">
        <v>2306.8728751999997</v>
      </c>
      <c r="V439">
        <v>-187.75355468543967</v>
      </c>
      <c r="W439">
        <v>-8.1388773826196179E-2</v>
      </c>
    </row>
    <row r="440" spans="1:23" x14ac:dyDescent="0.25">
      <c r="A440" t="s">
        <v>972</v>
      </c>
      <c r="B440" t="s">
        <v>44</v>
      </c>
      <c r="C440" t="s">
        <v>138</v>
      </c>
      <c r="D440" t="s">
        <v>33</v>
      </c>
      <c r="E440" t="s">
        <v>88</v>
      </c>
      <c r="F440" s="1">
        <v>45999</v>
      </c>
      <c r="G440">
        <v>46044</v>
      </c>
      <c r="H440" t="s">
        <v>9</v>
      </c>
      <c r="I440">
        <v>548768.64</v>
      </c>
      <c r="J440" t="s">
        <v>75</v>
      </c>
      <c r="K440" t="s">
        <v>973</v>
      </c>
      <c r="L440">
        <v>45</v>
      </c>
      <c r="M440" t="s">
        <v>44</v>
      </c>
      <c r="N440">
        <v>1.1655</v>
      </c>
      <c r="O440">
        <v>1.3326091927738395</v>
      </c>
      <c r="P440">
        <v>6.4289260301174916E-3</v>
      </c>
      <c r="Q440">
        <v>6.4289260301174916E-3</v>
      </c>
      <c r="R440">
        <v>3527.9929942081749</v>
      </c>
      <c r="S440" t="s">
        <v>14</v>
      </c>
      <c r="T440">
        <v>6.9800000000000001E-3</v>
      </c>
      <c r="U440">
        <v>3830.4051072000002</v>
      </c>
      <c r="V440">
        <v>-302.41211299182532</v>
      </c>
      <c r="W440">
        <v>-7.8950425484600115E-2</v>
      </c>
    </row>
    <row r="441" spans="1:23" x14ac:dyDescent="0.25">
      <c r="A441" t="s">
        <v>974</v>
      </c>
      <c r="B441" t="s">
        <v>41</v>
      </c>
      <c r="C441" t="s">
        <v>172</v>
      </c>
      <c r="D441" t="s">
        <v>33</v>
      </c>
      <c r="E441" t="s">
        <v>83</v>
      </c>
      <c r="F441" s="1">
        <v>45925</v>
      </c>
      <c r="G441">
        <v>45955</v>
      </c>
      <c r="H441" t="s">
        <v>9</v>
      </c>
      <c r="I441">
        <v>1183740.54</v>
      </c>
      <c r="J441" t="s">
        <v>75</v>
      </c>
      <c r="K441" t="s">
        <v>975</v>
      </c>
      <c r="L441">
        <v>30</v>
      </c>
      <c r="M441" t="s">
        <v>41</v>
      </c>
      <c r="N441">
        <v>1.1738999999999999</v>
      </c>
      <c r="O441">
        <v>1.3419067215363512</v>
      </c>
      <c r="P441">
        <v>6.7195191757298224E-3</v>
      </c>
      <c r="Q441">
        <v>6.7195191757298224E-3</v>
      </c>
      <c r="R441">
        <v>7954.1672576187748</v>
      </c>
      <c r="S441" t="s">
        <v>13</v>
      </c>
      <c r="T441">
        <v>6.8399999999999997E-3</v>
      </c>
      <c r="U441">
        <v>8096.7852935999999</v>
      </c>
      <c r="V441">
        <v>-142.61803598122515</v>
      </c>
      <c r="W441">
        <v>-1.7614155595055206E-2</v>
      </c>
    </row>
    <row r="442" spans="1:23" x14ac:dyDescent="0.25">
      <c r="A442" t="s">
        <v>976</v>
      </c>
      <c r="B442" t="s">
        <v>44</v>
      </c>
      <c r="C442" t="s">
        <v>138</v>
      </c>
      <c r="D442" t="s">
        <v>33</v>
      </c>
      <c r="E442" t="s">
        <v>88</v>
      </c>
      <c r="F442" s="1">
        <v>45909</v>
      </c>
      <c r="G442">
        <v>45954</v>
      </c>
      <c r="H442" t="s">
        <v>9</v>
      </c>
      <c r="I442">
        <v>124114.15</v>
      </c>
      <c r="J442" t="s">
        <v>75</v>
      </c>
      <c r="K442" t="s">
        <v>977</v>
      </c>
      <c r="L442">
        <v>45</v>
      </c>
      <c r="M442" t="s">
        <v>44</v>
      </c>
      <c r="N442">
        <v>1.1744000000000001</v>
      </c>
      <c r="O442">
        <v>1.3556504675054832</v>
      </c>
      <c r="P442">
        <v>6.8136458575075425E-3</v>
      </c>
      <c r="Q442">
        <v>6.8136458575075425E-3</v>
      </c>
      <c r="R442">
        <v>845.66986400556971</v>
      </c>
      <c r="S442" t="s">
        <v>13</v>
      </c>
      <c r="T442">
        <v>6.8399999999999997E-3</v>
      </c>
      <c r="U442">
        <v>848.94078599999989</v>
      </c>
      <c r="V442">
        <v>-3.2709219944301822</v>
      </c>
      <c r="W442">
        <v>-3.8529448088387435E-3</v>
      </c>
    </row>
    <row r="443" spans="1:23" x14ac:dyDescent="0.25">
      <c r="A443" t="s">
        <v>978</v>
      </c>
      <c r="B443" t="s">
        <v>39</v>
      </c>
      <c r="C443" t="s">
        <v>82</v>
      </c>
      <c r="D443" t="s">
        <v>33</v>
      </c>
      <c r="E443" t="s">
        <v>83</v>
      </c>
      <c r="F443" s="1">
        <v>45823</v>
      </c>
      <c r="G443">
        <v>45868</v>
      </c>
      <c r="H443" t="s">
        <v>8</v>
      </c>
      <c r="I443">
        <v>14825.62</v>
      </c>
      <c r="J443" t="s">
        <v>75</v>
      </c>
      <c r="K443" t="s">
        <v>979</v>
      </c>
      <c r="L443">
        <v>45</v>
      </c>
      <c r="M443" t="s">
        <v>39</v>
      </c>
      <c r="N443">
        <v>1.1646000000000001</v>
      </c>
      <c r="O443">
        <v>1.3383130314870146</v>
      </c>
      <c r="P443">
        <v>6.727902946273831E-3</v>
      </c>
      <c r="Q443">
        <v>1.3383130314870146</v>
      </c>
      <c r="R443">
        <v>19841.320445874517</v>
      </c>
      <c r="S443" t="s">
        <v>12</v>
      </c>
      <c r="T443">
        <v>1.26</v>
      </c>
      <c r="U443">
        <v>18680.281200000001</v>
      </c>
      <c r="V443">
        <v>1161.0392458745155</v>
      </c>
      <c r="W443">
        <v>6.2153199592868837E-2</v>
      </c>
    </row>
    <row r="444" spans="1:23" x14ac:dyDescent="0.25">
      <c r="A444" t="s">
        <v>980</v>
      </c>
      <c r="B444" t="s">
        <v>24</v>
      </c>
      <c r="C444" t="s">
        <v>73</v>
      </c>
      <c r="D444" t="s">
        <v>31</v>
      </c>
      <c r="E444" t="s">
        <v>74</v>
      </c>
      <c r="F444" s="1">
        <v>45854</v>
      </c>
      <c r="G444">
        <v>45884</v>
      </c>
      <c r="H444" t="s">
        <v>6</v>
      </c>
      <c r="I444">
        <v>10381.530000000001</v>
      </c>
      <c r="J444" t="s">
        <v>75</v>
      </c>
      <c r="K444" t="s">
        <v>981</v>
      </c>
      <c r="L444">
        <v>30</v>
      </c>
      <c r="M444" t="s">
        <v>24</v>
      </c>
      <c r="N444">
        <v>1.1601999999999999</v>
      </c>
      <c r="O444">
        <v>1.3398775840166299</v>
      </c>
      <c r="P444">
        <v>6.723458507185906E-3</v>
      </c>
      <c r="Q444">
        <v>1.1601999999999999</v>
      </c>
      <c r="R444">
        <v>12044.651105999999</v>
      </c>
      <c r="S444" t="s">
        <v>13</v>
      </c>
      <c r="T444">
        <v>1.0880000000000001</v>
      </c>
      <c r="U444">
        <v>11295.104640000001</v>
      </c>
      <c r="V444">
        <v>749.54646599999796</v>
      </c>
      <c r="W444">
        <v>6.6360294117646865E-2</v>
      </c>
    </row>
    <row r="445" spans="1:23" x14ac:dyDescent="0.25">
      <c r="A445" t="s">
        <v>982</v>
      </c>
      <c r="B445" t="s">
        <v>22</v>
      </c>
      <c r="C445" t="s">
        <v>127</v>
      </c>
      <c r="D445" t="s">
        <v>31</v>
      </c>
      <c r="E445" t="s">
        <v>124</v>
      </c>
      <c r="F445" s="1">
        <v>46218</v>
      </c>
      <c r="G445">
        <v>46278</v>
      </c>
      <c r="H445" t="s">
        <v>9</v>
      </c>
      <c r="I445">
        <v>7609707.5899999999</v>
      </c>
      <c r="J445" t="s">
        <v>75</v>
      </c>
      <c r="K445" t="s">
        <v>983</v>
      </c>
      <c r="L445">
        <v>60</v>
      </c>
      <c r="M445" t="s">
        <v>22</v>
      </c>
      <c r="N445">
        <v>1.1406000000000001</v>
      </c>
      <c r="O445">
        <v>1.3404157803814651</v>
      </c>
      <c r="P445">
        <v>6.1580822805312602E-3</v>
      </c>
      <c r="Q445">
        <v>6.1580822805312602E-3</v>
      </c>
      <c r="R445">
        <v>46861.205470003239</v>
      </c>
      <c r="S445" t="s">
        <v>21</v>
      </c>
      <c r="T445">
        <v>6.7400000000000003E-3</v>
      </c>
      <c r="U445">
        <v>51289.429156600003</v>
      </c>
      <c r="V445">
        <v>-4428.2236865967643</v>
      </c>
      <c r="W445">
        <v>-8.6337940573997088E-2</v>
      </c>
    </row>
    <row r="446" spans="1:23" x14ac:dyDescent="0.25">
      <c r="A446" t="s">
        <v>984</v>
      </c>
      <c r="B446" t="s">
        <v>30</v>
      </c>
      <c r="C446" t="s">
        <v>103</v>
      </c>
      <c r="D446" t="s">
        <v>31</v>
      </c>
      <c r="E446" t="s">
        <v>74</v>
      </c>
      <c r="F446" s="1">
        <v>46281</v>
      </c>
      <c r="G446">
        <v>46311</v>
      </c>
      <c r="H446" t="s">
        <v>9</v>
      </c>
      <c r="I446">
        <v>3403951.41</v>
      </c>
      <c r="J446" t="s">
        <v>75</v>
      </c>
      <c r="K446" t="s">
        <v>985</v>
      </c>
      <c r="L446">
        <v>30</v>
      </c>
      <c r="M446" t="s">
        <v>30</v>
      </c>
      <c r="N446">
        <v>1.1536999999999999</v>
      </c>
      <c r="O446">
        <v>1.3455796594355025</v>
      </c>
      <c r="P446">
        <v>6.4495751341681574E-3</v>
      </c>
      <c r="Q446">
        <v>6.4495751341681574E-3</v>
      </c>
      <c r="R446">
        <v>21954.04037185264</v>
      </c>
      <c r="S446" t="s">
        <v>21</v>
      </c>
      <c r="T446">
        <v>6.7400000000000003E-3</v>
      </c>
      <c r="U446">
        <v>22942.632503400004</v>
      </c>
      <c r="V446">
        <v>-988.59213154736426</v>
      </c>
      <c r="W446">
        <v>-4.3089742705021271E-2</v>
      </c>
    </row>
    <row r="447" spans="1:23" x14ac:dyDescent="0.25">
      <c r="A447" t="s">
        <v>986</v>
      </c>
      <c r="B447" t="s">
        <v>42</v>
      </c>
      <c r="C447" t="s">
        <v>151</v>
      </c>
      <c r="D447" t="s">
        <v>35</v>
      </c>
      <c r="E447" t="s">
        <v>152</v>
      </c>
      <c r="F447" s="1">
        <v>45864</v>
      </c>
      <c r="G447">
        <v>45894</v>
      </c>
      <c r="H447" t="s">
        <v>8</v>
      </c>
      <c r="I447">
        <v>8573.1</v>
      </c>
      <c r="J447" t="s">
        <v>75</v>
      </c>
      <c r="K447" t="s">
        <v>987</v>
      </c>
      <c r="L447">
        <v>30</v>
      </c>
      <c r="M447" t="s">
        <v>42</v>
      </c>
      <c r="N447">
        <v>1.1636</v>
      </c>
      <c r="O447">
        <v>1.3212217554218235</v>
      </c>
      <c r="P447">
        <v>6.5714124357598687E-3</v>
      </c>
      <c r="Q447">
        <v>1.3212217554218235</v>
      </c>
      <c r="R447">
        <v>11326.966231406836</v>
      </c>
      <c r="S447" t="s">
        <v>13</v>
      </c>
      <c r="T447">
        <v>1.282</v>
      </c>
      <c r="U447">
        <v>10990.7142</v>
      </c>
      <c r="V447">
        <v>336.25203140683516</v>
      </c>
      <c r="W447">
        <v>3.0594192996742209E-2</v>
      </c>
    </row>
    <row r="448" spans="1:23" x14ac:dyDescent="0.25">
      <c r="A448" t="s">
        <v>988</v>
      </c>
      <c r="B448" t="s">
        <v>43</v>
      </c>
      <c r="C448" t="s">
        <v>215</v>
      </c>
      <c r="D448" t="s">
        <v>35</v>
      </c>
      <c r="E448" t="s">
        <v>152</v>
      </c>
      <c r="F448" s="1">
        <v>46070</v>
      </c>
      <c r="G448">
        <v>46100</v>
      </c>
      <c r="H448" t="s">
        <v>6</v>
      </c>
      <c r="I448">
        <v>1249.79</v>
      </c>
      <c r="J448" t="s">
        <v>75</v>
      </c>
      <c r="K448" t="s">
        <v>989</v>
      </c>
      <c r="L448">
        <v>30</v>
      </c>
      <c r="M448" t="s">
        <v>43</v>
      </c>
      <c r="N448">
        <v>1.1826000000000001</v>
      </c>
      <c r="O448">
        <v>1.3541738234283753</v>
      </c>
      <c r="P448">
        <v>6.5315365072351715E-3</v>
      </c>
      <c r="Q448">
        <v>1.1826000000000001</v>
      </c>
      <c r="R448">
        <v>1478.0016540000001</v>
      </c>
      <c r="S448" t="s">
        <v>16</v>
      </c>
      <c r="T448">
        <v>1.0649999999999999</v>
      </c>
      <c r="U448">
        <v>1331.0263499999999</v>
      </c>
      <c r="V448">
        <v>146.97530400000028</v>
      </c>
      <c r="W448">
        <v>0.11042253521126782</v>
      </c>
    </row>
    <row r="449" spans="1:23" x14ac:dyDescent="0.25">
      <c r="A449" t="s">
        <v>990</v>
      </c>
      <c r="B449" t="s">
        <v>20</v>
      </c>
      <c r="C449" t="s">
        <v>123</v>
      </c>
      <c r="D449" t="s">
        <v>31</v>
      </c>
      <c r="E449" t="s">
        <v>124</v>
      </c>
      <c r="F449" s="1">
        <v>46062</v>
      </c>
      <c r="G449">
        <v>46107</v>
      </c>
      <c r="H449" t="s">
        <v>6</v>
      </c>
      <c r="I449">
        <v>52130.13</v>
      </c>
      <c r="J449" t="s">
        <v>75</v>
      </c>
      <c r="K449" t="s">
        <v>991</v>
      </c>
      <c r="L449">
        <v>45</v>
      </c>
      <c r="M449" t="s">
        <v>20</v>
      </c>
      <c r="N449">
        <v>1.1886000000000001</v>
      </c>
      <c r="O449">
        <v>1.3660498793242157</v>
      </c>
      <c r="P449">
        <v>6.4023700511715602E-3</v>
      </c>
      <c r="Q449">
        <v>1.1886000000000001</v>
      </c>
      <c r="R449">
        <v>61961.872518000004</v>
      </c>
      <c r="S449" t="s">
        <v>16</v>
      </c>
      <c r="T449">
        <v>1.0649999999999999</v>
      </c>
      <c r="U449">
        <v>55518.588449999996</v>
      </c>
      <c r="V449">
        <v>6443.2840680000081</v>
      </c>
      <c r="W449">
        <v>0.11605633802816917</v>
      </c>
    </row>
    <row r="450" spans="1:23" x14ac:dyDescent="0.25">
      <c r="A450" t="s">
        <v>992</v>
      </c>
      <c r="B450" t="s">
        <v>39</v>
      </c>
      <c r="C450" t="s">
        <v>82</v>
      </c>
      <c r="D450" t="s">
        <v>33</v>
      </c>
      <c r="E450" t="s">
        <v>83</v>
      </c>
      <c r="F450" s="1">
        <v>45774</v>
      </c>
      <c r="G450">
        <v>45819</v>
      </c>
      <c r="H450" t="s">
        <v>8</v>
      </c>
      <c r="I450">
        <v>14760.26</v>
      </c>
      <c r="J450" t="s">
        <v>75</v>
      </c>
      <c r="K450" t="s">
        <v>993</v>
      </c>
      <c r="L450">
        <v>45</v>
      </c>
      <c r="M450" t="s">
        <v>39</v>
      </c>
      <c r="N450">
        <v>1.1597999999999999</v>
      </c>
      <c r="O450">
        <v>1.3603096410978184</v>
      </c>
      <c r="P450">
        <v>6.8598805228603536E-3</v>
      </c>
      <c r="Q450">
        <v>1.3603096410978184</v>
      </c>
      <c r="R450">
        <v>20078.523983110485</v>
      </c>
      <c r="S450" t="s">
        <v>12</v>
      </c>
      <c r="T450">
        <v>1.26</v>
      </c>
      <c r="U450">
        <v>18597.927599999999</v>
      </c>
      <c r="V450">
        <v>1480.5963831104855</v>
      </c>
      <c r="W450">
        <v>7.9610826268109863E-2</v>
      </c>
    </row>
    <row r="451" spans="1:23" x14ac:dyDescent="0.25">
      <c r="A451" t="s">
        <v>994</v>
      </c>
      <c r="B451" t="s">
        <v>32</v>
      </c>
      <c r="C451" t="s">
        <v>106</v>
      </c>
      <c r="D451" t="s">
        <v>31</v>
      </c>
      <c r="E451" t="s">
        <v>74</v>
      </c>
      <c r="F451" s="1">
        <v>45830</v>
      </c>
      <c r="G451">
        <v>45860</v>
      </c>
      <c r="H451" t="s">
        <v>6</v>
      </c>
      <c r="I451">
        <v>12715.49</v>
      </c>
      <c r="J451" t="s">
        <v>75</v>
      </c>
      <c r="K451" t="s">
        <v>995</v>
      </c>
      <c r="L451">
        <v>30</v>
      </c>
      <c r="M451" t="s">
        <v>32</v>
      </c>
      <c r="N451">
        <v>1.1685000000000001</v>
      </c>
      <c r="O451">
        <v>1.3513357233722678</v>
      </c>
      <c r="P451">
        <v>6.7590236001850998E-3</v>
      </c>
      <c r="Q451">
        <v>1.1685000000000001</v>
      </c>
      <c r="R451">
        <v>14858.050065000001</v>
      </c>
      <c r="S451" t="s">
        <v>12</v>
      </c>
      <c r="T451">
        <v>1.07</v>
      </c>
      <c r="U451">
        <v>13605.5743</v>
      </c>
      <c r="V451">
        <v>1252.475765000001</v>
      </c>
      <c r="W451">
        <v>9.2056074766355217E-2</v>
      </c>
    </row>
    <row r="452" spans="1:23" x14ac:dyDescent="0.25">
      <c r="A452" t="s">
        <v>996</v>
      </c>
      <c r="B452" t="s">
        <v>22</v>
      </c>
      <c r="C452" t="s">
        <v>127</v>
      </c>
      <c r="D452" t="s">
        <v>31</v>
      </c>
      <c r="E452" t="s">
        <v>124</v>
      </c>
      <c r="F452" s="1">
        <v>46081</v>
      </c>
      <c r="G452">
        <v>46141</v>
      </c>
      <c r="H452" t="s">
        <v>9</v>
      </c>
      <c r="I452">
        <v>4325939.62</v>
      </c>
      <c r="J452" t="s">
        <v>75</v>
      </c>
      <c r="K452" t="s">
        <v>997</v>
      </c>
      <c r="L452">
        <v>60</v>
      </c>
      <c r="M452" t="s">
        <v>22</v>
      </c>
      <c r="N452">
        <v>1.1555</v>
      </c>
      <c r="O452">
        <v>1.3367963164349013</v>
      </c>
      <c r="P452">
        <v>6.2983756677204832E-3</v>
      </c>
      <c r="Q452">
        <v>6.2983756677204832E-3</v>
      </c>
      <c r="R452">
        <v>27246.392842635993</v>
      </c>
      <c r="S452" t="s">
        <v>16</v>
      </c>
      <c r="T452">
        <v>6.4599999999999996E-3</v>
      </c>
      <c r="U452">
        <v>27945.569945199997</v>
      </c>
      <c r="V452">
        <v>-699.1771025640046</v>
      </c>
      <c r="W452">
        <v>-2.5019246482897266E-2</v>
      </c>
    </row>
    <row r="453" spans="1:23" x14ac:dyDescent="0.25">
      <c r="A453" t="s">
        <v>998</v>
      </c>
      <c r="B453" t="s">
        <v>24</v>
      </c>
      <c r="C453" t="s">
        <v>73</v>
      </c>
      <c r="D453" t="s">
        <v>31</v>
      </c>
      <c r="E453" t="s">
        <v>74</v>
      </c>
      <c r="F453" s="1">
        <v>46211</v>
      </c>
      <c r="G453">
        <v>46241</v>
      </c>
      <c r="H453" t="s">
        <v>6</v>
      </c>
      <c r="I453">
        <v>22184.18</v>
      </c>
      <c r="J453" t="s">
        <v>75</v>
      </c>
      <c r="K453" t="s">
        <v>999</v>
      </c>
      <c r="L453">
        <v>30</v>
      </c>
      <c r="M453" t="s">
        <v>24</v>
      </c>
      <c r="N453">
        <v>1.1404000000000001</v>
      </c>
      <c r="O453">
        <v>1.3348159419441681</v>
      </c>
      <c r="P453">
        <v>6.1543443065299516E-3</v>
      </c>
      <c r="Q453">
        <v>1.1404000000000001</v>
      </c>
      <c r="R453">
        <v>25298.838872000004</v>
      </c>
      <c r="S453" t="s">
        <v>21</v>
      </c>
      <c r="T453">
        <v>1.101</v>
      </c>
      <c r="U453">
        <v>24424.782179999998</v>
      </c>
      <c r="V453">
        <v>874.05669200000557</v>
      </c>
      <c r="W453">
        <v>3.5785649409627841E-2</v>
      </c>
    </row>
    <row r="454" spans="1:23" x14ac:dyDescent="0.25">
      <c r="A454" t="s">
        <v>1000</v>
      </c>
      <c r="B454" t="s">
        <v>37</v>
      </c>
      <c r="C454" t="s">
        <v>91</v>
      </c>
      <c r="D454" t="s">
        <v>31</v>
      </c>
      <c r="E454" t="s">
        <v>74</v>
      </c>
      <c r="F454" s="1">
        <v>46210</v>
      </c>
      <c r="G454">
        <v>46240</v>
      </c>
      <c r="H454" t="s">
        <v>6</v>
      </c>
      <c r="I454">
        <v>8071.13</v>
      </c>
      <c r="J454" t="s">
        <v>75</v>
      </c>
      <c r="K454" t="s">
        <v>1001</v>
      </c>
      <c r="L454">
        <v>30</v>
      </c>
      <c r="M454" t="s">
        <v>37</v>
      </c>
      <c r="N454">
        <v>1.1433</v>
      </c>
      <c r="O454">
        <v>1.3385863647539544</v>
      </c>
      <c r="P454">
        <v>6.176994975417364E-3</v>
      </c>
      <c r="Q454">
        <v>1.1433</v>
      </c>
      <c r="R454">
        <v>9227.7229289999996</v>
      </c>
      <c r="S454" t="s">
        <v>21</v>
      </c>
      <c r="T454">
        <v>1.101</v>
      </c>
      <c r="U454">
        <v>8886.3141300000007</v>
      </c>
      <c r="V454">
        <v>341.40879899999891</v>
      </c>
      <c r="W454">
        <v>3.8419618528610228E-2</v>
      </c>
    </row>
    <row r="455" spans="1:23" x14ac:dyDescent="0.25">
      <c r="A455" t="s">
        <v>1002</v>
      </c>
      <c r="B455" t="s">
        <v>24</v>
      </c>
      <c r="C455" t="s">
        <v>73</v>
      </c>
      <c r="D455" t="s">
        <v>31</v>
      </c>
      <c r="E455" t="s">
        <v>74</v>
      </c>
      <c r="F455" s="1">
        <v>45965</v>
      </c>
      <c r="G455">
        <v>45995</v>
      </c>
      <c r="H455" t="s">
        <v>6</v>
      </c>
      <c r="I455">
        <v>32899.67</v>
      </c>
      <c r="J455" t="s">
        <v>75</v>
      </c>
      <c r="K455" t="s">
        <v>1003</v>
      </c>
      <c r="L455">
        <v>30</v>
      </c>
      <c r="M455" t="s">
        <v>24</v>
      </c>
      <c r="N455">
        <v>1.1491</v>
      </c>
      <c r="O455">
        <v>1.3065378055713475</v>
      </c>
      <c r="P455">
        <v>6.5145416406825786E-3</v>
      </c>
      <c r="Q455">
        <v>1.1491</v>
      </c>
      <c r="R455">
        <v>37805.010796999995</v>
      </c>
      <c r="S455" t="s">
        <v>14</v>
      </c>
      <c r="T455">
        <v>1.1060000000000001</v>
      </c>
      <c r="U455">
        <v>36387.035020000003</v>
      </c>
      <c r="V455">
        <v>1417.9757769999924</v>
      </c>
      <c r="W455">
        <v>3.8969258589511543E-2</v>
      </c>
    </row>
    <row r="456" spans="1:23" x14ac:dyDescent="0.25">
      <c r="A456" t="s">
        <v>1004</v>
      </c>
      <c r="B456" t="s">
        <v>44</v>
      </c>
      <c r="C456" t="s">
        <v>138</v>
      </c>
      <c r="D456" t="s">
        <v>33</v>
      </c>
      <c r="E456" t="s">
        <v>88</v>
      </c>
      <c r="F456" s="1">
        <v>46131</v>
      </c>
      <c r="G456">
        <v>46176</v>
      </c>
      <c r="H456" t="s">
        <v>9</v>
      </c>
      <c r="I456">
        <v>361154.64</v>
      </c>
      <c r="J456" t="s">
        <v>75</v>
      </c>
      <c r="K456" t="s">
        <v>1005</v>
      </c>
      <c r="L456">
        <v>45</v>
      </c>
      <c r="M456" t="s">
        <v>44</v>
      </c>
      <c r="N456">
        <v>1.1797</v>
      </c>
      <c r="O456">
        <v>1.3533636196769456</v>
      </c>
      <c r="P456">
        <v>6.2843596846366926E-3</v>
      </c>
      <c r="Q456">
        <v>6.2843596846366926E-3</v>
      </c>
      <c r="R456">
        <v>2269.6256595354785</v>
      </c>
      <c r="S456" t="s">
        <v>19</v>
      </c>
      <c r="T456">
        <v>6.6E-3</v>
      </c>
      <c r="U456">
        <v>2383.6206240000001</v>
      </c>
      <c r="V456">
        <v>-113.99496446452167</v>
      </c>
      <c r="W456">
        <v>-4.782429020656169E-2</v>
      </c>
    </row>
    <row r="457" spans="1:23" x14ac:dyDescent="0.25">
      <c r="A457" t="s">
        <v>1006</v>
      </c>
      <c r="B457" t="s">
        <v>22</v>
      </c>
      <c r="C457" t="s">
        <v>127</v>
      </c>
      <c r="D457" t="s">
        <v>31</v>
      </c>
      <c r="E457" t="s">
        <v>124</v>
      </c>
      <c r="F457" s="1">
        <v>45957</v>
      </c>
      <c r="G457">
        <v>46017</v>
      </c>
      <c r="H457" t="s">
        <v>9</v>
      </c>
      <c r="I457">
        <v>4970092.1399999997</v>
      </c>
      <c r="J457" t="s">
        <v>75</v>
      </c>
      <c r="K457" t="s">
        <v>1007</v>
      </c>
      <c r="L457">
        <v>60</v>
      </c>
      <c r="M457" t="s">
        <v>22</v>
      </c>
      <c r="N457">
        <v>1.1639999999999999</v>
      </c>
      <c r="O457">
        <v>1.3347093223254214</v>
      </c>
      <c r="P457">
        <v>6.5418984994098798E-3</v>
      </c>
      <c r="Q457">
        <v>6.5418984994098798E-3</v>
      </c>
      <c r="R457">
        <v>32513.838312594835</v>
      </c>
      <c r="S457" t="s">
        <v>14</v>
      </c>
      <c r="T457">
        <v>6.9800000000000001E-3</v>
      </c>
      <c r="U457">
        <v>34691.243137199999</v>
      </c>
      <c r="V457">
        <v>-2177.4048246051643</v>
      </c>
      <c r="W457">
        <v>-6.2765257964200682E-2</v>
      </c>
    </row>
    <row r="458" spans="1:23" x14ac:dyDescent="0.25">
      <c r="A458" t="s">
        <v>1008</v>
      </c>
      <c r="B458" t="s">
        <v>36</v>
      </c>
      <c r="C458" t="s">
        <v>116</v>
      </c>
      <c r="D458" t="s">
        <v>31</v>
      </c>
      <c r="E458" t="s">
        <v>74</v>
      </c>
      <c r="F458" s="1">
        <v>46185</v>
      </c>
      <c r="G458">
        <v>46230</v>
      </c>
      <c r="H458" t="s">
        <v>6</v>
      </c>
      <c r="I458">
        <v>22940.06</v>
      </c>
      <c r="J458" t="s">
        <v>75</v>
      </c>
      <c r="K458" t="s">
        <v>1009</v>
      </c>
      <c r="L458">
        <v>45</v>
      </c>
      <c r="M458" t="s">
        <v>36</v>
      </c>
      <c r="N458">
        <v>1.1567000000000001</v>
      </c>
      <c r="O458">
        <v>1.3402467991425759</v>
      </c>
      <c r="P458">
        <v>6.2423097679438749E-3</v>
      </c>
      <c r="Q458">
        <v>1.1567000000000001</v>
      </c>
      <c r="R458">
        <v>26534.767402000001</v>
      </c>
      <c r="S458" t="s">
        <v>19</v>
      </c>
      <c r="T458">
        <v>1.083</v>
      </c>
      <c r="U458">
        <v>24844.08498</v>
      </c>
      <c r="V458">
        <v>1690.6824220000017</v>
      </c>
      <c r="W458">
        <v>6.8051708217913273E-2</v>
      </c>
    </row>
    <row r="459" spans="1:23" x14ac:dyDescent="0.25">
      <c r="A459" t="s">
        <v>1010</v>
      </c>
      <c r="B459" t="s">
        <v>24</v>
      </c>
      <c r="C459" t="s">
        <v>73</v>
      </c>
      <c r="D459" t="s">
        <v>31</v>
      </c>
      <c r="E459" t="s">
        <v>74</v>
      </c>
      <c r="F459" s="1">
        <v>45804</v>
      </c>
      <c r="G459">
        <v>45834</v>
      </c>
      <c r="H459" t="s">
        <v>6</v>
      </c>
      <c r="I459">
        <v>13627.17</v>
      </c>
      <c r="J459" t="s">
        <v>75</v>
      </c>
      <c r="K459" t="s">
        <v>1011</v>
      </c>
      <c r="L459">
        <v>30</v>
      </c>
      <c r="M459" t="s">
        <v>24</v>
      </c>
      <c r="N459">
        <v>1.1355999999999999</v>
      </c>
      <c r="O459">
        <v>1.3549695740365111</v>
      </c>
      <c r="P459">
        <v>6.9362325922306374E-3</v>
      </c>
      <c r="Q459">
        <v>1.1355999999999999</v>
      </c>
      <c r="R459">
        <v>15475.014251999999</v>
      </c>
      <c r="S459" t="s">
        <v>12</v>
      </c>
      <c r="T459">
        <v>1.07</v>
      </c>
      <c r="U459">
        <v>14581.071900000001</v>
      </c>
      <c r="V459">
        <v>893.94235199999821</v>
      </c>
      <c r="W459">
        <v>6.1308411214953146E-2</v>
      </c>
    </row>
    <row r="460" spans="1:23" x14ac:dyDescent="0.25">
      <c r="A460" t="s">
        <v>1012</v>
      </c>
      <c r="B460" t="s">
        <v>20</v>
      </c>
      <c r="C460" t="s">
        <v>123</v>
      </c>
      <c r="D460" t="s">
        <v>31</v>
      </c>
      <c r="E460" t="s">
        <v>124</v>
      </c>
      <c r="F460" s="1">
        <v>46047</v>
      </c>
      <c r="G460">
        <v>46092</v>
      </c>
      <c r="H460" t="s">
        <v>6</v>
      </c>
      <c r="I460">
        <v>21273.14</v>
      </c>
      <c r="J460" t="s">
        <v>75</v>
      </c>
      <c r="K460" t="s">
        <v>1013</v>
      </c>
      <c r="L460">
        <v>45</v>
      </c>
      <c r="M460" t="s">
        <v>20</v>
      </c>
      <c r="N460">
        <v>1.1555</v>
      </c>
      <c r="O460">
        <v>1.3367963164349013</v>
      </c>
      <c r="P460">
        <v>6.2983756677204832E-3</v>
      </c>
      <c r="Q460">
        <v>1.1555</v>
      </c>
      <c r="R460">
        <v>24581.113269999998</v>
      </c>
      <c r="S460" t="s">
        <v>16</v>
      </c>
      <c r="T460">
        <v>1.0649999999999999</v>
      </c>
      <c r="U460">
        <v>22655.894099999998</v>
      </c>
      <c r="V460">
        <v>1925.2191700000003</v>
      </c>
      <c r="W460">
        <v>8.497652582159626E-2</v>
      </c>
    </row>
    <row r="461" spans="1:23" x14ac:dyDescent="0.25">
      <c r="A461" t="s">
        <v>1014</v>
      </c>
      <c r="B461" t="s">
        <v>39</v>
      </c>
      <c r="C461" t="s">
        <v>82</v>
      </c>
      <c r="D461" t="s">
        <v>33</v>
      </c>
      <c r="E461" t="s">
        <v>83</v>
      </c>
      <c r="F461" s="1">
        <v>46332</v>
      </c>
      <c r="G461">
        <v>46377</v>
      </c>
      <c r="H461" t="s">
        <v>8</v>
      </c>
      <c r="I461">
        <v>8052.15</v>
      </c>
      <c r="J461" t="s">
        <v>84</v>
      </c>
      <c r="K461" t="s">
        <v>1015</v>
      </c>
      <c r="L461">
        <v>45</v>
      </c>
      <c r="M461" t="s">
        <v>39</v>
      </c>
      <c r="N461">
        <v>1.1176999999999999</v>
      </c>
      <c r="O461">
        <v>1.320456022210408</v>
      </c>
      <c r="P461">
        <v>6.3200452360757699E-3</v>
      </c>
      <c r="Q461">
        <v>1.320456022210408</v>
      </c>
      <c r="R461">
        <v>10632.509959241537</v>
      </c>
      <c r="S461" t="s">
        <v>23</v>
      </c>
      <c r="T461">
        <v>1.3149999999999999</v>
      </c>
      <c r="U461">
        <v>10588.577249999998</v>
      </c>
      <c r="V461">
        <v>43.93270924153876</v>
      </c>
      <c r="W461">
        <v>4.1490663197020893E-3</v>
      </c>
    </row>
    <row r="462" spans="1:23" x14ac:dyDescent="0.25">
      <c r="A462" t="s">
        <v>1016</v>
      </c>
      <c r="B462" t="s">
        <v>39</v>
      </c>
      <c r="C462" t="s">
        <v>82</v>
      </c>
      <c r="D462" t="s">
        <v>33</v>
      </c>
      <c r="E462" t="s">
        <v>83</v>
      </c>
      <c r="F462" s="1">
        <v>46163</v>
      </c>
      <c r="G462">
        <v>46208</v>
      </c>
      <c r="H462" t="s">
        <v>8</v>
      </c>
      <c r="I462">
        <v>17152.77</v>
      </c>
      <c r="J462" t="s">
        <v>75</v>
      </c>
      <c r="K462" t="s">
        <v>1017</v>
      </c>
      <c r="L462">
        <v>45</v>
      </c>
      <c r="M462" t="s">
        <v>39</v>
      </c>
      <c r="N462">
        <v>1.1598999999999999</v>
      </c>
      <c r="O462">
        <v>1.3419642960443348</v>
      </c>
      <c r="P462">
        <v>6.2836556693211983E-3</v>
      </c>
      <c r="Q462">
        <v>1.3419642960443348</v>
      </c>
      <c r="R462">
        <v>23018.404918260385</v>
      </c>
      <c r="S462" t="s">
        <v>19</v>
      </c>
      <c r="T462">
        <v>1.2709999999999999</v>
      </c>
      <c r="U462">
        <v>21801.17067</v>
      </c>
      <c r="V462">
        <v>1217.2342482603854</v>
      </c>
      <c r="W462">
        <v>5.5833435125361798E-2</v>
      </c>
    </row>
    <row r="463" spans="1:23" x14ac:dyDescent="0.25">
      <c r="A463" t="s">
        <v>1018</v>
      </c>
      <c r="B463" t="s">
        <v>32</v>
      </c>
      <c r="C463" t="s">
        <v>106</v>
      </c>
      <c r="D463" t="s">
        <v>31</v>
      </c>
      <c r="E463" t="s">
        <v>74</v>
      </c>
      <c r="F463" s="1">
        <v>46275</v>
      </c>
      <c r="G463">
        <v>46305</v>
      </c>
      <c r="H463" t="s">
        <v>6</v>
      </c>
      <c r="I463">
        <v>23512.23</v>
      </c>
      <c r="J463" t="s">
        <v>75</v>
      </c>
      <c r="K463" t="s">
        <v>1019</v>
      </c>
      <c r="L463">
        <v>30</v>
      </c>
      <c r="M463" t="s">
        <v>32</v>
      </c>
      <c r="N463">
        <v>1.1616</v>
      </c>
      <c r="O463">
        <v>1.3520339870802538</v>
      </c>
      <c r="P463">
        <v>6.4861242950471831E-3</v>
      </c>
      <c r="Q463">
        <v>1.1616</v>
      </c>
      <c r="R463">
        <v>27311.806367999998</v>
      </c>
      <c r="S463" t="s">
        <v>21</v>
      </c>
      <c r="T463">
        <v>1.101</v>
      </c>
      <c r="U463">
        <v>25886.965229999998</v>
      </c>
      <c r="V463">
        <v>1424.8411379999998</v>
      </c>
      <c r="W463">
        <v>5.5040871934604899E-2</v>
      </c>
    </row>
    <row r="464" spans="1:23" x14ac:dyDescent="0.25">
      <c r="A464" t="s">
        <v>1020</v>
      </c>
      <c r="B464" t="s">
        <v>34</v>
      </c>
      <c r="C464" t="s">
        <v>177</v>
      </c>
      <c r="D464" t="s">
        <v>31</v>
      </c>
      <c r="E464" t="s">
        <v>74</v>
      </c>
      <c r="F464" s="1">
        <v>45818</v>
      </c>
      <c r="G464">
        <v>45878</v>
      </c>
      <c r="H464" t="s">
        <v>8</v>
      </c>
      <c r="I464">
        <v>10756.72</v>
      </c>
      <c r="J464" t="s">
        <v>75</v>
      </c>
      <c r="K464" t="s">
        <v>1021</v>
      </c>
      <c r="L464">
        <v>60</v>
      </c>
      <c r="M464" t="s">
        <v>34</v>
      </c>
      <c r="N464">
        <v>1.1429</v>
      </c>
      <c r="O464">
        <v>1.3503071833648392</v>
      </c>
      <c r="P464">
        <v>6.9170247533740853E-3</v>
      </c>
      <c r="Q464">
        <v>1.3503071833648392</v>
      </c>
      <c r="R464">
        <v>14524.876285444232</v>
      </c>
      <c r="S464" t="s">
        <v>12</v>
      </c>
      <c r="T464">
        <v>1.26</v>
      </c>
      <c r="U464">
        <v>13553.467199999999</v>
      </c>
      <c r="V464">
        <v>971.40908544423291</v>
      </c>
      <c r="W464">
        <v>7.1672367749872373E-2</v>
      </c>
    </row>
    <row r="465" spans="1:23" x14ac:dyDescent="0.25">
      <c r="A465" t="s">
        <v>1022</v>
      </c>
      <c r="B465" t="s">
        <v>42</v>
      </c>
      <c r="C465" t="s">
        <v>151</v>
      </c>
      <c r="D465" t="s">
        <v>35</v>
      </c>
      <c r="E465" t="s">
        <v>152</v>
      </c>
      <c r="F465" s="1">
        <v>46096</v>
      </c>
      <c r="G465">
        <v>46126</v>
      </c>
      <c r="H465" t="s">
        <v>8</v>
      </c>
      <c r="I465">
        <v>9182.6299999999992</v>
      </c>
      <c r="J465" t="s">
        <v>75</v>
      </c>
      <c r="K465" t="s">
        <v>1023</v>
      </c>
      <c r="L465">
        <v>30</v>
      </c>
      <c r="M465" t="s">
        <v>42</v>
      </c>
      <c r="N465">
        <v>1.1555</v>
      </c>
      <c r="O465">
        <v>1.3367963164349013</v>
      </c>
      <c r="P465">
        <v>6.2983756677204832E-3</v>
      </c>
      <c r="Q465">
        <v>1.3367963164349013</v>
      </c>
      <c r="R465">
        <v>12275.305959184616</v>
      </c>
      <c r="S465" t="s">
        <v>16</v>
      </c>
      <c r="T465">
        <v>1.2490000000000001</v>
      </c>
      <c r="U465">
        <v>11469.104869999999</v>
      </c>
      <c r="V465">
        <v>806.20108918461665</v>
      </c>
      <c r="W465">
        <v>7.0293287778143462E-2</v>
      </c>
    </row>
    <row r="466" spans="1:23" x14ac:dyDescent="0.25">
      <c r="A466" t="s">
        <v>1024</v>
      </c>
      <c r="B466" t="s">
        <v>41</v>
      </c>
      <c r="C466" t="s">
        <v>172</v>
      </c>
      <c r="D466" t="s">
        <v>33</v>
      </c>
      <c r="E466" t="s">
        <v>83</v>
      </c>
      <c r="F466" s="1">
        <v>45902</v>
      </c>
      <c r="G466">
        <v>45932</v>
      </c>
      <c r="H466" t="s">
        <v>9</v>
      </c>
      <c r="I466">
        <v>1843919.43</v>
      </c>
      <c r="J466" t="s">
        <v>75</v>
      </c>
      <c r="K466" t="s">
        <v>1025</v>
      </c>
      <c r="L466">
        <v>30</v>
      </c>
      <c r="M466" t="s">
        <v>41</v>
      </c>
      <c r="N466">
        <v>1.1646000000000001</v>
      </c>
      <c r="O466">
        <v>1.3383130314870146</v>
      </c>
      <c r="P466">
        <v>6.727902946273831E-3</v>
      </c>
      <c r="Q466">
        <v>6.727902946273831E-3</v>
      </c>
      <c r="R466">
        <v>12405.710965788563</v>
      </c>
      <c r="S466" t="s">
        <v>13</v>
      </c>
      <c r="T466">
        <v>6.8399999999999997E-3</v>
      </c>
      <c r="U466">
        <v>12612.408901199999</v>
      </c>
      <c r="V466">
        <v>-206.69793541143554</v>
      </c>
      <c r="W466">
        <v>-1.6388458147100625E-2</v>
      </c>
    </row>
    <row r="467" spans="1:23" x14ac:dyDescent="0.25">
      <c r="A467" t="s">
        <v>1026</v>
      </c>
      <c r="B467" t="s">
        <v>40</v>
      </c>
      <c r="C467" t="s">
        <v>78</v>
      </c>
      <c r="D467" t="s">
        <v>33</v>
      </c>
      <c r="E467" t="s">
        <v>79</v>
      </c>
      <c r="F467" s="1">
        <v>45926</v>
      </c>
      <c r="G467">
        <v>45956</v>
      </c>
      <c r="H467" t="s">
        <v>9</v>
      </c>
      <c r="I467">
        <v>2717558.4</v>
      </c>
      <c r="J467" t="s">
        <v>75</v>
      </c>
      <c r="K467" t="s">
        <v>1027</v>
      </c>
      <c r="L467">
        <v>30</v>
      </c>
      <c r="M467" t="s">
        <v>40</v>
      </c>
      <c r="N467">
        <v>1.1672</v>
      </c>
      <c r="O467">
        <v>1.3354691075514875</v>
      </c>
      <c r="P467">
        <v>6.6777275587848279E-3</v>
      </c>
      <c r="Q467">
        <v>6.6777275587848279E-3</v>
      </c>
      <c r="R467">
        <v>18147.114620287201</v>
      </c>
      <c r="S467" t="s">
        <v>13</v>
      </c>
      <c r="T467">
        <v>6.8399999999999997E-3</v>
      </c>
      <c r="U467">
        <v>18588.099456</v>
      </c>
      <c r="V467">
        <v>-440.98483571279939</v>
      </c>
      <c r="W467">
        <v>-2.3724041113329375E-2</v>
      </c>
    </row>
    <row r="468" spans="1:23" x14ac:dyDescent="0.25">
      <c r="A468" t="s">
        <v>1028</v>
      </c>
      <c r="B468" t="s">
        <v>30</v>
      </c>
      <c r="C468" t="s">
        <v>103</v>
      </c>
      <c r="D468" t="s">
        <v>31</v>
      </c>
      <c r="E468" t="s">
        <v>74</v>
      </c>
      <c r="F468" s="1">
        <v>45986</v>
      </c>
      <c r="G468">
        <v>46016</v>
      </c>
      <c r="H468" t="s">
        <v>9</v>
      </c>
      <c r="I468">
        <v>907803.97</v>
      </c>
      <c r="J468" t="s">
        <v>75</v>
      </c>
      <c r="K468" t="s">
        <v>1029</v>
      </c>
      <c r="L468">
        <v>30</v>
      </c>
      <c r="M468" t="s">
        <v>30</v>
      </c>
      <c r="N468">
        <v>1.1551</v>
      </c>
      <c r="O468">
        <v>1.3144060081929905</v>
      </c>
      <c r="P468">
        <v>6.4022835605808672E-3</v>
      </c>
      <c r="Q468">
        <v>6.4022835605808672E-3</v>
      </c>
      <c r="R468">
        <v>5812.0184333610468</v>
      </c>
      <c r="S468" t="s">
        <v>14</v>
      </c>
      <c r="T468">
        <v>6.9800000000000001E-3</v>
      </c>
      <c r="U468">
        <v>6336.4717105999998</v>
      </c>
      <c r="V468">
        <v>-524.45327723895298</v>
      </c>
      <c r="W468">
        <v>-8.2767398197583456E-2</v>
      </c>
    </row>
    <row r="469" spans="1:23" x14ac:dyDescent="0.25">
      <c r="A469" t="s">
        <v>1030</v>
      </c>
      <c r="B469" t="s">
        <v>32</v>
      </c>
      <c r="C469" t="s">
        <v>106</v>
      </c>
      <c r="D469" t="s">
        <v>31</v>
      </c>
      <c r="E469" t="s">
        <v>74</v>
      </c>
      <c r="F469" s="1">
        <v>46105</v>
      </c>
      <c r="G469">
        <v>46135</v>
      </c>
      <c r="H469" t="s">
        <v>6</v>
      </c>
      <c r="I469">
        <v>25810.69</v>
      </c>
      <c r="J469" t="s">
        <v>75</v>
      </c>
      <c r="K469" t="s">
        <v>1031</v>
      </c>
      <c r="L469">
        <v>30</v>
      </c>
      <c r="M469" t="s">
        <v>32</v>
      </c>
      <c r="N469">
        <v>1.1572</v>
      </c>
      <c r="O469">
        <v>1.3371696652453751</v>
      </c>
      <c r="P469">
        <v>6.2922081452884563E-3</v>
      </c>
      <c r="Q469">
        <v>1.1572</v>
      </c>
      <c r="R469">
        <v>29868.130467999999</v>
      </c>
      <c r="S469" t="s">
        <v>16</v>
      </c>
      <c r="T469">
        <v>1.0649999999999999</v>
      </c>
      <c r="U469">
        <v>27488.384849999999</v>
      </c>
      <c r="V469">
        <v>2379.7456180000008</v>
      </c>
      <c r="W469">
        <v>8.6572769953051673E-2</v>
      </c>
    </row>
    <row r="470" spans="1:23" x14ac:dyDescent="0.25">
      <c r="A470" t="s">
        <v>1032</v>
      </c>
      <c r="B470" t="s">
        <v>28</v>
      </c>
      <c r="C470" t="s">
        <v>111</v>
      </c>
      <c r="D470" t="s">
        <v>31</v>
      </c>
      <c r="E470" t="s">
        <v>74</v>
      </c>
      <c r="F470" s="1">
        <v>46325</v>
      </c>
      <c r="G470">
        <v>46370</v>
      </c>
      <c r="H470" t="s">
        <v>9</v>
      </c>
      <c r="I470">
        <v>3926248.44</v>
      </c>
      <c r="J470" t="s">
        <v>84</v>
      </c>
      <c r="K470" t="s">
        <v>1033</v>
      </c>
      <c r="L470">
        <v>45</v>
      </c>
      <c r="M470" t="s">
        <v>28</v>
      </c>
      <c r="N470">
        <v>1.1176999999999999</v>
      </c>
      <c r="O470">
        <v>1.320456022210408</v>
      </c>
      <c r="P470">
        <v>6.3200452360757699E-3</v>
      </c>
      <c r="Q470">
        <v>6.3200452360757699E-3</v>
      </c>
      <c r="R470">
        <v>24814.067748871923</v>
      </c>
      <c r="S470" t="s">
        <v>23</v>
      </c>
      <c r="T470">
        <v>6.8799999999999998E-3</v>
      </c>
      <c r="U470">
        <v>27012.589267199997</v>
      </c>
      <c r="V470">
        <v>-2198.5215183280743</v>
      </c>
      <c r="W470">
        <v>-8.1388773826196151E-2</v>
      </c>
    </row>
    <row r="471" spans="1:23" x14ac:dyDescent="0.25">
      <c r="A471" t="s">
        <v>1034</v>
      </c>
      <c r="B471" t="s">
        <v>38</v>
      </c>
      <c r="C471" t="s">
        <v>87</v>
      </c>
      <c r="D471" t="s">
        <v>33</v>
      </c>
      <c r="E471" t="s">
        <v>88</v>
      </c>
      <c r="F471" s="1">
        <v>45927</v>
      </c>
      <c r="G471">
        <v>45957</v>
      </c>
      <c r="H471" t="s">
        <v>6</v>
      </c>
      <c r="I471">
        <v>2870.28</v>
      </c>
      <c r="J471" t="s">
        <v>75</v>
      </c>
      <c r="K471" t="s">
        <v>1035</v>
      </c>
      <c r="L471">
        <v>30</v>
      </c>
      <c r="M471" t="s">
        <v>38</v>
      </c>
      <c r="N471">
        <v>1.1968000000000001</v>
      </c>
      <c r="O471">
        <v>1.3816670514892635</v>
      </c>
      <c r="P471">
        <v>6.5227817745803366E-3</v>
      </c>
      <c r="Q471">
        <v>1.1968000000000001</v>
      </c>
      <c r="R471">
        <v>3435.1511040000005</v>
      </c>
      <c r="S471" t="s">
        <v>13</v>
      </c>
      <c r="T471">
        <v>1.0880000000000001</v>
      </c>
      <c r="U471">
        <v>3122.8646400000002</v>
      </c>
      <c r="V471">
        <v>312.28646400000025</v>
      </c>
      <c r="W471">
        <v>0.10000000000000007</v>
      </c>
    </row>
    <row r="472" spans="1:23" x14ac:dyDescent="0.25">
      <c r="A472" t="s">
        <v>1036</v>
      </c>
      <c r="B472" t="s">
        <v>38</v>
      </c>
      <c r="C472" t="s">
        <v>87</v>
      </c>
      <c r="D472" t="s">
        <v>33</v>
      </c>
      <c r="E472" t="s">
        <v>88</v>
      </c>
      <c r="F472" s="1">
        <v>45882</v>
      </c>
      <c r="G472">
        <v>45912</v>
      </c>
      <c r="H472" t="s">
        <v>6</v>
      </c>
      <c r="I472">
        <v>2442.62</v>
      </c>
      <c r="J472" t="s">
        <v>75</v>
      </c>
      <c r="K472" t="s">
        <v>1037</v>
      </c>
      <c r="L472">
        <v>30</v>
      </c>
      <c r="M472" t="s">
        <v>38</v>
      </c>
      <c r="N472">
        <v>1.1711</v>
      </c>
      <c r="O472">
        <v>1.3568532035685321</v>
      </c>
      <c r="P472">
        <v>6.790166405751725E-3</v>
      </c>
      <c r="Q472">
        <v>1.1711</v>
      </c>
      <c r="R472">
        <v>2860.5522820000001</v>
      </c>
      <c r="S472" t="s">
        <v>13</v>
      </c>
      <c r="T472">
        <v>1.0880000000000001</v>
      </c>
      <c r="U472">
        <v>2657.5705600000001</v>
      </c>
      <c r="V472">
        <v>202.98172199999999</v>
      </c>
      <c r="W472">
        <v>7.6378676470588228E-2</v>
      </c>
    </row>
    <row r="473" spans="1:23" x14ac:dyDescent="0.25">
      <c r="A473" t="s">
        <v>1038</v>
      </c>
      <c r="B473" t="s">
        <v>41</v>
      </c>
      <c r="C473" t="s">
        <v>172</v>
      </c>
      <c r="D473" t="s">
        <v>33</v>
      </c>
      <c r="E473" t="s">
        <v>83</v>
      </c>
      <c r="F473" s="1">
        <v>46077</v>
      </c>
      <c r="G473">
        <v>46107</v>
      </c>
      <c r="H473" t="s">
        <v>9</v>
      </c>
      <c r="I473">
        <v>2071217.35</v>
      </c>
      <c r="J473" t="s">
        <v>75</v>
      </c>
      <c r="K473" t="s">
        <v>1039</v>
      </c>
      <c r="L473">
        <v>30</v>
      </c>
      <c r="M473" t="s">
        <v>41</v>
      </c>
      <c r="N473">
        <v>1.1777</v>
      </c>
      <c r="O473">
        <v>1.348871835986714</v>
      </c>
      <c r="P473">
        <v>6.4169345611071755E-3</v>
      </c>
      <c r="Q473">
        <v>6.4169345611071755E-3</v>
      </c>
      <c r="R473">
        <v>13290.866196779818</v>
      </c>
      <c r="S473" t="s">
        <v>16</v>
      </c>
      <c r="T473">
        <v>6.4599999999999996E-3</v>
      </c>
      <c r="U473">
        <v>13380.064081</v>
      </c>
      <c r="V473">
        <v>-89.197884220182459</v>
      </c>
      <c r="W473">
        <v>-6.6664766087963295E-3</v>
      </c>
    </row>
    <row r="474" spans="1:23" x14ac:dyDescent="0.25">
      <c r="A474" t="s">
        <v>1040</v>
      </c>
      <c r="B474" t="s">
        <v>43</v>
      </c>
      <c r="C474" t="s">
        <v>215</v>
      </c>
      <c r="D474" t="s">
        <v>35</v>
      </c>
      <c r="E474" t="s">
        <v>152</v>
      </c>
      <c r="F474" s="1">
        <v>45959</v>
      </c>
      <c r="G474">
        <v>45989</v>
      </c>
      <c r="H474" t="s">
        <v>6</v>
      </c>
      <c r="I474">
        <v>11611.93</v>
      </c>
      <c r="J474" t="s">
        <v>75</v>
      </c>
      <c r="K474" t="s">
        <v>1041</v>
      </c>
      <c r="L474">
        <v>30</v>
      </c>
      <c r="M474" t="s">
        <v>43</v>
      </c>
      <c r="N474">
        <v>1.1636</v>
      </c>
      <c r="O474">
        <v>1.3212217554218235</v>
      </c>
      <c r="P474">
        <v>6.5714124357598687E-3</v>
      </c>
      <c r="Q474">
        <v>1.1636</v>
      </c>
      <c r="R474">
        <v>13511.641748</v>
      </c>
      <c r="S474" t="s">
        <v>14</v>
      </c>
      <c r="T474">
        <v>1.1060000000000001</v>
      </c>
      <c r="U474">
        <v>12842.794580000002</v>
      </c>
      <c r="V474">
        <v>668.84716799999842</v>
      </c>
      <c r="W474">
        <v>5.2079566003616504E-2</v>
      </c>
    </row>
    <row r="475" spans="1:23" x14ac:dyDescent="0.25">
      <c r="A475" t="s">
        <v>1042</v>
      </c>
      <c r="B475" t="s">
        <v>30</v>
      </c>
      <c r="C475" t="s">
        <v>103</v>
      </c>
      <c r="D475" t="s">
        <v>31</v>
      </c>
      <c r="E475" t="s">
        <v>74</v>
      </c>
      <c r="F475" s="1">
        <v>45799</v>
      </c>
      <c r="G475">
        <v>45829</v>
      </c>
      <c r="H475" t="s">
        <v>9</v>
      </c>
      <c r="I475">
        <v>3332763.63</v>
      </c>
      <c r="J475" t="s">
        <v>75</v>
      </c>
      <c r="K475" t="s">
        <v>1043</v>
      </c>
      <c r="L475">
        <v>30</v>
      </c>
      <c r="M475" t="s">
        <v>30</v>
      </c>
      <c r="N475">
        <v>1.1309</v>
      </c>
      <c r="O475">
        <v>1.341995965349472</v>
      </c>
      <c r="P475">
        <v>6.9726863555089709E-3</v>
      </c>
      <c r="Q475">
        <v>6.9726863555089709E-3</v>
      </c>
      <c r="R475">
        <v>23238.315489037548</v>
      </c>
      <c r="S475" t="s">
        <v>12</v>
      </c>
      <c r="T475">
        <v>6.7000000000000002E-3</v>
      </c>
      <c r="U475">
        <v>22329.516320999999</v>
      </c>
      <c r="V475">
        <v>908.79916803754895</v>
      </c>
      <c r="W475">
        <v>4.0699456046115086E-2</v>
      </c>
    </row>
    <row r="476" spans="1:23" x14ac:dyDescent="0.25">
      <c r="A476" t="s">
        <v>1044</v>
      </c>
      <c r="B476" t="s">
        <v>40</v>
      </c>
      <c r="C476" t="s">
        <v>78</v>
      </c>
      <c r="D476" t="s">
        <v>33</v>
      </c>
      <c r="E476" t="s">
        <v>79</v>
      </c>
      <c r="F476" s="1">
        <v>45907</v>
      </c>
      <c r="G476">
        <v>45937</v>
      </c>
      <c r="H476" t="s">
        <v>9</v>
      </c>
      <c r="I476">
        <v>1011876.56</v>
      </c>
      <c r="J476" t="s">
        <v>75</v>
      </c>
      <c r="K476" t="s">
        <v>1045</v>
      </c>
      <c r="L476">
        <v>30</v>
      </c>
      <c r="M476" t="s">
        <v>40</v>
      </c>
      <c r="N476">
        <v>1.175</v>
      </c>
      <c r="O476">
        <v>1.3465505386202155</v>
      </c>
      <c r="P476">
        <v>6.3827475691237987E-3</v>
      </c>
      <c r="Q476">
        <v>6.3827475691237987E-3</v>
      </c>
      <c r="R476">
        <v>6458.5526535933523</v>
      </c>
      <c r="S476" t="s">
        <v>13</v>
      </c>
      <c r="T476">
        <v>6.8399999999999997E-3</v>
      </c>
      <c r="U476">
        <v>6921.2356704000003</v>
      </c>
      <c r="V476">
        <v>-462.68301680664808</v>
      </c>
      <c r="W476">
        <v>-6.6849770595935817E-2</v>
      </c>
    </row>
    <row r="477" spans="1:23" x14ac:dyDescent="0.25">
      <c r="A477" t="s">
        <v>1046</v>
      </c>
      <c r="B477" t="s">
        <v>22</v>
      </c>
      <c r="C477" t="s">
        <v>127</v>
      </c>
      <c r="D477" t="s">
        <v>31</v>
      </c>
      <c r="E477" t="s">
        <v>124</v>
      </c>
      <c r="F477" s="1">
        <v>45668</v>
      </c>
      <c r="G477">
        <v>45728</v>
      </c>
      <c r="H477" t="s">
        <v>9</v>
      </c>
      <c r="I477">
        <v>8221799.3899999997</v>
      </c>
      <c r="J477" t="s">
        <v>75</v>
      </c>
      <c r="K477" t="s">
        <v>1047</v>
      </c>
      <c r="L477">
        <v>60</v>
      </c>
      <c r="M477" t="s">
        <v>22</v>
      </c>
      <c r="N477">
        <v>1.0404</v>
      </c>
      <c r="O477">
        <v>1.2317090495809064</v>
      </c>
      <c r="P477">
        <v>6.3993111083774134E-3</v>
      </c>
      <c r="Q477">
        <v>6.3993111083774134E-3</v>
      </c>
      <c r="R477">
        <v>52613.852167277641</v>
      </c>
      <c r="S477" t="s">
        <v>11</v>
      </c>
      <c r="T477">
        <v>6.5599999999999999E-3</v>
      </c>
      <c r="U477">
        <v>53935.003998399996</v>
      </c>
      <c r="V477">
        <v>-1321.1518311223554</v>
      </c>
      <c r="W477">
        <v>-2.4495257869296679E-2</v>
      </c>
    </row>
    <row r="478" spans="1:23" x14ac:dyDescent="0.25">
      <c r="A478" t="s">
        <v>1048</v>
      </c>
      <c r="B478" t="s">
        <v>43</v>
      </c>
      <c r="C478" t="s">
        <v>215</v>
      </c>
      <c r="D478" t="s">
        <v>35</v>
      </c>
      <c r="E478" t="s">
        <v>152</v>
      </c>
      <c r="F478" s="1">
        <v>45705</v>
      </c>
      <c r="G478">
        <v>45735</v>
      </c>
      <c r="H478" t="s">
        <v>6</v>
      </c>
      <c r="I478">
        <v>2983.24</v>
      </c>
      <c r="J478" t="s">
        <v>75</v>
      </c>
      <c r="K478" t="s">
        <v>1049</v>
      </c>
      <c r="L478">
        <v>30</v>
      </c>
      <c r="M478" t="s">
        <v>43</v>
      </c>
      <c r="N478">
        <v>1.0472999999999999</v>
      </c>
      <c r="O478">
        <v>1.2597885316300386</v>
      </c>
      <c r="P478">
        <v>6.6004915863112123E-3</v>
      </c>
      <c r="Q478">
        <v>1.0472999999999999</v>
      </c>
      <c r="R478">
        <v>3124.3472519999996</v>
      </c>
      <c r="S478" t="s">
        <v>11</v>
      </c>
      <c r="T478">
        <v>1.052</v>
      </c>
      <c r="U478">
        <v>3138.3684800000001</v>
      </c>
      <c r="V478">
        <v>-14.021228000000519</v>
      </c>
      <c r="W478">
        <v>-4.4676806083651845E-3</v>
      </c>
    </row>
    <row r="479" spans="1:23" x14ac:dyDescent="0.25">
      <c r="A479" t="s">
        <v>1050</v>
      </c>
      <c r="B479" t="s">
        <v>30</v>
      </c>
      <c r="C479" t="s">
        <v>103</v>
      </c>
      <c r="D479" t="s">
        <v>31</v>
      </c>
      <c r="E479" t="s">
        <v>74</v>
      </c>
      <c r="F479" s="1">
        <v>46198</v>
      </c>
      <c r="G479">
        <v>46228</v>
      </c>
      <c r="H479" t="s">
        <v>9</v>
      </c>
      <c r="I479">
        <v>1358603.24</v>
      </c>
      <c r="J479" t="s">
        <v>75</v>
      </c>
      <c r="K479" t="s">
        <v>1051</v>
      </c>
      <c r="L479">
        <v>30</v>
      </c>
      <c r="M479" t="s">
        <v>30</v>
      </c>
      <c r="N479">
        <v>1.1342000000000001</v>
      </c>
      <c r="O479">
        <v>1.3160368054024576</v>
      </c>
      <c r="P479">
        <v>6.1785694830309972E-3</v>
      </c>
      <c r="Q479">
        <v>6.1785694830309972E-3</v>
      </c>
      <c r="R479">
        <v>8394.2245182110382</v>
      </c>
      <c r="S479" t="s">
        <v>19</v>
      </c>
      <c r="T479">
        <v>6.6E-3</v>
      </c>
      <c r="U479">
        <v>8966.7813839999999</v>
      </c>
      <c r="V479">
        <v>-572.55686578896166</v>
      </c>
      <c r="W479">
        <v>-6.385310863166703E-2</v>
      </c>
    </row>
    <row r="480" spans="1:23" x14ac:dyDescent="0.25">
      <c r="A480" t="s">
        <v>1052</v>
      </c>
      <c r="B480" t="s">
        <v>40</v>
      </c>
      <c r="C480" t="s">
        <v>78</v>
      </c>
      <c r="D480" t="s">
        <v>33</v>
      </c>
      <c r="E480" t="s">
        <v>79</v>
      </c>
      <c r="F480" s="1">
        <v>45914</v>
      </c>
      <c r="G480">
        <v>45944</v>
      </c>
      <c r="H480" t="s">
        <v>9</v>
      </c>
      <c r="I480">
        <v>2104873.54</v>
      </c>
      <c r="J480" t="s">
        <v>75</v>
      </c>
      <c r="K480" t="s">
        <v>1053</v>
      </c>
      <c r="L480">
        <v>30</v>
      </c>
      <c r="M480" t="s">
        <v>40</v>
      </c>
      <c r="N480">
        <v>1.1692</v>
      </c>
      <c r="O480">
        <v>1.3479363615402353</v>
      </c>
      <c r="P480">
        <v>6.3398763691573587E-3</v>
      </c>
      <c r="Q480">
        <v>6.3398763691573587E-3</v>
      </c>
      <c r="R480">
        <v>13344.638016310597</v>
      </c>
      <c r="S480" t="s">
        <v>13</v>
      </c>
      <c r="T480">
        <v>6.8399999999999997E-3</v>
      </c>
      <c r="U480">
        <v>14397.335013599999</v>
      </c>
      <c r="V480">
        <v>-1052.6969972894021</v>
      </c>
      <c r="W480">
        <v>-7.3117489889274953E-2</v>
      </c>
    </row>
    <row r="481" spans="1:23" x14ac:dyDescent="0.25">
      <c r="A481" t="s">
        <v>1054</v>
      </c>
      <c r="B481" t="s">
        <v>32</v>
      </c>
      <c r="C481" t="s">
        <v>106</v>
      </c>
      <c r="D481" t="s">
        <v>31</v>
      </c>
      <c r="E481" t="s">
        <v>74</v>
      </c>
      <c r="F481" s="1">
        <v>45924</v>
      </c>
      <c r="G481">
        <v>45954</v>
      </c>
      <c r="H481" t="s">
        <v>6</v>
      </c>
      <c r="I481">
        <v>11792.09</v>
      </c>
      <c r="J481" t="s">
        <v>75</v>
      </c>
      <c r="K481" t="s">
        <v>1055</v>
      </c>
      <c r="L481">
        <v>30</v>
      </c>
      <c r="M481" t="s">
        <v>32</v>
      </c>
      <c r="N481">
        <v>1.1756</v>
      </c>
      <c r="O481">
        <v>1.3464666132172718</v>
      </c>
      <c r="P481">
        <v>6.7365767004756178E-3</v>
      </c>
      <c r="Q481">
        <v>1.1756</v>
      </c>
      <c r="R481">
        <v>13862.781004</v>
      </c>
      <c r="S481" t="s">
        <v>13</v>
      </c>
      <c r="T481">
        <v>1.0880000000000001</v>
      </c>
      <c r="U481">
        <v>12829.793920000002</v>
      </c>
      <c r="V481">
        <v>1032.9870839999985</v>
      </c>
      <c r="W481">
        <v>8.0514705882352808E-2</v>
      </c>
    </row>
    <row r="482" spans="1:23" x14ac:dyDescent="0.25">
      <c r="A482" t="s">
        <v>1056</v>
      </c>
      <c r="B482" t="s">
        <v>36</v>
      </c>
      <c r="C482" t="s">
        <v>116</v>
      </c>
      <c r="D482" t="s">
        <v>31</v>
      </c>
      <c r="E482" t="s">
        <v>74</v>
      </c>
      <c r="F482" s="1">
        <v>45813</v>
      </c>
      <c r="G482">
        <v>45858</v>
      </c>
      <c r="H482" t="s">
        <v>6</v>
      </c>
      <c r="I482">
        <v>14319.57</v>
      </c>
      <c r="J482" t="s">
        <v>75</v>
      </c>
      <c r="K482" t="s">
        <v>1057</v>
      </c>
      <c r="L482">
        <v>45</v>
      </c>
      <c r="M482" t="s">
        <v>36</v>
      </c>
      <c r="N482">
        <v>1.1423000000000001</v>
      </c>
      <c r="O482">
        <v>1.3568119729183989</v>
      </c>
      <c r="P482">
        <v>6.9797140413051456E-3</v>
      </c>
      <c r="Q482">
        <v>1.1423000000000001</v>
      </c>
      <c r="R482">
        <v>16357.244811</v>
      </c>
      <c r="S482" t="s">
        <v>12</v>
      </c>
      <c r="T482">
        <v>1.07</v>
      </c>
      <c r="U482">
        <v>15321.939900000001</v>
      </c>
      <c r="V482">
        <v>1035.3049109999993</v>
      </c>
      <c r="W482">
        <v>6.7570093457943875E-2</v>
      </c>
    </row>
    <row r="483" spans="1:23" x14ac:dyDescent="0.25">
      <c r="A483" t="s">
        <v>1058</v>
      </c>
      <c r="B483" t="s">
        <v>39</v>
      </c>
      <c r="C483" t="s">
        <v>82</v>
      </c>
      <c r="D483" t="s">
        <v>33</v>
      </c>
      <c r="E483" t="s">
        <v>83</v>
      </c>
      <c r="F483" s="1">
        <v>45718</v>
      </c>
      <c r="G483">
        <v>45763</v>
      </c>
      <c r="H483" t="s">
        <v>8</v>
      </c>
      <c r="I483">
        <v>10883.39</v>
      </c>
      <c r="J483" t="s">
        <v>75</v>
      </c>
      <c r="K483" t="s">
        <v>1059</v>
      </c>
      <c r="L483">
        <v>45</v>
      </c>
      <c r="M483" t="s">
        <v>39</v>
      </c>
      <c r="N483">
        <v>1.1096999999999999</v>
      </c>
      <c r="O483">
        <v>1.3185128857098725</v>
      </c>
      <c r="P483">
        <v>6.8428192637355863E-3</v>
      </c>
      <c r="Q483">
        <v>1.3185128857098725</v>
      </c>
      <c r="R483">
        <v>14349.889955205968</v>
      </c>
      <c r="S483" t="s">
        <v>11</v>
      </c>
      <c r="T483">
        <v>1.238</v>
      </c>
      <c r="U483">
        <v>13473.63682</v>
      </c>
      <c r="V483">
        <v>876.25313520596865</v>
      </c>
      <c r="W483">
        <v>6.5034641122675638E-2</v>
      </c>
    </row>
    <row r="484" spans="1:23" x14ac:dyDescent="0.25">
      <c r="A484" t="s">
        <v>1060</v>
      </c>
      <c r="B484" t="s">
        <v>38</v>
      </c>
      <c r="C484" t="s">
        <v>87</v>
      </c>
      <c r="D484" t="s">
        <v>33</v>
      </c>
      <c r="E484" t="s">
        <v>88</v>
      </c>
      <c r="F484" s="1">
        <v>45933</v>
      </c>
      <c r="G484">
        <v>45963</v>
      </c>
      <c r="H484" t="s">
        <v>6</v>
      </c>
      <c r="I484">
        <v>7254.22</v>
      </c>
      <c r="J484" t="s">
        <v>75</v>
      </c>
      <c r="K484" t="s">
        <v>1061</v>
      </c>
      <c r="L484">
        <v>30</v>
      </c>
      <c r="M484" t="s">
        <v>38</v>
      </c>
      <c r="N484">
        <v>1.1734</v>
      </c>
      <c r="O484">
        <v>1.3447169378867752</v>
      </c>
      <c r="P484">
        <v>6.7865818392134182E-3</v>
      </c>
      <c r="Q484">
        <v>1.1734</v>
      </c>
      <c r="R484">
        <v>8512.101748000001</v>
      </c>
      <c r="S484" t="s">
        <v>14</v>
      </c>
      <c r="T484">
        <v>1.1060000000000001</v>
      </c>
      <c r="U484">
        <v>8023.1673200000014</v>
      </c>
      <c r="V484">
        <v>488.93442799999957</v>
      </c>
      <c r="W484">
        <v>6.0940325497287458E-2</v>
      </c>
    </row>
    <row r="485" spans="1:23" x14ac:dyDescent="0.25">
      <c r="A485" t="s">
        <v>1062</v>
      </c>
      <c r="B485" t="s">
        <v>36</v>
      </c>
      <c r="C485" t="s">
        <v>116</v>
      </c>
      <c r="D485" t="s">
        <v>31</v>
      </c>
      <c r="E485" t="s">
        <v>74</v>
      </c>
      <c r="F485" s="1">
        <v>45859</v>
      </c>
      <c r="G485">
        <v>45904</v>
      </c>
      <c r="H485" t="s">
        <v>6</v>
      </c>
      <c r="I485">
        <v>8480.2099999999991</v>
      </c>
      <c r="J485" t="s">
        <v>75</v>
      </c>
      <c r="K485" t="s">
        <v>1063</v>
      </c>
      <c r="L485">
        <v>45</v>
      </c>
      <c r="M485" t="s">
        <v>36</v>
      </c>
      <c r="N485">
        <v>1.1667000000000001</v>
      </c>
      <c r="O485">
        <v>1.3478512014787432</v>
      </c>
      <c r="P485">
        <v>6.7823508894314611E-3</v>
      </c>
      <c r="Q485">
        <v>1.1667000000000001</v>
      </c>
      <c r="R485">
        <v>9893.8610069999995</v>
      </c>
      <c r="S485" t="s">
        <v>13</v>
      </c>
      <c r="T485">
        <v>1.0880000000000001</v>
      </c>
      <c r="U485">
        <v>9226.4684799999995</v>
      </c>
      <c r="V485">
        <v>667.39252699999997</v>
      </c>
      <c r="W485">
        <v>7.2334558823529418E-2</v>
      </c>
    </row>
    <row r="486" spans="1:23" x14ac:dyDescent="0.25">
      <c r="A486" t="s">
        <v>1064</v>
      </c>
      <c r="B486" t="s">
        <v>26</v>
      </c>
      <c r="C486" t="s">
        <v>94</v>
      </c>
      <c r="D486" t="s">
        <v>31</v>
      </c>
      <c r="E486" t="s">
        <v>806</v>
      </c>
      <c r="F486" s="1">
        <v>46126</v>
      </c>
      <c r="G486">
        <v>46156</v>
      </c>
      <c r="H486" t="s">
        <v>8</v>
      </c>
      <c r="I486">
        <v>6837.34</v>
      </c>
      <c r="J486" t="s">
        <v>75</v>
      </c>
      <c r="K486" t="s">
        <v>1065</v>
      </c>
      <c r="L486">
        <v>30</v>
      </c>
      <c r="M486" t="s">
        <v>26</v>
      </c>
      <c r="N486">
        <v>1.1793</v>
      </c>
      <c r="O486">
        <v>1.3568741154948052</v>
      </c>
      <c r="P486">
        <v>6.2953077456894251E-3</v>
      </c>
      <c r="Q486">
        <v>1.3568741154948052</v>
      </c>
      <c r="R486">
        <v>9277.4096648372506</v>
      </c>
      <c r="S486" t="s">
        <v>19</v>
      </c>
      <c r="T486">
        <v>1.2709999999999999</v>
      </c>
      <c r="U486">
        <v>8690.2591400000001</v>
      </c>
      <c r="V486">
        <v>587.15052483725049</v>
      </c>
      <c r="W486">
        <v>6.7564213607242379E-2</v>
      </c>
    </row>
    <row r="487" spans="1:23" x14ac:dyDescent="0.25">
      <c r="A487" t="s">
        <v>1066</v>
      </c>
      <c r="B487" t="s">
        <v>22</v>
      </c>
      <c r="C487" t="s">
        <v>127</v>
      </c>
      <c r="D487" t="s">
        <v>31</v>
      </c>
      <c r="E487" t="s">
        <v>124</v>
      </c>
      <c r="F487" s="1">
        <v>46137</v>
      </c>
      <c r="G487">
        <v>46197</v>
      </c>
      <c r="H487" t="s">
        <v>9</v>
      </c>
      <c r="I487">
        <v>3311226.63</v>
      </c>
      <c r="J487" t="s">
        <v>75</v>
      </c>
      <c r="K487" t="s">
        <v>1067</v>
      </c>
      <c r="L487">
        <v>60</v>
      </c>
      <c r="M487" t="s">
        <v>22</v>
      </c>
      <c r="N487">
        <v>1.1712</v>
      </c>
      <c r="O487">
        <v>1.3492621222768799</v>
      </c>
      <c r="P487">
        <v>6.2728295217181727E-3</v>
      </c>
      <c r="Q487">
        <v>6.2728295217181727E-3</v>
      </c>
      <c r="R487">
        <v>20770.760157763376</v>
      </c>
      <c r="S487" t="s">
        <v>19</v>
      </c>
      <c r="T487">
        <v>6.6E-3</v>
      </c>
      <c r="U487">
        <v>21854.095757999999</v>
      </c>
      <c r="V487">
        <v>-1083.3356002366236</v>
      </c>
      <c r="W487">
        <v>-4.957128458815567E-2</v>
      </c>
    </row>
    <row r="488" spans="1:23" x14ac:dyDescent="0.25">
      <c r="A488" t="s">
        <v>1068</v>
      </c>
      <c r="B488" t="s">
        <v>34</v>
      </c>
      <c r="C488" t="s">
        <v>177</v>
      </c>
      <c r="D488" t="s">
        <v>31</v>
      </c>
      <c r="E488" t="s">
        <v>74</v>
      </c>
      <c r="F488" s="1">
        <v>45886</v>
      </c>
      <c r="G488">
        <v>45946</v>
      </c>
      <c r="H488" t="s">
        <v>8</v>
      </c>
      <c r="I488">
        <v>5089.2700000000004</v>
      </c>
      <c r="J488" t="s">
        <v>75</v>
      </c>
      <c r="K488" t="s">
        <v>1069</v>
      </c>
      <c r="L488">
        <v>60</v>
      </c>
      <c r="M488" t="s">
        <v>34</v>
      </c>
      <c r="N488">
        <v>1.1566000000000001</v>
      </c>
      <c r="O488">
        <v>1.3215265082266912</v>
      </c>
      <c r="P488">
        <v>6.405272193609127E-3</v>
      </c>
      <c r="Q488">
        <v>1.3215265082266912</v>
      </c>
      <c r="R488">
        <v>6725.6052125228534</v>
      </c>
      <c r="S488" t="s">
        <v>13</v>
      </c>
      <c r="T488">
        <v>1.282</v>
      </c>
      <c r="U488">
        <v>6524.4441400000005</v>
      </c>
      <c r="V488">
        <v>201.16107252285292</v>
      </c>
      <c r="W488">
        <v>3.0831909693206892E-2</v>
      </c>
    </row>
    <row r="489" spans="1:23" x14ac:dyDescent="0.25">
      <c r="A489" t="s">
        <v>1070</v>
      </c>
      <c r="B489" t="s">
        <v>42</v>
      </c>
      <c r="C489" t="s">
        <v>151</v>
      </c>
      <c r="D489" t="s">
        <v>35</v>
      </c>
      <c r="E489" t="s">
        <v>152</v>
      </c>
      <c r="F489" s="1">
        <v>45705</v>
      </c>
      <c r="G489">
        <v>45735</v>
      </c>
      <c r="H489" t="s">
        <v>8</v>
      </c>
      <c r="I489">
        <v>3502.1</v>
      </c>
      <c r="J489" t="s">
        <v>75</v>
      </c>
      <c r="K489" t="s">
        <v>1071</v>
      </c>
      <c r="L489">
        <v>30</v>
      </c>
      <c r="M489" t="s">
        <v>42</v>
      </c>
      <c r="N489">
        <v>1.0472999999999999</v>
      </c>
      <c r="O489">
        <v>1.2597885316300386</v>
      </c>
      <c r="P489">
        <v>6.6004915863112123E-3</v>
      </c>
      <c r="Q489">
        <v>1.2597885316300386</v>
      </c>
      <c r="R489">
        <v>4411.9054166215583</v>
      </c>
      <c r="S489" t="s">
        <v>11</v>
      </c>
      <c r="T489">
        <v>1.238</v>
      </c>
      <c r="U489">
        <v>4335.5998</v>
      </c>
      <c r="V489">
        <v>76.305616621558329</v>
      </c>
      <c r="W489">
        <v>1.7599783222971441E-2</v>
      </c>
    </row>
    <row r="490" spans="1:23" x14ac:dyDescent="0.25">
      <c r="A490" t="s">
        <v>1072</v>
      </c>
      <c r="B490" t="s">
        <v>30</v>
      </c>
      <c r="C490" t="s">
        <v>103</v>
      </c>
      <c r="D490" t="s">
        <v>31</v>
      </c>
      <c r="E490" t="s">
        <v>74</v>
      </c>
      <c r="F490" s="1">
        <v>46281</v>
      </c>
      <c r="G490">
        <v>46311</v>
      </c>
      <c r="H490" t="s">
        <v>9</v>
      </c>
      <c r="I490">
        <v>3081125.88</v>
      </c>
      <c r="J490" t="s">
        <v>75</v>
      </c>
      <c r="K490" t="s">
        <v>1073</v>
      </c>
      <c r="L490">
        <v>30</v>
      </c>
      <c r="M490" t="s">
        <v>30</v>
      </c>
      <c r="N490">
        <v>1.1536999999999999</v>
      </c>
      <c r="O490">
        <v>1.3455796594355025</v>
      </c>
      <c r="P490">
        <v>6.4495751341681574E-3</v>
      </c>
      <c r="Q490">
        <v>6.4495751341681574E-3</v>
      </c>
      <c r="R490">
        <v>19871.952860889982</v>
      </c>
      <c r="S490" t="s">
        <v>21</v>
      </c>
      <c r="T490">
        <v>6.7400000000000003E-3</v>
      </c>
      <c r="U490">
        <v>20766.788431199999</v>
      </c>
      <c r="V490">
        <v>-894.83557031001692</v>
      </c>
      <c r="W490">
        <v>-4.3089742705021111E-2</v>
      </c>
    </row>
    <row r="491" spans="1:23" x14ac:dyDescent="0.25">
      <c r="A491" t="s">
        <v>1074</v>
      </c>
      <c r="B491" t="s">
        <v>24</v>
      </c>
      <c r="C491" t="s">
        <v>73</v>
      </c>
      <c r="D491" t="s">
        <v>31</v>
      </c>
      <c r="E491" t="s">
        <v>74</v>
      </c>
      <c r="F491" s="1">
        <v>46355</v>
      </c>
      <c r="G491">
        <v>46385</v>
      </c>
      <c r="H491" t="s">
        <v>6</v>
      </c>
      <c r="I491">
        <v>16005.38</v>
      </c>
      <c r="J491" t="s">
        <v>84</v>
      </c>
      <c r="K491" t="s">
        <v>1075</v>
      </c>
      <c r="L491">
        <v>30</v>
      </c>
      <c r="M491" t="s">
        <v>24</v>
      </c>
      <c r="N491">
        <v>1.1176999999999999</v>
      </c>
      <c r="O491">
        <v>1.320456022210408</v>
      </c>
      <c r="P491">
        <v>6.3200452360757699E-3</v>
      </c>
      <c r="Q491">
        <v>1.1176999999999999</v>
      </c>
      <c r="R491">
        <v>17889.213225999996</v>
      </c>
      <c r="S491" t="s">
        <v>23</v>
      </c>
      <c r="T491">
        <v>1.119</v>
      </c>
      <c r="U491">
        <v>17910.020219999999</v>
      </c>
      <c r="V491">
        <v>-20.806994000002305</v>
      </c>
      <c r="W491">
        <v>-1.1617515638964648E-3</v>
      </c>
    </row>
    <row r="492" spans="1:23" x14ac:dyDescent="0.25">
      <c r="A492" t="s">
        <v>1076</v>
      </c>
      <c r="B492" t="s">
        <v>20</v>
      </c>
      <c r="C492" t="s">
        <v>123</v>
      </c>
      <c r="D492" t="s">
        <v>31</v>
      </c>
      <c r="E492" t="s">
        <v>124</v>
      </c>
      <c r="F492" s="1">
        <v>46365</v>
      </c>
      <c r="G492">
        <v>46410</v>
      </c>
      <c r="H492" t="s">
        <v>6</v>
      </c>
      <c r="I492">
        <v>55080.52</v>
      </c>
      <c r="J492" t="s">
        <v>84</v>
      </c>
      <c r="K492" t="s">
        <v>1077</v>
      </c>
      <c r="L492">
        <v>45</v>
      </c>
      <c r="M492" t="s">
        <v>20</v>
      </c>
      <c r="N492">
        <v>1.1176999999999999</v>
      </c>
      <c r="O492">
        <v>1.320456022210408</v>
      </c>
      <c r="P492">
        <v>6.3200452360757699E-3</v>
      </c>
      <c r="Q492">
        <v>1.1176999999999999</v>
      </c>
      <c r="R492">
        <v>61563.497203999992</v>
      </c>
      <c r="S492" t="s">
        <v>23</v>
      </c>
      <c r="T492">
        <v>1.119</v>
      </c>
      <c r="U492">
        <v>61635.101879999995</v>
      </c>
      <c r="V492">
        <v>-71.604676000002655</v>
      </c>
      <c r="W492">
        <v>-1.1617515638963792E-3</v>
      </c>
    </row>
    <row r="493" spans="1:23" x14ac:dyDescent="0.25">
      <c r="A493" t="s">
        <v>1078</v>
      </c>
      <c r="B493" t="s">
        <v>32</v>
      </c>
      <c r="C493" t="s">
        <v>106</v>
      </c>
      <c r="D493" t="s">
        <v>31</v>
      </c>
      <c r="E493" t="s">
        <v>74</v>
      </c>
      <c r="F493" s="1">
        <v>45811</v>
      </c>
      <c r="G493">
        <v>45841</v>
      </c>
      <c r="H493" t="s">
        <v>6</v>
      </c>
      <c r="I493">
        <v>14680.47</v>
      </c>
      <c r="J493" t="s">
        <v>75</v>
      </c>
      <c r="K493" t="s">
        <v>1079</v>
      </c>
      <c r="L493">
        <v>30</v>
      </c>
      <c r="M493" t="s">
        <v>32</v>
      </c>
      <c r="N493">
        <v>1.1386000000000001</v>
      </c>
      <c r="O493">
        <v>1.3496917970602182</v>
      </c>
      <c r="P493">
        <v>6.9852760736196324E-3</v>
      </c>
      <c r="Q493">
        <v>1.1386000000000001</v>
      </c>
      <c r="R493">
        <v>16715.183142000002</v>
      </c>
      <c r="S493" t="s">
        <v>12</v>
      </c>
      <c r="T493">
        <v>1.07</v>
      </c>
      <c r="U493">
        <v>15708.1029</v>
      </c>
      <c r="V493">
        <v>1007.0802420000018</v>
      </c>
      <c r="W493">
        <v>6.4112149532710397E-2</v>
      </c>
    </row>
    <row r="494" spans="1:23" x14ac:dyDescent="0.25">
      <c r="A494" t="s">
        <v>1080</v>
      </c>
      <c r="B494" t="s">
        <v>24</v>
      </c>
      <c r="C494" t="s">
        <v>73</v>
      </c>
      <c r="D494" t="s">
        <v>31</v>
      </c>
      <c r="E494" t="s">
        <v>74</v>
      </c>
      <c r="F494" s="1">
        <v>46026</v>
      </c>
      <c r="G494">
        <v>46056</v>
      </c>
      <c r="H494" t="s">
        <v>6</v>
      </c>
      <c r="I494">
        <v>33266.65</v>
      </c>
      <c r="J494" t="s">
        <v>75</v>
      </c>
      <c r="K494" t="s">
        <v>1081</v>
      </c>
      <c r="L494">
        <v>30</v>
      </c>
      <c r="M494" t="s">
        <v>24</v>
      </c>
      <c r="N494">
        <v>1.1555</v>
      </c>
      <c r="O494">
        <v>1.3367963164349013</v>
      </c>
      <c r="P494">
        <v>6.2983756677204832E-3</v>
      </c>
      <c r="Q494">
        <v>1.1555</v>
      </c>
      <c r="R494">
        <v>38439.614074999998</v>
      </c>
      <c r="S494" t="s">
        <v>16</v>
      </c>
      <c r="T494">
        <v>1.0649999999999999</v>
      </c>
      <c r="U494">
        <v>35428.982250000001</v>
      </c>
      <c r="V494">
        <v>3010.6318249999968</v>
      </c>
      <c r="W494">
        <v>8.4976525821596149E-2</v>
      </c>
    </row>
    <row r="495" spans="1:23" x14ac:dyDescent="0.25">
      <c r="A495" t="s">
        <v>1082</v>
      </c>
      <c r="B495" t="s">
        <v>44</v>
      </c>
      <c r="C495" t="s">
        <v>138</v>
      </c>
      <c r="D495" t="s">
        <v>33</v>
      </c>
      <c r="E495" t="s">
        <v>88</v>
      </c>
      <c r="F495" s="1">
        <v>46360</v>
      </c>
      <c r="G495">
        <v>46405</v>
      </c>
      <c r="H495" t="s">
        <v>9</v>
      </c>
      <c r="I495">
        <v>1412060.43</v>
      </c>
      <c r="J495" t="s">
        <v>84</v>
      </c>
      <c r="K495" t="s">
        <v>1083</v>
      </c>
      <c r="L495">
        <v>45</v>
      </c>
      <c r="M495" t="s">
        <v>44</v>
      </c>
      <c r="N495">
        <v>1.1176999999999999</v>
      </c>
      <c r="O495">
        <v>1.320456022210408</v>
      </c>
      <c r="P495">
        <v>6.3200452360757699E-3</v>
      </c>
      <c r="Q495">
        <v>6.3200452360757699E-3</v>
      </c>
      <c r="R495">
        <v>8924.2857936726032</v>
      </c>
      <c r="S495" t="s">
        <v>23</v>
      </c>
      <c r="T495">
        <v>6.8799999999999998E-3</v>
      </c>
      <c r="U495">
        <v>9714.9757583999999</v>
      </c>
      <c r="V495">
        <v>-790.68996472739673</v>
      </c>
      <c r="W495">
        <v>-8.138877382619622E-2</v>
      </c>
    </row>
    <row r="496" spans="1:23" x14ac:dyDescent="0.25">
      <c r="A496" t="s">
        <v>1084</v>
      </c>
      <c r="B496" t="s">
        <v>39</v>
      </c>
      <c r="C496" t="s">
        <v>82</v>
      </c>
      <c r="D496" t="s">
        <v>33</v>
      </c>
      <c r="E496" t="s">
        <v>83</v>
      </c>
      <c r="F496" s="1">
        <v>46220</v>
      </c>
      <c r="G496">
        <v>46265</v>
      </c>
      <c r="H496" t="s">
        <v>8</v>
      </c>
      <c r="I496">
        <v>5776.5</v>
      </c>
      <c r="J496" t="s">
        <v>75</v>
      </c>
      <c r="K496" t="s">
        <v>1085</v>
      </c>
      <c r="L496">
        <v>45</v>
      </c>
      <c r="M496" t="s">
        <v>39</v>
      </c>
      <c r="N496">
        <v>1.1435</v>
      </c>
      <c r="O496">
        <v>1.3437448588685985</v>
      </c>
      <c r="P496">
        <v>6.1594398060867217E-3</v>
      </c>
      <c r="Q496">
        <v>1.3437448588685985</v>
      </c>
      <c r="R496">
        <v>7762.1421772544591</v>
      </c>
      <c r="S496" t="s">
        <v>21</v>
      </c>
      <c r="T496">
        <v>1.2929999999999999</v>
      </c>
      <c r="U496">
        <v>7469.0144999999993</v>
      </c>
      <c r="V496">
        <v>293.12767725445974</v>
      </c>
      <c r="W496">
        <v>3.9245830524824894E-2</v>
      </c>
    </row>
    <row r="497" spans="1:23" x14ac:dyDescent="0.25">
      <c r="A497" t="s">
        <v>1086</v>
      </c>
      <c r="B497" t="s">
        <v>26</v>
      </c>
      <c r="C497" t="s">
        <v>94</v>
      </c>
      <c r="D497" t="s">
        <v>31</v>
      </c>
      <c r="E497" t="s">
        <v>74</v>
      </c>
      <c r="F497" s="1">
        <v>46342</v>
      </c>
      <c r="G497">
        <v>46372</v>
      </c>
      <c r="H497" t="s">
        <v>8</v>
      </c>
      <c r="I497">
        <v>13039.69</v>
      </c>
      <c r="J497" t="s">
        <v>84</v>
      </c>
      <c r="K497" t="s">
        <v>1087</v>
      </c>
      <c r="L497">
        <v>30</v>
      </c>
      <c r="M497" t="s">
        <v>26</v>
      </c>
      <c r="N497">
        <v>1.1176999999999999</v>
      </c>
      <c r="O497">
        <v>1.320456022210408</v>
      </c>
      <c r="P497">
        <v>6.3200452360757699E-3</v>
      </c>
      <c r="Q497">
        <v>1.320456022210408</v>
      </c>
      <c r="R497">
        <v>17218.337188256835</v>
      </c>
      <c r="S497" t="s">
        <v>23</v>
      </c>
      <c r="T497">
        <v>1.3149999999999999</v>
      </c>
      <c r="U497">
        <v>17147.192350000001</v>
      </c>
      <c r="V497">
        <v>71.144838256834191</v>
      </c>
      <c r="W497">
        <v>4.1490663197018482E-3</v>
      </c>
    </row>
    <row r="498" spans="1:23" x14ac:dyDescent="0.25">
      <c r="A498" t="s">
        <v>1088</v>
      </c>
      <c r="B498" t="s">
        <v>20</v>
      </c>
      <c r="C498" t="s">
        <v>123</v>
      </c>
      <c r="D498" t="s">
        <v>31</v>
      </c>
      <c r="E498" t="s">
        <v>124</v>
      </c>
      <c r="F498" s="1">
        <v>45692</v>
      </c>
      <c r="G498">
        <v>45737</v>
      </c>
      <c r="H498" t="s">
        <v>6</v>
      </c>
      <c r="I498">
        <v>43177.02</v>
      </c>
      <c r="J498" t="s">
        <v>75</v>
      </c>
      <c r="K498" t="s">
        <v>1089</v>
      </c>
      <c r="L498">
        <v>45</v>
      </c>
      <c r="M498" t="s">
        <v>20</v>
      </c>
      <c r="N498">
        <v>1.0335000000000001</v>
      </c>
      <c r="O498">
        <v>1.2423666875030055</v>
      </c>
      <c r="P498">
        <v>6.4384500373785196E-3</v>
      </c>
      <c r="Q498">
        <v>1.0335000000000001</v>
      </c>
      <c r="R498">
        <v>44623.450170000004</v>
      </c>
      <c r="S498" t="s">
        <v>11</v>
      </c>
      <c r="T498">
        <v>1.052</v>
      </c>
      <c r="U498">
        <v>45422.225039999998</v>
      </c>
      <c r="V498">
        <v>-798.77486999999383</v>
      </c>
      <c r="W498">
        <v>-1.7585551330798345E-2</v>
      </c>
    </row>
    <row r="499" spans="1:23" x14ac:dyDescent="0.25">
      <c r="A499" t="s">
        <v>1090</v>
      </c>
      <c r="B499" t="s">
        <v>26</v>
      </c>
      <c r="C499" t="s">
        <v>94</v>
      </c>
      <c r="D499" t="s">
        <v>31</v>
      </c>
      <c r="E499" t="s">
        <v>74</v>
      </c>
      <c r="F499" s="1">
        <v>45926</v>
      </c>
      <c r="G499">
        <v>45956</v>
      </c>
      <c r="H499" t="s">
        <v>8</v>
      </c>
      <c r="I499">
        <v>14140.66</v>
      </c>
      <c r="J499" t="s">
        <v>75</v>
      </c>
      <c r="K499" t="s">
        <v>1091</v>
      </c>
      <c r="L499">
        <v>30</v>
      </c>
      <c r="M499" t="s">
        <v>26</v>
      </c>
      <c r="N499">
        <v>1.1672</v>
      </c>
      <c r="O499">
        <v>1.3354691075514875</v>
      </c>
      <c r="P499">
        <v>6.6777275587848279E-3</v>
      </c>
      <c r="Q499">
        <v>1.3354691075514875</v>
      </c>
      <c r="R499">
        <v>18884.414590389017</v>
      </c>
      <c r="S499" t="s">
        <v>13</v>
      </c>
      <c r="T499">
        <v>1.282</v>
      </c>
      <c r="U499">
        <v>18128.326120000002</v>
      </c>
      <c r="V499">
        <v>756.08847038901513</v>
      </c>
      <c r="W499">
        <v>4.1707572193047854E-2</v>
      </c>
    </row>
    <row r="500" spans="1:23" x14ac:dyDescent="0.25">
      <c r="A500" t="s">
        <v>1092</v>
      </c>
      <c r="B500" t="s">
        <v>30</v>
      </c>
      <c r="C500" t="s">
        <v>103</v>
      </c>
      <c r="D500" t="s">
        <v>31</v>
      </c>
      <c r="E500" t="s">
        <v>74</v>
      </c>
      <c r="F500" s="1">
        <v>45957</v>
      </c>
      <c r="G500">
        <v>45987</v>
      </c>
      <c r="H500" t="s">
        <v>9</v>
      </c>
      <c r="I500">
        <v>2786393.19</v>
      </c>
      <c r="J500" t="s">
        <v>75</v>
      </c>
      <c r="K500" t="s">
        <v>1093</v>
      </c>
      <c r="L500">
        <v>30</v>
      </c>
      <c r="M500" t="s">
        <v>30</v>
      </c>
      <c r="N500">
        <v>1.1639999999999999</v>
      </c>
      <c r="O500">
        <v>1.3347093223254214</v>
      </c>
      <c r="P500">
        <v>6.5418984994098798E-3</v>
      </c>
      <c r="Q500">
        <v>6.5418984994098798E-3</v>
      </c>
      <c r="R500">
        <v>18228.301428426908</v>
      </c>
      <c r="S500" t="s">
        <v>14</v>
      </c>
      <c r="T500">
        <v>6.9800000000000001E-3</v>
      </c>
      <c r="U500">
        <v>19449.0244662</v>
      </c>
      <c r="V500">
        <v>-1220.7230377730921</v>
      </c>
      <c r="W500">
        <v>-6.2765257964200613E-2</v>
      </c>
    </row>
    <row r="501" spans="1:23" x14ac:dyDescent="0.25">
      <c r="A501" t="s">
        <v>1094</v>
      </c>
      <c r="B501" t="s">
        <v>26</v>
      </c>
      <c r="C501" t="s">
        <v>94</v>
      </c>
      <c r="D501" t="s">
        <v>31</v>
      </c>
      <c r="E501" t="s">
        <v>74</v>
      </c>
      <c r="F501" s="1">
        <v>45866</v>
      </c>
      <c r="G501">
        <v>45896</v>
      </c>
      <c r="H501" t="s">
        <v>8</v>
      </c>
      <c r="I501">
        <v>27837.759999999998</v>
      </c>
      <c r="J501" t="s">
        <v>75</v>
      </c>
      <c r="K501" t="s">
        <v>1095</v>
      </c>
      <c r="L501">
        <v>30</v>
      </c>
      <c r="M501" t="s">
        <v>26</v>
      </c>
      <c r="N501">
        <v>1.1654</v>
      </c>
      <c r="O501">
        <v>1.3427814264316165</v>
      </c>
      <c r="P501">
        <v>6.750072400810889E-3</v>
      </c>
      <c r="Q501">
        <v>1.3427814264316165</v>
      </c>
      <c r="R501">
        <v>37380.02708146099</v>
      </c>
      <c r="S501" t="s">
        <v>13</v>
      </c>
      <c r="T501">
        <v>1.282</v>
      </c>
      <c r="U501">
        <v>35688.008320000001</v>
      </c>
      <c r="V501">
        <v>1692.0187614609895</v>
      </c>
      <c r="W501">
        <v>4.7411409073023589E-2</v>
      </c>
    </row>
    <row r="502" spans="1:23" x14ac:dyDescent="0.25">
      <c r="A502" t="s">
        <v>1096</v>
      </c>
      <c r="B502" t="s">
        <v>28</v>
      </c>
      <c r="C502" t="s">
        <v>111</v>
      </c>
      <c r="D502" t="s">
        <v>31</v>
      </c>
      <c r="E502" t="s">
        <v>74</v>
      </c>
      <c r="F502" s="1">
        <v>46191</v>
      </c>
      <c r="G502">
        <v>46236</v>
      </c>
      <c r="H502" t="s">
        <v>9</v>
      </c>
      <c r="I502">
        <v>2864437.02</v>
      </c>
      <c r="J502" t="s">
        <v>75</v>
      </c>
      <c r="K502" t="s">
        <v>1097</v>
      </c>
      <c r="L502">
        <v>45</v>
      </c>
      <c r="M502" t="s">
        <v>28</v>
      </c>
      <c r="N502">
        <v>1.1460999999999999</v>
      </c>
      <c r="O502">
        <v>1.3228606385188946</v>
      </c>
      <c r="P502">
        <v>6.2139449143352845E-3</v>
      </c>
      <c r="Q502">
        <v>6.2139449143352845E-3</v>
      </c>
      <c r="R502">
        <v>17799.453852862716</v>
      </c>
      <c r="S502" t="s">
        <v>19</v>
      </c>
      <c r="T502">
        <v>6.6E-3</v>
      </c>
      <c r="U502">
        <v>18905.284331999999</v>
      </c>
      <c r="V502">
        <v>-1105.830479137283</v>
      </c>
      <c r="W502">
        <v>-5.8493194797684202E-2</v>
      </c>
    </row>
    <row r="503" spans="1:23" x14ac:dyDescent="0.25">
      <c r="A503" t="s">
        <v>1098</v>
      </c>
      <c r="B503" t="s">
        <v>30</v>
      </c>
      <c r="C503" t="s">
        <v>103</v>
      </c>
      <c r="D503" t="s">
        <v>31</v>
      </c>
      <c r="E503" t="s">
        <v>74</v>
      </c>
      <c r="F503" s="1">
        <v>45700</v>
      </c>
      <c r="G503">
        <v>45730</v>
      </c>
      <c r="H503" t="s">
        <v>9</v>
      </c>
      <c r="I503">
        <v>1306463.22</v>
      </c>
      <c r="J503" t="s">
        <v>75</v>
      </c>
      <c r="K503" t="s">
        <v>1099</v>
      </c>
      <c r="L503">
        <v>30</v>
      </c>
      <c r="M503" t="s">
        <v>30</v>
      </c>
      <c r="N503">
        <v>1.0369999999999999</v>
      </c>
      <c r="O503">
        <v>1.2443303175022198</v>
      </c>
      <c r="P503">
        <v>6.5130008792865218E-3</v>
      </c>
      <c r="Q503">
        <v>6.5130008792865218E-3</v>
      </c>
      <c r="R503">
        <v>8508.9961006155008</v>
      </c>
      <c r="S503" t="s">
        <v>11</v>
      </c>
      <c r="T503">
        <v>6.5599999999999999E-3</v>
      </c>
      <c r="U503">
        <v>8570.3987231999999</v>
      </c>
      <c r="V503">
        <v>-61.402622584499113</v>
      </c>
      <c r="W503">
        <v>-7.1645001087618839E-3</v>
      </c>
    </row>
    <row r="504" spans="1:23" x14ac:dyDescent="0.25">
      <c r="A504" t="s">
        <v>1100</v>
      </c>
      <c r="B504" t="s">
        <v>39</v>
      </c>
      <c r="C504" t="s">
        <v>82</v>
      </c>
      <c r="D504" t="s">
        <v>33</v>
      </c>
      <c r="E504" t="s">
        <v>83</v>
      </c>
      <c r="F504" s="1">
        <v>46368</v>
      </c>
      <c r="G504">
        <v>46413</v>
      </c>
      <c r="H504" t="s">
        <v>8</v>
      </c>
      <c r="I504">
        <v>11190.25</v>
      </c>
      <c r="J504" t="s">
        <v>84</v>
      </c>
      <c r="K504" t="s">
        <v>1101</v>
      </c>
      <c r="L504">
        <v>45</v>
      </c>
      <c r="M504" t="s">
        <v>39</v>
      </c>
      <c r="N504">
        <v>1.1176999999999999</v>
      </c>
      <c r="O504">
        <v>1.320456022210408</v>
      </c>
      <c r="P504">
        <v>6.3200452360757699E-3</v>
      </c>
      <c r="Q504">
        <v>1.320456022210408</v>
      </c>
      <c r="R504">
        <v>14776.233002540019</v>
      </c>
      <c r="S504" t="s">
        <v>23</v>
      </c>
      <c r="T504">
        <v>1.3149999999999999</v>
      </c>
      <c r="U504">
        <v>14715.178749999999</v>
      </c>
      <c r="V504">
        <v>61.054252540019661</v>
      </c>
      <c r="W504">
        <v>4.1490663197020061E-3</v>
      </c>
    </row>
    <row r="505" spans="1:23" x14ac:dyDescent="0.25">
      <c r="A505" t="s">
        <v>1102</v>
      </c>
      <c r="B505" t="s">
        <v>42</v>
      </c>
      <c r="C505" t="s">
        <v>151</v>
      </c>
      <c r="D505" t="s">
        <v>35</v>
      </c>
      <c r="E505" t="s">
        <v>152</v>
      </c>
      <c r="F505" s="1">
        <v>45676</v>
      </c>
      <c r="G505">
        <v>45706</v>
      </c>
      <c r="H505" t="s">
        <v>8</v>
      </c>
      <c r="I505">
        <v>4068.04</v>
      </c>
      <c r="J505" t="s">
        <v>75</v>
      </c>
      <c r="K505" t="s">
        <v>1103</v>
      </c>
      <c r="L505">
        <v>30</v>
      </c>
      <c r="M505" t="s">
        <v>42</v>
      </c>
      <c r="N505">
        <v>1.0335000000000001</v>
      </c>
      <c r="O505">
        <v>1.2423666875030055</v>
      </c>
      <c r="P505">
        <v>6.4384500373785196E-3</v>
      </c>
      <c r="Q505">
        <v>1.2423666875030055</v>
      </c>
      <c r="R505">
        <v>5053.9973794297266</v>
      </c>
      <c r="S505" t="s">
        <v>11</v>
      </c>
      <c r="T505">
        <v>1.238</v>
      </c>
      <c r="U505">
        <v>5036.2335199999998</v>
      </c>
      <c r="V505">
        <v>17.763859429726836</v>
      </c>
      <c r="W505">
        <v>3.5272112302145268E-3</v>
      </c>
    </row>
    <row r="506" spans="1:23" x14ac:dyDescent="0.25">
      <c r="A506" t="s">
        <v>1104</v>
      </c>
      <c r="B506" t="s">
        <v>26</v>
      </c>
      <c r="C506" t="s">
        <v>94</v>
      </c>
      <c r="D506" t="s">
        <v>31</v>
      </c>
      <c r="E506" t="s">
        <v>74</v>
      </c>
      <c r="F506" s="1">
        <v>45786</v>
      </c>
      <c r="G506">
        <v>45816</v>
      </c>
      <c r="H506" t="s">
        <v>8</v>
      </c>
      <c r="I506">
        <v>18689.849999999999</v>
      </c>
      <c r="J506" t="s">
        <v>75</v>
      </c>
      <c r="K506" t="s">
        <v>1105</v>
      </c>
      <c r="L506">
        <v>30</v>
      </c>
      <c r="M506" t="s">
        <v>26</v>
      </c>
      <c r="N506">
        <v>1.1252</v>
      </c>
      <c r="O506">
        <v>1.3273563760764422</v>
      </c>
      <c r="P506">
        <v>6.887855044074436E-3</v>
      </c>
      <c r="Q506">
        <v>1.3273563760764422</v>
      </c>
      <c r="R506">
        <v>24808.091565412291</v>
      </c>
      <c r="S506" t="s">
        <v>12</v>
      </c>
      <c r="T506">
        <v>1.26</v>
      </c>
      <c r="U506">
        <v>23549.210999999999</v>
      </c>
      <c r="V506">
        <v>1258.8805654122916</v>
      </c>
      <c r="W506">
        <v>5.3457441330509614E-2</v>
      </c>
    </row>
    <row r="507" spans="1:23" x14ac:dyDescent="0.25">
      <c r="A507" t="s">
        <v>1106</v>
      </c>
      <c r="B507" t="s">
        <v>25</v>
      </c>
      <c r="C507" t="s">
        <v>169</v>
      </c>
      <c r="D507" t="s">
        <v>31</v>
      </c>
      <c r="E507" t="s">
        <v>124</v>
      </c>
      <c r="F507" s="1">
        <v>45832</v>
      </c>
      <c r="G507">
        <v>45892</v>
      </c>
      <c r="H507" t="s">
        <v>6</v>
      </c>
      <c r="I507">
        <v>19106.689999999999</v>
      </c>
      <c r="J507" t="s">
        <v>75</v>
      </c>
      <c r="K507" t="s">
        <v>1107</v>
      </c>
      <c r="L507">
        <v>60</v>
      </c>
      <c r="M507" t="s">
        <v>25</v>
      </c>
      <c r="N507">
        <v>1.1607000000000001</v>
      </c>
      <c r="O507">
        <v>1.3612055822680897</v>
      </c>
      <c r="P507">
        <v>6.8978427527188451E-3</v>
      </c>
      <c r="Q507">
        <v>1.1607000000000001</v>
      </c>
      <c r="R507">
        <v>22177.135083000001</v>
      </c>
      <c r="S507" t="s">
        <v>12</v>
      </c>
      <c r="T507">
        <v>1.07</v>
      </c>
      <c r="U507">
        <v>20444.158299999999</v>
      </c>
      <c r="V507">
        <v>1732.9767830000019</v>
      </c>
      <c r="W507">
        <v>8.4766355140187016E-2</v>
      </c>
    </row>
    <row r="508" spans="1:23" x14ac:dyDescent="0.25">
      <c r="A508" t="s">
        <v>1108</v>
      </c>
      <c r="B508" t="s">
        <v>37</v>
      </c>
      <c r="C508" t="s">
        <v>91</v>
      </c>
      <c r="D508" t="s">
        <v>31</v>
      </c>
      <c r="E508" t="s">
        <v>74</v>
      </c>
      <c r="F508" s="1">
        <v>46028</v>
      </c>
      <c r="G508">
        <v>46058</v>
      </c>
      <c r="H508" t="s">
        <v>6</v>
      </c>
      <c r="I508">
        <v>24415.67</v>
      </c>
      <c r="J508" t="s">
        <v>75</v>
      </c>
      <c r="K508" t="s">
        <v>1109</v>
      </c>
      <c r="L508">
        <v>30</v>
      </c>
      <c r="M508" t="s">
        <v>37</v>
      </c>
      <c r="N508">
        <v>1.1707000000000001</v>
      </c>
      <c r="O508">
        <v>1.3513794297587443</v>
      </c>
      <c r="P508">
        <v>6.3923774161843408E-3</v>
      </c>
      <c r="Q508">
        <v>1.1707000000000001</v>
      </c>
      <c r="R508">
        <v>28583.424868999999</v>
      </c>
      <c r="S508" t="s">
        <v>16</v>
      </c>
      <c r="T508">
        <v>1.0649999999999999</v>
      </c>
      <c r="U508">
        <v>26002.688549999995</v>
      </c>
      <c r="V508">
        <v>2580.7363190000033</v>
      </c>
      <c r="W508">
        <v>9.924882629107995E-2</v>
      </c>
    </row>
    <row r="509" spans="1:23" x14ac:dyDescent="0.25">
      <c r="A509" t="s">
        <v>1110</v>
      </c>
      <c r="B509" t="s">
        <v>34</v>
      </c>
      <c r="C509" t="s">
        <v>177</v>
      </c>
      <c r="D509" t="s">
        <v>31</v>
      </c>
      <c r="E509" t="s">
        <v>74</v>
      </c>
      <c r="F509" s="1">
        <v>46153</v>
      </c>
      <c r="G509">
        <v>46213</v>
      </c>
      <c r="H509" t="s">
        <v>8</v>
      </c>
      <c r="I509">
        <v>27423.68</v>
      </c>
      <c r="J509" t="s">
        <v>75</v>
      </c>
      <c r="K509" t="s">
        <v>1111</v>
      </c>
      <c r="L509">
        <v>60</v>
      </c>
      <c r="M509" t="s">
        <v>34</v>
      </c>
      <c r="N509">
        <v>1.1765000000000001</v>
      </c>
      <c r="O509">
        <v>1.3603043196744058</v>
      </c>
      <c r="P509">
        <v>6.3639314112619687E-3</v>
      </c>
      <c r="Q509">
        <v>1.3603043196744058</v>
      </c>
      <c r="R509">
        <v>37304.55036536861</v>
      </c>
      <c r="S509" t="s">
        <v>19</v>
      </c>
      <c r="T509">
        <v>1.2709999999999999</v>
      </c>
      <c r="U509">
        <v>34855.497279999996</v>
      </c>
      <c r="V509">
        <v>2449.0530853686141</v>
      </c>
      <c r="W509">
        <v>7.0263036722585367E-2</v>
      </c>
    </row>
    <row r="510" spans="1:23" x14ac:dyDescent="0.25">
      <c r="A510" t="s">
        <v>1112</v>
      </c>
      <c r="B510" t="s">
        <v>40</v>
      </c>
      <c r="C510" t="s">
        <v>78</v>
      </c>
      <c r="D510" t="s">
        <v>33</v>
      </c>
      <c r="E510" t="s">
        <v>79</v>
      </c>
      <c r="F510" s="1">
        <v>45851</v>
      </c>
      <c r="G510">
        <v>45881</v>
      </c>
      <c r="H510" t="s">
        <v>9</v>
      </c>
      <c r="I510">
        <v>1959938.74</v>
      </c>
      <c r="J510" t="s">
        <v>75</v>
      </c>
      <c r="K510" t="s">
        <v>1113</v>
      </c>
      <c r="L510">
        <v>30</v>
      </c>
      <c r="M510" t="s">
        <v>40</v>
      </c>
      <c r="N510">
        <v>1.1568000000000001</v>
      </c>
      <c r="O510">
        <v>1.3282810885291079</v>
      </c>
      <c r="P510">
        <v>6.5555933356001364E-3</v>
      </c>
      <c r="Q510">
        <v>6.5555933356001364E-3</v>
      </c>
      <c r="R510">
        <v>12848.561342128529</v>
      </c>
      <c r="S510" t="s">
        <v>13</v>
      </c>
      <c r="T510">
        <v>6.8399999999999997E-3</v>
      </c>
      <c r="U510">
        <v>13405.9809816</v>
      </c>
      <c r="V510">
        <v>-557.41963947147087</v>
      </c>
      <c r="W510">
        <v>-4.1579921695886445E-2</v>
      </c>
    </row>
    <row r="511" spans="1:23" x14ac:dyDescent="0.25">
      <c r="A511" t="s">
        <v>1114</v>
      </c>
      <c r="B511" t="s">
        <v>36</v>
      </c>
      <c r="C511" t="s">
        <v>116</v>
      </c>
      <c r="D511" t="s">
        <v>31</v>
      </c>
      <c r="E511" t="s">
        <v>74</v>
      </c>
      <c r="F511" s="1">
        <v>46164</v>
      </c>
      <c r="G511">
        <v>46209</v>
      </c>
      <c r="H511" t="s">
        <v>6</v>
      </c>
      <c r="I511">
        <v>10993.58</v>
      </c>
      <c r="J511" t="s">
        <v>75</v>
      </c>
      <c r="K511" t="s">
        <v>1115</v>
      </c>
      <c r="L511">
        <v>45</v>
      </c>
      <c r="M511" t="s">
        <v>36</v>
      </c>
      <c r="N511">
        <v>1.1595</v>
      </c>
      <c r="O511">
        <v>1.3417343608970353</v>
      </c>
      <c r="P511">
        <v>6.2835311331490814E-3</v>
      </c>
      <c r="Q511">
        <v>1.1595</v>
      </c>
      <c r="R511">
        <v>12747.05601</v>
      </c>
      <c r="S511" t="s">
        <v>19</v>
      </c>
      <c r="T511">
        <v>1.083</v>
      </c>
      <c r="U511">
        <v>11906.047139999999</v>
      </c>
      <c r="V511">
        <v>841.00887000000148</v>
      </c>
      <c r="W511">
        <v>7.0637119113573538E-2</v>
      </c>
    </row>
    <row r="512" spans="1:23" x14ac:dyDescent="0.25">
      <c r="A512" t="s">
        <v>1116</v>
      </c>
      <c r="B512" t="s">
        <v>24</v>
      </c>
      <c r="C512" t="s">
        <v>73</v>
      </c>
      <c r="D512" t="s">
        <v>31</v>
      </c>
      <c r="E512" t="s">
        <v>74</v>
      </c>
      <c r="F512" s="1">
        <v>45815</v>
      </c>
      <c r="G512">
        <v>45845</v>
      </c>
      <c r="H512" t="s">
        <v>6</v>
      </c>
      <c r="I512">
        <v>24969.22</v>
      </c>
      <c r="J512" t="s">
        <v>75</v>
      </c>
      <c r="K512" t="s">
        <v>1117</v>
      </c>
      <c r="L512">
        <v>30</v>
      </c>
      <c r="M512" t="s">
        <v>24</v>
      </c>
      <c r="N512">
        <v>1.1638999999999999</v>
      </c>
      <c r="O512">
        <v>1.3449272012941993</v>
      </c>
      <c r="P512">
        <v>6.7633215178104474E-3</v>
      </c>
      <c r="Q512">
        <v>1.1638999999999999</v>
      </c>
      <c r="R512">
        <v>29061.675157999998</v>
      </c>
      <c r="S512" t="s">
        <v>12</v>
      </c>
      <c r="T512">
        <v>1.07</v>
      </c>
      <c r="U512">
        <v>26717.065400000003</v>
      </c>
      <c r="V512">
        <v>2344.6097579999951</v>
      </c>
      <c r="W512">
        <v>8.7757009345794196E-2</v>
      </c>
    </row>
    <row r="513" spans="1:23" x14ac:dyDescent="0.25">
      <c r="A513" t="s">
        <v>1118</v>
      </c>
      <c r="B513" t="s">
        <v>34</v>
      </c>
      <c r="C513" t="s">
        <v>177</v>
      </c>
      <c r="D513" t="s">
        <v>31</v>
      </c>
      <c r="E513" t="s">
        <v>74</v>
      </c>
      <c r="F513" s="1">
        <v>46342</v>
      </c>
      <c r="G513">
        <v>46402</v>
      </c>
      <c r="H513" t="s">
        <v>8</v>
      </c>
      <c r="I513">
        <v>17165.09</v>
      </c>
      <c r="J513" t="s">
        <v>84</v>
      </c>
      <c r="K513" t="s">
        <v>1119</v>
      </c>
      <c r="L513">
        <v>60</v>
      </c>
      <c r="M513" t="s">
        <v>34</v>
      </c>
      <c r="N513">
        <v>1.1176999999999999</v>
      </c>
      <c r="O513">
        <v>1.320456022210408</v>
      </c>
      <c r="P513">
        <v>6.3200452360757699E-3</v>
      </c>
      <c r="Q513">
        <v>1.320456022210408</v>
      </c>
      <c r="R513">
        <v>22665.746462283652</v>
      </c>
      <c r="S513" t="s">
        <v>23</v>
      </c>
      <c r="T513">
        <v>1.3149999999999999</v>
      </c>
      <c r="U513">
        <v>22572.093349999999</v>
      </c>
      <c r="V513">
        <v>93.653112283653172</v>
      </c>
      <c r="W513">
        <v>4.1490663197019419E-3</v>
      </c>
    </row>
    <row r="514" spans="1:23" x14ac:dyDescent="0.25">
      <c r="A514" t="s">
        <v>1120</v>
      </c>
      <c r="B514" t="s">
        <v>28</v>
      </c>
      <c r="C514" t="s">
        <v>111</v>
      </c>
      <c r="D514" t="s">
        <v>31</v>
      </c>
      <c r="E514" t="s">
        <v>74</v>
      </c>
      <c r="F514" s="1">
        <v>45726</v>
      </c>
      <c r="G514">
        <v>45771</v>
      </c>
      <c r="H514" t="s">
        <v>9</v>
      </c>
      <c r="I514">
        <v>668431.43000000005</v>
      </c>
      <c r="J514" t="s">
        <v>75</v>
      </c>
      <c r="K514" t="s">
        <v>1121</v>
      </c>
      <c r="L514">
        <v>45</v>
      </c>
      <c r="M514" t="s">
        <v>28</v>
      </c>
      <c r="N514">
        <v>1.0845</v>
      </c>
      <c r="O514">
        <v>1.2933964626888812</v>
      </c>
      <c r="P514">
        <v>6.8040654997176741E-3</v>
      </c>
      <c r="Q514">
        <v>6.8040654997176741E-3</v>
      </c>
      <c r="R514">
        <v>4548.0512317899502</v>
      </c>
      <c r="S514" t="s">
        <v>11</v>
      </c>
      <c r="T514">
        <v>6.5599999999999999E-3</v>
      </c>
      <c r="U514">
        <v>4384.9101808000005</v>
      </c>
      <c r="V514">
        <v>163.14105098994969</v>
      </c>
      <c r="W514">
        <v>3.7205106664279626E-2</v>
      </c>
    </row>
    <row r="515" spans="1:23" x14ac:dyDescent="0.25">
      <c r="A515" t="s">
        <v>1122</v>
      </c>
      <c r="B515" t="s">
        <v>36</v>
      </c>
      <c r="C515" t="s">
        <v>116</v>
      </c>
      <c r="D515" t="s">
        <v>31</v>
      </c>
      <c r="E515" t="s">
        <v>74</v>
      </c>
      <c r="F515" s="1">
        <v>45863</v>
      </c>
      <c r="G515">
        <v>45908</v>
      </c>
      <c r="H515" t="s">
        <v>6</v>
      </c>
      <c r="I515">
        <v>14092.13</v>
      </c>
      <c r="J515" t="s">
        <v>75</v>
      </c>
      <c r="K515" t="s">
        <v>1123</v>
      </c>
      <c r="L515">
        <v>45</v>
      </c>
      <c r="M515" t="s">
        <v>36</v>
      </c>
      <c r="N515">
        <v>1.1724000000000001</v>
      </c>
      <c r="O515">
        <v>1.3452667814113597</v>
      </c>
      <c r="P515">
        <v>6.7725723528392354E-3</v>
      </c>
      <c r="Q515">
        <v>1.1724000000000001</v>
      </c>
      <c r="R515">
        <v>16521.613212</v>
      </c>
      <c r="S515" t="s">
        <v>13</v>
      </c>
      <c r="T515">
        <v>1.0880000000000001</v>
      </c>
      <c r="U515">
        <v>15332.237440000001</v>
      </c>
      <c r="V515">
        <v>1189.3757719999994</v>
      </c>
      <c r="W515">
        <v>7.7573529411764666E-2</v>
      </c>
    </row>
    <row r="516" spans="1:23" x14ac:dyDescent="0.25">
      <c r="A516" t="s">
        <v>1122</v>
      </c>
      <c r="B516" t="s">
        <v>30</v>
      </c>
      <c r="C516" t="s">
        <v>103</v>
      </c>
      <c r="D516" t="s">
        <v>31</v>
      </c>
      <c r="E516" t="s">
        <v>74</v>
      </c>
      <c r="F516" s="1">
        <v>45701</v>
      </c>
      <c r="G516">
        <v>45731</v>
      </c>
      <c r="H516" t="s">
        <v>9</v>
      </c>
      <c r="I516">
        <v>483596.31</v>
      </c>
      <c r="J516" t="s">
        <v>75</v>
      </c>
      <c r="K516" t="s">
        <v>1124</v>
      </c>
      <c r="L516">
        <v>30</v>
      </c>
      <c r="M516" t="s">
        <v>30</v>
      </c>
      <c r="N516">
        <v>1.0389999999999999</v>
      </c>
      <c r="O516">
        <v>1.2471042934476011</v>
      </c>
      <c r="P516">
        <v>6.5022842480755988E-3</v>
      </c>
      <c r="Q516">
        <v>6.5022842480755988E-3</v>
      </c>
      <c r="R516">
        <v>3144.4806689404841</v>
      </c>
      <c r="S516" t="s">
        <v>11</v>
      </c>
      <c r="T516">
        <v>6.5599999999999999E-3</v>
      </c>
      <c r="U516">
        <v>3172.3917935999998</v>
      </c>
      <c r="V516">
        <v>-27.911124659515735</v>
      </c>
      <c r="W516">
        <v>-8.7981329153050351E-3</v>
      </c>
    </row>
    <row r="517" spans="1:23" x14ac:dyDescent="0.25">
      <c r="A517" t="s">
        <v>1125</v>
      </c>
      <c r="B517" t="s">
        <v>25</v>
      </c>
      <c r="C517" t="s">
        <v>169</v>
      </c>
      <c r="D517" t="s">
        <v>31</v>
      </c>
      <c r="E517" t="s">
        <v>124</v>
      </c>
      <c r="F517" s="1">
        <v>46055</v>
      </c>
      <c r="G517">
        <v>46115</v>
      </c>
      <c r="H517" t="s">
        <v>6</v>
      </c>
      <c r="I517">
        <v>16297.62</v>
      </c>
      <c r="J517" t="s">
        <v>75</v>
      </c>
      <c r="K517" t="s">
        <v>1126</v>
      </c>
      <c r="L517">
        <v>60</v>
      </c>
      <c r="M517" t="s">
        <v>25</v>
      </c>
      <c r="N517">
        <v>1.1839999999999999</v>
      </c>
      <c r="O517">
        <v>1.3675213675213673</v>
      </c>
      <c r="P517">
        <v>6.4491530039762508E-3</v>
      </c>
      <c r="Q517">
        <v>1.1839999999999999</v>
      </c>
      <c r="R517">
        <v>19296.382079999999</v>
      </c>
      <c r="S517" t="s">
        <v>16</v>
      </c>
      <c r="T517">
        <v>1.0649999999999999</v>
      </c>
      <c r="U517">
        <v>17356.9653</v>
      </c>
      <c r="V517">
        <v>1939.4167799999996</v>
      </c>
      <c r="W517">
        <v>0.11173708920187791</v>
      </c>
    </row>
    <row r="518" spans="1:23" x14ac:dyDescent="0.25">
      <c r="A518" t="s">
        <v>1127</v>
      </c>
      <c r="B518" t="s">
        <v>38</v>
      </c>
      <c r="C518" t="s">
        <v>87</v>
      </c>
      <c r="D518" t="s">
        <v>33</v>
      </c>
      <c r="E518" t="s">
        <v>88</v>
      </c>
      <c r="F518" s="1">
        <v>45802</v>
      </c>
      <c r="G518">
        <v>45832</v>
      </c>
      <c r="H518" t="s">
        <v>6</v>
      </c>
      <c r="I518">
        <v>4892.5200000000004</v>
      </c>
      <c r="J518" t="s">
        <v>75</v>
      </c>
      <c r="K518" t="s">
        <v>1128</v>
      </c>
      <c r="L518">
        <v>30</v>
      </c>
      <c r="M518" t="s">
        <v>38</v>
      </c>
      <c r="N518">
        <v>1.1565000000000001</v>
      </c>
      <c r="O518">
        <v>1.3286994485294119</v>
      </c>
      <c r="P518">
        <v>6.7849809328248759E-3</v>
      </c>
      <c r="Q518">
        <v>1.1565000000000001</v>
      </c>
      <c r="R518">
        <v>5658.1993800000009</v>
      </c>
      <c r="S518" t="s">
        <v>12</v>
      </c>
      <c r="T518">
        <v>1.07</v>
      </c>
      <c r="U518">
        <v>5234.9964000000009</v>
      </c>
      <c r="V518">
        <v>423.20298000000003</v>
      </c>
      <c r="W518">
        <v>8.0841121495327087E-2</v>
      </c>
    </row>
    <row r="519" spans="1:23" x14ac:dyDescent="0.25">
      <c r="A519" t="s">
        <v>1129</v>
      </c>
      <c r="B519" t="s">
        <v>30</v>
      </c>
      <c r="C519" t="s">
        <v>103</v>
      </c>
      <c r="D519" t="s">
        <v>31</v>
      </c>
      <c r="E519" t="s">
        <v>74</v>
      </c>
      <c r="F519" s="1">
        <v>46198</v>
      </c>
      <c r="G519">
        <v>46228</v>
      </c>
      <c r="H519" t="s">
        <v>9</v>
      </c>
      <c r="I519">
        <v>903090.89</v>
      </c>
      <c r="J519" t="s">
        <v>75</v>
      </c>
      <c r="K519" t="s">
        <v>1130</v>
      </c>
      <c r="L519">
        <v>30</v>
      </c>
      <c r="M519" t="s">
        <v>30</v>
      </c>
      <c r="N519">
        <v>1.1342000000000001</v>
      </c>
      <c r="O519">
        <v>1.3160368054024576</v>
      </c>
      <c r="P519">
        <v>6.1785694830309972E-3</v>
      </c>
      <c r="Q519">
        <v>6.1785694830309972E-3</v>
      </c>
      <c r="R519">
        <v>5579.809813357303</v>
      </c>
      <c r="S519" t="s">
        <v>19</v>
      </c>
      <c r="T519">
        <v>6.6E-3</v>
      </c>
      <c r="U519">
        <v>5960.3998739999997</v>
      </c>
      <c r="V519">
        <v>-380.5900606426967</v>
      </c>
      <c r="W519">
        <v>-6.3853108631667072E-2</v>
      </c>
    </row>
    <row r="520" spans="1:23" x14ac:dyDescent="0.25">
      <c r="A520" t="s">
        <v>1131</v>
      </c>
      <c r="B520" t="s">
        <v>36</v>
      </c>
      <c r="C520" t="s">
        <v>116</v>
      </c>
      <c r="D520" t="s">
        <v>31</v>
      </c>
      <c r="E520" t="s">
        <v>74</v>
      </c>
      <c r="F520" s="1">
        <v>45709</v>
      </c>
      <c r="G520">
        <v>45754</v>
      </c>
      <c r="H520" t="s">
        <v>6</v>
      </c>
      <c r="I520">
        <v>24811.78</v>
      </c>
      <c r="J520" t="s">
        <v>75</v>
      </c>
      <c r="K520" t="s">
        <v>1132</v>
      </c>
      <c r="L520">
        <v>45</v>
      </c>
      <c r="M520" t="s">
        <v>36</v>
      </c>
      <c r="N520">
        <v>1.0465</v>
      </c>
      <c r="O520">
        <v>1.2644997583373609</v>
      </c>
      <c r="P520">
        <v>6.6461323510732884E-3</v>
      </c>
      <c r="Q520">
        <v>1.0465</v>
      </c>
      <c r="R520">
        <v>25965.527769999997</v>
      </c>
      <c r="S520" t="s">
        <v>11</v>
      </c>
      <c r="T520">
        <v>1.052</v>
      </c>
      <c r="U520">
        <v>26101.992559999999</v>
      </c>
      <c r="V520">
        <v>-136.46479000000181</v>
      </c>
      <c r="W520">
        <v>-5.2281368821293474E-3</v>
      </c>
    </row>
    <row r="521" spans="1:23" x14ac:dyDescent="0.25">
      <c r="A521" t="s">
        <v>1133</v>
      </c>
      <c r="B521" t="s">
        <v>43</v>
      </c>
      <c r="C521" t="s">
        <v>215</v>
      </c>
      <c r="D521" t="s">
        <v>35</v>
      </c>
      <c r="E521" t="s">
        <v>152</v>
      </c>
      <c r="F521" s="1">
        <v>46194</v>
      </c>
      <c r="G521">
        <v>46224</v>
      </c>
      <c r="H521" t="s">
        <v>6</v>
      </c>
      <c r="I521">
        <v>1749.78</v>
      </c>
      <c r="J521" t="s">
        <v>75</v>
      </c>
      <c r="K521" t="s">
        <v>1134</v>
      </c>
      <c r="L521">
        <v>30</v>
      </c>
      <c r="M521" t="s">
        <v>43</v>
      </c>
      <c r="N521">
        <v>1.1467000000000001</v>
      </c>
      <c r="O521">
        <v>1.3233240626406473</v>
      </c>
      <c r="P521">
        <v>6.2024015577672011E-3</v>
      </c>
      <c r="Q521">
        <v>1.1467000000000001</v>
      </c>
      <c r="R521">
        <v>2006.472726</v>
      </c>
      <c r="S521" t="s">
        <v>19</v>
      </c>
      <c r="T521">
        <v>1.083</v>
      </c>
      <c r="U521">
        <v>1895.0117399999999</v>
      </c>
      <c r="V521">
        <v>111.46098600000005</v>
      </c>
      <c r="W521">
        <v>5.8818097876269647E-2</v>
      </c>
    </row>
    <row r="522" spans="1:23" x14ac:dyDescent="0.25">
      <c r="A522" t="s">
        <v>1135</v>
      </c>
      <c r="B522" t="s">
        <v>41</v>
      </c>
      <c r="C522" t="s">
        <v>172</v>
      </c>
      <c r="D522" t="s">
        <v>33</v>
      </c>
      <c r="E522" t="s">
        <v>83</v>
      </c>
      <c r="F522" s="1">
        <v>46239</v>
      </c>
      <c r="G522">
        <v>46269</v>
      </c>
      <c r="H522" t="s">
        <v>9</v>
      </c>
      <c r="I522">
        <v>908716.73</v>
      </c>
      <c r="J522" t="s">
        <v>75</v>
      </c>
      <c r="K522" t="s">
        <v>1136</v>
      </c>
      <c r="L522">
        <v>30</v>
      </c>
      <c r="M522" t="s">
        <v>41</v>
      </c>
      <c r="N522">
        <v>1.1554</v>
      </c>
      <c r="O522">
        <v>1.3478768082127859</v>
      </c>
      <c r="P522">
        <v>6.3455623901581713E-3</v>
      </c>
      <c r="Q522">
        <v>6.3455623901581713E-3</v>
      </c>
      <c r="R522">
        <v>5766.3187051955174</v>
      </c>
      <c r="S522" t="s">
        <v>21</v>
      </c>
      <c r="T522">
        <v>6.7400000000000003E-3</v>
      </c>
      <c r="U522">
        <v>6124.7507602000005</v>
      </c>
      <c r="V522">
        <v>-358.43205500448312</v>
      </c>
      <c r="W522">
        <v>-5.8521900570004372E-2</v>
      </c>
    </row>
    <row r="523" spans="1:23" x14ac:dyDescent="0.25">
      <c r="A523" t="s">
        <v>1137</v>
      </c>
      <c r="B523" t="s">
        <v>44</v>
      </c>
      <c r="C523" t="s">
        <v>138</v>
      </c>
      <c r="D523" t="s">
        <v>33</v>
      </c>
      <c r="E523" t="s">
        <v>88</v>
      </c>
      <c r="F523" s="1">
        <v>46353</v>
      </c>
      <c r="G523">
        <v>46398</v>
      </c>
      <c r="H523" t="s">
        <v>9</v>
      </c>
      <c r="I523">
        <v>654315.17000000004</v>
      </c>
      <c r="J523" t="s">
        <v>84</v>
      </c>
      <c r="K523" t="s">
        <v>1138</v>
      </c>
      <c r="L523">
        <v>45</v>
      </c>
      <c r="M523" t="s">
        <v>44</v>
      </c>
      <c r="N523">
        <v>1.1176999999999999</v>
      </c>
      <c r="O523">
        <v>1.320456022210408</v>
      </c>
      <c r="P523">
        <v>6.3200452360757699E-3</v>
      </c>
      <c r="Q523">
        <v>6.3200452360757699E-3</v>
      </c>
      <c r="R523">
        <v>4135.3014730506075</v>
      </c>
      <c r="S523" t="s">
        <v>23</v>
      </c>
      <c r="T523">
        <v>6.8799999999999998E-3</v>
      </c>
      <c r="U523">
        <v>4501.6883696000004</v>
      </c>
      <c r="V523">
        <v>-366.38689654939299</v>
      </c>
      <c r="W523">
        <v>-8.1388773826196345E-2</v>
      </c>
    </row>
    <row r="524" spans="1:23" x14ac:dyDescent="0.25">
      <c r="A524" t="s">
        <v>1139</v>
      </c>
      <c r="B524" t="s">
        <v>30</v>
      </c>
      <c r="C524" t="s">
        <v>103</v>
      </c>
      <c r="D524" t="s">
        <v>31</v>
      </c>
      <c r="E524" t="s">
        <v>74</v>
      </c>
      <c r="F524" s="1">
        <v>45796</v>
      </c>
      <c r="G524">
        <v>45826</v>
      </c>
      <c r="H524" t="s">
        <v>9</v>
      </c>
      <c r="I524">
        <v>1448594.65</v>
      </c>
      <c r="J524" t="s">
        <v>75</v>
      </c>
      <c r="K524" t="s">
        <v>1140</v>
      </c>
      <c r="L524">
        <v>30</v>
      </c>
      <c r="M524" t="s">
        <v>30</v>
      </c>
      <c r="N524">
        <v>1.1262000000000001</v>
      </c>
      <c r="O524">
        <v>1.337688561586887</v>
      </c>
      <c r="P524">
        <v>6.8981991914737239E-3</v>
      </c>
      <c r="Q524">
        <v>6.8981991914737239E-3</v>
      </c>
      <c r="R524">
        <v>9992.6944434031611</v>
      </c>
      <c r="S524" t="s">
        <v>12</v>
      </c>
      <c r="T524">
        <v>6.7000000000000002E-3</v>
      </c>
      <c r="U524">
        <v>9705.5841550000005</v>
      </c>
      <c r="V524">
        <v>287.11028840316067</v>
      </c>
      <c r="W524">
        <v>2.9581968876675063E-2</v>
      </c>
    </row>
    <row r="525" spans="1:23" x14ac:dyDescent="0.25">
      <c r="A525" t="s">
        <v>1141</v>
      </c>
      <c r="B525" t="s">
        <v>28</v>
      </c>
      <c r="C525" t="s">
        <v>111</v>
      </c>
      <c r="D525" t="s">
        <v>31</v>
      </c>
      <c r="E525" t="s">
        <v>74</v>
      </c>
      <c r="F525" s="1">
        <v>45801</v>
      </c>
      <c r="G525">
        <v>45846</v>
      </c>
      <c r="H525" t="s">
        <v>9</v>
      </c>
      <c r="I525">
        <v>1518423.8</v>
      </c>
      <c r="J525" t="s">
        <v>75</v>
      </c>
      <c r="K525" t="s">
        <v>1142</v>
      </c>
      <c r="L525">
        <v>45</v>
      </c>
      <c r="M525" t="s">
        <v>28</v>
      </c>
      <c r="N525">
        <v>1.1404000000000001</v>
      </c>
      <c r="O525">
        <v>1.3160992498557416</v>
      </c>
      <c r="P525">
        <v>6.6453003904201387E-3</v>
      </c>
      <c r="Q525">
        <v>6.6453003904201387E-3</v>
      </c>
      <c r="R525">
        <v>10090.382270963231</v>
      </c>
      <c r="S525" t="s">
        <v>12</v>
      </c>
      <c r="T525">
        <v>6.7000000000000002E-3</v>
      </c>
      <c r="U525">
        <v>10173.439460000001</v>
      </c>
      <c r="V525">
        <v>-83.057189036770069</v>
      </c>
      <c r="W525">
        <v>-8.1641208328151835E-3</v>
      </c>
    </row>
    <row r="526" spans="1:23" x14ac:dyDescent="0.25">
      <c r="A526" t="s">
        <v>1143</v>
      </c>
      <c r="B526" t="s">
        <v>32</v>
      </c>
      <c r="C526" t="s">
        <v>106</v>
      </c>
      <c r="D526" t="s">
        <v>31</v>
      </c>
      <c r="E526" t="s">
        <v>74</v>
      </c>
      <c r="F526" s="1">
        <v>46260</v>
      </c>
      <c r="G526">
        <v>46290</v>
      </c>
      <c r="H526" t="s">
        <v>6</v>
      </c>
      <c r="I526">
        <v>16941.03</v>
      </c>
      <c r="J526" t="s">
        <v>75</v>
      </c>
      <c r="K526" t="s">
        <v>1144</v>
      </c>
      <c r="L526">
        <v>30</v>
      </c>
      <c r="M526" t="s">
        <v>32</v>
      </c>
      <c r="N526">
        <v>1.1669</v>
      </c>
      <c r="O526">
        <v>1.3629939378365437</v>
      </c>
      <c r="P526">
        <v>6.2864992996444352E-3</v>
      </c>
      <c r="Q526">
        <v>1.1669</v>
      </c>
      <c r="R526">
        <v>19768.487906999999</v>
      </c>
      <c r="S526" t="s">
        <v>21</v>
      </c>
      <c r="T526">
        <v>1.101</v>
      </c>
      <c r="U526">
        <v>18652.07403</v>
      </c>
      <c r="V526">
        <v>1116.413876999999</v>
      </c>
      <c r="W526">
        <v>5.9854677565849175E-2</v>
      </c>
    </row>
    <row r="527" spans="1:23" x14ac:dyDescent="0.25">
      <c r="A527" t="s">
        <v>1145</v>
      </c>
      <c r="B527" t="s">
        <v>28</v>
      </c>
      <c r="C527" t="s">
        <v>111</v>
      </c>
      <c r="D527" t="s">
        <v>31</v>
      </c>
      <c r="E527" t="s">
        <v>74</v>
      </c>
      <c r="F527" s="1">
        <v>46066</v>
      </c>
      <c r="G527">
        <v>46111</v>
      </c>
      <c r="H527" t="s">
        <v>9</v>
      </c>
      <c r="I527">
        <v>6149269.04</v>
      </c>
      <c r="J527" t="s">
        <v>75</v>
      </c>
      <c r="K527" t="s">
        <v>1146</v>
      </c>
      <c r="L527">
        <v>45</v>
      </c>
      <c r="M527" t="s">
        <v>28</v>
      </c>
      <c r="N527">
        <v>1.1861999999999999</v>
      </c>
      <c r="O527">
        <v>1.3609453877925652</v>
      </c>
      <c r="P527">
        <v>6.5236759610625304E-3</v>
      </c>
      <c r="Q527">
        <v>6.5236759610625304E-3</v>
      </c>
      <c r="R527">
        <v>40115.838614354063</v>
      </c>
      <c r="S527" t="s">
        <v>16</v>
      </c>
      <c r="T527">
        <v>6.4599999999999996E-3</v>
      </c>
      <c r="U527">
        <v>39724.277998400001</v>
      </c>
      <c r="V527">
        <v>391.56061595406209</v>
      </c>
      <c r="W527">
        <v>9.8569599168003303E-3</v>
      </c>
    </row>
    <row r="528" spans="1:23" x14ac:dyDescent="0.25">
      <c r="A528" t="s">
        <v>1147</v>
      </c>
      <c r="B528" t="s">
        <v>32</v>
      </c>
      <c r="C528" t="s">
        <v>106</v>
      </c>
      <c r="D528" t="s">
        <v>31</v>
      </c>
      <c r="E528" t="s">
        <v>74</v>
      </c>
      <c r="F528" s="1">
        <v>45808</v>
      </c>
      <c r="G528">
        <v>45838</v>
      </c>
      <c r="H528" t="s">
        <v>6</v>
      </c>
      <c r="I528">
        <v>13759.07</v>
      </c>
      <c r="J528" t="s">
        <v>75</v>
      </c>
      <c r="K528" t="s">
        <v>1148</v>
      </c>
      <c r="L528">
        <v>30</v>
      </c>
      <c r="M528" t="s">
        <v>32</v>
      </c>
      <c r="N528">
        <v>1.1606000000000001</v>
      </c>
      <c r="O528">
        <v>1.3462475350887368</v>
      </c>
      <c r="P528">
        <v>6.7359257109692395E-3</v>
      </c>
      <c r="Q528">
        <v>1.1606000000000001</v>
      </c>
      <c r="R528">
        <v>15968.776642000001</v>
      </c>
      <c r="S528" t="s">
        <v>12</v>
      </c>
      <c r="T528">
        <v>1.07</v>
      </c>
      <c r="U528">
        <v>14722.204900000001</v>
      </c>
      <c r="V528">
        <v>1246.5717420000001</v>
      </c>
      <c r="W528">
        <v>8.4672897196261684E-2</v>
      </c>
    </row>
    <row r="529" spans="1:23" x14ac:dyDescent="0.25">
      <c r="A529" t="s">
        <v>1149</v>
      </c>
      <c r="B529" t="s">
        <v>44</v>
      </c>
      <c r="C529" t="s">
        <v>138</v>
      </c>
      <c r="D529" t="s">
        <v>33</v>
      </c>
      <c r="E529" t="s">
        <v>88</v>
      </c>
      <c r="F529" s="1">
        <v>45725</v>
      </c>
      <c r="G529">
        <v>45770</v>
      </c>
      <c r="H529" t="s">
        <v>9</v>
      </c>
      <c r="I529">
        <v>955538.54</v>
      </c>
      <c r="J529" t="s">
        <v>75</v>
      </c>
      <c r="K529" t="s">
        <v>1150</v>
      </c>
      <c r="L529">
        <v>45</v>
      </c>
      <c r="M529" t="s">
        <v>44</v>
      </c>
      <c r="N529">
        <v>1.1376999999999999</v>
      </c>
      <c r="O529">
        <v>1.3170415475267123</v>
      </c>
      <c r="P529">
        <v>6.981039455114438E-3</v>
      </c>
      <c r="Q529">
        <v>6.981039455114438E-3</v>
      </c>
      <c r="R529">
        <v>6670.6522486224458</v>
      </c>
      <c r="S529" t="s">
        <v>11</v>
      </c>
      <c r="T529">
        <v>6.5599999999999999E-3</v>
      </c>
      <c r="U529">
        <v>6268.3328223999997</v>
      </c>
      <c r="V529">
        <v>402.31942622244605</v>
      </c>
      <c r="W529">
        <v>6.4182843767444889E-2</v>
      </c>
    </row>
    <row r="530" spans="1:23" x14ac:dyDescent="0.25">
      <c r="A530" t="s">
        <v>1151</v>
      </c>
      <c r="B530" t="s">
        <v>28</v>
      </c>
      <c r="C530" t="s">
        <v>111</v>
      </c>
      <c r="D530" t="s">
        <v>31</v>
      </c>
      <c r="E530" t="s">
        <v>74</v>
      </c>
      <c r="F530" s="1">
        <v>45849</v>
      </c>
      <c r="G530">
        <v>45894</v>
      </c>
      <c r="H530" t="s">
        <v>9</v>
      </c>
      <c r="I530">
        <v>1844442.37</v>
      </c>
      <c r="J530" t="s">
        <v>75</v>
      </c>
      <c r="K530" t="s">
        <v>1152</v>
      </c>
      <c r="L530">
        <v>45</v>
      </c>
      <c r="M530" t="s">
        <v>28</v>
      </c>
      <c r="N530">
        <v>1.1682999999999999</v>
      </c>
      <c r="O530">
        <v>1.3495437218435946</v>
      </c>
      <c r="P530">
        <v>6.7999534369361497E-3</v>
      </c>
      <c r="Q530">
        <v>6.7999534369361497E-3</v>
      </c>
      <c r="R530">
        <v>12542.122233112159</v>
      </c>
      <c r="S530" t="s">
        <v>13</v>
      </c>
      <c r="T530">
        <v>6.8399999999999997E-3</v>
      </c>
      <c r="U530">
        <v>12615.985810800001</v>
      </c>
      <c r="V530">
        <v>-73.863577687841826</v>
      </c>
      <c r="W530">
        <v>-5.8547606818494047E-3</v>
      </c>
    </row>
    <row r="531" spans="1:23" x14ac:dyDescent="0.25">
      <c r="A531" t="s">
        <v>1153</v>
      </c>
      <c r="B531" t="s">
        <v>41</v>
      </c>
      <c r="C531" t="s">
        <v>172</v>
      </c>
      <c r="D531" t="s">
        <v>33</v>
      </c>
      <c r="E531" t="s">
        <v>83</v>
      </c>
      <c r="F531" s="1">
        <v>45705</v>
      </c>
      <c r="G531">
        <v>45735</v>
      </c>
      <c r="H531" t="s">
        <v>9</v>
      </c>
      <c r="I531">
        <v>2399045.48</v>
      </c>
      <c r="J531" t="s">
        <v>75</v>
      </c>
      <c r="K531" t="s">
        <v>1154</v>
      </c>
      <c r="L531">
        <v>30</v>
      </c>
      <c r="M531" t="s">
        <v>41</v>
      </c>
      <c r="N531">
        <v>1.0472999999999999</v>
      </c>
      <c r="O531">
        <v>1.2597885316300386</v>
      </c>
      <c r="P531">
        <v>6.6004915863112123E-3</v>
      </c>
      <c r="Q531">
        <v>6.6004915863112123E-3</v>
      </c>
      <c r="R531">
        <v>15834.879505917943</v>
      </c>
      <c r="S531" t="s">
        <v>11</v>
      </c>
      <c r="T531">
        <v>6.5599999999999999E-3</v>
      </c>
      <c r="U531">
        <v>15737.7383488</v>
      </c>
      <c r="V531">
        <v>97.141157117943294</v>
      </c>
      <c r="W531">
        <v>6.1724979132945293E-3</v>
      </c>
    </row>
    <row r="532" spans="1:23" x14ac:dyDescent="0.25">
      <c r="A532" t="s">
        <v>1155</v>
      </c>
      <c r="B532" t="s">
        <v>34</v>
      </c>
      <c r="C532" t="s">
        <v>177</v>
      </c>
      <c r="D532" t="s">
        <v>31</v>
      </c>
      <c r="E532" t="s">
        <v>74</v>
      </c>
      <c r="F532" s="1">
        <v>45952</v>
      </c>
      <c r="G532">
        <v>46012</v>
      </c>
      <c r="H532" t="s">
        <v>8</v>
      </c>
      <c r="I532">
        <v>16200.38</v>
      </c>
      <c r="J532" t="s">
        <v>75</v>
      </c>
      <c r="K532" t="s">
        <v>1156</v>
      </c>
      <c r="L532">
        <v>60</v>
      </c>
      <c r="M532" t="s">
        <v>34</v>
      </c>
      <c r="N532">
        <v>1.1587000000000001</v>
      </c>
      <c r="O532">
        <v>1.333525146737254</v>
      </c>
      <c r="P532">
        <v>6.5865165984538435E-3</v>
      </c>
      <c r="Q532">
        <v>1.333525146737254</v>
      </c>
      <c r="R532">
        <v>21603.614116699275</v>
      </c>
      <c r="S532" t="s">
        <v>14</v>
      </c>
      <c r="T532">
        <v>1.304</v>
      </c>
      <c r="U532">
        <v>21125.29552</v>
      </c>
      <c r="V532">
        <v>478.31859669927508</v>
      </c>
      <c r="W532">
        <v>2.2641983694213195E-2</v>
      </c>
    </row>
    <row r="533" spans="1:23" x14ac:dyDescent="0.25">
      <c r="A533" t="s">
        <v>1157</v>
      </c>
      <c r="B533" t="s">
        <v>24</v>
      </c>
      <c r="C533" t="s">
        <v>73</v>
      </c>
      <c r="D533" t="s">
        <v>31</v>
      </c>
      <c r="E533" t="s">
        <v>74</v>
      </c>
      <c r="F533" s="1">
        <v>46247</v>
      </c>
      <c r="G533">
        <v>46277</v>
      </c>
      <c r="H533" t="s">
        <v>6</v>
      </c>
      <c r="I533">
        <v>40467.94</v>
      </c>
      <c r="J533" t="s">
        <v>75</v>
      </c>
      <c r="K533" t="s">
        <v>1158</v>
      </c>
      <c r="L533">
        <v>30</v>
      </c>
      <c r="M533" t="s">
        <v>24</v>
      </c>
      <c r="N533">
        <v>1.1534</v>
      </c>
      <c r="O533">
        <v>1.3491636448707451</v>
      </c>
      <c r="P533">
        <v>6.2763236654513792E-3</v>
      </c>
      <c r="Q533">
        <v>1.1534</v>
      </c>
      <c r="R533">
        <v>46675.721996</v>
      </c>
      <c r="S533" t="s">
        <v>21</v>
      </c>
      <c r="T533">
        <v>1.101</v>
      </c>
      <c r="U533">
        <v>44555.201939999999</v>
      </c>
      <c r="V533">
        <v>2120.5200560000012</v>
      </c>
      <c r="W533">
        <v>4.7593097184377868E-2</v>
      </c>
    </row>
    <row r="534" spans="1:23" x14ac:dyDescent="0.25">
      <c r="A534" t="s">
        <v>1159</v>
      </c>
      <c r="B534" t="s">
        <v>30</v>
      </c>
      <c r="C534" t="s">
        <v>103</v>
      </c>
      <c r="D534" t="s">
        <v>31</v>
      </c>
      <c r="E534" t="s">
        <v>74</v>
      </c>
      <c r="F534" s="1">
        <v>46310</v>
      </c>
      <c r="G534">
        <v>46340</v>
      </c>
      <c r="H534" t="s">
        <v>9</v>
      </c>
      <c r="I534">
        <v>2776726.7</v>
      </c>
      <c r="J534" t="s">
        <v>84</v>
      </c>
      <c r="K534" t="s">
        <v>1160</v>
      </c>
      <c r="L534">
        <v>30</v>
      </c>
      <c r="M534" t="s">
        <v>30</v>
      </c>
      <c r="N534">
        <v>1.1176999999999999</v>
      </c>
      <c r="O534">
        <v>1.320456022210408</v>
      </c>
      <c r="P534">
        <v>6.3200452360757699E-3</v>
      </c>
      <c r="Q534">
        <v>6.3200452360757699E-3</v>
      </c>
      <c r="R534">
        <v>17549.038352219395</v>
      </c>
      <c r="S534" t="s">
        <v>23</v>
      </c>
      <c r="T534">
        <v>6.8799999999999998E-3</v>
      </c>
      <c r="U534">
        <v>19103.879696</v>
      </c>
      <c r="V534">
        <v>-1554.8413437806048</v>
      </c>
      <c r="W534">
        <v>-8.1388773826196151E-2</v>
      </c>
    </row>
    <row r="535" spans="1:23" x14ac:dyDescent="0.25">
      <c r="A535" t="s">
        <v>1161</v>
      </c>
      <c r="B535" t="s">
        <v>25</v>
      </c>
      <c r="C535" t="s">
        <v>169</v>
      </c>
      <c r="D535" t="s">
        <v>31</v>
      </c>
      <c r="E535" t="s">
        <v>124</v>
      </c>
      <c r="F535" s="1">
        <v>46043</v>
      </c>
      <c r="G535">
        <v>46103</v>
      </c>
      <c r="H535" t="s">
        <v>6</v>
      </c>
      <c r="I535">
        <v>37576.03</v>
      </c>
      <c r="J535" t="s">
        <v>75</v>
      </c>
      <c r="K535" t="s">
        <v>1162</v>
      </c>
      <c r="L535">
        <v>60</v>
      </c>
      <c r="M535" t="s">
        <v>25</v>
      </c>
      <c r="N535">
        <v>1.1738999999999999</v>
      </c>
      <c r="O535">
        <v>1.3425205855443734</v>
      </c>
      <c r="P535">
        <v>6.3375263186308912E-3</v>
      </c>
      <c r="Q535">
        <v>1.1738999999999999</v>
      </c>
      <c r="R535">
        <v>44110.501616999994</v>
      </c>
      <c r="S535" t="s">
        <v>16</v>
      </c>
      <c r="T535">
        <v>1.0649999999999999</v>
      </c>
      <c r="U535">
        <v>40018.471949999999</v>
      </c>
      <c r="V535">
        <v>4092.0296669999952</v>
      </c>
      <c r="W535">
        <v>0.10225352112676045</v>
      </c>
    </row>
    <row r="536" spans="1:23" x14ac:dyDescent="0.25">
      <c r="A536" t="s">
        <v>1163</v>
      </c>
      <c r="B536" t="s">
        <v>32</v>
      </c>
      <c r="C536" t="s">
        <v>106</v>
      </c>
      <c r="D536" t="s">
        <v>31</v>
      </c>
      <c r="E536" t="s">
        <v>74</v>
      </c>
      <c r="F536" s="1">
        <v>45767</v>
      </c>
      <c r="G536">
        <v>45797</v>
      </c>
      <c r="H536" t="s">
        <v>6</v>
      </c>
      <c r="I536">
        <v>3057.05</v>
      </c>
      <c r="J536" t="s">
        <v>75</v>
      </c>
      <c r="K536" t="s">
        <v>1164</v>
      </c>
      <c r="L536">
        <v>30</v>
      </c>
      <c r="M536" t="s">
        <v>32</v>
      </c>
      <c r="N536">
        <v>1.1574</v>
      </c>
      <c r="O536">
        <v>1.357972544878564</v>
      </c>
      <c r="P536">
        <v>6.9351069566780518E-3</v>
      </c>
      <c r="Q536">
        <v>1.1574</v>
      </c>
      <c r="R536">
        <v>3538.2296700000002</v>
      </c>
      <c r="S536" t="s">
        <v>12</v>
      </c>
      <c r="T536">
        <v>1.07</v>
      </c>
      <c r="U536">
        <v>3271.0435000000002</v>
      </c>
      <c r="V536">
        <v>267.18616999999995</v>
      </c>
      <c r="W536">
        <v>8.1682242990654186E-2</v>
      </c>
    </row>
    <row r="537" spans="1:23" x14ac:dyDescent="0.25">
      <c r="A537" t="s">
        <v>1165</v>
      </c>
      <c r="B537" t="s">
        <v>38</v>
      </c>
      <c r="C537" t="s">
        <v>87</v>
      </c>
      <c r="D537" t="s">
        <v>33</v>
      </c>
      <c r="E537" t="s">
        <v>88</v>
      </c>
      <c r="F537" s="1">
        <v>45944</v>
      </c>
      <c r="G537">
        <v>45974</v>
      </c>
      <c r="H537" t="s">
        <v>6</v>
      </c>
      <c r="I537">
        <v>11546.81</v>
      </c>
      <c r="J537" t="s">
        <v>75</v>
      </c>
      <c r="K537" t="s">
        <v>1166</v>
      </c>
      <c r="L537">
        <v>30</v>
      </c>
      <c r="M537" t="s">
        <v>38</v>
      </c>
      <c r="N537">
        <v>1.1553</v>
      </c>
      <c r="O537">
        <v>1.3261019283746556</v>
      </c>
      <c r="P537">
        <v>6.5746642385613478E-3</v>
      </c>
      <c r="Q537">
        <v>1.1553</v>
      </c>
      <c r="R537">
        <v>13340.029592999999</v>
      </c>
      <c r="S537" t="s">
        <v>14</v>
      </c>
      <c r="T537">
        <v>1.1060000000000001</v>
      </c>
      <c r="U537">
        <v>12770.771860000001</v>
      </c>
      <c r="V537">
        <v>569.25773299999855</v>
      </c>
      <c r="W537">
        <v>4.4575045207956486E-2</v>
      </c>
    </row>
    <row r="538" spans="1:23" x14ac:dyDescent="0.25">
      <c r="A538" t="s">
        <v>1167</v>
      </c>
      <c r="B538" t="s">
        <v>26</v>
      </c>
      <c r="C538" t="s">
        <v>94</v>
      </c>
      <c r="D538" t="s">
        <v>31</v>
      </c>
      <c r="E538" t="s">
        <v>74</v>
      </c>
      <c r="F538" s="1">
        <v>45884</v>
      </c>
      <c r="G538">
        <v>45914</v>
      </c>
      <c r="H538" t="s">
        <v>8</v>
      </c>
      <c r="I538">
        <v>30318.720000000001</v>
      </c>
      <c r="J538" t="s">
        <v>75</v>
      </c>
      <c r="K538" t="s">
        <v>1168</v>
      </c>
      <c r="L538">
        <v>30</v>
      </c>
      <c r="M538" t="s">
        <v>26</v>
      </c>
      <c r="N538">
        <v>1.1688000000000001</v>
      </c>
      <c r="O538">
        <v>1.3556019485038275</v>
      </c>
      <c r="P538">
        <v>6.8028636284267509E-3</v>
      </c>
      <c r="Q538">
        <v>1.3556019485038275</v>
      </c>
      <c r="R538">
        <v>41100.115908141968</v>
      </c>
      <c r="S538" t="s">
        <v>13</v>
      </c>
      <c r="T538">
        <v>1.282</v>
      </c>
      <c r="U538">
        <v>38868.599040000001</v>
      </c>
      <c r="V538">
        <v>2231.5168681419673</v>
      </c>
      <c r="W538">
        <v>5.7411816305637735E-2</v>
      </c>
    </row>
    <row r="539" spans="1:23" x14ac:dyDescent="0.25">
      <c r="A539" t="s">
        <v>1169</v>
      </c>
      <c r="B539" t="s">
        <v>39</v>
      </c>
      <c r="C539" t="s">
        <v>82</v>
      </c>
      <c r="D539" t="s">
        <v>33</v>
      </c>
      <c r="E539" t="s">
        <v>83</v>
      </c>
      <c r="F539" s="1">
        <v>45709</v>
      </c>
      <c r="G539">
        <v>45754</v>
      </c>
      <c r="H539" t="s">
        <v>8</v>
      </c>
      <c r="I539">
        <v>10967.25</v>
      </c>
      <c r="J539" t="s">
        <v>75</v>
      </c>
      <c r="K539" t="s">
        <v>1170</v>
      </c>
      <c r="L539">
        <v>45</v>
      </c>
      <c r="M539" t="s">
        <v>39</v>
      </c>
      <c r="N539">
        <v>1.0465</v>
      </c>
      <c r="O539">
        <v>1.2644997583373609</v>
      </c>
      <c r="P539">
        <v>6.6461323510732884E-3</v>
      </c>
      <c r="Q539">
        <v>1.2644997583373609</v>
      </c>
      <c r="R539">
        <v>13868.084974625423</v>
      </c>
      <c r="S539" t="s">
        <v>11</v>
      </c>
      <c r="T539">
        <v>1.238</v>
      </c>
      <c r="U539">
        <v>13577.4555</v>
      </c>
      <c r="V539">
        <v>290.62947462542252</v>
      </c>
      <c r="W539">
        <v>2.1405297526139747E-2</v>
      </c>
    </row>
    <row r="540" spans="1:23" x14ac:dyDescent="0.25">
      <c r="A540" t="s">
        <v>1171</v>
      </c>
      <c r="B540" t="s">
        <v>26</v>
      </c>
      <c r="C540" t="s">
        <v>94</v>
      </c>
      <c r="D540" t="s">
        <v>31</v>
      </c>
      <c r="E540" t="s">
        <v>74</v>
      </c>
      <c r="F540" s="1">
        <v>45803</v>
      </c>
      <c r="G540">
        <v>45833</v>
      </c>
      <c r="H540" t="s">
        <v>8</v>
      </c>
      <c r="I540">
        <v>15655.64</v>
      </c>
      <c r="J540" t="s">
        <v>75</v>
      </c>
      <c r="K540" t="s">
        <v>1172</v>
      </c>
      <c r="L540">
        <v>30</v>
      </c>
      <c r="M540" t="s">
        <v>26</v>
      </c>
      <c r="N540">
        <v>1.1380999999999999</v>
      </c>
      <c r="O540">
        <v>1.3561725452812201</v>
      </c>
      <c r="P540">
        <v>6.9980938326262062E-3</v>
      </c>
      <c r="Q540">
        <v>1.3561725452812201</v>
      </c>
      <c r="R540">
        <v>21231.74914680648</v>
      </c>
      <c r="S540" t="s">
        <v>12</v>
      </c>
      <c r="T540">
        <v>1.26</v>
      </c>
      <c r="U540">
        <v>19726.106400000001</v>
      </c>
      <c r="V540">
        <v>1505.6427468064794</v>
      </c>
      <c r="W540">
        <v>7.6327416889857155E-2</v>
      </c>
    </row>
    <row r="541" spans="1:23" x14ac:dyDescent="0.25">
      <c r="A541" t="s">
        <v>1173</v>
      </c>
      <c r="B541" t="s">
        <v>34</v>
      </c>
      <c r="C541" t="s">
        <v>177</v>
      </c>
      <c r="D541" t="s">
        <v>31</v>
      </c>
      <c r="E541" t="s">
        <v>74</v>
      </c>
      <c r="F541" s="1">
        <v>46101</v>
      </c>
      <c r="G541">
        <v>46161</v>
      </c>
      <c r="H541" t="s">
        <v>8</v>
      </c>
      <c r="I541">
        <v>3724.84</v>
      </c>
      <c r="J541" t="s">
        <v>75</v>
      </c>
      <c r="K541" t="s">
        <v>1174</v>
      </c>
      <c r="L541">
        <v>60</v>
      </c>
      <c r="M541" t="s">
        <v>34</v>
      </c>
      <c r="N541">
        <v>1.1555</v>
      </c>
      <c r="O541">
        <v>1.3367963164349013</v>
      </c>
      <c r="P541">
        <v>6.2983756677204832E-3</v>
      </c>
      <c r="Q541">
        <v>1.3367963164349013</v>
      </c>
      <c r="R541">
        <v>4979.3523913093777</v>
      </c>
      <c r="S541" t="s">
        <v>16</v>
      </c>
      <c r="T541">
        <v>1.2490000000000001</v>
      </c>
      <c r="U541">
        <v>4652.3251600000003</v>
      </c>
      <c r="V541">
        <v>327.02723130937738</v>
      </c>
      <c r="W541">
        <v>7.0293287778143476E-2</v>
      </c>
    </row>
    <row r="542" spans="1:23" x14ac:dyDescent="0.25">
      <c r="A542" t="s">
        <v>1175</v>
      </c>
      <c r="B542" t="s">
        <v>44</v>
      </c>
      <c r="C542" t="s">
        <v>138</v>
      </c>
      <c r="D542" t="s">
        <v>33</v>
      </c>
      <c r="E542" t="s">
        <v>88</v>
      </c>
      <c r="F542" s="1">
        <v>45862</v>
      </c>
      <c r="G542">
        <v>45907</v>
      </c>
      <c r="H542" t="s">
        <v>9</v>
      </c>
      <c r="I542">
        <v>1371669.3</v>
      </c>
      <c r="J542" t="s">
        <v>75</v>
      </c>
      <c r="K542" t="s">
        <v>1176</v>
      </c>
      <c r="L542">
        <v>45</v>
      </c>
      <c r="M542" t="s">
        <v>44</v>
      </c>
      <c r="N542">
        <v>1.1756</v>
      </c>
      <c r="O542">
        <v>1.355158501440922</v>
      </c>
      <c r="P542">
        <v>6.8261525955173614E-3</v>
      </c>
      <c r="Q542">
        <v>6.8261525955173614E-3</v>
      </c>
      <c r="R542">
        <v>9363.2239523864828</v>
      </c>
      <c r="S542" t="s">
        <v>13</v>
      </c>
      <c r="T542">
        <v>6.8399999999999997E-3</v>
      </c>
      <c r="U542">
        <v>9382.2180119999994</v>
      </c>
      <c r="V542">
        <v>-18.994059613516583</v>
      </c>
      <c r="W542">
        <v>-2.0244743395669224E-3</v>
      </c>
    </row>
    <row r="543" spans="1:23" x14ac:dyDescent="0.25">
      <c r="A543" t="s">
        <v>1177</v>
      </c>
      <c r="B543" t="s">
        <v>34</v>
      </c>
      <c r="C543" t="s">
        <v>177</v>
      </c>
      <c r="D543" t="s">
        <v>31</v>
      </c>
      <c r="E543" t="s">
        <v>74</v>
      </c>
      <c r="F543" s="1">
        <v>45937</v>
      </c>
      <c r="G543">
        <v>45997</v>
      </c>
      <c r="H543" t="s">
        <v>8</v>
      </c>
      <c r="I543">
        <v>2474.4</v>
      </c>
      <c r="J543" t="s">
        <v>75</v>
      </c>
      <c r="K543" t="s">
        <v>1178</v>
      </c>
      <c r="L543">
        <v>60</v>
      </c>
      <c r="M543" t="s">
        <v>34</v>
      </c>
      <c r="N543">
        <v>1.1666000000000001</v>
      </c>
      <c r="O543">
        <v>1.3404573135700335</v>
      </c>
      <c r="P543">
        <v>6.6265265549559785E-3</v>
      </c>
      <c r="Q543">
        <v>1.3404573135700335</v>
      </c>
      <c r="R543">
        <v>3316.8275766976908</v>
      </c>
      <c r="S543" t="s">
        <v>14</v>
      </c>
      <c r="T543">
        <v>1.304</v>
      </c>
      <c r="U543">
        <v>3226.6176</v>
      </c>
      <c r="V543">
        <v>90.209976697690763</v>
      </c>
      <c r="W543">
        <v>2.7958062553706631E-2</v>
      </c>
    </row>
    <row r="544" spans="1:23" x14ac:dyDescent="0.25">
      <c r="A544" t="s">
        <v>1179</v>
      </c>
      <c r="B544" t="s">
        <v>20</v>
      </c>
      <c r="C544" t="s">
        <v>123</v>
      </c>
      <c r="D544" t="s">
        <v>31</v>
      </c>
      <c r="E544" t="s">
        <v>124</v>
      </c>
      <c r="F544" s="1">
        <v>46047</v>
      </c>
      <c r="G544">
        <v>46092</v>
      </c>
      <c r="H544" t="s">
        <v>6</v>
      </c>
      <c r="I544">
        <v>75142.42</v>
      </c>
      <c r="J544" t="s">
        <v>75</v>
      </c>
      <c r="K544" t="s">
        <v>1180</v>
      </c>
      <c r="L544">
        <v>45</v>
      </c>
      <c r="M544" t="s">
        <v>20</v>
      </c>
      <c r="N544">
        <v>1.1555</v>
      </c>
      <c r="O544">
        <v>1.3367963164349013</v>
      </c>
      <c r="P544">
        <v>6.2983756677204832E-3</v>
      </c>
      <c r="Q544">
        <v>1.1555</v>
      </c>
      <c r="R544">
        <v>86827.066309999995</v>
      </c>
      <c r="S544" t="s">
        <v>16</v>
      </c>
      <c r="T544">
        <v>1.0649999999999999</v>
      </c>
      <c r="U544">
        <v>80026.677299999996</v>
      </c>
      <c r="V544">
        <v>6800.389009999999</v>
      </c>
      <c r="W544">
        <v>8.4976525821596233E-2</v>
      </c>
    </row>
    <row r="545" spans="1:23" x14ac:dyDescent="0.25">
      <c r="A545" t="s">
        <v>1181</v>
      </c>
      <c r="B545" t="s">
        <v>28</v>
      </c>
      <c r="C545" t="s">
        <v>111</v>
      </c>
      <c r="D545" t="s">
        <v>31</v>
      </c>
      <c r="E545" t="s">
        <v>74</v>
      </c>
      <c r="F545" s="1">
        <v>46386</v>
      </c>
      <c r="G545">
        <v>46431</v>
      </c>
      <c r="H545" t="s">
        <v>9</v>
      </c>
      <c r="I545">
        <v>1888287.78</v>
      </c>
      <c r="J545" t="s">
        <v>84</v>
      </c>
      <c r="K545" t="s">
        <v>1182</v>
      </c>
      <c r="L545">
        <v>45</v>
      </c>
      <c r="M545" t="s">
        <v>28</v>
      </c>
      <c r="N545">
        <v>1.1176999999999999</v>
      </c>
      <c r="O545">
        <v>1.320456022210408</v>
      </c>
      <c r="P545">
        <v>6.3200452360757699E-3</v>
      </c>
      <c r="Q545">
        <v>6.3200452360757699E-3</v>
      </c>
      <c r="R545">
        <v>11934.064188329092</v>
      </c>
      <c r="S545" t="s">
        <v>23</v>
      </c>
      <c r="T545">
        <v>6.8799999999999998E-3</v>
      </c>
      <c r="U545">
        <v>12991.4199264</v>
      </c>
      <c r="V545">
        <v>-1057.355738070908</v>
      </c>
      <c r="W545">
        <v>-8.1388773826196192E-2</v>
      </c>
    </row>
    <row r="546" spans="1:23" x14ac:dyDescent="0.25">
      <c r="A546" t="s">
        <v>1183</v>
      </c>
      <c r="B546" t="s">
        <v>44</v>
      </c>
      <c r="C546" t="s">
        <v>138</v>
      </c>
      <c r="D546" t="s">
        <v>33</v>
      </c>
      <c r="E546" t="s">
        <v>88</v>
      </c>
      <c r="F546" s="1">
        <v>45907</v>
      </c>
      <c r="G546">
        <v>45952</v>
      </c>
      <c r="H546" t="s">
        <v>9</v>
      </c>
      <c r="I546">
        <v>1143541.96</v>
      </c>
      <c r="J546" t="s">
        <v>75</v>
      </c>
      <c r="K546" t="s">
        <v>1184</v>
      </c>
      <c r="L546">
        <v>45</v>
      </c>
      <c r="M546" t="s">
        <v>44</v>
      </c>
      <c r="N546">
        <v>1.175</v>
      </c>
      <c r="O546">
        <v>1.3465505386202155</v>
      </c>
      <c r="P546">
        <v>6.3827475691237987E-3</v>
      </c>
      <c r="Q546">
        <v>6.3827475691237987E-3</v>
      </c>
      <c r="R546">
        <v>7298.9396653810636</v>
      </c>
      <c r="S546" t="s">
        <v>13</v>
      </c>
      <c r="T546">
        <v>6.8399999999999997E-3</v>
      </c>
      <c r="U546">
        <v>7821.8270063999998</v>
      </c>
      <c r="V546">
        <v>-522.88734101893624</v>
      </c>
      <c r="W546">
        <v>-6.6849770595935928E-2</v>
      </c>
    </row>
    <row r="547" spans="1:23" x14ac:dyDescent="0.25">
      <c r="A547" t="s">
        <v>1185</v>
      </c>
      <c r="B547" t="s">
        <v>28</v>
      </c>
      <c r="C547" t="s">
        <v>111</v>
      </c>
      <c r="D547" t="s">
        <v>31</v>
      </c>
      <c r="E547" t="s">
        <v>74</v>
      </c>
      <c r="F547" s="1">
        <v>45665</v>
      </c>
      <c r="G547">
        <v>45710</v>
      </c>
      <c r="H547" t="s">
        <v>9</v>
      </c>
      <c r="I547">
        <v>2981902.22</v>
      </c>
      <c r="J547" t="s">
        <v>75</v>
      </c>
      <c r="K547" t="s">
        <v>1186</v>
      </c>
      <c r="L547">
        <v>45</v>
      </c>
      <c r="M547" t="s">
        <v>28</v>
      </c>
      <c r="N547">
        <v>1.0286</v>
      </c>
      <c r="O547">
        <v>1.2332889704207282</v>
      </c>
      <c r="P547">
        <v>6.3127531606726401E-3</v>
      </c>
      <c r="Q547">
        <v>6.3127531606726401E-3</v>
      </c>
      <c r="R547">
        <v>18824.012664121765</v>
      </c>
      <c r="S547" t="s">
        <v>11</v>
      </c>
      <c r="T547">
        <v>6.5599999999999999E-3</v>
      </c>
      <c r="U547">
        <v>19561.278563200001</v>
      </c>
      <c r="V547">
        <v>-737.26589907823654</v>
      </c>
      <c r="W547">
        <v>-3.7690066970634067E-2</v>
      </c>
    </row>
    <row r="548" spans="1:23" x14ac:dyDescent="0.25">
      <c r="A548" t="s">
        <v>1187</v>
      </c>
      <c r="B548" t="s">
        <v>24</v>
      </c>
      <c r="C548" t="s">
        <v>73</v>
      </c>
      <c r="D548" t="s">
        <v>31</v>
      </c>
      <c r="E548" t="s">
        <v>74</v>
      </c>
      <c r="F548" s="1">
        <v>46059</v>
      </c>
      <c r="G548">
        <v>46089</v>
      </c>
      <c r="H548" t="s">
        <v>6</v>
      </c>
      <c r="I548">
        <v>13626.21</v>
      </c>
      <c r="J548" t="s">
        <v>75</v>
      </c>
      <c r="K548" t="s">
        <v>1188</v>
      </c>
      <c r="L548">
        <v>30</v>
      </c>
      <c r="M548" t="s">
        <v>24</v>
      </c>
      <c r="N548">
        <v>1.1794</v>
      </c>
      <c r="O548">
        <v>1.3589123170872219</v>
      </c>
      <c r="P548">
        <v>6.3658444432449935E-3</v>
      </c>
      <c r="Q548">
        <v>1.1794</v>
      </c>
      <c r="R548">
        <v>16070.752073999998</v>
      </c>
      <c r="S548" t="s">
        <v>16</v>
      </c>
      <c r="T548">
        <v>1.0649999999999999</v>
      </c>
      <c r="U548">
        <v>14511.913649999999</v>
      </c>
      <c r="V548">
        <v>1558.8384239999996</v>
      </c>
      <c r="W548">
        <v>0.10741784037558684</v>
      </c>
    </row>
    <row r="549" spans="1:23" x14ac:dyDescent="0.25">
      <c r="A549" t="s">
        <v>1189</v>
      </c>
      <c r="B549" t="s">
        <v>36</v>
      </c>
      <c r="C549" t="s">
        <v>116</v>
      </c>
      <c r="D549" t="s">
        <v>31</v>
      </c>
      <c r="E549" t="s">
        <v>74</v>
      </c>
      <c r="F549" s="1">
        <v>45998</v>
      </c>
      <c r="G549">
        <v>46043</v>
      </c>
      <c r="H549" t="s">
        <v>6</v>
      </c>
      <c r="I549">
        <v>32228.03</v>
      </c>
      <c r="J549" t="s">
        <v>75</v>
      </c>
      <c r="K549" t="s">
        <v>1190</v>
      </c>
      <c r="L549">
        <v>45</v>
      </c>
      <c r="M549" t="s">
        <v>36</v>
      </c>
      <c r="N549">
        <v>1.1555</v>
      </c>
      <c r="O549">
        <v>1.3367963164349013</v>
      </c>
      <c r="P549">
        <v>6.2983756677204832E-3</v>
      </c>
      <c r="Q549">
        <v>1.1555</v>
      </c>
      <c r="R549">
        <v>37239.488664999997</v>
      </c>
      <c r="S549" t="s">
        <v>14</v>
      </c>
      <c r="T549">
        <v>1.1060000000000001</v>
      </c>
      <c r="U549">
        <v>35644.201180000004</v>
      </c>
      <c r="V549">
        <v>1595.2874849999935</v>
      </c>
      <c r="W549">
        <v>4.4755877034357856E-2</v>
      </c>
    </row>
    <row r="550" spans="1:23" x14ac:dyDescent="0.25">
      <c r="A550" t="s">
        <v>1191</v>
      </c>
      <c r="B550" t="s">
        <v>43</v>
      </c>
      <c r="C550" t="s">
        <v>215</v>
      </c>
      <c r="D550" t="s">
        <v>35</v>
      </c>
      <c r="E550" t="s">
        <v>152</v>
      </c>
      <c r="F550" s="1">
        <v>46310</v>
      </c>
      <c r="G550">
        <v>46340</v>
      </c>
      <c r="H550" t="s">
        <v>6</v>
      </c>
      <c r="I550">
        <v>4273.32</v>
      </c>
      <c r="J550" t="s">
        <v>84</v>
      </c>
      <c r="K550" t="s">
        <v>1192</v>
      </c>
      <c r="L550">
        <v>30</v>
      </c>
      <c r="M550" t="s">
        <v>43</v>
      </c>
      <c r="N550">
        <v>1.1176999999999999</v>
      </c>
      <c r="O550">
        <v>1.320456022210408</v>
      </c>
      <c r="P550">
        <v>6.3200452360757699E-3</v>
      </c>
      <c r="Q550">
        <v>1.1176999999999999</v>
      </c>
      <c r="R550">
        <v>4776.2897639999992</v>
      </c>
      <c r="S550" t="s">
        <v>23</v>
      </c>
      <c r="T550">
        <v>1.119</v>
      </c>
      <c r="U550">
        <v>4781.8450800000001</v>
      </c>
      <c r="V550">
        <v>-5.5553160000008575</v>
      </c>
      <c r="W550">
        <v>-1.1617515638965153E-3</v>
      </c>
    </row>
    <row r="551" spans="1:23" x14ac:dyDescent="0.25">
      <c r="A551" t="s">
        <v>1193</v>
      </c>
      <c r="B551" t="s">
        <v>39</v>
      </c>
      <c r="C551" t="s">
        <v>82</v>
      </c>
      <c r="D551" t="s">
        <v>33</v>
      </c>
      <c r="E551" t="s">
        <v>83</v>
      </c>
      <c r="F551" s="1">
        <v>46041</v>
      </c>
      <c r="G551">
        <v>46086</v>
      </c>
      <c r="H551" t="s">
        <v>8</v>
      </c>
      <c r="I551">
        <v>10426.59</v>
      </c>
      <c r="J551" t="s">
        <v>75</v>
      </c>
      <c r="K551" t="s">
        <v>1194</v>
      </c>
      <c r="L551">
        <v>45</v>
      </c>
      <c r="M551" t="s">
        <v>39</v>
      </c>
      <c r="N551">
        <v>1.1631</v>
      </c>
      <c r="O551">
        <v>1.3413677776496369</v>
      </c>
      <c r="P551">
        <v>6.3318634656214278E-3</v>
      </c>
      <c r="Q551">
        <v>1.3413677776496369</v>
      </c>
      <c r="R551">
        <v>13985.891856763928</v>
      </c>
      <c r="S551" t="s">
        <v>16</v>
      </c>
      <c r="T551">
        <v>1.2490000000000001</v>
      </c>
      <c r="U551">
        <v>13022.810910000002</v>
      </c>
      <c r="V551">
        <v>963.08094676392648</v>
      </c>
      <c r="W551">
        <v>7.3953384827571481E-2</v>
      </c>
    </row>
    <row r="552" spans="1:23" x14ac:dyDescent="0.25">
      <c r="A552" t="s">
        <v>1195</v>
      </c>
      <c r="B552" t="s">
        <v>40</v>
      </c>
      <c r="C552" t="s">
        <v>78</v>
      </c>
      <c r="D552" t="s">
        <v>33</v>
      </c>
      <c r="E552" t="s">
        <v>79</v>
      </c>
      <c r="F552" s="1">
        <v>46108</v>
      </c>
      <c r="G552">
        <v>46138</v>
      </c>
      <c r="H552" t="s">
        <v>9</v>
      </c>
      <c r="I552">
        <v>1653538.49</v>
      </c>
      <c r="J552" t="s">
        <v>75</v>
      </c>
      <c r="K552" t="s">
        <v>1196</v>
      </c>
      <c r="L552">
        <v>30</v>
      </c>
      <c r="M552" t="s">
        <v>40</v>
      </c>
      <c r="N552">
        <v>1.1516999999999999</v>
      </c>
      <c r="O552">
        <v>1.3280673431734318</v>
      </c>
      <c r="P552">
        <v>6.2538010425716769E-3</v>
      </c>
      <c r="Q552">
        <v>6.2538010425716769E-3</v>
      </c>
      <c r="R552">
        <v>10340.900732694396</v>
      </c>
      <c r="S552" t="s">
        <v>16</v>
      </c>
      <c r="T552">
        <v>6.4599999999999996E-3</v>
      </c>
      <c r="U552">
        <v>10681.8586454</v>
      </c>
      <c r="V552">
        <v>-340.95791270560403</v>
      </c>
      <c r="W552">
        <v>-3.1919343255158411E-2</v>
      </c>
    </row>
    <row r="553" spans="1:23" x14ac:dyDescent="0.25">
      <c r="A553" t="s">
        <v>1197</v>
      </c>
      <c r="B553" t="s">
        <v>38</v>
      </c>
      <c r="C553" t="s">
        <v>87</v>
      </c>
      <c r="D553" t="s">
        <v>33</v>
      </c>
      <c r="E553" t="s">
        <v>88</v>
      </c>
      <c r="F553" s="1">
        <v>45913</v>
      </c>
      <c r="G553">
        <v>45943</v>
      </c>
      <c r="H553" t="s">
        <v>6</v>
      </c>
      <c r="I553">
        <v>5167.33</v>
      </c>
      <c r="J553" t="s">
        <v>75</v>
      </c>
      <c r="K553" t="s">
        <v>1198</v>
      </c>
      <c r="L553">
        <v>30</v>
      </c>
      <c r="M553" t="s">
        <v>38</v>
      </c>
      <c r="N553">
        <v>1.1641999999999999</v>
      </c>
      <c r="O553">
        <v>1.3417079635818829</v>
      </c>
      <c r="P553">
        <v>6.3437227550130768E-3</v>
      </c>
      <c r="Q553">
        <v>1.1641999999999999</v>
      </c>
      <c r="R553">
        <v>6015.8055859999995</v>
      </c>
      <c r="S553" t="s">
        <v>13</v>
      </c>
      <c r="T553">
        <v>1.0880000000000001</v>
      </c>
      <c r="U553">
        <v>5622.0550400000002</v>
      </c>
      <c r="V553">
        <v>393.7505459999993</v>
      </c>
      <c r="W553">
        <v>7.0036764705882229E-2</v>
      </c>
    </row>
    <row r="554" spans="1:23" x14ac:dyDescent="0.25">
      <c r="A554" t="s">
        <v>1199</v>
      </c>
      <c r="B554" t="s">
        <v>44</v>
      </c>
      <c r="C554" t="s">
        <v>138</v>
      </c>
      <c r="D554" t="s">
        <v>33</v>
      </c>
      <c r="E554" t="s">
        <v>88</v>
      </c>
      <c r="F554" s="1">
        <v>46064</v>
      </c>
      <c r="G554">
        <v>46109</v>
      </c>
      <c r="H554" t="s">
        <v>9</v>
      </c>
      <c r="I554">
        <v>771900.75</v>
      </c>
      <c r="J554" t="s">
        <v>75</v>
      </c>
      <c r="K554" t="s">
        <v>1200</v>
      </c>
      <c r="L554">
        <v>45</v>
      </c>
      <c r="M554" t="s">
        <v>44</v>
      </c>
      <c r="N554">
        <v>1.19</v>
      </c>
      <c r="O554">
        <v>1.3679733302678467</v>
      </c>
      <c r="P554">
        <v>6.5102029651512667E-3</v>
      </c>
      <c r="Q554">
        <v>6.5102029651512667E-3</v>
      </c>
      <c r="R554">
        <v>5025.2305514524869</v>
      </c>
      <c r="S554" t="s">
        <v>16</v>
      </c>
      <c r="T554">
        <v>6.4599999999999996E-3</v>
      </c>
      <c r="U554">
        <v>4986.4788449999996</v>
      </c>
      <c r="V554">
        <v>38.751706452487269</v>
      </c>
      <c r="W554">
        <v>7.771356834561538E-3</v>
      </c>
    </row>
    <row r="555" spans="1:23" x14ac:dyDescent="0.25">
      <c r="A555" t="s">
        <v>1201</v>
      </c>
      <c r="B555" t="s">
        <v>34</v>
      </c>
      <c r="C555" t="s">
        <v>177</v>
      </c>
      <c r="D555" t="s">
        <v>31</v>
      </c>
      <c r="E555" t="s">
        <v>74</v>
      </c>
      <c r="F555" s="1">
        <v>46127</v>
      </c>
      <c r="G555">
        <v>46187</v>
      </c>
      <c r="H555" t="s">
        <v>8</v>
      </c>
      <c r="I555">
        <v>17548</v>
      </c>
      <c r="J555" t="s">
        <v>75</v>
      </c>
      <c r="K555" t="s">
        <v>1202</v>
      </c>
      <c r="L555">
        <v>60</v>
      </c>
      <c r="M555" t="s">
        <v>34</v>
      </c>
      <c r="N555">
        <v>1.1779999999999999</v>
      </c>
      <c r="O555">
        <v>1.3550353712543854</v>
      </c>
      <c r="P555">
        <v>6.2856837948882128E-3</v>
      </c>
      <c r="Q555">
        <v>1.3550353712543854</v>
      </c>
      <c r="R555">
        <v>23778.160694771956</v>
      </c>
      <c r="S555" t="s">
        <v>19</v>
      </c>
      <c r="T555">
        <v>1.2709999999999999</v>
      </c>
      <c r="U555">
        <v>22303.507999999998</v>
      </c>
      <c r="V555">
        <v>1474.6526947719576</v>
      </c>
      <c r="W555">
        <v>6.6117522623434746E-2</v>
      </c>
    </row>
    <row r="556" spans="1:23" x14ac:dyDescent="0.25">
      <c r="A556" t="s">
        <v>1203</v>
      </c>
      <c r="B556" t="s">
        <v>20</v>
      </c>
      <c r="C556" t="s">
        <v>123</v>
      </c>
      <c r="D556" t="s">
        <v>31</v>
      </c>
      <c r="E556" t="s">
        <v>124</v>
      </c>
      <c r="F556" s="1">
        <v>45821</v>
      </c>
      <c r="G556">
        <v>45866</v>
      </c>
      <c r="H556" t="s">
        <v>6</v>
      </c>
      <c r="I556">
        <v>39666.949999999997</v>
      </c>
      <c r="J556" t="s">
        <v>75</v>
      </c>
      <c r="K556" t="s">
        <v>1204</v>
      </c>
      <c r="L556">
        <v>45</v>
      </c>
      <c r="M556" t="s">
        <v>20</v>
      </c>
      <c r="N556">
        <v>1.1512</v>
      </c>
      <c r="O556">
        <v>1.3535567313345092</v>
      </c>
      <c r="P556">
        <v>6.9374472700976259E-3</v>
      </c>
      <c r="Q556">
        <v>1.1512</v>
      </c>
      <c r="R556">
        <v>45664.592839999998</v>
      </c>
      <c r="S556" t="s">
        <v>12</v>
      </c>
      <c r="T556">
        <v>1.07</v>
      </c>
      <c r="U556">
        <v>42443.636500000001</v>
      </c>
      <c r="V556">
        <v>3220.956339999997</v>
      </c>
      <c r="W556">
        <v>7.5887850467289644E-2</v>
      </c>
    </row>
    <row r="557" spans="1:23" x14ac:dyDescent="0.25">
      <c r="A557" t="s">
        <v>1205</v>
      </c>
      <c r="B557" t="s">
        <v>28</v>
      </c>
      <c r="C557" t="s">
        <v>111</v>
      </c>
      <c r="D557" t="s">
        <v>31</v>
      </c>
      <c r="E557" t="s">
        <v>74</v>
      </c>
      <c r="F557" s="1">
        <v>46106</v>
      </c>
      <c r="G557">
        <v>46151</v>
      </c>
      <c r="H557" t="s">
        <v>9</v>
      </c>
      <c r="I557">
        <v>2010150.74</v>
      </c>
      <c r="J557" t="s">
        <v>75</v>
      </c>
      <c r="K557" t="s">
        <v>1206</v>
      </c>
      <c r="L557">
        <v>45</v>
      </c>
      <c r="M557" t="s">
        <v>28</v>
      </c>
      <c r="N557">
        <v>1.1592</v>
      </c>
      <c r="O557">
        <v>1.3392176344185402</v>
      </c>
      <c r="P557">
        <v>6.2907689803006457E-3</v>
      </c>
      <c r="Q557">
        <v>6.2907689803006457E-3</v>
      </c>
      <c r="R557">
        <v>12645.393920920389</v>
      </c>
      <c r="S557" t="s">
        <v>16</v>
      </c>
      <c r="T557">
        <v>6.4599999999999996E-3</v>
      </c>
      <c r="U557">
        <v>12985.5737804</v>
      </c>
      <c r="V557">
        <v>-340.17985947961097</v>
      </c>
      <c r="W557">
        <v>-2.6196752275441791E-2</v>
      </c>
    </row>
    <row r="558" spans="1:23" x14ac:dyDescent="0.25">
      <c r="A558" t="s">
        <v>1207</v>
      </c>
      <c r="B558" t="s">
        <v>28</v>
      </c>
      <c r="C558" t="s">
        <v>111</v>
      </c>
      <c r="D558" t="s">
        <v>31</v>
      </c>
      <c r="E558" t="s">
        <v>74</v>
      </c>
      <c r="F558" s="1">
        <v>46158</v>
      </c>
      <c r="G558">
        <v>46203</v>
      </c>
      <c r="H558" t="s">
        <v>9</v>
      </c>
      <c r="I558">
        <v>4867397.82</v>
      </c>
      <c r="J558" t="s">
        <v>75</v>
      </c>
      <c r="K558" t="s">
        <v>1208</v>
      </c>
      <c r="L558">
        <v>45</v>
      </c>
      <c r="M558" t="s">
        <v>28</v>
      </c>
      <c r="N558">
        <v>1.1628000000000001</v>
      </c>
      <c r="O558">
        <v>1.3357840321654222</v>
      </c>
      <c r="P558">
        <v>6.3072249945758298E-3</v>
      </c>
      <c r="Q558">
        <v>6.3072249945758298E-3</v>
      </c>
      <c r="R558">
        <v>30699.773188847907</v>
      </c>
      <c r="S558" t="s">
        <v>19</v>
      </c>
      <c r="T558">
        <v>6.6E-3</v>
      </c>
      <c r="U558">
        <v>32124.825612000001</v>
      </c>
      <c r="V558">
        <v>-1425.052423152094</v>
      </c>
      <c r="W558">
        <v>-4.4359849306692449E-2</v>
      </c>
    </row>
    <row r="559" spans="1:23" x14ac:dyDescent="0.25">
      <c r="A559" t="s">
        <v>1209</v>
      </c>
      <c r="B559" t="s">
        <v>36</v>
      </c>
      <c r="C559" t="s">
        <v>116</v>
      </c>
      <c r="D559" t="s">
        <v>31</v>
      </c>
      <c r="E559" t="s">
        <v>74</v>
      </c>
      <c r="F559" s="1">
        <v>45965</v>
      </c>
      <c r="G559">
        <v>46010</v>
      </c>
      <c r="H559" t="s">
        <v>6</v>
      </c>
      <c r="I559">
        <v>12535.73</v>
      </c>
      <c r="J559" t="s">
        <v>75</v>
      </c>
      <c r="K559" t="s">
        <v>1210</v>
      </c>
      <c r="L559">
        <v>45</v>
      </c>
      <c r="M559" t="s">
        <v>36</v>
      </c>
      <c r="N559">
        <v>1.1491</v>
      </c>
      <c r="O559">
        <v>1.3065378055713475</v>
      </c>
      <c r="P559">
        <v>6.5145416406825786E-3</v>
      </c>
      <c r="Q559">
        <v>1.1491</v>
      </c>
      <c r="R559">
        <v>14404.807343</v>
      </c>
      <c r="S559" t="s">
        <v>14</v>
      </c>
      <c r="T559">
        <v>1.1060000000000001</v>
      </c>
      <c r="U559">
        <v>13864.517380000001</v>
      </c>
      <c r="V559">
        <v>540.28996299999926</v>
      </c>
      <c r="W559">
        <v>3.8969258589511696E-2</v>
      </c>
    </row>
    <row r="560" spans="1:23" x14ac:dyDescent="0.25">
      <c r="A560" t="s">
        <v>1211</v>
      </c>
      <c r="B560" t="s">
        <v>39</v>
      </c>
      <c r="C560" t="s">
        <v>82</v>
      </c>
      <c r="D560" t="s">
        <v>33</v>
      </c>
      <c r="E560" t="s">
        <v>83</v>
      </c>
      <c r="F560" s="1">
        <v>46060</v>
      </c>
      <c r="G560">
        <v>46105</v>
      </c>
      <c r="H560" t="s">
        <v>8</v>
      </c>
      <c r="I560">
        <v>2347.5500000000002</v>
      </c>
      <c r="J560" t="s">
        <v>75</v>
      </c>
      <c r="K560" t="s">
        <v>1212</v>
      </c>
      <c r="L560">
        <v>45</v>
      </c>
      <c r="M560" t="s">
        <v>39</v>
      </c>
      <c r="N560">
        <v>1.1555</v>
      </c>
      <c r="O560">
        <v>1.3367963164349013</v>
      </c>
      <c r="P560">
        <v>6.2983756677204832E-3</v>
      </c>
      <c r="Q560">
        <v>1.3367963164349013</v>
      </c>
      <c r="R560">
        <v>3138.1961926467529</v>
      </c>
      <c r="S560" t="s">
        <v>16</v>
      </c>
      <c r="T560">
        <v>1.2490000000000001</v>
      </c>
      <c r="U560">
        <v>2932.0899500000005</v>
      </c>
      <c r="V560">
        <v>206.10624264675243</v>
      </c>
      <c r="W560">
        <v>7.0293287778143504E-2</v>
      </c>
    </row>
    <row r="561" spans="1:23" x14ac:dyDescent="0.25">
      <c r="A561" t="s">
        <v>1213</v>
      </c>
      <c r="B561" t="s">
        <v>36</v>
      </c>
      <c r="C561" t="s">
        <v>116</v>
      </c>
      <c r="D561" t="s">
        <v>31</v>
      </c>
      <c r="E561" t="s">
        <v>74</v>
      </c>
      <c r="F561" s="1">
        <v>45941</v>
      </c>
      <c r="G561">
        <v>45986</v>
      </c>
      <c r="H561" t="s">
        <v>6</v>
      </c>
      <c r="I561">
        <v>3863.22</v>
      </c>
      <c r="J561" t="s">
        <v>75</v>
      </c>
      <c r="K561" t="s">
        <v>1214</v>
      </c>
      <c r="L561">
        <v>45</v>
      </c>
      <c r="M561" t="s">
        <v>36</v>
      </c>
      <c r="N561">
        <v>1.1845000000000001</v>
      </c>
      <c r="O561">
        <v>1.3577487391104999</v>
      </c>
      <c r="P561">
        <v>6.5085993735919554E-3</v>
      </c>
      <c r="Q561">
        <v>1.1845000000000001</v>
      </c>
      <c r="R561">
        <v>4575.9840899999999</v>
      </c>
      <c r="S561" t="s">
        <v>14</v>
      </c>
      <c r="T561">
        <v>1.1060000000000001</v>
      </c>
      <c r="U561">
        <v>4272.7213200000006</v>
      </c>
      <c r="V561">
        <v>303.26276999999936</v>
      </c>
      <c r="W561">
        <v>7.0976491862567659E-2</v>
      </c>
    </row>
    <row r="562" spans="1:23" x14ac:dyDescent="0.25">
      <c r="A562" t="s">
        <v>1215</v>
      </c>
      <c r="B562" t="s">
        <v>40</v>
      </c>
      <c r="C562" t="s">
        <v>78</v>
      </c>
      <c r="D562" t="s">
        <v>33</v>
      </c>
      <c r="E562" t="s">
        <v>79</v>
      </c>
      <c r="F562" s="1">
        <v>46350</v>
      </c>
      <c r="G562">
        <v>46380</v>
      </c>
      <c r="H562" t="s">
        <v>9</v>
      </c>
      <c r="I562">
        <v>2642463.96</v>
      </c>
      <c r="J562" t="s">
        <v>84</v>
      </c>
      <c r="K562" t="s">
        <v>1216</v>
      </c>
      <c r="L562">
        <v>30</v>
      </c>
      <c r="M562" t="s">
        <v>40</v>
      </c>
      <c r="N562">
        <v>1.1176999999999999</v>
      </c>
      <c r="O562">
        <v>1.320456022210408</v>
      </c>
      <c r="P562">
        <v>6.3200452360757699E-3</v>
      </c>
      <c r="Q562">
        <v>6.3200452360757699E-3</v>
      </c>
      <c r="R562">
        <v>16700.491761899913</v>
      </c>
      <c r="S562" t="s">
        <v>23</v>
      </c>
      <c r="T562">
        <v>6.8799999999999998E-3</v>
      </c>
      <c r="U562">
        <v>18180.152044800001</v>
      </c>
      <c r="V562">
        <v>-1479.6602829000876</v>
      </c>
      <c r="W562">
        <v>-8.1388773826196303E-2</v>
      </c>
    </row>
    <row r="563" spans="1:23" x14ac:dyDescent="0.25">
      <c r="A563" t="s">
        <v>1217</v>
      </c>
      <c r="B563" t="s">
        <v>44</v>
      </c>
      <c r="C563" t="s">
        <v>138</v>
      </c>
      <c r="D563" t="s">
        <v>33</v>
      </c>
      <c r="E563" t="s">
        <v>88</v>
      </c>
      <c r="F563" s="1">
        <v>45748</v>
      </c>
      <c r="G563">
        <v>45793</v>
      </c>
      <c r="H563" t="s">
        <v>9</v>
      </c>
      <c r="I563">
        <v>1240782</v>
      </c>
      <c r="J563" t="s">
        <v>75</v>
      </c>
      <c r="K563" t="s">
        <v>1218</v>
      </c>
      <c r="L563">
        <v>45</v>
      </c>
      <c r="M563" t="s">
        <v>44</v>
      </c>
      <c r="N563">
        <v>1.0788</v>
      </c>
      <c r="O563">
        <v>1.2894280762564991</v>
      </c>
      <c r="P563">
        <v>6.7035356987510094E-3</v>
      </c>
      <c r="Q563">
        <v>6.7035356987510094E-3</v>
      </c>
      <c r="R563">
        <v>8317.6264313676747</v>
      </c>
      <c r="S563" t="s">
        <v>12</v>
      </c>
      <c r="T563">
        <v>6.7000000000000002E-3</v>
      </c>
      <c r="U563">
        <v>8313.2394000000004</v>
      </c>
      <c r="V563">
        <v>4.3870313676743535</v>
      </c>
      <c r="W563">
        <v>5.2771623149386912E-4</v>
      </c>
    </row>
    <row r="564" spans="1:23" x14ac:dyDescent="0.25">
      <c r="A564" t="s">
        <v>1219</v>
      </c>
      <c r="B564" t="s">
        <v>28</v>
      </c>
      <c r="C564" t="s">
        <v>111</v>
      </c>
      <c r="D564" t="s">
        <v>31</v>
      </c>
      <c r="E564" t="s">
        <v>74</v>
      </c>
      <c r="F564" s="1">
        <v>45802</v>
      </c>
      <c r="G564">
        <v>45847</v>
      </c>
      <c r="H564" t="s">
        <v>9</v>
      </c>
      <c r="I564">
        <v>1032413.42</v>
      </c>
      <c r="J564" t="s">
        <v>75</v>
      </c>
      <c r="K564" t="s">
        <v>1220</v>
      </c>
      <c r="L564">
        <v>45</v>
      </c>
      <c r="M564" t="s">
        <v>28</v>
      </c>
      <c r="N564">
        <v>1.1565000000000001</v>
      </c>
      <c r="O564">
        <v>1.3286994485294119</v>
      </c>
      <c r="P564">
        <v>6.7849809328248759E-3</v>
      </c>
      <c r="Q564">
        <v>6.7849809328248759E-3</v>
      </c>
      <c r="R564">
        <v>7004.9053694925205</v>
      </c>
      <c r="S564" t="s">
        <v>12</v>
      </c>
      <c r="T564">
        <v>6.7000000000000002E-3</v>
      </c>
      <c r="U564">
        <v>6917.1699140000001</v>
      </c>
      <c r="V564">
        <v>87.735455492520487</v>
      </c>
      <c r="W564">
        <v>1.2683721317145671E-2</v>
      </c>
    </row>
    <row r="565" spans="1:23" x14ac:dyDescent="0.25">
      <c r="A565" t="s">
        <v>1221</v>
      </c>
      <c r="B565" t="s">
        <v>26</v>
      </c>
      <c r="C565" t="s">
        <v>94</v>
      </c>
      <c r="D565" t="s">
        <v>31</v>
      </c>
      <c r="E565" t="s">
        <v>74</v>
      </c>
      <c r="F565" s="1">
        <v>45801</v>
      </c>
      <c r="G565">
        <v>45831</v>
      </c>
      <c r="H565" t="s">
        <v>8</v>
      </c>
      <c r="I565">
        <v>5667.88</v>
      </c>
      <c r="J565" t="s">
        <v>75</v>
      </c>
      <c r="K565" t="s">
        <v>1222</v>
      </c>
      <c r="L565">
        <v>30</v>
      </c>
      <c r="M565" t="s">
        <v>26</v>
      </c>
      <c r="N565">
        <v>1.1404000000000001</v>
      </c>
      <c r="O565">
        <v>1.3160992498557416</v>
      </c>
      <c r="P565">
        <v>6.6453003904201387E-3</v>
      </c>
      <c r="Q565">
        <v>1.3160992498557416</v>
      </c>
      <c r="R565">
        <v>7459.4926162723605</v>
      </c>
      <c r="S565" t="s">
        <v>12</v>
      </c>
      <c r="T565">
        <v>1.26</v>
      </c>
      <c r="U565">
        <v>7141.5288</v>
      </c>
      <c r="V565">
        <v>317.96381627236042</v>
      </c>
      <c r="W565">
        <v>4.4523214171223451E-2</v>
      </c>
    </row>
    <row r="566" spans="1:23" x14ac:dyDescent="0.25">
      <c r="A566" t="s">
        <v>1223</v>
      </c>
      <c r="B566" t="s">
        <v>25</v>
      </c>
      <c r="C566" t="s">
        <v>169</v>
      </c>
      <c r="D566" t="s">
        <v>31</v>
      </c>
      <c r="E566" t="s">
        <v>124</v>
      </c>
      <c r="F566" s="1">
        <v>45719</v>
      </c>
      <c r="G566">
        <v>45779</v>
      </c>
      <c r="H566" t="s">
        <v>6</v>
      </c>
      <c r="I566">
        <v>66547.59</v>
      </c>
      <c r="J566" t="s">
        <v>75</v>
      </c>
      <c r="K566" t="s">
        <v>1224</v>
      </c>
      <c r="L566">
        <v>60</v>
      </c>
      <c r="M566" t="s">
        <v>25</v>
      </c>
      <c r="N566">
        <v>1.0465</v>
      </c>
      <c r="O566">
        <v>1.2680237489397794</v>
      </c>
      <c r="P566">
        <v>6.6096128339543985E-3</v>
      </c>
      <c r="Q566">
        <v>1.0465</v>
      </c>
      <c r="R566">
        <v>69642.052935</v>
      </c>
      <c r="S566" t="s">
        <v>11</v>
      </c>
      <c r="T566">
        <v>1.052</v>
      </c>
      <c r="U566">
        <v>70008.064679999996</v>
      </c>
      <c r="V566">
        <v>-366.01174499999615</v>
      </c>
      <c r="W566">
        <v>-5.2281368821292225E-3</v>
      </c>
    </row>
    <row r="567" spans="1:23" x14ac:dyDescent="0.25">
      <c r="A567" t="s">
        <v>1225</v>
      </c>
      <c r="B567" t="s">
        <v>38</v>
      </c>
      <c r="C567" t="s">
        <v>87</v>
      </c>
      <c r="D567" t="s">
        <v>33</v>
      </c>
      <c r="E567" t="s">
        <v>88</v>
      </c>
      <c r="F567" s="1">
        <v>45733</v>
      </c>
      <c r="G567">
        <v>45763</v>
      </c>
      <c r="H567" t="s">
        <v>6</v>
      </c>
      <c r="I567">
        <v>10006.56</v>
      </c>
      <c r="J567" t="s">
        <v>75</v>
      </c>
      <c r="K567" t="s">
        <v>1226</v>
      </c>
      <c r="L567">
        <v>30</v>
      </c>
      <c r="M567" t="s">
        <v>38</v>
      </c>
      <c r="N567">
        <v>1.0903</v>
      </c>
      <c r="O567">
        <v>1.2975745602551592</v>
      </c>
      <c r="P567">
        <v>6.7194625909034892E-3</v>
      </c>
      <c r="Q567">
        <v>1.0903</v>
      </c>
      <c r="R567">
        <v>10910.152367999999</v>
      </c>
      <c r="S567" t="s">
        <v>11</v>
      </c>
      <c r="T567">
        <v>1.052</v>
      </c>
      <c r="U567">
        <v>10526.90112</v>
      </c>
      <c r="V567">
        <v>383.25124799999867</v>
      </c>
      <c r="W567">
        <v>3.6406844106463748E-2</v>
      </c>
    </row>
    <row r="568" spans="1:23" x14ac:dyDescent="0.25">
      <c r="A568" t="s">
        <v>1227</v>
      </c>
      <c r="B568" t="s">
        <v>38</v>
      </c>
      <c r="C568" t="s">
        <v>87</v>
      </c>
      <c r="D568" t="s">
        <v>33</v>
      </c>
      <c r="E568" t="s">
        <v>88</v>
      </c>
      <c r="F568" s="1">
        <v>45812</v>
      </c>
      <c r="G568">
        <v>45842</v>
      </c>
      <c r="H568" t="s">
        <v>6</v>
      </c>
      <c r="I568">
        <v>3820.88</v>
      </c>
      <c r="J568" t="s">
        <v>75</v>
      </c>
      <c r="K568" t="s">
        <v>1228</v>
      </c>
      <c r="L568">
        <v>30</v>
      </c>
      <c r="M568" t="s">
        <v>38</v>
      </c>
      <c r="N568">
        <v>1.1384000000000001</v>
      </c>
      <c r="O568">
        <v>1.3518584491153072</v>
      </c>
      <c r="P568">
        <v>6.9351203167834297E-3</v>
      </c>
      <c r="Q568">
        <v>1.1384000000000001</v>
      </c>
      <c r="R568">
        <v>4349.6897920000001</v>
      </c>
      <c r="S568" t="s">
        <v>12</v>
      </c>
      <c r="T568">
        <v>1.07</v>
      </c>
      <c r="U568">
        <v>4088.3416000000002</v>
      </c>
      <c r="V568">
        <v>261.34819199999993</v>
      </c>
      <c r="W568">
        <v>6.3925233644859789E-2</v>
      </c>
    </row>
    <row r="569" spans="1:23" x14ac:dyDescent="0.25">
      <c r="A569" t="s">
        <v>1229</v>
      </c>
      <c r="B569" t="s">
        <v>26</v>
      </c>
      <c r="C569" t="s">
        <v>94</v>
      </c>
      <c r="D569" t="s">
        <v>31</v>
      </c>
      <c r="E569" t="s">
        <v>74</v>
      </c>
      <c r="F569" s="1">
        <v>45724</v>
      </c>
      <c r="G569">
        <v>45754</v>
      </c>
      <c r="H569" t="s">
        <v>8</v>
      </c>
      <c r="I569">
        <v>27203.32</v>
      </c>
      <c r="J569" t="s">
        <v>75</v>
      </c>
      <c r="K569" t="s">
        <v>1230</v>
      </c>
      <c r="L569">
        <v>30</v>
      </c>
      <c r="M569" t="s">
        <v>26</v>
      </c>
      <c r="N569">
        <v>1.1346000000000001</v>
      </c>
      <c r="O569">
        <v>1.3089826714968043</v>
      </c>
      <c r="P569">
        <v>7.0006787190720066E-3</v>
      </c>
      <c r="Q569">
        <v>1.3089826714968043</v>
      </c>
      <c r="R569">
        <v>35608.674487182441</v>
      </c>
      <c r="S569" t="s">
        <v>11</v>
      </c>
      <c r="T569">
        <v>1.238</v>
      </c>
      <c r="U569">
        <v>33677.710160000002</v>
      </c>
      <c r="V569">
        <v>1930.9643271824389</v>
      </c>
      <c r="W569">
        <v>5.7336568252668835E-2</v>
      </c>
    </row>
    <row r="570" spans="1:23" x14ac:dyDescent="0.25">
      <c r="A570" t="s">
        <v>1231</v>
      </c>
      <c r="B570" t="s">
        <v>26</v>
      </c>
      <c r="C570" t="s">
        <v>94</v>
      </c>
      <c r="D570" t="s">
        <v>31</v>
      </c>
      <c r="E570" t="s">
        <v>74</v>
      </c>
      <c r="F570" s="1">
        <v>45918</v>
      </c>
      <c r="G570">
        <v>45948</v>
      </c>
      <c r="H570" t="s">
        <v>8</v>
      </c>
      <c r="I570">
        <v>20951.580000000002</v>
      </c>
      <c r="J570" t="s">
        <v>75</v>
      </c>
      <c r="K570" t="s">
        <v>1232</v>
      </c>
      <c r="L570">
        <v>30</v>
      </c>
      <c r="M570" t="s">
        <v>26</v>
      </c>
      <c r="N570">
        <v>1.1818</v>
      </c>
      <c r="O570">
        <v>1.3615207373271889</v>
      </c>
      <c r="P570">
        <v>6.7825987144168954E-3</v>
      </c>
      <c r="Q570">
        <v>1.3615207373271889</v>
      </c>
      <c r="R570">
        <v>28526.010649769589</v>
      </c>
      <c r="S570" t="s">
        <v>13</v>
      </c>
      <c r="T570">
        <v>1.282</v>
      </c>
      <c r="U570">
        <v>26859.925560000003</v>
      </c>
      <c r="V570">
        <v>1666.0850897695855</v>
      </c>
      <c r="W570">
        <v>6.2028656261457829E-2</v>
      </c>
    </row>
    <row r="571" spans="1:23" x14ac:dyDescent="0.25">
      <c r="A571" t="s">
        <v>1233</v>
      </c>
      <c r="B571" t="s">
        <v>42</v>
      </c>
      <c r="C571" t="s">
        <v>151</v>
      </c>
      <c r="D571" t="s">
        <v>35</v>
      </c>
      <c r="E571" t="s">
        <v>152</v>
      </c>
      <c r="F571" s="1">
        <v>46098</v>
      </c>
      <c r="G571">
        <v>46128</v>
      </c>
      <c r="H571" t="s">
        <v>8</v>
      </c>
      <c r="I571">
        <v>1107.8900000000001</v>
      </c>
      <c r="J571" t="s">
        <v>75</v>
      </c>
      <c r="K571" t="s">
        <v>1234</v>
      </c>
      <c r="L571">
        <v>30</v>
      </c>
      <c r="M571" t="s">
        <v>42</v>
      </c>
      <c r="N571">
        <v>1.1531</v>
      </c>
      <c r="O571">
        <v>1.3341432373018629</v>
      </c>
      <c r="P571">
        <v>6.2911233564297018E-3</v>
      </c>
      <c r="Q571">
        <v>1.3341432373018629</v>
      </c>
      <c r="R571">
        <v>1478.0839511743611</v>
      </c>
      <c r="S571" t="s">
        <v>16</v>
      </c>
      <c r="T571">
        <v>1.2490000000000001</v>
      </c>
      <c r="U571">
        <v>1383.7546100000002</v>
      </c>
      <c r="V571">
        <v>94.329341174360934</v>
      </c>
      <c r="W571">
        <v>6.8169125141603629E-2</v>
      </c>
    </row>
    <row r="572" spans="1:23" x14ac:dyDescent="0.25">
      <c r="A572" t="s">
        <v>1235</v>
      </c>
      <c r="B572" t="s">
        <v>41</v>
      </c>
      <c r="C572" t="s">
        <v>172</v>
      </c>
      <c r="D572" t="s">
        <v>33</v>
      </c>
      <c r="E572" t="s">
        <v>83</v>
      </c>
      <c r="F572" s="1">
        <v>46285</v>
      </c>
      <c r="G572">
        <v>46315</v>
      </c>
      <c r="H572" t="s">
        <v>9</v>
      </c>
      <c r="I572">
        <v>650506.22</v>
      </c>
      <c r="J572" t="s">
        <v>75</v>
      </c>
      <c r="K572" t="s">
        <v>1236</v>
      </c>
      <c r="L572">
        <v>30</v>
      </c>
      <c r="M572" t="s">
        <v>41</v>
      </c>
      <c r="N572">
        <v>1.1459999999999999</v>
      </c>
      <c r="O572">
        <v>1.3344201210992082</v>
      </c>
      <c r="P572">
        <v>6.3335912457168119E-3</v>
      </c>
      <c r="Q572">
        <v>6.3335912457168119E-3</v>
      </c>
      <c r="R572">
        <v>4120.0405002763346</v>
      </c>
      <c r="S572" t="s">
        <v>21</v>
      </c>
      <c r="T572">
        <v>6.7400000000000003E-3</v>
      </c>
      <c r="U572">
        <v>4384.4119228</v>
      </c>
      <c r="V572">
        <v>-264.37142252366539</v>
      </c>
      <c r="W572">
        <v>-6.02980347601169E-2</v>
      </c>
    </row>
    <row r="573" spans="1:23" x14ac:dyDescent="0.25">
      <c r="A573" t="s">
        <v>1237</v>
      </c>
      <c r="B573" t="s">
        <v>32</v>
      </c>
      <c r="C573" t="s">
        <v>106</v>
      </c>
      <c r="D573" t="s">
        <v>31</v>
      </c>
      <c r="E573" t="s">
        <v>74</v>
      </c>
      <c r="F573" s="1">
        <v>45684</v>
      </c>
      <c r="G573">
        <v>45714</v>
      </c>
      <c r="H573" t="s">
        <v>6</v>
      </c>
      <c r="I573">
        <v>15668.21</v>
      </c>
      <c r="J573" t="s">
        <v>75</v>
      </c>
      <c r="K573" t="s">
        <v>1238</v>
      </c>
      <c r="L573">
        <v>30</v>
      </c>
      <c r="M573" t="s">
        <v>32</v>
      </c>
      <c r="N573">
        <v>1.0529999999999999</v>
      </c>
      <c r="O573">
        <v>1.2519915344921884</v>
      </c>
      <c r="P573">
        <v>6.4915849824301822E-3</v>
      </c>
      <c r="Q573">
        <v>1.0529999999999999</v>
      </c>
      <c r="R573">
        <v>16498.625129999997</v>
      </c>
      <c r="S573" t="s">
        <v>11</v>
      </c>
      <c r="T573">
        <v>1.052</v>
      </c>
      <c r="U573">
        <v>16482.956920000001</v>
      </c>
      <c r="V573">
        <v>15.668209999996179</v>
      </c>
      <c r="W573">
        <v>9.5057034220509139E-4</v>
      </c>
    </row>
    <row r="574" spans="1:23" x14ac:dyDescent="0.25">
      <c r="A574" t="s">
        <v>1239</v>
      </c>
      <c r="B574" t="s">
        <v>26</v>
      </c>
      <c r="C574" t="s">
        <v>94</v>
      </c>
      <c r="D574" t="s">
        <v>31</v>
      </c>
      <c r="E574" t="s">
        <v>74</v>
      </c>
      <c r="F574" s="1">
        <v>45982</v>
      </c>
      <c r="G574">
        <v>46012</v>
      </c>
      <c r="H574" t="s">
        <v>8</v>
      </c>
      <c r="I574">
        <v>28641.99</v>
      </c>
      <c r="J574" t="s">
        <v>75</v>
      </c>
      <c r="K574" t="s">
        <v>1240</v>
      </c>
      <c r="L574">
        <v>30</v>
      </c>
      <c r="M574" t="s">
        <v>26</v>
      </c>
      <c r="N574">
        <v>1.1519999999999999</v>
      </c>
      <c r="O574">
        <v>1.3086447801885721</v>
      </c>
      <c r="P574">
        <v>6.3801506424457236E-3</v>
      </c>
      <c r="Q574">
        <v>1.3086447801885721</v>
      </c>
      <c r="R574">
        <v>37482.190707713286</v>
      </c>
      <c r="S574" t="s">
        <v>14</v>
      </c>
      <c r="T574">
        <v>1.304</v>
      </c>
      <c r="U574">
        <v>37349.15496</v>
      </c>
      <c r="V574">
        <v>133.03574771328567</v>
      </c>
      <c r="W574">
        <v>3.5619479973713888E-3</v>
      </c>
    </row>
    <row r="575" spans="1:23" x14ac:dyDescent="0.25">
      <c r="A575" t="s">
        <v>1241</v>
      </c>
      <c r="B575" t="s">
        <v>40</v>
      </c>
      <c r="C575" t="s">
        <v>78</v>
      </c>
      <c r="D575" t="s">
        <v>33</v>
      </c>
      <c r="E575" t="s">
        <v>79</v>
      </c>
      <c r="F575" s="1">
        <v>45779</v>
      </c>
      <c r="G575">
        <v>45809</v>
      </c>
      <c r="H575" t="s">
        <v>9</v>
      </c>
      <c r="I575">
        <v>181733.19</v>
      </c>
      <c r="J575" t="s">
        <v>75</v>
      </c>
      <c r="K575" t="s">
        <v>1242</v>
      </c>
      <c r="L575">
        <v>30</v>
      </c>
      <c r="M575" t="s">
        <v>40</v>
      </c>
      <c r="N575">
        <v>1.1343000000000001</v>
      </c>
      <c r="O575">
        <v>1.3293097386616666</v>
      </c>
      <c r="P575">
        <v>6.9194168242542554E-3</v>
      </c>
      <c r="Q575">
        <v>6.9194168242542554E-3</v>
      </c>
      <c r="R575">
        <v>1257.4876924113953</v>
      </c>
      <c r="S575" t="s">
        <v>12</v>
      </c>
      <c r="T575">
        <v>6.7000000000000002E-3</v>
      </c>
      <c r="U575">
        <v>1217.6123730000002</v>
      </c>
      <c r="V575">
        <v>39.875319411395139</v>
      </c>
      <c r="W575">
        <v>3.2748779739441049E-2</v>
      </c>
    </row>
    <row r="576" spans="1:23" x14ac:dyDescent="0.25">
      <c r="A576" t="s">
        <v>1243</v>
      </c>
      <c r="B576" t="s">
        <v>43</v>
      </c>
      <c r="C576" t="s">
        <v>215</v>
      </c>
      <c r="D576" t="s">
        <v>35</v>
      </c>
      <c r="E576" t="s">
        <v>152</v>
      </c>
      <c r="F576" s="1">
        <v>46258</v>
      </c>
      <c r="G576">
        <v>46288</v>
      </c>
      <c r="H576" t="s">
        <v>6</v>
      </c>
      <c r="I576">
        <v>8673.5400000000009</v>
      </c>
      <c r="J576" t="s">
        <v>75</v>
      </c>
      <c r="K576" t="s">
        <v>1244</v>
      </c>
      <c r="L576">
        <v>30</v>
      </c>
      <c r="M576" t="s">
        <v>43</v>
      </c>
      <c r="N576">
        <v>1.1664000000000001</v>
      </c>
      <c r="O576">
        <v>1.3634132086499124</v>
      </c>
      <c r="P576">
        <v>6.2844827586206907E-3</v>
      </c>
      <c r="Q576">
        <v>1.1664000000000001</v>
      </c>
      <c r="R576">
        <v>10116.817056000002</v>
      </c>
      <c r="S576" t="s">
        <v>21</v>
      </c>
      <c r="T576">
        <v>1.101</v>
      </c>
      <c r="U576">
        <v>9549.56754</v>
      </c>
      <c r="V576">
        <v>567.24951600000168</v>
      </c>
      <c r="W576">
        <v>5.9400544959128242E-2</v>
      </c>
    </row>
    <row r="577" spans="1:23" x14ac:dyDescent="0.25">
      <c r="A577" t="s">
        <v>1245</v>
      </c>
      <c r="B577" t="s">
        <v>40</v>
      </c>
      <c r="C577" t="s">
        <v>78</v>
      </c>
      <c r="D577" t="s">
        <v>33</v>
      </c>
      <c r="E577" t="s">
        <v>79</v>
      </c>
      <c r="F577" s="1">
        <v>46003</v>
      </c>
      <c r="G577">
        <v>46033</v>
      </c>
      <c r="H577" t="s">
        <v>9</v>
      </c>
      <c r="I577">
        <v>2243330.4700000002</v>
      </c>
      <c r="J577" t="s">
        <v>75</v>
      </c>
      <c r="K577" t="s">
        <v>1246</v>
      </c>
      <c r="L577">
        <v>30</v>
      </c>
      <c r="M577" t="s">
        <v>40</v>
      </c>
      <c r="N577">
        <v>1.1731</v>
      </c>
      <c r="O577">
        <v>1.338086004334436</v>
      </c>
      <c r="P577">
        <v>6.4107328269304336E-3</v>
      </c>
      <c r="Q577">
        <v>6.4107328269304336E-3</v>
      </c>
      <c r="R577">
        <v>14381.392285682279</v>
      </c>
      <c r="S577" t="s">
        <v>14</v>
      </c>
      <c r="T577">
        <v>6.9800000000000001E-3</v>
      </c>
      <c r="U577">
        <v>15658.446680600002</v>
      </c>
      <c r="V577">
        <v>-1277.0543949177227</v>
      </c>
      <c r="W577">
        <v>-8.1556901585897817E-2</v>
      </c>
    </row>
    <row r="578" spans="1:23" x14ac:dyDescent="0.25">
      <c r="A578" t="s">
        <v>1247</v>
      </c>
      <c r="B578" t="s">
        <v>20</v>
      </c>
      <c r="C578" t="s">
        <v>123</v>
      </c>
      <c r="D578" t="s">
        <v>31</v>
      </c>
      <c r="E578" t="s">
        <v>124</v>
      </c>
      <c r="F578" s="1">
        <v>46275</v>
      </c>
      <c r="G578">
        <v>46320</v>
      </c>
      <c r="H578" t="s">
        <v>6</v>
      </c>
      <c r="I578">
        <v>24031.9</v>
      </c>
      <c r="J578" t="s">
        <v>75</v>
      </c>
      <c r="K578" t="s">
        <v>1248</v>
      </c>
      <c r="L578">
        <v>45</v>
      </c>
      <c r="M578" t="s">
        <v>20</v>
      </c>
      <c r="N578">
        <v>1.1616</v>
      </c>
      <c r="O578">
        <v>1.3520339870802538</v>
      </c>
      <c r="P578">
        <v>6.4861242950471831E-3</v>
      </c>
      <c r="Q578">
        <v>1.1616</v>
      </c>
      <c r="R578">
        <v>27915.455040000001</v>
      </c>
      <c r="S578" t="s">
        <v>21</v>
      </c>
      <c r="T578">
        <v>1.101</v>
      </c>
      <c r="U578">
        <v>26459.121900000002</v>
      </c>
      <c r="V578">
        <v>1456.3331399999988</v>
      </c>
      <c r="W578">
        <v>5.5040871934604857E-2</v>
      </c>
    </row>
    <row r="579" spans="1:23" x14ac:dyDescent="0.25">
      <c r="A579" t="s">
        <v>1249</v>
      </c>
      <c r="B579" t="s">
        <v>37</v>
      </c>
      <c r="C579" t="s">
        <v>91</v>
      </c>
      <c r="D579" t="s">
        <v>31</v>
      </c>
      <c r="E579" t="s">
        <v>74</v>
      </c>
      <c r="F579" s="1">
        <v>46014</v>
      </c>
      <c r="G579">
        <v>46044</v>
      </c>
      <c r="H579" t="s">
        <v>6</v>
      </c>
      <c r="I579">
        <v>15482.48</v>
      </c>
      <c r="J579" t="s">
        <v>75</v>
      </c>
      <c r="K579" t="s">
        <v>1250</v>
      </c>
      <c r="L579">
        <v>30</v>
      </c>
      <c r="M579" t="s">
        <v>37</v>
      </c>
      <c r="N579">
        <v>1.1786000000000001</v>
      </c>
      <c r="O579">
        <v>1.3502119372207584</v>
      </c>
      <c r="P579">
        <v>6.4092664092664101E-3</v>
      </c>
      <c r="Q579">
        <v>1.1786000000000001</v>
      </c>
      <c r="R579">
        <v>18247.650927999999</v>
      </c>
      <c r="S579" t="s">
        <v>14</v>
      </c>
      <c r="T579">
        <v>1.1060000000000001</v>
      </c>
      <c r="U579">
        <v>17123.622880000003</v>
      </c>
      <c r="V579">
        <v>1124.0280479999965</v>
      </c>
      <c r="W579">
        <v>6.5641952983724924E-2</v>
      </c>
    </row>
    <row r="580" spans="1:23" x14ac:dyDescent="0.25">
      <c r="A580" t="s">
        <v>1251</v>
      </c>
      <c r="B580" t="s">
        <v>40</v>
      </c>
      <c r="C580" t="s">
        <v>78</v>
      </c>
      <c r="D580" t="s">
        <v>33</v>
      </c>
      <c r="E580" t="s">
        <v>79</v>
      </c>
      <c r="F580" s="1">
        <v>45979</v>
      </c>
      <c r="G580">
        <v>46009</v>
      </c>
      <c r="H580" t="s">
        <v>9</v>
      </c>
      <c r="I580">
        <v>1631246.99</v>
      </c>
      <c r="J580" t="s">
        <v>75</v>
      </c>
      <c r="K580" t="s">
        <v>1252</v>
      </c>
      <c r="L580">
        <v>30</v>
      </c>
      <c r="M580" t="s">
        <v>40</v>
      </c>
      <c r="N580">
        <v>1.159</v>
      </c>
      <c r="O580">
        <v>1.3139099875297586</v>
      </c>
      <c r="P580">
        <v>6.4410359008558408E-3</v>
      </c>
      <c r="Q580">
        <v>6.4410359008558408E-3</v>
      </c>
      <c r="R580">
        <v>10506.920425753029</v>
      </c>
      <c r="S580" t="s">
        <v>14</v>
      </c>
      <c r="T580">
        <v>6.9800000000000001E-3</v>
      </c>
      <c r="U580">
        <v>11386.103990199999</v>
      </c>
      <c r="V580">
        <v>-879.18356444697019</v>
      </c>
      <c r="W580">
        <v>-7.7215486983403803E-2</v>
      </c>
    </row>
    <row r="581" spans="1:23" x14ac:dyDescent="0.25">
      <c r="A581" t="s">
        <v>1253</v>
      </c>
      <c r="B581" t="s">
        <v>26</v>
      </c>
      <c r="C581" t="s">
        <v>94</v>
      </c>
      <c r="D581" t="s">
        <v>31</v>
      </c>
      <c r="E581" t="s">
        <v>74</v>
      </c>
      <c r="F581" s="1">
        <v>46387</v>
      </c>
      <c r="G581">
        <v>46417</v>
      </c>
      <c r="H581" t="s">
        <v>8</v>
      </c>
      <c r="I581">
        <v>22024.13</v>
      </c>
      <c r="J581" t="s">
        <v>84</v>
      </c>
      <c r="K581" t="s">
        <v>1254</v>
      </c>
      <c r="L581">
        <v>30</v>
      </c>
      <c r="M581" t="s">
        <v>26</v>
      </c>
      <c r="N581">
        <v>1.1176999999999999</v>
      </c>
      <c r="O581">
        <v>1.320456022210408</v>
      </c>
      <c r="P581">
        <v>6.3200452360757699E-3</v>
      </c>
      <c r="Q581">
        <v>1.320456022210408</v>
      </c>
      <c r="R581">
        <v>29081.895092444916</v>
      </c>
      <c r="S581" t="s">
        <v>23</v>
      </c>
      <c r="T581">
        <v>1.3149999999999999</v>
      </c>
      <c r="U581">
        <v>28961.730950000001</v>
      </c>
      <c r="V581">
        <v>120.16414244491534</v>
      </c>
      <c r="W581">
        <v>4.1490663197019766E-3</v>
      </c>
    </row>
    <row r="582" spans="1:23" x14ac:dyDescent="0.25">
      <c r="A582" t="s">
        <v>1255</v>
      </c>
      <c r="B582" t="s">
        <v>43</v>
      </c>
      <c r="C582" t="s">
        <v>215</v>
      </c>
      <c r="D582" t="s">
        <v>35</v>
      </c>
      <c r="E582" t="s">
        <v>152</v>
      </c>
      <c r="F582" s="1">
        <v>45843</v>
      </c>
      <c r="G582">
        <v>45873</v>
      </c>
      <c r="H582" t="s">
        <v>6</v>
      </c>
      <c r="I582">
        <v>2715.95</v>
      </c>
      <c r="J582" t="s">
        <v>75</v>
      </c>
      <c r="K582" t="s">
        <v>1256</v>
      </c>
      <c r="L582">
        <v>30</v>
      </c>
      <c r="M582" t="s">
        <v>43</v>
      </c>
      <c r="N582">
        <v>1.1740999999999999</v>
      </c>
      <c r="O582">
        <v>1.344286695672086</v>
      </c>
      <c r="P582">
        <v>6.7570211786372007E-3</v>
      </c>
      <c r="Q582">
        <v>1.1740999999999999</v>
      </c>
      <c r="R582">
        <v>3188.7968949999995</v>
      </c>
      <c r="S582" t="s">
        <v>13</v>
      </c>
      <c r="T582">
        <v>1.0880000000000001</v>
      </c>
      <c r="U582">
        <v>2954.9535999999998</v>
      </c>
      <c r="V582">
        <v>233.84329499999967</v>
      </c>
      <c r="W582">
        <v>7.9136029411764605E-2</v>
      </c>
    </row>
    <row r="583" spans="1:23" x14ac:dyDescent="0.25">
      <c r="A583" t="s">
        <v>1257</v>
      </c>
      <c r="B583" t="s">
        <v>32</v>
      </c>
      <c r="C583" t="s">
        <v>106</v>
      </c>
      <c r="D583" t="s">
        <v>31</v>
      </c>
      <c r="E583" t="s">
        <v>74</v>
      </c>
      <c r="F583" s="1">
        <v>45982</v>
      </c>
      <c r="G583">
        <v>46012</v>
      </c>
      <c r="H583" t="s">
        <v>6</v>
      </c>
      <c r="I583">
        <v>5513.94</v>
      </c>
      <c r="J583" t="s">
        <v>75</v>
      </c>
      <c r="K583" t="s">
        <v>1258</v>
      </c>
      <c r="L583">
        <v>30</v>
      </c>
      <c r="M583" t="s">
        <v>32</v>
      </c>
      <c r="N583">
        <v>1.1519999999999999</v>
      </c>
      <c r="O583">
        <v>1.3086447801885721</v>
      </c>
      <c r="P583">
        <v>6.3801506424457236E-3</v>
      </c>
      <c r="Q583">
        <v>1.1519999999999999</v>
      </c>
      <c r="R583">
        <v>6352.0588799999987</v>
      </c>
      <c r="S583" t="s">
        <v>14</v>
      </c>
      <c r="T583">
        <v>1.1060000000000001</v>
      </c>
      <c r="U583">
        <v>6098.4176399999997</v>
      </c>
      <c r="V583">
        <v>253.64123999999902</v>
      </c>
      <c r="W583">
        <v>4.1591320072332572E-2</v>
      </c>
    </row>
    <row r="584" spans="1:23" x14ac:dyDescent="0.25">
      <c r="A584" t="s">
        <v>1259</v>
      </c>
      <c r="B584" t="s">
        <v>41</v>
      </c>
      <c r="C584" t="s">
        <v>172</v>
      </c>
      <c r="D584" t="s">
        <v>33</v>
      </c>
      <c r="E584" t="s">
        <v>83</v>
      </c>
      <c r="F584" s="1">
        <v>46375</v>
      </c>
      <c r="G584">
        <v>46405</v>
      </c>
      <c r="H584" t="s">
        <v>9</v>
      </c>
      <c r="I584">
        <v>1060704.3600000001</v>
      </c>
      <c r="J584" t="s">
        <v>84</v>
      </c>
      <c r="K584" t="s">
        <v>1260</v>
      </c>
      <c r="L584">
        <v>30</v>
      </c>
      <c r="M584" t="s">
        <v>41</v>
      </c>
      <c r="N584">
        <v>1.1176999999999999</v>
      </c>
      <c r="O584">
        <v>1.320456022210408</v>
      </c>
      <c r="P584">
        <v>6.3200452360757699E-3</v>
      </c>
      <c r="Q584">
        <v>6.3200452360757699E-3</v>
      </c>
      <c r="R584">
        <v>6703.6995373027994</v>
      </c>
      <c r="S584" t="s">
        <v>23</v>
      </c>
      <c r="T584">
        <v>6.8799999999999998E-3</v>
      </c>
      <c r="U584">
        <v>7297.6459968000008</v>
      </c>
      <c r="V584">
        <v>-593.94645949720143</v>
      </c>
      <c r="W584">
        <v>-8.1388773826196206E-2</v>
      </c>
    </row>
    <row r="585" spans="1:23" x14ac:dyDescent="0.25">
      <c r="A585" t="s">
        <v>1261</v>
      </c>
      <c r="B585" t="s">
        <v>30</v>
      </c>
      <c r="C585" t="s">
        <v>103</v>
      </c>
      <c r="D585" t="s">
        <v>31</v>
      </c>
      <c r="E585" t="s">
        <v>74</v>
      </c>
      <c r="F585" s="1">
        <v>45978</v>
      </c>
      <c r="G585">
        <v>46008</v>
      </c>
      <c r="H585" t="s">
        <v>9</v>
      </c>
      <c r="I585">
        <v>1789761.28</v>
      </c>
      <c r="J585" t="s">
        <v>75</v>
      </c>
      <c r="K585" t="s">
        <v>1262</v>
      </c>
      <c r="L585">
        <v>30</v>
      </c>
      <c r="M585" t="s">
        <v>30</v>
      </c>
      <c r="N585">
        <v>1.1593</v>
      </c>
      <c r="O585">
        <v>1.3181353041500854</v>
      </c>
      <c r="P585">
        <v>6.4559781700729525E-3</v>
      </c>
      <c r="Q585">
        <v>6.4559781700729525E-3</v>
      </c>
      <c r="R585">
        <v>11554.659753321825</v>
      </c>
      <c r="S585" t="s">
        <v>14</v>
      </c>
      <c r="T585">
        <v>6.9800000000000001E-3</v>
      </c>
      <c r="U585">
        <v>12492.5337344</v>
      </c>
      <c r="V585">
        <v>-937.87398107817535</v>
      </c>
      <c r="W585">
        <v>-7.5074760734534063E-2</v>
      </c>
    </row>
    <row r="586" spans="1:23" x14ac:dyDescent="0.25">
      <c r="A586" t="s">
        <v>1263</v>
      </c>
      <c r="B586" t="s">
        <v>42</v>
      </c>
      <c r="C586" t="s">
        <v>151</v>
      </c>
      <c r="D586" t="s">
        <v>35</v>
      </c>
      <c r="E586" t="s">
        <v>152</v>
      </c>
      <c r="F586" s="1">
        <v>45757</v>
      </c>
      <c r="G586">
        <v>45787</v>
      </c>
      <c r="H586" t="s">
        <v>8</v>
      </c>
      <c r="I586">
        <v>4152.51</v>
      </c>
      <c r="J586" t="s">
        <v>75</v>
      </c>
      <c r="K586" t="s">
        <v>1264</v>
      </c>
      <c r="L586">
        <v>30</v>
      </c>
      <c r="M586" t="s">
        <v>42</v>
      </c>
      <c r="N586">
        <v>1.1082000000000001</v>
      </c>
      <c r="O586">
        <v>1.2922861640720658</v>
      </c>
      <c r="P586">
        <v>6.8712797619047625E-3</v>
      </c>
      <c r="Q586">
        <v>1.2922861640720658</v>
      </c>
      <c r="R586">
        <v>5366.2312191708943</v>
      </c>
      <c r="S586" t="s">
        <v>12</v>
      </c>
      <c r="T586">
        <v>1.26</v>
      </c>
      <c r="U586">
        <v>5232.1626000000006</v>
      </c>
      <c r="V586">
        <v>134.06861917089373</v>
      </c>
      <c r="W586">
        <v>2.5623939739734716E-2</v>
      </c>
    </row>
    <row r="587" spans="1:23" x14ac:dyDescent="0.25">
      <c r="A587" t="s">
        <v>1265</v>
      </c>
      <c r="B587" t="s">
        <v>38</v>
      </c>
      <c r="C587" t="s">
        <v>87</v>
      </c>
      <c r="D587" t="s">
        <v>33</v>
      </c>
      <c r="E587" t="s">
        <v>88</v>
      </c>
      <c r="F587" s="1">
        <v>46283</v>
      </c>
      <c r="G587">
        <v>46313</v>
      </c>
      <c r="H587" t="s">
        <v>6</v>
      </c>
      <c r="I587">
        <v>12160.96</v>
      </c>
      <c r="J587" t="s">
        <v>75</v>
      </c>
      <c r="K587" t="s">
        <v>1266</v>
      </c>
      <c r="L587">
        <v>30</v>
      </c>
      <c r="M587" t="s">
        <v>38</v>
      </c>
      <c r="N587">
        <v>1.1459999999999999</v>
      </c>
      <c r="O587">
        <v>1.3344201210992082</v>
      </c>
      <c r="P587">
        <v>6.3335912457168119E-3</v>
      </c>
      <c r="Q587">
        <v>1.1459999999999999</v>
      </c>
      <c r="R587">
        <v>13936.460159999999</v>
      </c>
      <c r="S587" t="s">
        <v>21</v>
      </c>
      <c r="T587">
        <v>1.101</v>
      </c>
      <c r="U587">
        <v>13389.216959999998</v>
      </c>
      <c r="V587">
        <v>547.2432000000008</v>
      </c>
      <c r="W587">
        <v>4.0871934604904701E-2</v>
      </c>
    </row>
    <row r="588" spans="1:23" x14ac:dyDescent="0.25">
      <c r="A588" t="s">
        <v>1267</v>
      </c>
      <c r="B588" t="s">
        <v>32</v>
      </c>
      <c r="C588" t="s">
        <v>106</v>
      </c>
      <c r="D588" t="s">
        <v>31</v>
      </c>
      <c r="E588" t="s">
        <v>74</v>
      </c>
      <c r="F588" s="1">
        <v>45787</v>
      </c>
      <c r="G588">
        <v>45817</v>
      </c>
      <c r="H588" t="s">
        <v>6</v>
      </c>
      <c r="I588">
        <v>17730.39</v>
      </c>
      <c r="J588" t="s">
        <v>75</v>
      </c>
      <c r="K588" t="s">
        <v>1268</v>
      </c>
      <c r="L588">
        <v>30</v>
      </c>
      <c r="M588" t="s">
        <v>32</v>
      </c>
      <c r="N588">
        <v>1.169</v>
      </c>
      <c r="O588">
        <v>1.3487942771431869</v>
      </c>
      <c r="P588">
        <v>6.7858594067452252E-3</v>
      </c>
      <c r="Q588">
        <v>1.169</v>
      </c>
      <c r="R588">
        <v>20726.82591</v>
      </c>
      <c r="S588" t="s">
        <v>12</v>
      </c>
      <c r="T588">
        <v>1.07</v>
      </c>
      <c r="U588">
        <v>18971.5173</v>
      </c>
      <c r="V588">
        <v>1755.30861</v>
      </c>
      <c r="W588">
        <v>9.2523364485981308E-2</v>
      </c>
    </row>
    <row r="589" spans="1:23" x14ac:dyDescent="0.25">
      <c r="A589" t="s">
        <v>1269</v>
      </c>
      <c r="B589" t="s">
        <v>30</v>
      </c>
      <c r="C589" t="s">
        <v>103</v>
      </c>
      <c r="D589" t="s">
        <v>31</v>
      </c>
      <c r="E589" t="s">
        <v>74</v>
      </c>
      <c r="F589" s="1">
        <v>45774</v>
      </c>
      <c r="G589">
        <v>45804</v>
      </c>
      <c r="H589" t="s">
        <v>9</v>
      </c>
      <c r="I589">
        <v>2546708.7400000002</v>
      </c>
      <c r="J589" t="s">
        <v>75</v>
      </c>
      <c r="K589" t="s">
        <v>1270</v>
      </c>
      <c r="L589">
        <v>30</v>
      </c>
      <c r="M589" t="s">
        <v>30</v>
      </c>
      <c r="N589">
        <v>1.1597999999999999</v>
      </c>
      <c r="O589">
        <v>1.3603096410978184</v>
      </c>
      <c r="P589">
        <v>6.8598805228603536E-3</v>
      </c>
      <c r="Q589">
        <v>6.8598805228603536E-3</v>
      </c>
      <c r="R589">
        <v>17470.117682924232</v>
      </c>
      <c r="S589" t="s">
        <v>12</v>
      </c>
      <c r="T589">
        <v>6.7000000000000002E-3</v>
      </c>
      <c r="U589">
        <v>17062.948558000004</v>
      </c>
      <c r="V589">
        <v>407.16912492422853</v>
      </c>
      <c r="W589">
        <v>2.3862764606022699E-2</v>
      </c>
    </row>
    <row r="590" spans="1:23" x14ac:dyDescent="0.25">
      <c r="A590" t="s">
        <v>1271</v>
      </c>
      <c r="B590" t="s">
        <v>37</v>
      </c>
      <c r="C590" t="s">
        <v>91</v>
      </c>
      <c r="D590" t="s">
        <v>31</v>
      </c>
      <c r="E590" t="s">
        <v>74</v>
      </c>
      <c r="F590" s="1">
        <v>46342</v>
      </c>
      <c r="G590">
        <v>46372</v>
      </c>
      <c r="H590" t="s">
        <v>6</v>
      </c>
      <c r="I590">
        <v>18768.009999999998</v>
      </c>
      <c r="J590" t="s">
        <v>84</v>
      </c>
      <c r="K590" t="s">
        <v>1272</v>
      </c>
      <c r="L590">
        <v>30</v>
      </c>
      <c r="M590" t="s">
        <v>37</v>
      </c>
      <c r="N590">
        <v>1.1176999999999999</v>
      </c>
      <c r="O590">
        <v>1.320456022210408</v>
      </c>
      <c r="P590">
        <v>6.3200452360757699E-3</v>
      </c>
      <c r="Q590">
        <v>1.1176999999999999</v>
      </c>
      <c r="R590">
        <v>20977.004776999998</v>
      </c>
      <c r="S590" t="s">
        <v>23</v>
      </c>
      <c r="T590">
        <v>1.119</v>
      </c>
      <c r="U590">
        <v>21001.403189999997</v>
      </c>
      <c r="V590">
        <v>-24.398412999998982</v>
      </c>
      <c r="W590">
        <v>-1.1617515638962877E-3</v>
      </c>
    </row>
    <row r="591" spans="1:23" x14ac:dyDescent="0.25">
      <c r="A591" t="s">
        <v>1273</v>
      </c>
      <c r="B591" t="s">
        <v>24</v>
      </c>
      <c r="C591" t="s">
        <v>73</v>
      </c>
      <c r="D591" t="s">
        <v>31</v>
      </c>
      <c r="E591" t="s">
        <v>74</v>
      </c>
      <c r="F591" s="1">
        <v>45702</v>
      </c>
      <c r="G591">
        <v>45732</v>
      </c>
      <c r="H591" t="s">
        <v>6</v>
      </c>
      <c r="I591">
        <v>29851.35</v>
      </c>
      <c r="J591" t="s">
        <v>75</v>
      </c>
      <c r="K591" t="s">
        <v>1274</v>
      </c>
      <c r="L591">
        <v>30</v>
      </c>
      <c r="M591" t="s">
        <v>24</v>
      </c>
      <c r="N591">
        <v>1.0478000000000001</v>
      </c>
      <c r="O591">
        <v>1.2591479901460074</v>
      </c>
      <c r="P591">
        <v>6.5450683990255481E-3</v>
      </c>
      <c r="Q591">
        <v>1.0478000000000001</v>
      </c>
      <c r="R591">
        <v>31278.24453</v>
      </c>
      <c r="S591" t="s">
        <v>11</v>
      </c>
      <c r="T591">
        <v>1.052</v>
      </c>
      <c r="U591">
        <v>31403.620200000001</v>
      </c>
      <c r="V591">
        <v>-125.37567000000126</v>
      </c>
      <c r="W591">
        <v>-3.9923954372623974E-3</v>
      </c>
    </row>
    <row r="592" spans="1:23" x14ac:dyDescent="0.25">
      <c r="A592" t="s">
        <v>1275</v>
      </c>
      <c r="B592" t="s">
        <v>32</v>
      </c>
      <c r="C592" t="s">
        <v>106</v>
      </c>
      <c r="D592" t="s">
        <v>31</v>
      </c>
      <c r="E592" t="s">
        <v>74</v>
      </c>
      <c r="F592" s="1">
        <v>46316</v>
      </c>
      <c r="G592">
        <v>46346</v>
      </c>
      <c r="H592" t="s">
        <v>6</v>
      </c>
      <c r="I592">
        <v>14990.11</v>
      </c>
      <c r="J592" t="s">
        <v>84</v>
      </c>
      <c r="K592" t="s">
        <v>1276</v>
      </c>
      <c r="L592">
        <v>30</v>
      </c>
      <c r="M592" t="s">
        <v>32</v>
      </c>
      <c r="N592">
        <v>1.1176999999999999</v>
      </c>
      <c r="O592">
        <v>1.320456022210408</v>
      </c>
      <c r="P592">
        <v>6.3200452360757699E-3</v>
      </c>
      <c r="Q592">
        <v>1.1176999999999999</v>
      </c>
      <c r="R592">
        <v>16754.445947</v>
      </c>
      <c r="S592" t="s">
        <v>23</v>
      </c>
      <c r="T592">
        <v>1.119</v>
      </c>
      <c r="U592">
        <v>16773.933090000002</v>
      </c>
      <c r="V592">
        <v>-19.487143000002106</v>
      </c>
      <c r="W592">
        <v>-1.1617515638964614E-3</v>
      </c>
    </row>
    <row r="593" spans="1:23" x14ac:dyDescent="0.25">
      <c r="A593" t="s">
        <v>1277</v>
      </c>
      <c r="B593" t="s">
        <v>25</v>
      </c>
      <c r="C593" t="s">
        <v>169</v>
      </c>
      <c r="D593" t="s">
        <v>31</v>
      </c>
      <c r="E593" t="s">
        <v>124</v>
      </c>
      <c r="F593" s="1">
        <v>45719</v>
      </c>
      <c r="G593">
        <v>45779</v>
      </c>
      <c r="H593" t="s">
        <v>6</v>
      </c>
      <c r="I593">
        <v>93082.27</v>
      </c>
      <c r="J593" t="s">
        <v>75</v>
      </c>
      <c r="K593" t="s">
        <v>1278</v>
      </c>
      <c r="L593">
        <v>60</v>
      </c>
      <c r="M593" t="s">
        <v>25</v>
      </c>
      <c r="N593">
        <v>1.0465</v>
      </c>
      <c r="O593">
        <v>1.2680237489397794</v>
      </c>
      <c r="P593">
        <v>6.6096128339543985E-3</v>
      </c>
      <c r="Q593">
        <v>1.0465</v>
      </c>
      <c r="R593">
        <v>97410.595555000007</v>
      </c>
      <c r="S593" t="s">
        <v>11</v>
      </c>
      <c r="T593">
        <v>1.052</v>
      </c>
      <c r="U593">
        <v>97922.548040000009</v>
      </c>
      <c r="V593">
        <v>-511.95248500000162</v>
      </c>
      <c r="W593">
        <v>-5.2281368821292936E-3</v>
      </c>
    </row>
    <row r="594" spans="1:23" x14ac:dyDescent="0.25">
      <c r="A594" t="s">
        <v>1279</v>
      </c>
      <c r="B594" t="s">
        <v>25</v>
      </c>
      <c r="C594" t="s">
        <v>169</v>
      </c>
      <c r="D594" t="s">
        <v>31</v>
      </c>
      <c r="E594" t="s">
        <v>124</v>
      </c>
      <c r="F594" s="1">
        <v>45803</v>
      </c>
      <c r="G594">
        <v>45863</v>
      </c>
      <c r="H594" t="s">
        <v>6</v>
      </c>
      <c r="I594">
        <v>42810.73</v>
      </c>
      <c r="J594" t="s">
        <v>75</v>
      </c>
      <c r="K594" t="s">
        <v>1280</v>
      </c>
      <c r="L594">
        <v>60</v>
      </c>
      <c r="M594" t="s">
        <v>25</v>
      </c>
      <c r="N594">
        <v>1.1380999999999999</v>
      </c>
      <c r="O594">
        <v>1.3561725452812201</v>
      </c>
      <c r="P594">
        <v>6.9980938326262062E-3</v>
      </c>
      <c r="Q594">
        <v>1.1380999999999999</v>
      </c>
      <c r="R594">
        <v>48722.891813000002</v>
      </c>
      <c r="S594" t="s">
        <v>12</v>
      </c>
      <c r="T594">
        <v>1.07</v>
      </c>
      <c r="U594">
        <v>45807.481100000005</v>
      </c>
      <c r="V594">
        <v>2915.4107129999975</v>
      </c>
      <c r="W594">
        <v>6.3644859813084056E-2</v>
      </c>
    </row>
    <row r="595" spans="1:23" x14ac:dyDescent="0.25">
      <c r="A595" t="s">
        <v>1281</v>
      </c>
      <c r="B595" t="s">
        <v>32</v>
      </c>
      <c r="C595" t="s">
        <v>106</v>
      </c>
      <c r="D595" t="s">
        <v>31</v>
      </c>
      <c r="E595" t="s">
        <v>74</v>
      </c>
      <c r="F595" s="1">
        <v>45782</v>
      </c>
      <c r="G595">
        <v>45812</v>
      </c>
      <c r="H595" t="s">
        <v>6</v>
      </c>
      <c r="I595">
        <v>13549.93</v>
      </c>
      <c r="J595" t="s">
        <v>75</v>
      </c>
      <c r="K595" t="s">
        <v>1282</v>
      </c>
      <c r="L595">
        <v>30</v>
      </c>
      <c r="M595" t="s">
        <v>32</v>
      </c>
      <c r="N595">
        <v>1.1343000000000001</v>
      </c>
      <c r="O595">
        <v>1.3321197886083382</v>
      </c>
      <c r="P595">
        <v>6.9507935535265651E-3</v>
      </c>
      <c r="Q595">
        <v>1.1343000000000001</v>
      </c>
      <c r="R595">
        <v>15369.685599000002</v>
      </c>
      <c r="S595" t="s">
        <v>12</v>
      </c>
      <c r="T595">
        <v>1.07</v>
      </c>
      <c r="U595">
        <v>14498.4251</v>
      </c>
      <c r="V595">
        <v>871.2604990000018</v>
      </c>
      <c r="W595">
        <v>6.0093457943925357E-2</v>
      </c>
    </row>
    <row r="596" spans="1:23" x14ac:dyDescent="0.25">
      <c r="A596" t="s">
        <v>1283</v>
      </c>
      <c r="B596" t="s">
        <v>43</v>
      </c>
      <c r="C596" t="s">
        <v>215</v>
      </c>
      <c r="D596" t="s">
        <v>35</v>
      </c>
      <c r="E596" t="s">
        <v>152</v>
      </c>
      <c r="F596" s="1">
        <v>45986</v>
      </c>
      <c r="G596">
        <v>46016</v>
      </c>
      <c r="H596" t="s">
        <v>6</v>
      </c>
      <c r="I596">
        <v>6981.05</v>
      </c>
      <c r="J596" t="s">
        <v>75</v>
      </c>
      <c r="K596" t="s">
        <v>1284</v>
      </c>
      <c r="L596">
        <v>30</v>
      </c>
      <c r="M596" t="s">
        <v>43</v>
      </c>
      <c r="N596">
        <v>1.1551</v>
      </c>
      <c r="O596">
        <v>1.3144060081929905</v>
      </c>
      <c r="P596">
        <v>6.4022835605808672E-3</v>
      </c>
      <c r="Q596">
        <v>1.1551</v>
      </c>
      <c r="R596">
        <v>8063.8108550000006</v>
      </c>
      <c r="S596" t="s">
        <v>14</v>
      </c>
      <c r="T596">
        <v>1.1060000000000001</v>
      </c>
      <c r="U596">
        <v>7721.0413000000008</v>
      </c>
      <c r="V596">
        <v>342.76955499999985</v>
      </c>
      <c r="W596">
        <v>4.439421338155513E-2</v>
      </c>
    </row>
    <row r="597" spans="1:23" x14ac:dyDescent="0.25">
      <c r="A597" t="s">
        <v>1285</v>
      </c>
      <c r="B597" t="s">
        <v>44</v>
      </c>
      <c r="C597" t="s">
        <v>138</v>
      </c>
      <c r="D597" t="s">
        <v>33</v>
      </c>
      <c r="E597" t="s">
        <v>88</v>
      </c>
      <c r="F597" s="1">
        <v>46096</v>
      </c>
      <c r="G597">
        <v>46141</v>
      </c>
      <c r="H597" t="s">
        <v>9</v>
      </c>
      <c r="I597">
        <v>1603409.9199999999</v>
      </c>
      <c r="J597" t="s">
        <v>75</v>
      </c>
      <c r="K597" t="s">
        <v>1286</v>
      </c>
      <c r="L597">
        <v>45</v>
      </c>
      <c r="M597" t="s">
        <v>44</v>
      </c>
      <c r="N597">
        <v>1.1555</v>
      </c>
      <c r="O597">
        <v>1.3367963164349013</v>
      </c>
      <c r="P597">
        <v>6.2983756677204832E-3</v>
      </c>
      <c r="Q597">
        <v>6.2983756677204832E-3</v>
      </c>
      <c r="R597">
        <v>10098.878025509646</v>
      </c>
      <c r="S597" t="s">
        <v>16</v>
      </c>
      <c r="T597">
        <v>6.4599999999999996E-3</v>
      </c>
      <c r="U597">
        <v>10358.028083199999</v>
      </c>
      <c r="V597">
        <v>-259.1500576903527</v>
      </c>
      <c r="W597">
        <v>-2.5019246482897266E-2</v>
      </c>
    </row>
    <row r="598" spans="1:23" x14ac:dyDescent="0.25">
      <c r="A598" t="s">
        <v>1287</v>
      </c>
      <c r="B598" t="s">
        <v>40</v>
      </c>
      <c r="C598" t="s">
        <v>78</v>
      </c>
      <c r="D598" t="s">
        <v>33</v>
      </c>
      <c r="E598" t="s">
        <v>79</v>
      </c>
      <c r="F598" s="1">
        <v>46193</v>
      </c>
      <c r="G598">
        <v>46223</v>
      </c>
      <c r="H598" t="s">
        <v>9</v>
      </c>
      <c r="I598">
        <v>626267.98</v>
      </c>
      <c r="J598" t="s">
        <v>75</v>
      </c>
      <c r="K598" t="s">
        <v>1288</v>
      </c>
      <c r="L598">
        <v>30</v>
      </c>
      <c r="M598" t="s">
        <v>40</v>
      </c>
      <c r="N598">
        <v>1.1467000000000001</v>
      </c>
      <c r="O598">
        <v>1.3233240626406473</v>
      </c>
      <c r="P598">
        <v>6.2024015577672011E-3</v>
      </c>
      <c r="Q598">
        <v>6.2024015577672011E-3</v>
      </c>
      <c r="R598">
        <v>3884.3654947317182</v>
      </c>
      <c r="S598" t="s">
        <v>19</v>
      </c>
      <c r="T598">
        <v>6.6E-3</v>
      </c>
      <c r="U598">
        <v>4133.3686680000001</v>
      </c>
      <c r="V598">
        <v>-249.0031732682819</v>
      </c>
      <c r="W598">
        <v>-6.0242188217090799E-2</v>
      </c>
    </row>
    <row r="599" spans="1:23" x14ac:dyDescent="0.25">
      <c r="A599" t="s">
        <v>1289</v>
      </c>
      <c r="B599" t="s">
        <v>44</v>
      </c>
      <c r="C599" t="s">
        <v>138</v>
      </c>
      <c r="D599" t="s">
        <v>33</v>
      </c>
      <c r="E599" t="s">
        <v>88</v>
      </c>
      <c r="F599" s="1">
        <v>46340</v>
      </c>
      <c r="G599">
        <v>46385</v>
      </c>
      <c r="H599" t="s">
        <v>9</v>
      </c>
      <c r="I599">
        <v>178796.75</v>
      </c>
      <c r="J599" t="s">
        <v>84</v>
      </c>
      <c r="K599" t="s">
        <v>1290</v>
      </c>
      <c r="L599">
        <v>45</v>
      </c>
      <c r="M599" t="s">
        <v>44</v>
      </c>
      <c r="N599">
        <v>1.1176999999999999</v>
      </c>
      <c r="O599">
        <v>1.320456022210408</v>
      </c>
      <c r="P599">
        <v>6.3200452360757699E-3</v>
      </c>
      <c r="Q599">
        <v>6.3200452360757699E-3</v>
      </c>
      <c r="R599">
        <v>1130.0035480633303</v>
      </c>
      <c r="S599" t="s">
        <v>23</v>
      </c>
      <c r="T599">
        <v>6.8799999999999998E-3</v>
      </c>
      <c r="U599">
        <v>1230.1216400000001</v>
      </c>
      <c r="V599">
        <v>-100.11809193666977</v>
      </c>
      <c r="W599">
        <v>-8.1388773826196373E-2</v>
      </c>
    </row>
    <row r="600" spans="1:23" x14ac:dyDescent="0.25">
      <c r="A600" t="s">
        <v>1291</v>
      </c>
      <c r="B600" t="s">
        <v>39</v>
      </c>
      <c r="C600" t="s">
        <v>82</v>
      </c>
      <c r="D600" t="s">
        <v>33</v>
      </c>
      <c r="E600" t="s">
        <v>83</v>
      </c>
      <c r="F600" s="1">
        <v>45933</v>
      </c>
      <c r="G600">
        <v>45978</v>
      </c>
      <c r="H600" t="s">
        <v>8</v>
      </c>
      <c r="I600">
        <v>5326.44</v>
      </c>
      <c r="J600" t="s">
        <v>75</v>
      </c>
      <c r="K600" t="s">
        <v>1292</v>
      </c>
      <c r="L600">
        <v>45</v>
      </c>
      <c r="M600" t="s">
        <v>39</v>
      </c>
      <c r="N600">
        <v>1.1734</v>
      </c>
      <c r="O600">
        <v>1.3447169378867752</v>
      </c>
      <c r="P600">
        <v>6.7865818392134182E-3</v>
      </c>
      <c r="Q600">
        <v>1.3447169378867752</v>
      </c>
      <c r="R600">
        <v>7162.5540866376341</v>
      </c>
      <c r="S600" t="s">
        <v>14</v>
      </c>
      <c r="T600">
        <v>1.304</v>
      </c>
      <c r="U600">
        <v>6945.6777599999996</v>
      </c>
      <c r="V600">
        <v>216.87632663763452</v>
      </c>
      <c r="W600">
        <v>3.1224645618692586E-2</v>
      </c>
    </row>
    <row r="601" spans="1:23" x14ac:dyDescent="0.25">
      <c r="A601" t="s">
        <v>1293</v>
      </c>
      <c r="B601" t="s">
        <v>37</v>
      </c>
      <c r="C601" t="s">
        <v>91</v>
      </c>
      <c r="D601" t="s">
        <v>31</v>
      </c>
      <c r="E601" t="s">
        <v>74</v>
      </c>
      <c r="F601" s="1">
        <v>46265</v>
      </c>
      <c r="G601">
        <v>46295</v>
      </c>
      <c r="H601" t="s">
        <v>6</v>
      </c>
      <c r="I601">
        <v>15493.86</v>
      </c>
      <c r="J601" t="s">
        <v>75</v>
      </c>
      <c r="K601" t="s">
        <v>1294</v>
      </c>
      <c r="L601">
        <v>30</v>
      </c>
      <c r="M601" t="s">
        <v>37</v>
      </c>
      <c r="N601">
        <v>1.1596</v>
      </c>
      <c r="O601">
        <v>1.353913693256118</v>
      </c>
      <c r="P601">
        <v>6.2606629953568726E-3</v>
      </c>
      <c r="Q601">
        <v>1.1596</v>
      </c>
      <c r="R601">
        <v>17966.680056000001</v>
      </c>
      <c r="S601" t="s">
        <v>21</v>
      </c>
      <c r="T601">
        <v>1.101</v>
      </c>
      <c r="U601">
        <v>17058.739860000001</v>
      </c>
      <c r="V601">
        <v>907.94019599999956</v>
      </c>
      <c r="W601">
        <v>5.3224341507720221E-2</v>
      </c>
    </row>
    <row r="602" spans="1:23" x14ac:dyDescent="0.25">
      <c r="A602" t="s">
        <v>1295</v>
      </c>
      <c r="B602" t="s">
        <v>36</v>
      </c>
      <c r="C602" t="s">
        <v>116</v>
      </c>
      <c r="D602" t="s">
        <v>31</v>
      </c>
      <c r="E602" t="s">
        <v>74</v>
      </c>
      <c r="F602" s="1">
        <v>46284</v>
      </c>
      <c r="G602">
        <v>46329</v>
      </c>
      <c r="H602" t="s">
        <v>6</v>
      </c>
      <c r="I602">
        <v>9085.75</v>
      </c>
      <c r="J602" t="s">
        <v>75</v>
      </c>
      <c r="K602" t="s">
        <v>1296</v>
      </c>
      <c r="L602">
        <v>45</v>
      </c>
      <c r="M602" t="s">
        <v>36</v>
      </c>
      <c r="N602">
        <v>1.1459999999999999</v>
      </c>
      <c r="O602">
        <v>1.3344201210992082</v>
      </c>
      <c r="P602">
        <v>6.3335912457168119E-3</v>
      </c>
      <c r="Q602">
        <v>1.1459999999999999</v>
      </c>
      <c r="R602">
        <v>10412.269499999999</v>
      </c>
      <c r="S602" t="s">
        <v>21</v>
      </c>
      <c r="T602">
        <v>1.101</v>
      </c>
      <c r="U602">
        <v>10003.410749999999</v>
      </c>
      <c r="V602">
        <v>408.85874999999942</v>
      </c>
      <c r="W602">
        <v>4.0871934604904576E-2</v>
      </c>
    </row>
    <row r="603" spans="1:23" x14ac:dyDescent="0.25">
      <c r="A603" t="s">
        <v>1297</v>
      </c>
      <c r="B603" t="s">
        <v>26</v>
      </c>
      <c r="C603" t="s">
        <v>94</v>
      </c>
      <c r="D603" t="s">
        <v>31</v>
      </c>
      <c r="E603" t="s">
        <v>74</v>
      </c>
      <c r="F603" s="1">
        <v>45981</v>
      </c>
      <c r="G603">
        <v>46011</v>
      </c>
      <c r="H603" t="s">
        <v>8</v>
      </c>
      <c r="I603">
        <v>20638.88</v>
      </c>
      <c r="J603" t="s">
        <v>75</v>
      </c>
      <c r="K603" t="s">
        <v>1298</v>
      </c>
      <c r="L603">
        <v>30</v>
      </c>
      <c r="M603" t="s">
        <v>26</v>
      </c>
      <c r="N603">
        <v>1.1514</v>
      </c>
      <c r="O603">
        <v>1.3061826432217811</v>
      </c>
      <c r="P603">
        <v>6.3448503884939661E-3</v>
      </c>
      <c r="Q603">
        <v>1.3061826432217811</v>
      </c>
      <c r="R603">
        <v>26958.146831537157</v>
      </c>
      <c r="S603" t="s">
        <v>14</v>
      </c>
      <c r="T603">
        <v>1.304</v>
      </c>
      <c r="U603">
        <v>26913.099520000003</v>
      </c>
      <c r="V603">
        <v>45.047311537153291</v>
      </c>
      <c r="W603">
        <v>1.6738061516726145E-3</v>
      </c>
    </row>
    <row r="604" spans="1:23" x14ac:dyDescent="0.25">
      <c r="A604" t="s">
        <v>1299</v>
      </c>
      <c r="B604" t="s">
        <v>22</v>
      </c>
      <c r="C604" t="s">
        <v>127</v>
      </c>
      <c r="D604" t="s">
        <v>31</v>
      </c>
      <c r="E604" t="s">
        <v>124</v>
      </c>
      <c r="F604" s="1">
        <v>45775</v>
      </c>
      <c r="G604">
        <v>45835</v>
      </c>
      <c r="H604" t="s">
        <v>9</v>
      </c>
      <c r="I604">
        <v>1902681.35</v>
      </c>
      <c r="J604" t="s">
        <v>75</v>
      </c>
      <c r="K604" t="s">
        <v>1300</v>
      </c>
      <c r="L604">
        <v>60</v>
      </c>
      <c r="M604" t="s">
        <v>22</v>
      </c>
      <c r="N604">
        <v>1.1357999999999999</v>
      </c>
      <c r="O604">
        <v>1.3340380549682873</v>
      </c>
      <c r="P604">
        <v>6.9766584766584759E-3</v>
      </c>
      <c r="Q604">
        <v>6.9766584766584759E-3</v>
      </c>
      <c r="R604">
        <v>13274.357968857494</v>
      </c>
      <c r="S604" t="s">
        <v>12</v>
      </c>
      <c r="T604">
        <v>6.7000000000000002E-3</v>
      </c>
      <c r="U604">
        <v>12747.965045000001</v>
      </c>
      <c r="V604">
        <v>526.39292385749286</v>
      </c>
      <c r="W604">
        <v>4.1292309949026287E-2</v>
      </c>
    </row>
    <row r="605" spans="1:23" x14ac:dyDescent="0.25">
      <c r="A605" t="s">
        <v>1301</v>
      </c>
      <c r="B605" t="s">
        <v>26</v>
      </c>
      <c r="C605" t="s">
        <v>94</v>
      </c>
      <c r="D605" t="s">
        <v>31</v>
      </c>
      <c r="E605" t="s">
        <v>74</v>
      </c>
      <c r="F605" s="1">
        <v>46051</v>
      </c>
      <c r="G605">
        <v>46081</v>
      </c>
      <c r="H605" t="s">
        <v>8</v>
      </c>
      <c r="I605">
        <v>21224.69</v>
      </c>
      <c r="J605" t="s">
        <v>75</v>
      </c>
      <c r="K605" t="s">
        <v>1302</v>
      </c>
      <c r="L605">
        <v>30</v>
      </c>
      <c r="M605" t="s">
        <v>26</v>
      </c>
      <c r="N605">
        <v>1.1968000000000001</v>
      </c>
      <c r="O605">
        <v>1.3816670514892635</v>
      </c>
      <c r="P605">
        <v>6.5227817745803366E-3</v>
      </c>
      <c r="Q605">
        <v>1.3816670514892635</v>
      </c>
      <c r="R605">
        <v>29325.454851073653</v>
      </c>
      <c r="S605" t="s">
        <v>16</v>
      </c>
      <c r="T605">
        <v>1.2490000000000001</v>
      </c>
      <c r="U605">
        <v>26509.63781</v>
      </c>
      <c r="V605">
        <v>2815.8170410736529</v>
      </c>
      <c r="W605">
        <v>0.1062186160842781</v>
      </c>
    </row>
    <row r="606" spans="1:23" x14ac:dyDescent="0.25">
      <c r="A606" t="s">
        <v>1303</v>
      </c>
      <c r="B606" t="s">
        <v>37</v>
      </c>
      <c r="C606" t="s">
        <v>91</v>
      </c>
      <c r="D606" t="s">
        <v>31</v>
      </c>
      <c r="E606" t="s">
        <v>74</v>
      </c>
      <c r="F606" s="1">
        <v>45961</v>
      </c>
      <c r="G606">
        <v>45991</v>
      </c>
      <c r="H606" t="s">
        <v>6</v>
      </c>
      <c r="I606">
        <v>22779.37</v>
      </c>
      <c r="J606" t="s">
        <v>75</v>
      </c>
      <c r="K606" t="s">
        <v>1304</v>
      </c>
      <c r="L606">
        <v>30</v>
      </c>
      <c r="M606" t="s">
        <v>37</v>
      </c>
      <c r="N606">
        <v>1.1554</v>
      </c>
      <c r="O606">
        <v>1.3105716878402902</v>
      </c>
      <c r="P606">
        <v>6.4859099584596387E-3</v>
      </c>
      <c r="Q606">
        <v>1.1554</v>
      </c>
      <c r="R606">
        <v>26319.284098</v>
      </c>
      <c r="S606" t="s">
        <v>14</v>
      </c>
      <c r="T606">
        <v>1.1060000000000001</v>
      </c>
      <c r="U606">
        <v>25193.983220000002</v>
      </c>
      <c r="V606">
        <v>1125.3008779999982</v>
      </c>
      <c r="W606">
        <v>4.4665461121157247E-2</v>
      </c>
    </row>
    <row r="607" spans="1:23" x14ac:dyDescent="0.25">
      <c r="A607" t="s">
        <v>1305</v>
      </c>
      <c r="B607" t="s">
        <v>25</v>
      </c>
      <c r="C607" t="s">
        <v>169</v>
      </c>
      <c r="D607" t="s">
        <v>31</v>
      </c>
      <c r="E607" t="s">
        <v>124</v>
      </c>
      <c r="F607" s="1">
        <v>45678</v>
      </c>
      <c r="G607">
        <v>45738</v>
      </c>
      <c r="H607" t="s">
        <v>6</v>
      </c>
      <c r="I607">
        <v>32253.03</v>
      </c>
      <c r="J607" t="s">
        <v>75</v>
      </c>
      <c r="K607" t="s">
        <v>1306</v>
      </c>
      <c r="L607">
        <v>60</v>
      </c>
      <c r="M607" t="s">
        <v>25</v>
      </c>
      <c r="N607">
        <v>1.0357000000000001</v>
      </c>
      <c r="O607">
        <v>1.2249121852565847</v>
      </c>
      <c r="P607">
        <v>6.4225474389185177E-3</v>
      </c>
      <c r="Q607">
        <v>1.0357000000000001</v>
      </c>
      <c r="R607">
        <v>33404.463171000003</v>
      </c>
      <c r="S607" t="s">
        <v>11</v>
      </c>
      <c r="T607">
        <v>1.052</v>
      </c>
      <c r="U607">
        <v>33930.187559999998</v>
      </c>
      <c r="V607">
        <v>-525.72438899999543</v>
      </c>
      <c r="W607">
        <v>-1.5494296577946634E-2</v>
      </c>
    </row>
    <row r="608" spans="1:23" x14ac:dyDescent="0.25">
      <c r="A608" t="s">
        <v>1307</v>
      </c>
      <c r="B608" t="s">
        <v>38</v>
      </c>
      <c r="C608" t="s">
        <v>87</v>
      </c>
      <c r="D608" t="s">
        <v>33</v>
      </c>
      <c r="E608" t="s">
        <v>88</v>
      </c>
      <c r="F608" s="1">
        <v>46021</v>
      </c>
      <c r="G608">
        <v>46051</v>
      </c>
      <c r="H608" t="s">
        <v>6</v>
      </c>
      <c r="I608">
        <v>10397.68</v>
      </c>
      <c r="J608" t="s">
        <v>75</v>
      </c>
      <c r="K608" t="s">
        <v>1308</v>
      </c>
      <c r="L608">
        <v>30</v>
      </c>
      <c r="M608" t="s">
        <v>38</v>
      </c>
      <c r="N608">
        <v>1.1757</v>
      </c>
      <c r="O608">
        <v>1.3495179063360883</v>
      </c>
      <c r="P608">
        <v>6.4077828646173975E-3</v>
      </c>
      <c r="Q608">
        <v>1.1757</v>
      </c>
      <c r="R608">
        <v>12224.552376</v>
      </c>
      <c r="S608" t="s">
        <v>14</v>
      </c>
      <c r="T608">
        <v>1.1060000000000001</v>
      </c>
      <c r="U608">
        <v>11499.834080000001</v>
      </c>
      <c r="V608">
        <v>724.7182959999991</v>
      </c>
      <c r="W608">
        <v>6.3019891500904077E-2</v>
      </c>
    </row>
    <row r="609" spans="1:23" x14ac:dyDescent="0.25">
      <c r="A609" t="s">
        <v>1309</v>
      </c>
      <c r="B609" t="s">
        <v>28</v>
      </c>
      <c r="C609" t="s">
        <v>111</v>
      </c>
      <c r="D609" t="s">
        <v>31</v>
      </c>
      <c r="E609" t="s">
        <v>74</v>
      </c>
      <c r="F609" s="1">
        <v>45877</v>
      </c>
      <c r="G609">
        <v>45922</v>
      </c>
      <c r="H609" t="s">
        <v>9</v>
      </c>
      <c r="I609">
        <v>761184.66</v>
      </c>
      <c r="J609" t="s">
        <v>75</v>
      </c>
      <c r="K609" t="s">
        <v>1310</v>
      </c>
      <c r="L609">
        <v>45</v>
      </c>
      <c r="M609" t="s">
        <v>28</v>
      </c>
      <c r="N609">
        <v>1.1648000000000001</v>
      </c>
      <c r="O609">
        <v>1.343328335832084</v>
      </c>
      <c r="P609">
        <v>6.7650133581136024E-3</v>
      </c>
      <c r="Q609">
        <v>6.7650133581136024E-3</v>
      </c>
      <c r="R609">
        <v>5149.424392891161</v>
      </c>
      <c r="S609" t="s">
        <v>13</v>
      </c>
      <c r="T609">
        <v>6.8399999999999997E-3</v>
      </c>
      <c r="U609">
        <v>5206.5030743999996</v>
      </c>
      <c r="V609">
        <v>-57.078681508838599</v>
      </c>
      <c r="W609">
        <v>-1.0962959340116471E-2</v>
      </c>
    </row>
    <row r="610" spans="1:23" x14ac:dyDescent="0.25">
      <c r="A610" t="s">
        <v>1311</v>
      </c>
      <c r="B610" t="s">
        <v>32</v>
      </c>
      <c r="C610" t="s">
        <v>106</v>
      </c>
      <c r="D610" t="s">
        <v>31</v>
      </c>
      <c r="E610" t="s">
        <v>74</v>
      </c>
      <c r="F610" s="1">
        <v>45861</v>
      </c>
      <c r="G610">
        <v>45891</v>
      </c>
      <c r="H610" t="s">
        <v>6</v>
      </c>
      <c r="I610">
        <v>14353.25</v>
      </c>
      <c r="J610" t="s">
        <v>75</v>
      </c>
      <c r="K610" t="s">
        <v>1312</v>
      </c>
      <c r="L610">
        <v>30</v>
      </c>
      <c r="M610" t="s">
        <v>32</v>
      </c>
      <c r="N610">
        <v>1.1726000000000001</v>
      </c>
      <c r="O610">
        <v>1.353260242354299</v>
      </c>
      <c r="P610">
        <v>6.8361219611729734E-3</v>
      </c>
      <c r="Q610">
        <v>1.1726000000000001</v>
      </c>
      <c r="R610">
        <v>16830.62095</v>
      </c>
      <c r="S610" t="s">
        <v>13</v>
      </c>
      <c r="T610">
        <v>1.0880000000000001</v>
      </c>
      <c r="U610">
        <v>15616.336000000001</v>
      </c>
      <c r="V610">
        <v>1214.2849499999993</v>
      </c>
      <c r="W610">
        <v>7.7757352941176416E-2</v>
      </c>
    </row>
    <row r="611" spans="1:23" x14ac:dyDescent="0.25">
      <c r="A611" t="s">
        <v>1313</v>
      </c>
      <c r="B611" t="s">
        <v>40</v>
      </c>
      <c r="C611" t="s">
        <v>78</v>
      </c>
      <c r="D611" t="s">
        <v>33</v>
      </c>
      <c r="E611" t="s">
        <v>79</v>
      </c>
      <c r="F611" s="1">
        <v>45672</v>
      </c>
      <c r="G611">
        <v>45702</v>
      </c>
      <c r="H611" t="s">
        <v>9</v>
      </c>
      <c r="I611">
        <v>1351242.63</v>
      </c>
      <c r="J611" t="s">
        <v>75</v>
      </c>
      <c r="K611" t="s">
        <v>1314</v>
      </c>
      <c r="L611">
        <v>30</v>
      </c>
      <c r="M611" t="s">
        <v>40</v>
      </c>
      <c r="N611">
        <v>1.03</v>
      </c>
      <c r="O611">
        <v>1.2216384187491844</v>
      </c>
      <c r="P611">
        <v>6.3678516228748072E-3</v>
      </c>
      <c r="Q611">
        <v>6.3678516228748072E-3</v>
      </c>
      <c r="R611">
        <v>8604.5125743431217</v>
      </c>
      <c r="S611" t="s">
        <v>11</v>
      </c>
      <c r="T611">
        <v>6.5599999999999999E-3</v>
      </c>
      <c r="U611">
        <v>8864.1516527999993</v>
      </c>
      <c r="V611">
        <v>-259.63907845687754</v>
      </c>
      <c r="W611">
        <v>-2.9290911147133072E-2</v>
      </c>
    </row>
    <row r="612" spans="1:23" x14ac:dyDescent="0.25">
      <c r="A612" t="s">
        <v>1315</v>
      </c>
      <c r="B612" t="s">
        <v>30</v>
      </c>
      <c r="C612" t="s">
        <v>103</v>
      </c>
      <c r="D612" t="s">
        <v>31</v>
      </c>
      <c r="E612" t="s">
        <v>74</v>
      </c>
      <c r="F612" s="1">
        <v>45712</v>
      </c>
      <c r="G612">
        <v>45742</v>
      </c>
      <c r="H612" t="s">
        <v>9</v>
      </c>
      <c r="I612">
        <v>4350994.54</v>
      </c>
      <c r="J612" t="s">
        <v>75</v>
      </c>
      <c r="K612" t="s">
        <v>1316</v>
      </c>
      <c r="L612">
        <v>30</v>
      </c>
      <c r="M612" t="s">
        <v>30</v>
      </c>
      <c r="N612">
        <v>1.0466</v>
      </c>
      <c r="O612">
        <v>1.2635518531932874</v>
      </c>
      <c r="P612">
        <v>6.6743192398443976E-3</v>
      </c>
      <c r="Q612">
        <v>6.6743192398443976E-3</v>
      </c>
      <c r="R612">
        <v>29039.926570779924</v>
      </c>
      <c r="S612" t="s">
        <v>11</v>
      </c>
      <c r="T612">
        <v>6.5599999999999999E-3</v>
      </c>
      <c r="U612">
        <v>28542.5241824</v>
      </c>
      <c r="V612">
        <v>497.40238837992365</v>
      </c>
      <c r="W612">
        <v>1.7426713390914242E-2</v>
      </c>
    </row>
    <row r="613" spans="1:23" x14ac:dyDescent="0.25">
      <c r="A613" t="s">
        <v>1315</v>
      </c>
      <c r="B613" t="s">
        <v>40</v>
      </c>
      <c r="C613" t="s">
        <v>78</v>
      </c>
      <c r="D613" t="s">
        <v>33</v>
      </c>
      <c r="E613" t="s">
        <v>79</v>
      </c>
      <c r="F613" s="1">
        <v>45894</v>
      </c>
      <c r="G613">
        <v>45924</v>
      </c>
      <c r="H613" t="s">
        <v>9</v>
      </c>
      <c r="I613">
        <v>281405.31</v>
      </c>
      <c r="J613" t="s">
        <v>75</v>
      </c>
      <c r="K613" t="s">
        <v>1317</v>
      </c>
      <c r="L613">
        <v>30</v>
      </c>
      <c r="M613" t="s">
        <v>40</v>
      </c>
      <c r="N613">
        <v>1.1697</v>
      </c>
      <c r="O613">
        <v>1.3508488278092159</v>
      </c>
      <c r="P613">
        <v>6.7863773497331163E-3</v>
      </c>
      <c r="Q613">
        <v>6.7863773497331163E-3</v>
      </c>
      <c r="R613">
        <v>1909.7226218786259</v>
      </c>
      <c r="S613" t="s">
        <v>13</v>
      </c>
      <c r="T613">
        <v>6.8399999999999997E-3</v>
      </c>
      <c r="U613">
        <v>1924.8123203999999</v>
      </c>
      <c r="V613">
        <v>-15.089698521373975</v>
      </c>
      <c r="W613">
        <v>-7.8395687524683705E-3</v>
      </c>
    </row>
    <row r="614" spans="1:23" x14ac:dyDescent="0.25">
      <c r="A614" t="s">
        <v>1318</v>
      </c>
      <c r="B614" t="s">
        <v>41</v>
      </c>
      <c r="C614" t="s">
        <v>172</v>
      </c>
      <c r="D614" t="s">
        <v>33</v>
      </c>
      <c r="E614" t="s">
        <v>83</v>
      </c>
      <c r="F614" s="1">
        <v>46144</v>
      </c>
      <c r="G614">
        <v>46174</v>
      </c>
      <c r="H614" t="s">
        <v>9</v>
      </c>
      <c r="I614">
        <v>827694.31</v>
      </c>
      <c r="J614" t="s">
        <v>75</v>
      </c>
      <c r="K614" t="s">
        <v>1319</v>
      </c>
      <c r="L614">
        <v>30</v>
      </c>
      <c r="M614" t="s">
        <v>41</v>
      </c>
      <c r="N614">
        <v>1.1701999999999999</v>
      </c>
      <c r="O614">
        <v>1.3508802308802308</v>
      </c>
      <c r="P614">
        <v>6.3872059385404719E-3</v>
      </c>
      <c r="Q614">
        <v>6.3872059385404719E-3</v>
      </c>
      <c r="R614">
        <v>5286.6540121281587</v>
      </c>
      <c r="S614" t="s">
        <v>19</v>
      </c>
      <c r="T614">
        <v>6.6E-3</v>
      </c>
      <c r="U614">
        <v>5462.7824460000002</v>
      </c>
      <c r="V614">
        <v>-176.12843387184148</v>
      </c>
      <c r="W614">
        <v>-3.2241524463564819E-2</v>
      </c>
    </row>
    <row r="615" spans="1:23" x14ac:dyDescent="0.25">
      <c r="A615" t="s">
        <v>1320</v>
      </c>
      <c r="B615" t="s">
        <v>43</v>
      </c>
      <c r="C615" t="s">
        <v>215</v>
      </c>
      <c r="D615" t="s">
        <v>35</v>
      </c>
      <c r="E615" t="s">
        <v>152</v>
      </c>
      <c r="F615" s="1">
        <v>45964</v>
      </c>
      <c r="G615">
        <v>45994</v>
      </c>
      <c r="H615" t="s">
        <v>6</v>
      </c>
      <c r="I615">
        <v>8695.7099999999991</v>
      </c>
      <c r="J615" t="s">
        <v>75</v>
      </c>
      <c r="K615" t="s">
        <v>1321</v>
      </c>
      <c r="L615">
        <v>30</v>
      </c>
      <c r="M615" t="s">
        <v>43</v>
      </c>
      <c r="N615">
        <v>1.1514</v>
      </c>
      <c r="O615">
        <v>1.3136337706788364</v>
      </c>
      <c r="P615">
        <v>6.4842034127386384E-3</v>
      </c>
      <c r="Q615">
        <v>1.1514</v>
      </c>
      <c r="R615">
        <v>10012.240494</v>
      </c>
      <c r="S615" t="s">
        <v>14</v>
      </c>
      <c r="T615">
        <v>1.1060000000000001</v>
      </c>
      <c r="U615">
        <v>9617.4552600000006</v>
      </c>
      <c r="V615">
        <v>394.78523399999904</v>
      </c>
      <c r="W615">
        <v>4.1048824593128287E-2</v>
      </c>
    </row>
    <row r="616" spans="1:23" x14ac:dyDescent="0.25">
      <c r="A616" t="s">
        <v>1322</v>
      </c>
      <c r="B616" t="s">
        <v>30</v>
      </c>
      <c r="C616" t="s">
        <v>103</v>
      </c>
      <c r="D616" t="s">
        <v>31</v>
      </c>
      <c r="E616" t="s">
        <v>74</v>
      </c>
      <c r="F616" s="1">
        <v>45721</v>
      </c>
      <c r="G616">
        <v>45751</v>
      </c>
      <c r="H616" t="s">
        <v>9</v>
      </c>
      <c r="I616">
        <v>580936.06000000006</v>
      </c>
      <c r="J616" t="s">
        <v>75</v>
      </c>
      <c r="K616" t="s">
        <v>1323</v>
      </c>
      <c r="L616">
        <v>30</v>
      </c>
      <c r="M616" t="s">
        <v>30</v>
      </c>
      <c r="N616">
        <v>1.0693999999999999</v>
      </c>
      <c r="O616">
        <v>1.2807185628742515</v>
      </c>
      <c r="P616">
        <v>6.6799925042163779E-3</v>
      </c>
      <c r="Q616">
        <v>6.6799925042163779E-3</v>
      </c>
      <c r="R616">
        <v>3880.6485262289962</v>
      </c>
      <c r="S616" t="s">
        <v>11</v>
      </c>
      <c r="T616">
        <v>6.5599999999999999E-3</v>
      </c>
      <c r="U616">
        <v>3810.9405536000004</v>
      </c>
      <c r="V616">
        <v>69.707972628995776</v>
      </c>
      <c r="W616">
        <v>1.8291540276886824E-2</v>
      </c>
    </row>
    <row r="617" spans="1:23" x14ac:dyDescent="0.25">
      <c r="A617" t="s">
        <v>1324</v>
      </c>
      <c r="B617" t="s">
        <v>36</v>
      </c>
      <c r="C617" t="s">
        <v>116</v>
      </c>
      <c r="D617" t="s">
        <v>31</v>
      </c>
      <c r="E617" t="s">
        <v>74</v>
      </c>
      <c r="F617" s="1">
        <v>46367</v>
      </c>
      <c r="G617">
        <v>46412</v>
      </c>
      <c r="H617" t="s">
        <v>6</v>
      </c>
      <c r="I617">
        <v>14038.22</v>
      </c>
      <c r="J617" t="s">
        <v>84</v>
      </c>
      <c r="K617" t="s">
        <v>1325</v>
      </c>
      <c r="L617">
        <v>45</v>
      </c>
      <c r="M617" t="s">
        <v>36</v>
      </c>
      <c r="N617">
        <v>1.1176999999999999</v>
      </c>
      <c r="O617">
        <v>1.320456022210408</v>
      </c>
      <c r="P617">
        <v>6.3200452360757699E-3</v>
      </c>
      <c r="Q617">
        <v>1.1176999999999999</v>
      </c>
      <c r="R617">
        <v>15690.518493999998</v>
      </c>
      <c r="S617" t="s">
        <v>23</v>
      </c>
      <c r="T617">
        <v>1.119</v>
      </c>
      <c r="U617">
        <v>15708.768179999999</v>
      </c>
      <c r="V617">
        <v>-18.24968600000102</v>
      </c>
      <c r="W617">
        <v>-1.1617515638964011E-3</v>
      </c>
    </row>
    <row r="618" spans="1:23" x14ac:dyDescent="0.25">
      <c r="A618" t="s">
        <v>1326</v>
      </c>
      <c r="B618" t="s">
        <v>37</v>
      </c>
      <c r="C618" t="s">
        <v>91</v>
      </c>
      <c r="D618" t="s">
        <v>31</v>
      </c>
      <c r="E618" t="s">
        <v>74</v>
      </c>
      <c r="F618" s="1">
        <v>45964</v>
      </c>
      <c r="G618">
        <v>45994</v>
      </c>
      <c r="H618" t="s">
        <v>6</v>
      </c>
      <c r="I618">
        <v>26163.27</v>
      </c>
      <c r="J618" t="s">
        <v>75</v>
      </c>
      <c r="K618" t="s">
        <v>1327</v>
      </c>
      <c r="L618">
        <v>30</v>
      </c>
      <c r="M618" t="s">
        <v>37</v>
      </c>
      <c r="N618">
        <v>1.1514</v>
      </c>
      <c r="O618">
        <v>1.3136337706788364</v>
      </c>
      <c r="P618">
        <v>6.4842034127386384E-3</v>
      </c>
      <c r="Q618">
        <v>1.1514</v>
      </c>
      <c r="R618">
        <v>30124.389078</v>
      </c>
      <c r="S618" t="s">
        <v>14</v>
      </c>
      <c r="T618">
        <v>1.1060000000000001</v>
      </c>
      <c r="U618">
        <v>28936.576620000003</v>
      </c>
      <c r="V618">
        <v>1187.8124579999967</v>
      </c>
      <c r="W618">
        <v>4.1048824593128273E-2</v>
      </c>
    </row>
    <row r="619" spans="1:23" x14ac:dyDescent="0.25">
      <c r="A619" t="s">
        <v>1328</v>
      </c>
      <c r="B619" t="s">
        <v>28</v>
      </c>
      <c r="C619" t="s">
        <v>111</v>
      </c>
      <c r="D619" t="s">
        <v>31</v>
      </c>
      <c r="E619" t="s">
        <v>74</v>
      </c>
      <c r="F619" s="1">
        <v>45738</v>
      </c>
      <c r="G619">
        <v>45783</v>
      </c>
      <c r="H619" t="s">
        <v>9</v>
      </c>
      <c r="I619">
        <v>1508788.03</v>
      </c>
      <c r="J619" t="s">
        <v>75</v>
      </c>
      <c r="K619" t="s">
        <v>1329</v>
      </c>
      <c r="L619">
        <v>45</v>
      </c>
      <c r="M619" t="s">
        <v>28</v>
      </c>
      <c r="N619">
        <v>1.1325000000000001</v>
      </c>
      <c r="O619">
        <v>1.3372298972724053</v>
      </c>
      <c r="P619">
        <v>7.0063103192279149E-3</v>
      </c>
      <c r="Q619">
        <v>7.0063103192279149E-3</v>
      </c>
      <c r="R619">
        <v>10571.037144116557</v>
      </c>
      <c r="S619" t="s">
        <v>11</v>
      </c>
      <c r="T619">
        <v>6.5599999999999999E-3</v>
      </c>
      <c r="U619">
        <v>9897.6494767999993</v>
      </c>
      <c r="V619">
        <v>673.38766731655778</v>
      </c>
      <c r="W619">
        <v>6.8035109638401758E-2</v>
      </c>
    </row>
    <row r="620" spans="1:23" x14ac:dyDescent="0.25">
      <c r="A620" t="s">
        <v>1330</v>
      </c>
      <c r="B620" t="s">
        <v>36</v>
      </c>
      <c r="C620" t="s">
        <v>116</v>
      </c>
      <c r="D620" t="s">
        <v>31</v>
      </c>
      <c r="E620" t="s">
        <v>74</v>
      </c>
      <c r="F620" s="1">
        <v>45785</v>
      </c>
      <c r="G620">
        <v>45830</v>
      </c>
      <c r="H620" t="s">
        <v>6</v>
      </c>
      <c r="I620">
        <v>25846.84</v>
      </c>
      <c r="J620" t="s">
        <v>75</v>
      </c>
      <c r="K620" t="s">
        <v>1331</v>
      </c>
      <c r="L620">
        <v>45</v>
      </c>
      <c r="M620" t="s">
        <v>36</v>
      </c>
      <c r="N620">
        <v>1.1296999999999999</v>
      </c>
      <c r="O620">
        <v>1.3328220858895705</v>
      </c>
      <c r="P620">
        <v>6.9115937595594984E-3</v>
      </c>
      <c r="Q620">
        <v>1.1296999999999999</v>
      </c>
      <c r="R620">
        <v>29199.175147999998</v>
      </c>
      <c r="S620" t="s">
        <v>12</v>
      </c>
      <c r="T620">
        <v>1.07</v>
      </c>
      <c r="U620">
        <v>27656.1188</v>
      </c>
      <c r="V620">
        <v>1543.0563479999983</v>
      </c>
      <c r="W620">
        <v>5.5794392523364419E-2</v>
      </c>
    </row>
    <row r="621" spans="1:23" x14ac:dyDescent="0.25">
      <c r="A621" t="s">
        <v>1332</v>
      </c>
      <c r="B621" t="s">
        <v>34</v>
      </c>
      <c r="C621" t="s">
        <v>177</v>
      </c>
      <c r="D621" t="s">
        <v>31</v>
      </c>
      <c r="E621" t="s">
        <v>74</v>
      </c>
      <c r="F621" s="1">
        <v>46241</v>
      </c>
      <c r="G621">
        <v>46301</v>
      </c>
      <c r="H621" t="s">
        <v>8</v>
      </c>
      <c r="I621">
        <v>9570.76</v>
      </c>
      <c r="J621" t="s">
        <v>75</v>
      </c>
      <c r="K621" t="s">
        <v>1333</v>
      </c>
      <c r="L621">
        <v>60</v>
      </c>
      <c r="M621" t="s">
        <v>34</v>
      </c>
      <c r="N621">
        <v>1.1535</v>
      </c>
      <c r="O621">
        <v>1.3449542354107153</v>
      </c>
      <c r="P621">
        <v>6.315703022339028E-3</v>
      </c>
      <c r="Q621">
        <v>1.3449542354107153</v>
      </c>
      <c r="R621">
        <v>12872.234198099459</v>
      </c>
      <c r="S621" t="s">
        <v>21</v>
      </c>
      <c r="T621">
        <v>1.2929999999999999</v>
      </c>
      <c r="U621">
        <v>12374.992679999999</v>
      </c>
      <c r="V621">
        <v>497.24151809945943</v>
      </c>
      <c r="W621">
        <v>4.0181156543476794E-2</v>
      </c>
    </row>
    <row r="622" spans="1:23" x14ac:dyDescent="0.25">
      <c r="A622" t="s">
        <v>1334</v>
      </c>
      <c r="B622" t="s">
        <v>30</v>
      </c>
      <c r="C622" t="s">
        <v>103</v>
      </c>
      <c r="D622" t="s">
        <v>31</v>
      </c>
      <c r="E622" t="s">
        <v>74</v>
      </c>
      <c r="F622" s="1">
        <v>46279</v>
      </c>
      <c r="G622">
        <v>46309</v>
      </c>
      <c r="H622" t="s">
        <v>9</v>
      </c>
      <c r="I622">
        <v>4039838.9</v>
      </c>
      <c r="J622" t="s">
        <v>75</v>
      </c>
      <c r="K622" t="s">
        <v>1335</v>
      </c>
      <c r="L622">
        <v>30</v>
      </c>
      <c r="M622" t="s">
        <v>30</v>
      </c>
      <c r="N622">
        <v>1.1551</v>
      </c>
      <c r="O622">
        <v>1.3494474169957242</v>
      </c>
      <c r="P622">
        <v>6.4704234819628051E-3</v>
      </c>
      <c r="Q622">
        <v>6.4704234819628051E-3</v>
      </c>
      <c r="R622">
        <v>26139.468481906788</v>
      </c>
      <c r="S622" t="s">
        <v>21</v>
      </c>
      <c r="T622">
        <v>6.7400000000000003E-3</v>
      </c>
      <c r="U622">
        <v>27228.514186</v>
      </c>
      <c r="V622">
        <v>-1089.0457040932124</v>
      </c>
      <c r="W622">
        <v>-3.9996516029257433E-2</v>
      </c>
    </row>
    <row r="623" spans="1:23" x14ac:dyDescent="0.25">
      <c r="A623" t="s">
        <v>1336</v>
      </c>
      <c r="B623" t="s">
        <v>24</v>
      </c>
      <c r="C623" t="s">
        <v>73</v>
      </c>
      <c r="D623" t="s">
        <v>31</v>
      </c>
      <c r="E623" t="s">
        <v>74</v>
      </c>
      <c r="F623" s="1">
        <v>46219</v>
      </c>
      <c r="G623">
        <v>46249</v>
      </c>
      <c r="H623" t="s">
        <v>6</v>
      </c>
      <c r="I623">
        <v>18072.04</v>
      </c>
      <c r="J623" t="s">
        <v>75</v>
      </c>
      <c r="K623" t="s">
        <v>1337</v>
      </c>
      <c r="L623">
        <v>30</v>
      </c>
      <c r="M623" t="s">
        <v>24</v>
      </c>
      <c r="N623">
        <v>1.1467000000000001</v>
      </c>
      <c r="O623">
        <v>1.3510774922531312</v>
      </c>
      <c r="P623">
        <v>6.1653852357653636E-3</v>
      </c>
      <c r="Q623">
        <v>1.1467000000000001</v>
      </c>
      <c r="R623">
        <v>20723.208268000002</v>
      </c>
      <c r="S623" t="s">
        <v>21</v>
      </c>
      <c r="T623">
        <v>1.101</v>
      </c>
      <c r="U623">
        <v>19897.316040000002</v>
      </c>
      <c r="V623">
        <v>825.89222800000061</v>
      </c>
      <c r="W623">
        <v>4.150772025431429E-2</v>
      </c>
    </row>
    <row r="624" spans="1:23" x14ac:dyDescent="0.25">
      <c r="A624" t="s">
        <v>1338</v>
      </c>
      <c r="B624" t="s">
        <v>22</v>
      </c>
      <c r="C624" t="s">
        <v>127</v>
      </c>
      <c r="D624" t="s">
        <v>31</v>
      </c>
      <c r="E624" t="s">
        <v>124</v>
      </c>
      <c r="F624" s="1">
        <v>45792</v>
      </c>
      <c r="G624">
        <v>45852</v>
      </c>
      <c r="H624" t="s">
        <v>9</v>
      </c>
      <c r="I624">
        <v>5439377.9900000002</v>
      </c>
      <c r="J624" t="s">
        <v>75</v>
      </c>
      <c r="K624" t="s">
        <v>1339</v>
      </c>
      <c r="L624">
        <v>60</v>
      </c>
      <c r="M624" t="s">
        <v>22</v>
      </c>
      <c r="N624">
        <v>1.1185</v>
      </c>
      <c r="O624">
        <v>1.3277540360873694</v>
      </c>
      <c r="P624">
        <v>6.8493570116350275E-3</v>
      </c>
      <c r="Q624">
        <v>6.8493570116350275E-3</v>
      </c>
      <c r="R624">
        <v>37256.241774739741</v>
      </c>
      <c r="S624" t="s">
        <v>12</v>
      </c>
      <c r="T624">
        <v>6.7000000000000002E-3</v>
      </c>
      <c r="U624">
        <v>36443.832533000001</v>
      </c>
      <c r="V624">
        <v>812.40924173974054</v>
      </c>
      <c r="W624">
        <v>2.2292091288810021E-2</v>
      </c>
    </row>
    <row r="625" spans="1:23" x14ac:dyDescent="0.25">
      <c r="A625" t="s">
        <v>1340</v>
      </c>
      <c r="B625" t="s">
        <v>42</v>
      </c>
      <c r="C625" t="s">
        <v>151</v>
      </c>
      <c r="D625" t="s">
        <v>35</v>
      </c>
      <c r="E625" t="s">
        <v>152</v>
      </c>
      <c r="F625" s="1">
        <v>45825</v>
      </c>
      <c r="G625">
        <v>45855</v>
      </c>
      <c r="H625" t="s">
        <v>8</v>
      </c>
      <c r="I625">
        <v>7841.18</v>
      </c>
      <c r="J625" t="s">
        <v>75</v>
      </c>
      <c r="K625" t="s">
        <v>1341</v>
      </c>
      <c r="L625">
        <v>30</v>
      </c>
      <c r="M625" t="s">
        <v>42</v>
      </c>
      <c r="N625">
        <v>1.1568000000000001</v>
      </c>
      <c r="O625">
        <v>1.356950146627566</v>
      </c>
      <c r="P625">
        <v>6.9124589184344195E-3</v>
      </c>
      <c r="Q625">
        <v>1.356950146627566</v>
      </c>
      <c r="R625">
        <v>10640.090350733139</v>
      </c>
      <c r="S625" t="s">
        <v>12</v>
      </c>
      <c r="T625">
        <v>1.26</v>
      </c>
      <c r="U625">
        <v>9879.8868000000002</v>
      </c>
      <c r="V625">
        <v>760.2035507331384</v>
      </c>
      <c r="W625">
        <v>7.6944560815528612E-2</v>
      </c>
    </row>
    <row r="626" spans="1:23" x14ac:dyDescent="0.25">
      <c r="A626" t="s">
        <v>1342</v>
      </c>
      <c r="B626" t="s">
        <v>43</v>
      </c>
      <c r="C626" t="s">
        <v>215</v>
      </c>
      <c r="D626" t="s">
        <v>35</v>
      </c>
      <c r="E626" t="s">
        <v>152</v>
      </c>
      <c r="F626" s="1">
        <v>46163</v>
      </c>
      <c r="G626">
        <v>46193</v>
      </c>
      <c r="H626" t="s">
        <v>6</v>
      </c>
      <c r="I626">
        <v>5418.55</v>
      </c>
      <c r="J626" t="s">
        <v>75</v>
      </c>
      <c r="K626" t="s">
        <v>1343</v>
      </c>
      <c r="L626">
        <v>30</v>
      </c>
      <c r="M626" t="s">
        <v>43</v>
      </c>
      <c r="N626">
        <v>1.1598999999999999</v>
      </c>
      <c r="O626">
        <v>1.3419642960443348</v>
      </c>
      <c r="P626">
        <v>6.2836556693211983E-3</v>
      </c>
      <c r="Q626">
        <v>1.1598999999999999</v>
      </c>
      <c r="R626">
        <v>6284.9761449999996</v>
      </c>
      <c r="S626" t="s">
        <v>19</v>
      </c>
      <c r="T626">
        <v>1.083</v>
      </c>
      <c r="U626">
        <v>5868.2896499999997</v>
      </c>
      <c r="V626">
        <v>416.68649499999992</v>
      </c>
      <c r="W626">
        <v>7.1006463527239147E-2</v>
      </c>
    </row>
    <row r="627" spans="1:23" x14ac:dyDescent="0.25">
      <c r="A627" t="s">
        <v>1344</v>
      </c>
      <c r="B627" t="s">
        <v>41</v>
      </c>
      <c r="C627" t="s">
        <v>172</v>
      </c>
      <c r="D627" t="s">
        <v>33</v>
      </c>
      <c r="E627" t="s">
        <v>83</v>
      </c>
      <c r="F627" s="1">
        <v>46186</v>
      </c>
      <c r="G627">
        <v>46216</v>
      </c>
      <c r="H627" t="s">
        <v>9</v>
      </c>
      <c r="I627">
        <v>1227951.78</v>
      </c>
      <c r="J627" t="s">
        <v>75</v>
      </c>
      <c r="K627" t="s">
        <v>1345</v>
      </c>
      <c r="L627">
        <v>30</v>
      </c>
      <c r="M627" t="s">
        <v>41</v>
      </c>
      <c r="N627">
        <v>1.1567000000000001</v>
      </c>
      <c r="O627">
        <v>1.3402467991425759</v>
      </c>
      <c r="P627">
        <v>6.2423097679438749E-3</v>
      </c>
      <c r="Q627">
        <v>6.2423097679438749E-3</v>
      </c>
      <c r="R627">
        <v>7665.2553908580685</v>
      </c>
      <c r="S627" t="s">
        <v>19</v>
      </c>
      <c r="T627">
        <v>6.6E-3</v>
      </c>
      <c r="U627">
        <v>8104.4817480000002</v>
      </c>
      <c r="V627">
        <v>-439.22635714193166</v>
      </c>
      <c r="W627">
        <v>-5.4195489705473471E-2</v>
      </c>
    </row>
    <row r="628" spans="1:23" x14ac:dyDescent="0.25">
      <c r="A628" t="s">
        <v>1346</v>
      </c>
      <c r="B628" t="s">
        <v>38</v>
      </c>
      <c r="C628" t="s">
        <v>87</v>
      </c>
      <c r="D628" t="s">
        <v>33</v>
      </c>
      <c r="E628" t="s">
        <v>88</v>
      </c>
      <c r="F628" s="1">
        <v>46373</v>
      </c>
      <c r="G628">
        <v>46403</v>
      </c>
      <c r="H628" t="s">
        <v>6</v>
      </c>
      <c r="I628">
        <v>9183.48</v>
      </c>
      <c r="J628" t="s">
        <v>84</v>
      </c>
      <c r="K628" t="s">
        <v>1347</v>
      </c>
      <c r="L628">
        <v>30</v>
      </c>
      <c r="M628" t="s">
        <v>38</v>
      </c>
      <c r="N628">
        <v>1.1176999999999999</v>
      </c>
      <c r="O628">
        <v>1.320456022210408</v>
      </c>
      <c r="P628">
        <v>6.3200452360757699E-3</v>
      </c>
      <c r="Q628">
        <v>1.1176999999999999</v>
      </c>
      <c r="R628">
        <v>10264.375595999998</v>
      </c>
      <c r="S628" t="s">
        <v>23</v>
      </c>
      <c r="T628">
        <v>1.119</v>
      </c>
      <c r="U628">
        <v>10276.314119999999</v>
      </c>
      <c r="V628">
        <v>-11.938524000001053</v>
      </c>
      <c r="W628">
        <v>-1.1617515638964386E-3</v>
      </c>
    </row>
    <row r="629" spans="1:23" x14ac:dyDescent="0.25">
      <c r="A629" t="s">
        <v>1348</v>
      </c>
      <c r="B629" t="s">
        <v>24</v>
      </c>
      <c r="C629" t="s">
        <v>73</v>
      </c>
      <c r="D629" t="s">
        <v>31</v>
      </c>
      <c r="E629" t="s">
        <v>74</v>
      </c>
      <c r="F629" s="1">
        <v>45989</v>
      </c>
      <c r="G629">
        <v>46019</v>
      </c>
      <c r="H629" t="s">
        <v>6</v>
      </c>
      <c r="I629">
        <v>53956.800000000003</v>
      </c>
      <c r="J629" t="s">
        <v>75</v>
      </c>
      <c r="K629" t="s">
        <v>1349</v>
      </c>
      <c r="L629">
        <v>30</v>
      </c>
      <c r="M629" t="s">
        <v>24</v>
      </c>
      <c r="N629">
        <v>1.1566000000000001</v>
      </c>
      <c r="O629">
        <v>1.3215265082266912</v>
      </c>
      <c r="P629">
        <v>6.405272193609127E-3</v>
      </c>
      <c r="Q629">
        <v>1.1566000000000001</v>
      </c>
      <c r="R629">
        <v>62406.434880000008</v>
      </c>
      <c r="S629" t="s">
        <v>14</v>
      </c>
      <c r="T629">
        <v>1.1060000000000001</v>
      </c>
      <c r="U629">
        <v>59676.22080000001</v>
      </c>
      <c r="V629">
        <v>2730.2140799999979</v>
      </c>
      <c r="W629">
        <v>4.5750452079565962E-2</v>
      </c>
    </row>
    <row r="630" spans="1:23" x14ac:dyDescent="0.25">
      <c r="A630" t="s">
        <v>1350</v>
      </c>
      <c r="B630" t="s">
        <v>41</v>
      </c>
      <c r="C630" t="s">
        <v>172</v>
      </c>
      <c r="D630" t="s">
        <v>33</v>
      </c>
      <c r="E630" t="s">
        <v>83</v>
      </c>
      <c r="F630" s="1">
        <v>45820</v>
      </c>
      <c r="G630">
        <v>45850</v>
      </c>
      <c r="H630" t="s">
        <v>9</v>
      </c>
      <c r="I630">
        <v>1702519.12</v>
      </c>
      <c r="J630" t="s">
        <v>75</v>
      </c>
      <c r="K630" t="s">
        <v>1351</v>
      </c>
      <c r="L630">
        <v>30</v>
      </c>
      <c r="M630" t="s">
        <v>41</v>
      </c>
      <c r="N630">
        <v>1.1594</v>
      </c>
      <c r="O630">
        <v>1.3579292574373389</v>
      </c>
      <c r="P630">
        <v>6.9575132021123384E-3</v>
      </c>
      <c r="Q630">
        <v>6.9575132021123384E-3</v>
      </c>
      <c r="R630">
        <v>11845.299254248681</v>
      </c>
      <c r="S630" t="s">
        <v>12</v>
      </c>
      <c r="T630">
        <v>6.7000000000000002E-3</v>
      </c>
      <c r="U630">
        <v>11406.878104000001</v>
      </c>
      <c r="V630">
        <v>438.42115024867962</v>
      </c>
      <c r="W630">
        <v>3.8434806285423562E-2</v>
      </c>
    </row>
    <row r="631" spans="1:23" x14ac:dyDescent="0.25">
      <c r="A631" t="s">
        <v>1352</v>
      </c>
      <c r="B631" t="s">
        <v>36</v>
      </c>
      <c r="C631" t="s">
        <v>116</v>
      </c>
      <c r="D631" t="s">
        <v>31</v>
      </c>
      <c r="E631" t="s">
        <v>74</v>
      </c>
      <c r="F631" s="1">
        <v>45972</v>
      </c>
      <c r="G631">
        <v>46017</v>
      </c>
      <c r="H631" t="s">
        <v>6</v>
      </c>
      <c r="I631">
        <v>14037.25</v>
      </c>
      <c r="J631" t="s">
        <v>75</v>
      </c>
      <c r="K631" t="s">
        <v>1353</v>
      </c>
      <c r="L631">
        <v>45</v>
      </c>
      <c r="M631" t="s">
        <v>36</v>
      </c>
      <c r="N631">
        <v>1.1575</v>
      </c>
      <c r="O631">
        <v>1.3147432985006815</v>
      </c>
      <c r="P631">
        <v>6.4860472935111503E-3</v>
      </c>
      <c r="Q631">
        <v>1.1575</v>
      </c>
      <c r="R631">
        <v>16248.116875</v>
      </c>
      <c r="S631" t="s">
        <v>14</v>
      </c>
      <c r="T631">
        <v>1.1060000000000001</v>
      </c>
      <c r="U631">
        <v>15525.1985</v>
      </c>
      <c r="V631">
        <v>722.91837499999929</v>
      </c>
      <c r="W631">
        <v>4.6564195298372468E-2</v>
      </c>
    </row>
    <row r="632" spans="1:23" x14ac:dyDescent="0.25">
      <c r="A632" t="s">
        <v>1354</v>
      </c>
      <c r="B632" t="s">
        <v>32</v>
      </c>
      <c r="C632" t="s">
        <v>106</v>
      </c>
      <c r="D632" t="s">
        <v>31</v>
      </c>
      <c r="E632" t="s">
        <v>74</v>
      </c>
      <c r="F632" s="1">
        <v>45804</v>
      </c>
      <c r="G632">
        <v>45834</v>
      </c>
      <c r="H632" t="s">
        <v>6</v>
      </c>
      <c r="I632">
        <v>9439.82</v>
      </c>
      <c r="J632" t="s">
        <v>75</v>
      </c>
      <c r="K632" t="s">
        <v>1355</v>
      </c>
      <c r="L632">
        <v>30</v>
      </c>
      <c r="M632" t="s">
        <v>32</v>
      </c>
      <c r="N632">
        <v>1.1355999999999999</v>
      </c>
      <c r="O632">
        <v>1.3549695740365111</v>
      </c>
      <c r="P632">
        <v>6.9362325922306374E-3</v>
      </c>
      <c r="Q632">
        <v>1.1355999999999999</v>
      </c>
      <c r="R632">
        <v>10719.859591999999</v>
      </c>
      <c r="S632" t="s">
        <v>12</v>
      </c>
      <c r="T632">
        <v>1.07</v>
      </c>
      <c r="U632">
        <v>10100.607400000001</v>
      </c>
      <c r="V632">
        <v>619.2521919999981</v>
      </c>
      <c r="W632">
        <v>6.1308411214953076E-2</v>
      </c>
    </row>
    <row r="633" spans="1:23" x14ac:dyDescent="0.25">
      <c r="A633" t="s">
        <v>1356</v>
      </c>
      <c r="B633" t="s">
        <v>37</v>
      </c>
      <c r="C633" t="s">
        <v>91</v>
      </c>
      <c r="D633" t="s">
        <v>31</v>
      </c>
      <c r="E633" t="s">
        <v>74</v>
      </c>
      <c r="F633" s="1">
        <v>46128</v>
      </c>
      <c r="G633">
        <v>46158</v>
      </c>
      <c r="H633" t="s">
        <v>6</v>
      </c>
      <c r="I633">
        <v>15898.94</v>
      </c>
      <c r="J633" t="s">
        <v>75</v>
      </c>
      <c r="K633" t="s">
        <v>1357</v>
      </c>
      <c r="L633">
        <v>30</v>
      </c>
      <c r="M633" t="s">
        <v>37</v>
      </c>
      <c r="N633">
        <v>1.1781999999999999</v>
      </c>
      <c r="O633">
        <v>1.3543618452059361</v>
      </c>
      <c r="P633">
        <v>6.2901073087395223E-3</v>
      </c>
      <c r="Q633">
        <v>1.1781999999999999</v>
      </c>
      <c r="R633">
        <v>18732.131107999998</v>
      </c>
      <c r="S633" t="s">
        <v>19</v>
      </c>
      <c r="T633">
        <v>1.083</v>
      </c>
      <c r="U633">
        <v>17218.552019999999</v>
      </c>
      <c r="V633">
        <v>1513.5790879999986</v>
      </c>
      <c r="W633">
        <v>8.7903970452446828E-2</v>
      </c>
    </row>
    <row r="634" spans="1:23" x14ac:dyDescent="0.25">
      <c r="A634" t="s">
        <v>1358</v>
      </c>
      <c r="B634" t="s">
        <v>36</v>
      </c>
      <c r="C634" t="s">
        <v>116</v>
      </c>
      <c r="D634" t="s">
        <v>31</v>
      </c>
      <c r="E634" t="s">
        <v>74</v>
      </c>
      <c r="F634" s="1">
        <v>46042</v>
      </c>
      <c r="G634">
        <v>46087</v>
      </c>
      <c r="H634" t="s">
        <v>6</v>
      </c>
      <c r="I634">
        <v>8040.23</v>
      </c>
      <c r="J634" t="s">
        <v>75</v>
      </c>
      <c r="K634" t="s">
        <v>1359</v>
      </c>
      <c r="L634">
        <v>45</v>
      </c>
      <c r="M634" t="s">
        <v>36</v>
      </c>
      <c r="N634">
        <v>1.1728000000000001</v>
      </c>
      <c r="O634">
        <v>1.3446457234579225</v>
      </c>
      <c r="P634">
        <v>6.3332973323253052E-3</v>
      </c>
      <c r="Q634">
        <v>1.1728000000000001</v>
      </c>
      <c r="R634">
        <v>9429.5817439999992</v>
      </c>
      <c r="S634" t="s">
        <v>16</v>
      </c>
      <c r="T634">
        <v>1.0649999999999999</v>
      </c>
      <c r="U634">
        <v>8562.8449499999988</v>
      </c>
      <c r="V634">
        <v>866.73679400000037</v>
      </c>
      <c r="W634">
        <v>0.10122065727699536</v>
      </c>
    </row>
    <row r="635" spans="1:23" x14ac:dyDescent="0.25">
      <c r="A635" t="s">
        <v>1360</v>
      </c>
      <c r="B635" t="s">
        <v>43</v>
      </c>
      <c r="C635" t="s">
        <v>215</v>
      </c>
      <c r="D635" t="s">
        <v>35</v>
      </c>
      <c r="E635" t="s">
        <v>152</v>
      </c>
      <c r="F635" s="1">
        <v>46235</v>
      </c>
      <c r="G635">
        <v>46265</v>
      </c>
      <c r="H635" t="s">
        <v>6</v>
      </c>
      <c r="I635">
        <v>14826.95</v>
      </c>
      <c r="J635" t="s">
        <v>75</v>
      </c>
      <c r="K635" t="s">
        <v>1361</v>
      </c>
      <c r="L635">
        <v>30</v>
      </c>
      <c r="M635" t="s">
        <v>43</v>
      </c>
      <c r="N635">
        <v>1.1485000000000001</v>
      </c>
      <c r="O635">
        <v>1.3421289425402874</v>
      </c>
      <c r="P635">
        <v>6.2408302994077054E-3</v>
      </c>
      <c r="Q635">
        <v>1.1485000000000001</v>
      </c>
      <c r="R635">
        <v>17028.752075</v>
      </c>
      <c r="S635" t="s">
        <v>21</v>
      </c>
      <c r="T635">
        <v>1.101</v>
      </c>
      <c r="U635">
        <v>16324.471950000001</v>
      </c>
      <c r="V635">
        <v>704.28012499999932</v>
      </c>
      <c r="W635">
        <v>4.3142597638510402E-2</v>
      </c>
    </row>
    <row r="636" spans="1:23" x14ac:dyDescent="0.25">
      <c r="A636" t="s">
        <v>1362</v>
      </c>
      <c r="B636" t="s">
        <v>20</v>
      </c>
      <c r="C636" t="s">
        <v>123</v>
      </c>
      <c r="D636" t="s">
        <v>31</v>
      </c>
      <c r="E636" t="s">
        <v>124</v>
      </c>
      <c r="F636" s="1">
        <v>46217</v>
      </c>
      <c r="G636">
        <v>46262</v>
      </c>
      <c r="H636" t="s">
        <v>6</v>
      </c>
      <c r="I636">
        <v>24235.19</v>
      </c>
      <c r="J636" t="s">
        <v>75</v>
      </c>
      <c r="K636" t="s">
        <v>1363</v>
      </c>
      <c r="L636">
        <v>45</v>
      </c>
      <c r="M636" t="s">
        <v>20</v>
      </c>
      <c r="N636">
        <v>1.1405000000000001</v>
      </c>
      <c r="O636">
        <v>1.338379393299302</v>
      </c>
      <c r="P636">
        <v>6.164531646938004E-3</v>
      </c>
      <c r="Q636">
        <v>1.1405000000000001</v>
      </c>
      <c r="R636">
        <v>27640.234195000001</v>
      </c>
      <c r="S636" t="s">
        <v>21</v>
      </c>
      <c r="T636">
        <v>1.101</v>
      </c>
      <c r="U636">
        <v>26682.944189999998</v>
      </c>
      <c r="V636">
        <v>957.29000500000257</v>
      </c>
      <c r="W636">
        <v>3.5876475930971943E-2</v>
      </c>
    </row>
    <row r="637" spans="1:23" x14ac:dyDescent="0.25">
      <c r="A637" t="s">
        <v>1364</v>
      </c>
      <c r="B637" t="s">
        <v>22</v>
      </c>
      <c r="C637" t="s">
        <v>127</v>
      </c>
      <c r="D637" t="s">
        <v>31</v>
      </c>
      <c r="E637" t="s">
        <v>124</v>
      </c>
      <c r="F637" s="1">
        <v>46181</v>
      </c>
      <c r="G637">
        <v>46241</v>
      </c>
      <c r="H637" t="s">
        <v>9</v>
      </c>
      <c r="I637">
        <v>13970318.65</v>
      </c>
      <c r="J637" t="s">
        <v>75</v>
      </c>
      <c r="K637" t="s">
        <v>1365</v>
      </c>
      <c r="L637">
        <v>60</v>
      </c>
      <c r="M637" t="s">
        <v>22</v>
      </c>
      <c r="N637">
        <v>1.1539999999999999</v>
      </c>
      <c r="O637">
        <v>1.3362667901806391</v>
      </c>
      <c r="P637">
        <v>6.2513542795232932E-3</v>
      </c>
      <c r="Q637">
        <v>6.2513542795232932E-3</v>
      </c>
      <c r="R637">
        <v>87333.411278981584</v>
      </c>
      <c r="S637" t="s">
        <v>19</v>
      </c>
      <c r="T637">
        <v>6.6E-3</v>
      </c>
      <c r="U637">
        <v>92204.103090000004</v>
      </c>
      <c r="V637">
        <v>-4870.6918110184197</v>
      </c>
      <c r="W637">
        <v>-5.2825109163137346E-2</v>
      </c>
    </row>
    <row r="638" spans="1:23" x14ac:dyDescent="0.25">
      <c r="A638" t="s">
        <v>1366</v>
      </c>
      <c r="B638" t="s">
        <v>40</v>
      </c>
      <c r="C638" t="s">
        <v>78</v>
      </c>
      <c r="D638" t="s">
        <v>33</v>
      </c>
      <c r="E638" t="s">
        <v>79</v>
      </c>
      <c r="F638" s="1">
        <v>45785</v>
      </c>
      <c r="G638">
        <v>45815</v>
      </c>
      <c r="H638" t="s">
        <v>9</v>
      </c>
      <c r="I638">
        <v>732360.93</v>
      </c>
      <c r="J638" t="s">
        <v>75</v>
      </c>
      <c r="K638" t="s">
        <v>1367</v>
      </c>
      <c r="L638">
        <v>30</v>
      </c>
      <c r="M638" t="s">
        <v>40</v>
      </c>
      <c r="N638">
        <v>1.1296999999999999</v>
      </c>
      <c r="O638">
        <v>1.3328220858895705</v>
      </c>
      <c r="P638">
        <v>6.9115937595594984E-3</v>
      </c>
      <c r="Q638">
        <v>6.9115937595594984E-3</v>
      </c>
      <c r="R638">
        <v>5061.781233533191</v>
      </c>
      <c r="S638" t="s">
        <v>12</v>
      </c>
      <c r="T638">
        <v>6.7000000000000002E-3</v>
      </c>
      <c r="U638">
        <v>4906.8182310000002</v>
      </c>
      <c r="V638">
        <v>154.96300253319077</v>
      </c>
      <c r="W638">
        <v>3.1581158143208742E-2</v>
      </c>
    </row>
    <row r="639" spans="1:23" x14ac:dyDescent="0.25">
      <c r="A639" t="s">
        <v>1368</v>
      </c>
      <c r="B639" t="s">
        <v>24</v>
      </c>
      <c r="C639" t="s">
        <v>73</v>
      </c>
      <c r="D639" t="s">
        <v>31</v>
      </c>
      <c r="E639" t="s">
        <v>74</v>
      </c>
      <c r="F639" s="1">
        <v>46097</v>
      </c>
      <c r="G639">
        <v>46127</v>
      </c>
      <c r="H639" t="s">
        <v>6</v>
      </c>
      <c r="I639">
        <v>40500.22</v>
      </c>
      <c r="J639" t="s">
        <v>75</v>
      </c>
      <c r="K639" t="s">
        <v>1369</v>
      </c>
      <c r="L639">
        <v>30</v>
      </c>
      <c r="M639" t="s">
        <v>24</v>
      </c>
      <c r="N639">
        <v>1.1477999999999999</v>
      </c>
      <c r="O639">
        <v>1.3283492269234329</v>
      </c>
      <c r="P639">
        <v>6.283805978320376E-3</v>
      </c>
      <c r="Q639">
        <v>1.1477999999999999</v>
      </c>
      <c r="R639">
        <v>46486.152516000002</v>
      </c>
      <c r="S639" t="s">
        <v>16</v>
      </c>
      <c r="T639">
        <v>1.0649999999999999</v>
      </c>
      <c r="U639">
        <v>43132.734299999996</v>
      </c>
      <c r="V639">
        <v>3353.4182160000055</v>
      </c>
      <c r="W639">
        <v>7.7746478873239572E-2</v>
      </c>
    </row>
    <row r="640" spans="1:23" x14ac:dyDescent="0.25">
      <c r="A640" t="s">
        <v>1370</v>
      </c>
      <c r="B640" t="s">
        <v>28</v>
      </c>
      <c r="C640" t="s">
        <v>111</v>
      </c>
      <c r="D640" t="s">
        <v>31</v>
      </c>
      <c r="E640" t="s">
        <v>74</v>
      </c>
      <c r="F640" s="1">
        <v>46291</v>
      </c>
      <c r="G640">
        <v>46336</v>
      </c>
      <c r="H640" t="s">
        <v>9</v>
      </c>
      <c r="I640">
        <v>1429782.05</v>
      </c>
      <c r="J640" t="s">
        <v>75</v>
      </c>
      <c r="K640" t="s">
        <v>1371</v>
      </c>
      <c r="L640">
        <v>45</v>
      </c>
      <c r="M640" t="s">
        <v>28</v>
      </c>
      <c r="N640">
        <v>1.1403000000000001</v>
      </c>
      <c r="O640">
        <v>1.3252367947004475</v>
      </c>
      <c r="P640">
        <v>6.3455759599332232E-3</v>
      </c>
      <c r="Q640">
        <v>6.3455759599332232E-3</v>
      </c>
      <c r="R640">
        <v>9072.7906044240426</v>
      </c>
      <c r="S640" t="s">
        <v>21</v>
      </c>
      <c r="T640">
        <v>6.7400000000000003E-3</v>
      </c>
      <c r="U640">
        <v>9636.7310170000001</v>
      </c>
      <c r="V640">
        <v>-563.94041257595745</v>
      </c>
      <c r="W640">
        <v>-5.8519887250263532E-2</v>
      </c>
    </row>
    <row r="641" spans="1:23" x14ac:dyDescent="0.25">
      <c r="A641" t="s">
        <v>1372</v>
      </c>
      <c r="B641" t="s">
        <v>42</v>
      </c>
      <c r="C641" t="s">
        <v>151</v>
      </c>
      <c r="D641" t="s">
        <v>35</v>
      </c>
      <c r="E641" t="s">
        <v>152</v>
      </c>
      <c r="F641" s="1">
        <v>46232</v>
      </c>
      <c r="G641">
        <v>46262</v>
      </c>
      <c r="H641" t="s">
        <v>8</v>
      </c>
      <c r="I641">
        <v>6074.53</v>
      </c>
      <c r="J641" t="s">
        <v>75</v>
      </c>
      <c r="K641" t="s">
        <v>1373</v>
      </c>
      <c r="L641">
        <v>30</v>
      </c>
      <c r="M641" t="s">
        <v>42</v>
      </c>
      <c r="N641">
        <v>1.1379999999999999</v>
      </c>
      <c r="O641">
        <v>1.3288958953698837</v>
      </c>
      <c r="P641">
        <v>6.1094110699522189E-3</v>
      </c>
      <c r="Q641">
        <v>1.3288958953698837</v>
      </c>
      <c r="R641">
        <v>8072.4179833012195</v>
      </c>
      <c r="S641" t="s">
        <v>21</v>
      </c>
      <c r="T641">
        <v>1.2929999999999999</v>
      </c>
      <c r="U641">
        <v>7854.3672899999992</v>
      </c>
      <c r="V641">
        <v>218.05069330122024</v>
      </c>
      <c r="W641">
        <v>2.7761713356445322E-2</v>
      </c>
    </row>
    <row r="642" spans="1:23" x14ac:dyDescent="0.25">
      <c r="A642" t="s">
        <v>1374</v>
      </c>
      <c r="B642" t="s">
        <v>20</v>
      </c>
      <c r="C642" t="s">
        <v>123</v>
      </c>
      <c r="D642" t="s">
        <v>31</v>
      </c>
      <c r="E642" t="s">
        <v>124</v>
      </c>
      <c r="F642" s="1">
        <v>46063</v>
      </c>
      <c r="G642">
        <v>46108</v>
      </c>
      <c r="H642" t="s">
        <v>6</v>
      </c>
      <c r="I642">
        <v>37254.01</v>
      </c>
      <c r="J642" t="s">
        <v>75</v>
      </c>
      <c r="K642" t="s">
        <v>1375</v>
      </c>
      <c r="L642">
        <v>45</v>
      </c>
      <c r="M642" t="s">
        <v>20</v>
      </c>
      <c r="N642">
        <v>1.1894</v>
      </c>
      <c r="O642">
        <v>1.3679125934445082</v>
      </c>
      <c r="P642">
        <v>6.4462630751720776E-3</v>
      </c>
      <c r="Q642">
        <v>1.1894</v>
      </c>
      <c r="R642">
        <v>44309.919494000002</v>
      </c>
      <c r="S642" t="s">
        <v>16</v>
      </c>
      <c r="T642">
        <v>1.0649999999999999</v>
      </c>
      <c r="U642">
        <v>39675.520649999999</v>
      </c>
      <c r="V642">
        <v>4634.398844000003</v>
      </c>
      <c r="W642">
        <v>0.11680751173708928</v>
      </c>
    </row>
    <row r="643" spans="1:23" x14ac:dyDescent="0.25">
      <c r="A643" t="s">
        <v>1376</v>
      </c>
      <c r="B643" t="s">
        <v>22</v>
      </c>
      <c r="C643" t="s">
        <v>127</v>
      </c>
      <c r="D643" t="s">
        <v>31</v>
      </c>
      <c r="E643" t="s">
        <v>124</v>
      </c>
      <c r="F643" s="1">
        <v>46095</v>
      </c>
      <c r="G643">
        <v>46155</v>
      </c>
      <c r="H643" t="s">
        <v>9</v>
      </c>
      <c r="I643">
        <v>4683592.18</v>
      </c>
      <c r="J643" t="s">
        <v>75</v>
      </c>
      <c r="K643" t="s">
        <v>1377</v>
      </c>
      <c r="L643">
        <v>60</v>
      </c>
      <c r="M643" t="s">
        <v>22</v>
      </c>
      <c r="N643">
        <v>1.1555</v>
      </c>
      <c r="O643">
        <v>1.3367963164349013</v>
      </c>
      <c r="P643">
        <v>6.2983756677204832E-3</v>
      </c>
      <c r="Q643">
        <v>6.2983756677204832E-3</v>
      </c>
      <c r="R643">
        <v>29499.023024037931</v>
      </c>
      <c r="S643" t="s">
        <v>16</v>
      </c>
      <c r="T643">
        <v>6.4599999999999996E-3</v>
      </c>
      <c r="U643">
        <v>30256.005482799996</v>
      </c>
      <c r="V643">
        <v>-756.9824587620642</v>
      </c>
      <c r="W643">
        <v>-2.5019246482897266E-2</v>
      </c>
    </row>
    <row r="644" spans="1:23" x14ac:dyDescent="0.25">
      <c r="A644" t="s">
        <v>1378</v>
      </c>
      <c r="B644" t="s">
        <v>32</v>
      </c>
      <c r="C644" t="s">
        <v>106</v>
      </c>
      <c r="D644" t="s">
        <v>31</v>
      </c>
      <c r="E644" t="s">
        <v>74</v>
      </c>
      <c r="F644" s="1">
        <v>45701</v>
      </c>
      <c r="G644">
        <v>45731</v>
      </c>
      <c r="H644" t="s">
        <v>6</v>
      </c>
      <c r="I644">
        <v>7899.16</v>
      </c>
      <c r="J644" t="s">
        <v>75</v>
      </c>
      <c r="K644" t="s">
        <v>1379</v>
      </c>
      <c r="L644">
        <v>30</v>
      </c>
      <c r="M644" t="s">
        <v>32</v>
      </c>
      <c r="N644">
        <v>1.0389999999999999</v>
      </c>
      <c r="O644">
        <v>1.2471042934476011</v>
      </c>
      <c r="P644">
        <v>6.5022842480755988E-3</v>
      </c>
      <c r="Q644">
        <v>1.0389999999999999</v>
      </c>
      <c r="R644">
        <v>8207.2272399999983</v>
      </c>
      <c r="S644" t="s">
        <v>11</v>
      </c>
      <c r="T644">
        <v>1.052</v>
      </c>
      <c r="U644">
        <v>8309.9163200000003</v>
      </c>
      <c r="V644">
        <v>-102.68908000000192</v>
      </c>
      <c r="W644">
        <v>-1.2357414448669432E-2</v>
      </c>
    </row>
    <row r="645" spans="1:23" x14ac:dyDescent="0.25">
      <c r="A645" t="s">
        <v>1380</v>
      </c>
      <c r="B645" t="s">
        <v>25</v>
      </c>
      <c r="C645" t="s">
        <v>169</v>
      </c>
      <c r="D645" t="s">
        <v>31</v>
      </c>
      <c r="E645" t="s">
        <v>124</v>
      </c>
      <c r="F645" s="1">
        <v>45701</v>
      </c>
      <c r="G645">
        <v>45761</v>
      </c>
      <c r="H645" t="s">
        <v>6</v>
      </c>
      <c r="I645">
        <v>65473.27</v>
      </c>
      <c r="J645" t="s">
        <v>75</v>
      </c>
      <c r="K645" t="s">
        <v>1381</v>
      </c>
      <c r="L645">
        <v>60</v>
      </c>
      <c r="M645" t="s">
        <v>25</v>
      </c>
      <c r="N645">
        <v>1.0389999999999999</v>
      </c>
      <c r="O645">
        <v>1.2471042934476011</v>
      </c>
      <c r="P645">
        <v>6.5022842480755988E-3</v>
      </c>
      <c r="Q645">
        <v>1.0389999999999999</v>
      </c>
      <c r="R645">
        <v>68026.727529999989</v>
      </c>
      <c r="S645" t="s">
        <v>11</v>
      </c>
      <c r="T645">
        <v>1.052</v>
      </c>
      <c r="U645">
        <v>68877.880040000004</v>
      </c>
      <c r="V645">
        <v>-851.15251000001444</v>
      </c>
      <c r="W645">
        <v>-1.2357414448669411E-2</v>
      </c>
    </row>
    <row r="646" spans="1:23" x14ac:dyDescent="0.25">
      <c r="A646" t="s">
        <v>1382</v>
      </c>
      <c r="B646" t="s">
        <v>22</v>
      </c>
      <c r="C646" t="s">
        <v>127</v>
      </c>
      <c r="D646" t="s">
        <v>31</v>
      </c>
      <c r="E646" t="s">
        <v>124</v>
      </c>
      <c r="F646" s="1">
        <v>46105</v>
      </c>
      <c r="G646">
        <v>46165</v>
      </c>
      <c r="H646" t="s">
        <v>9</v>
      </c>
      <c r="I646">
        <v>8365560.79</v>
      </c>
      <c r="J646" t="s">
        <v>75</v>
      </c>
      <c r="K646" t="s">
        <v>1383</v>
      </c>
      <c r="L646">
        <v>60</v>
      </c>
      <c r="M646" t="s">
        <v>22</v>
      </c>
      <c r="N646">
        <v>1.1572</v>
      </c>
      <c r="O646">
        <v>1.3371696652453751</v>
      </c>
      <c r="P646">
        <v>6.2922081452884563E-3</v>
      </c>
      <c r="Q646">
        <v>6.2922081452884563E-3</v>
      </c>
      <c r="R646">
        <v>52637.849742743732</v>
      </c>
      <c r="S646" t="s">
        <v>16</v>
      </c>
      <c r="T646">
        <v>6.4599999999999996E-3</v>
      </c>
      <c r="U646">
        <v>54041.522703399998</v>
      </c>
      <c r="V646">
        <v>-1403.6729606562658</v>
      </c>
      <c r="W646">
        <v>-2.5973971317576408E-2</v>
      </c>
    </row>
    <row r="647" spans="1:23" x14ac:dyDescent="0.25">
      <c r="A647" t="s">
        <v>1384</v>
      </c>
      <c r="B647" t="s">
        <v>28</v>
      </c>
      <c r="C647" t="s">
        <v>111</v>
      </c>
      <c r="D647" t="s">
        <v>31</v>
      </c>
      <c r="E647" t="s">
        <v>74</v>
      </c>
      <c r="F647" s="1">
        <v>46088</v>
      </c>
      <c r="G647">
        <v>46133</v>
      </c>
      <c r="H647" t="s">
        <v>9</v>
      </c>
      <c r="I647">
        <v>2660750.6800000002</v>
      </c>
      <c r="J647" t="s">
        <v>75</v>
      </c>
      <c r="K647" t="s">
        <v>1385</v>
      </c>
      <c r="L647">
        <v>45</v>
      </c>
      <c r="M647" t="s">
        <v>28</v>
      </c>
      <c r="N647">
        <v>1.1555</v>
      </c>
      <c r="O647">
        <v>1.3367963164349013</v>
      </c>
      <c r="P647">
        <v>6.2983756677204832E-3</v>
      </c>
      <c r="Q647">
        <v>6.2983756677204832E-3</v>
      </c>
      <c r="R647">
        <v>16758.407340782731</v>
      </c>
      <c r="S647" t="s">
        <v>16</v>
      </c>
      <c r="T647">
        <v>6.4599999999999996E-3</v>
      </c>
      <c r="U647">
        <v>17188.449392800001</v>
      </c>
      <c r="V647">
        <v>-430.04205201727018</v>
      </c>
      <c r="W647">
        <v>-2.5019246482897332E-2</v>
      </c>
    </row>
    <row r="648" spans="1:23" x14ac:dyDescent="0.25">
      <c r="A648" t="s">
        <v>1386</v>
      </c>
      <c r="B648" t="s">
        <v>32</v>
      </c>
      <c r="C648" t="s">
        <v>106</v>
      </c>
      <c r="D648" t="s">
        <v>31</v>
      </c>
      <c r="E648" t="s">
        <v>74</v>
      </c>
      <c r="F648" s="1">
        <v>45783</v>
      </c>
      <c r="G648">
        <v>45813</v>
      </c>
      <c r="H648" t="s">
        <v>6</v>
      </c>
      <c r="I648">
        <v>13293.76</v>
      </c>
      <c r="J648" t="s">
        <v>75</v>
      </c>
      <c r="K648" t="s">
        <v>1387</v>
      </c>
      <c r="L648">
        <v>30</v>
      </c>
      <c r="M648" t="s">
        <v>32</v>
      </c>
      <c r="N648">
        <v>1.1325000000000001</v>
      </c>
      <c r="O648">
        <v>1.3372298972724053</v>
      </c>
      <c r="P648">
        <v>7.0063103192279149E-3</v>
      </c>
      <c r="Q648">
        <v>1.1325000000000001</v>
      </c>
      <c r="R648">
        <v>15055.183200000001</v>
      </c>
      <c r="S648" t="s">
        <v>12</v>
      </c>
      <c r="T648">
        <v>1.07</v>
      </c>
      <c r="U648">
        <v>14224.323200000001</v>
      </c>
      <c r="V648">
        <v>830.86000000000058</v>
      </c>
      <c r="W648">
        <v>5.8411214953271069E-2</v>
      </c>
    </row>
    <row r="649" spans="1:23" x14ac:dyDescent="0.25">
      <c r="A649" t="s">
        <v>1388</v>
      </c>
      <c r="B649" t="s">
        <v>39</v>
      </c>
      <c r="C649" t="s">
        <v>82</v>
      </c>
      <c r="D649" t="s">
        <v>33</v>
      </c>
      <c r="E649" t="s">
        <v>83</v>
      </c>
      <c r="F649" s="1">
        <v>45820</v>
      </c>
      <c r="G649">
        <v>45865</v>
      </c>
      <c r="H649" t="s">
        <v>8</v>
      </c>
      <c r="I649">
        <v>2171.0300000000002</v>
      </c>
      <c r="J649" t="s">
        <v>75</v>
      </c>
      <c r="K649" t="s">
        <v>1389</v>
      </c>
      <c r="L649">
        <v>45</v>
      </c>
      <c r="M649" t="s">
        <v>39</v>
      </c>
      <c r="N649">
        <v>1.1594</v>
      </c>
      <c r="O649">
        <v>1.3579292574373389</v>
      </c>
      <c r="P649">
        <v>6.9575132021123384E-3</v>
      </c>
      <c r="Q649">
        <v>1.3579292574373389</v>
      </c>
      <c r="R649">
        <v>2948.1051557741862</v>
      </c>
      <c r="S649" t="s">
        <v>12</v>
      </c>
      <c r="T649">
        <v>1.26</v>
      </c>
      <c r="U649">
        <v>2735.4978000000001</v>
      </c>
      <c r="V649">
        <v>212.60735577418609</v>
      </c>
      <c r="W649">
        <v>7.7721632886776984E-2</v>
      </c>
    </row>
    <row r="650" spans="1:23" x14ac:dyDescent="0.25">
      <c r="A650" t="s">
        <v>1390</v>
      </c>
      <c r="B650" t="s">
        <v>28</v>
      </c>
      <c r="C650" t="s">
        <v>111</v>
      </c>
      <c r="D650" t="s">
        <v>31</v>
      </c>
      <c r="E650" t="s">
        <v>74</v>
      </c>
      <c r="F650" s="1">
        <v>46057</v>
      </c>
      <c r="G650">
        <v>46102</v>
      </c>
      <c r="H650" t="s">
        <v>9</v>
      </c>
      <c r="I650">
        <v>3305496.65</v>
      </c>
      <c r="J650" t="s">
        <v>75</v>
      </c>
      <c r="K650" t="s">
        <v>1391</v>
      </c>
      <c r="L650">
        <v>45</v>
      </c>
      <c r="M650" t="s">
        <v>28</v>
      </c>
      <c r="N650">
        <v>1.1819999999999999</v>
      </c>
      <c r="O650">
        <v>1.3718662952646239</v>
      </c>
      <c r="P650">
        <v>6.3840129624628678E-3</v>
      </c>
      <c r="Q650">
        <v>6.3840129624628678E-3</v>
      </c>
      <c r="R650">
        <v>21102.333460977585</v>
      </c>
      <c r="S650" t="s">
        <v>16</v>
      </c>
      <c r="T650">
        <v>6.4599999999999996E-3</v>
      </c>
      <c r="U650">
        <v>21353.508358999999</v>
      </c>
      <c r="V650">
        <v>-251.17489802241471</v>
      </c>
      <c r="W650">
        <v>-1.176269930915359E-2</v>
      </c>
    </row>
    <row r="651" spans="1:23" x14ac:dyDescent="0.25">
      <c r="A651" t="s">
        <v>1392</v>
      </c>
      <c r="B651" t="s">
        <v>38</v>
      </c>
      <c r="C651" t="s">
        <v>87</v>
      </c>
      <c r="D651" t="s">
        <v>33</v>
      </c>
      <c r="E651" t="s">
        <v>88</v>
      </c>
      <c r="F651" s="1">
        <v>46336</v>
      </c>
      <c r="G651">
        <v>46366</v>
      </c>
      <c r="H651" t="s">
        <v>6</v>
      </c>
      <c r="I651">
        <v>10308.31</v>
      </c>
      <c r="J651" t="s">
        <v>84</v>
      </c>
      <c r="K651" t="s">
        <v>1393</v>
      </c>
      <c r="L651">
        <v>30</v>
      </c>
      <c r="M651" t="s">
        <v>38</v>
      </c>
      <c r="N651">
        <v>1.1176999999999999</v>
      </c>
      <c r="O651">
        <v>1.320456022210408</v>
      </c>
      <c r="P651">
        <v>6.3200452360757699E-3</v>
      </c>
      <c r="Q651">
        <v>1.1176999999999999</v>
      </c>
      <c r="R651">
        <v>11521.598086999998</v>
      </c>
      <c r="S651" t="s">
        <v>23</v>
      </c>
      <c r="T651">
        <v>1.119</v>
      </c>
      <c r="U651">
        <v>11534.998889999999</v>
      </c>
      <c r="V651">
        <v>-13.400803000000451</v>
      </c>
      <c r="W651">
        <v>-1.1617515638963753E-3</v>
      </c>
    </row>
    <row r="652" spans="1:23" x14ac:dyDescent="0.25">
      <c r="A652" t="s">
        <v>1394</v>
      </c>
      <c r="B652" t="s">
        <v>22</v>
      </c>
      <c r="C652" t="s">
        <v>127</v>
      </c>
      <c r="D652" t="s">
        <v>31</v>
      </c>
      <c r="E652" t="s">
        <v>124</v>
      </c>
      <c r="F652" s="1">
        <v>45950</v>
      </c>
      <c r="G652">
        <v>46010</v>
      </c>
      <c r="H652" t="s">
        <v>9</v>
      </c>
      <c r="I652">
        <v>6362431.0199999996</v>
      </c>
      <c r="J652" t="s">
        <v>75</v>
      </c>
      <c r="K652" t="s">
        <v>1395</v>
      </c>
      <c r="L652">
        <v>60</v>
      </c>
      <c r="M652" t="s">
        <v>22</v>
      </c>
      <c r="N652">
        <v>1.1655</v>
      </c>
      <c r="O652">
        <v>1.3410424577148774</v>
      </c>
      <c r="P652">
        <v>6.6330886119173637E-3</v>
      </c>
      <c r="Q652">
        <v>6.6330886119173637E-3</v>
      </c>
      <c r="R652">
        <v>42202.568742871772</v>
      </c>
      <c r="S652" t="s">
        <v>14</v>
      </c>
      <c r="T652">
        <v>6.9800000000000001E-3</v>
      </c>
      <c r="U652">
        <v>44409.768519599995</v>
      </c>
      <c r="V652">
        <v>-2207.1997767282228</v>
      </c>
      <c r="W652">
        <v>-4.9700771931609773E-2</v>
      </c>
    </row>
    <row r="653" spans="1:23" x14ac:dyDescent="0.25">
      <c r="A653" t="s">
        <v>1396</v>
      </c>
      <c r="B653" t="s">
        <v>40</v>
      </c>
      <c r="C653" t="s">
        <v>78</v>
      </c>
      <c r="D653" t="s">
        <v>33</v>
      </c>
      <c r="E653" t="s">
        <v>79</v>
      </c>
      <c r="F653" s="1">
        <v>46120</v>
      </c>
      <c r="G653">
        <v>46150</v>
      </c>
      <c r="H653" t="s">
        <v>9</v>
      </c>
      <c r="I653">
        <v>1896013.7</v>
      </c>
      <c r="J653" t="s">
        <v>75</v>
      </c>
      <c r="K653" t="s">
        <v>1397</v>
      </c>
      <c r="L653">
        <v>30</v>
      </c>
      <c r="M653" t="s">
        <v>40</v>
      </c>
      <c r="N653">
        <v>1.1706000000000001</v>
      </c>
      <c r="O653">
        <v>1.3471741106878576</v>
      </c>
      <c r="P653">
        <v>6.3231242910387299E-3</v>
      </c>
      <c r="Q653">
        <v>6.3231242910387299E-3</v>
      </c>
      <c r="R653">
        <v>11988.73028261222</v>
      </c>
      <c r="S653" t="s">
        <v>19</v>
      </c>
      <c r="T653">
        <v>6.6E-3</v>
      </c>
      <c r="U653">
        <v>12513.690419999999</v>
      </c>
      <c r="V653">
        <v>-524.96013738777947</v>
      </c>
      <c r="W653">
        <v>-4.1950864994131726E-2</v>
      </c>
    </row>
    <row r="654" spans="1:23" x14ac:dyDescent="0.25">
      <c r="A654" t="s">
        <v>1398</v>
      </c>
      <c r="B654" t="s">
        <v>26</v>
      </c>
      <c r="C654" t="s">
        <v>94</v>
      </c>
      <c r="D654" t="s">
        <v>31</v>
      </c>
      <c r="E654" t="s">
        <v>74</v>
      </c>
      <c r="F654" s="1">
        <v>46220</v>
      </c>
      <c r="G654">
        <v>46250</v>
      </c>
      <c r="H654" t="s">
        <v>8</v>
      </c>
      <c r="I654">
        <v>11048.23</v>
      </c>
      <c r="J654" t="s">
        <v>75</v>
      </c>
      <c r="K654" t="s">
        <v>1399</v>
      </c>
      <c r="L654">
        <v>30</v>
      </c>
      <c r="M654" t="s">
        <v>26</v>
      </c>
      <c r="N654">
        <v>1.1435</v>
      </c>
      <c r="O654">
        <v>1.3437448588685985</v>
      </c>
      <c r="P654">
        <v>6.1594398060867217E-3</v>
      </c>
      <c r="Q654">
        <v>1.3437448588685985</v>
      </c>
      <c r="R654">
        <v>14846.002262097816</v>
      </c>
      <c r="S654" t="s">
        <v>21</v>
      </c>
      <c r="T654">
        <v>1.2929999999999999</v>
      </c>
      <c r="U654">
        <v>14285.361389999998</v>
      </c>
      <c r="V654">
        <v>560.64087209781792</v>
      </c>
      <c r="W654">
        <v>3.9245830524824964E-2</v>
      </c>
    </row>
    <row r="655" spans="1:23" x14ac:dyDescent="0.25">
      <c r="A655" t="s">
        <v>1400</v>
      </c>
      <c r="B655" t="s">
        <v>42</v>
      </c>
      <c r="C655" t="s">
        <v>151</v>
      </c>
      <c r="D655" t="s">
        <v>35</v>
      </c>
      <c r="E655" t="s">
        <v>152</v>
      </c>
      <c r="F655" s="1">
        <v>46141</v>
      </c>
      <c r="G655">
        <v>46171</v>
      </c>
      <c r="H655" t="s">
        <v>8</v>
      </c>
      <c r="I655">
        <v>6721.44</v>
      </c>
      <c r="J655" t="s">
        <v>75</v>
      </c>
      <c r="K655" t="s">
        <v>1401</v>
      </c>
      <c r="L655">
        <v>30</v>
      </c>
      <c r="M655" t="s">
        <v>42</v>
      </c>
      <c r="N655">
        <v>1.1706000000000001</v>
      </c>
      <c r="O655">
        <v>1.3510612513417126</v>
      </c>
      <c r="P655">
        <v>6.2582197273456297E-3</v>
      </c>
      <c r="Q655">
        <v>1.3510612513417126</v>
      </c>
      <c r="R655">
        <v>9081.0771372182408</v>
      </c>
      <c r="S655" t="s">
        <v>19</v>
      </c>
      <c r="T655">
        <v>1.2709999999999999</v>
      </c>
      <c r="U655">
        <v>8542.9502399999983</v>
      </c>
      <c r="V655">
        <v>538.12689721824245</v>
      </c>
      <c r="W655">
        <v>6.2990756366414533E-2</v>
      </c>
    </row>
    <row r="656" spans="1:23" x14ac:dyDescent="0.25">
      <c r="A656" t="s">
        <v>1402</v>
      </c>
      <c r="B656" t="s">
        <v>20</v>
      </c>
      <c r="C656" t="s">
        <v>123</v>
      </c>
      <c r="D656" t="s">
        <v>31</v>
      </c>
      <c r="E656" t="s">
        <v>124</v>
      </c>
      <c r="F656" s="1">
        <v>45846</v>
      </c>
      <c r="G656">
        <v>45891</v>
      </c>
      <c r="H656" t="s">
        <v>6</v>
      </c>
      <c r="I656">
        <v>68848.45</v>
      </c>
      <c r="J656" t="s">
        <v>75</v>
      </c>
      <c r="K656" t="s">
        <v>1403</v>
      </c>
      <c r="L656">
        <v>45</v>
      </c>
      <c r="M656" t="s">
        <v>20</v>
      </c>
      <c r="N656">
        <v>1.1718</v>
      </c>
      <c r="O656">
        <v>1.3575069508804449</v>
      </c>
      <c r="P656">
        <v>6.8246942341292959E-3</v>
      </c>
      <c r="Q656">
        <v>1.1718</v>
      </c>
      <c r="R656">
        <v>80676.613709999991</v>
      </c>
      <c r="S656" t="s">
        <v>13</v>
      </c>
      <c r="T656">
        <v>1.0880000000000001</v>
      </c>
      <c r="U656">
        <v>74907.113599999997</v>
      </c>
      <c r="V656">
        <v>5769.5001099999936</v>
      </c>
      <c r="W656">
        <v>7.7022058823529332E-2</v>
      </c>
    </row>
    <row r="657" spans="1:23" x14ac:dyDescent="0.25">
      <c r="A657" t="s">
        <v>1404</v>
      </c>
      <c r="B657" t="s">
        <v>30</v>
      </c>
      <c r="C657" t="s">
        <v>103</v>
      </c>
      <c r="D657" t="s">
        <v>31</v>
      </c>
      <c r="E657" t="s">
        <v>74</v>
      </c>
      <c r="F657" s="1">
        <v>45755</v>
      </c>
      <c r="G657">
        <v>45785</v>
      </c>
      <c r="H657" t="s">
        <v>9</v>
      </c>
      <c r="I657">
        <v>1612808.81</v>
      </c>
      <c r="J657" t="s">
        <v>75</v>
      </c>
      <c r="K657" t="s">
        <v>1405</v>
      </c>
      <c r="L657">
        <v>30</v>
      </c>
      <c r="M657" t="s">
        <v>30</v>
      </c>
      <c r="N657">
        <v>1.095</v>
      </c>
      <c r="O657">
        <v>1.2785484096959507</v>
      </c>
      <c r="P657">
        <v>6.816059757236227E-3</v>
      </c>
      <c r="Q657">
        <v>6.816059757236227E-3</v>
      </c>
      <c r="R657">
        <v>10993.001225957049</v>
      </c>
      <c r="S657" t="s">
        <v>12</v>
      </c>
      <c r="T657">
        <v>6.7000000000000002E-3</v>
      </c>
      <c r="U657">
        <v>10805.819027000001</v>
      </c>
      <c r="V657">
        <v>187.18219895704715</v>
      </c>
      <c r="W657">
        <v>1.7322351826302443E-2</v>
      </c>
    </row>
    <row r="658" spans="1:23" x14ac:dyDescent="0.25">
      <c r="A658" t="s">
        <v>1406</v>
      </c>
      <c r="B658" t="s">
        <v>24</v>
      </c>
      <c r="C658" t="s">
        <v>73</v>
      </c>
      <c r="D658" t="s">
        <v>31</v>
      </c>
      <c r="E658" t="s">
        <v>74</v>
      </c>
      <c r="F658" s="1">
        <v>45850</v>
      </c>
      <c r="G658">
        <v>45880</v>
      </c>
      <c r="H658" t="s">
        <v>6</v>
      </c>
      <c r="I658">
        <v>21908.09</v>
      </c>
      <c r="J658" t="s">
        <v>75</v>
      </c>
      <c r="K658" t="s">
        <v>1407</v>
      </c>
      <c r="L658">
        <v>30</v>
      </c>
      <c r="M658" t="s">
        <v>24</v>
      </c>
      <c r="N658">
        <v>1.1611</v>
      </c>
      <c r="O658">
        <v>1.3372106414833584</v>
      </c>
      <c r="P658">
        <v>6.5450958286358508E-3</v>
      </c>
      <c r="Q658">
        <v>1.1611</v>
      </c>
      <c r="R658">
        <v>25437.483299</v>
      </c>
      <c r="S658" t="s">
        <v>13</v>
      </c>
      <c r="T658">
        <v>1.0880000000000001</v>
      </c>
      <c r="U658">
        <v>23836.001920000002</v>
      </c>
      <c r="V658">
        <v>1601.4813789999971</v>
      </c>
      <c r="W658">
        <v>6.7187499999999872E-2</v>
      </c>
    </row>
    <row r="659" spans="1:23" x14ac:dyDescent="0.25">
      <c r="A659" t="s">
        <v>1408</v>
      </c>
      <c r="B659" t="s">
        <v>44</v>
      </c>
      <c r="C659" t="s">
        <v>138</v>
      </c>
      <c r="D659" t="s">
        <v>33</v>
      </c>
      <c r="E659" t="s">
        <v>88</v>
      </c>
      <c r="F659" s="1">
        <v>46269</v>
      </c>
      <c r="G659">
        <v>46314</v>
      </c>
      <c r="H659" t="s">
        <v>9</v>
      </c>
      <c r="I659">
        <v>465992.4</v>
      </c>
      <c r="J659" t="s">
        <v>75</v>
      </c>
      <c r="K659" t="s">
        <v>1409</v>
      </c>
      <c r="L659">
        <v>45</v>
      </c>
      <c r="M659" t="s">
        <v>44</v>
      </c>
      <c r="N659">
        <v>1.1621999999999999</v>
      </c>
      <c r="O659">
        <v>1.3530000698502875</v>
      </c>
      <c r="P659">
        <v>6.400132165868164E-3</v>
      </c>
      <c r="Q659">
        <v>6.400132165868164E-3</v>
      </c>
      <c r="R659">
        <v>2982.4129482901039</v>
      </c>
      <c r="S659" t="s">
        <v>21</v>
      </c>
      <c r="T659">
        <v>6.7400000000000003E-3</v>
      </c>
      <c r="U659">
        <v>3140.7887760000003</v>
      </c>
      <c r="V659">
        <v>-158.37582770989638</v>
      </c>
      <c r="W659">
        <v>-5.042549467831401E-2</v>
      </c>
    </row>
    <row r="660" spans="1:23" x14ac:dyDescent="0.25">
      <c r="A660" t="s">
        <v>1410</v>
      </c>
      <c r="B660" t="s">
        <v>32</v>
      </c>
      <c r="C660" t="s">
        <v>106</v>
      </c>
      <c r="D660" t="s">
        <v>31</v>
      </c>
      <c r="E660" t="s">
        <v>74</v>
      </c>
      <c r="F660" s="1">
        <v>46233</v>
      </c>
      <c r="G660">
        <v>46263</v>
      </c>
      <c r="H660" t="s">
        <v>6</v>
      </c>
      <c r="I660">
        <v>26019.67</v>
      </c>
      <c r="J660" t="s">
        <v>75</v>
      </c>
      <c r="K660" t="s">
        <v>1411</v>
      </c>
      <c r="L660">
        <v>30</v>
      </c>
      <c r="M660" t="s">
        <v>32</v>
      </c>
      <c r="N660">
        <v>1.1476</v>
      </c>
      <c r="O660">
        <v>1.3388555095374206</v>
      </c>
      <c r="P660">
        <v>6.1372265896572006E-3</v>
      </c>
      <c r="Q660">
        <v>1.1476</v>
      </c>
      <c r="R660">
        <v>29860.173291999996</v>
      </c>
      <c r="S660" t="s">
        <v>21</v>
      </c>
      <c r="T660">
        <v>1.101</v>
      </c>
      <c r="U660">
        <v>28647.656669999997</v>
      </c>
      <c r="V660">
        <v>1212.5166219999992</v>
      </c>
      <c r="W660">
        <v>4.2325158946412332E-2</v>
      </c>
    </row>
    <row r="661" spans="1:23" x14ac:dyDescent="0.25">
      <c r="A661" t="s">
        <v>1412</v>
      </c>
      <c r="B661" t="s">
        <v>28</v>
      </c>
      <c r="C661" t="s">
        <v>111</v>
      </c>
      <c r="D661" t="s">
        <v>31</v>
      </c>
      <c r="E661" t="s">
        <v>74</v>
      </c>
      <c r="F661" s="1">
        <v>46380</v>
      </c>
      <c r="G661">
        <v>46425</v>
      </c>
      <c r="H661" t="s">
        <v>9</v>
      </c>
      <c r="I661">
        <v>4874806.08</v>
      </c>
      <c r="J661" t="s">
        <v>84</v>
      </c>
      <c r="K661" t="s">
        <v>1413</v>
      </c>
      <c r="L661">
        <v>45</v>
      </c>
      <c r="M661" t="s">
        <v>28</v>
      </c>
      <c r="N661">
        <v>1.1176999999999999</v>
      </c>
      <c r="O661">
        <v>1.320456022210408</v>
      </c>
      <c r="P661">
        <v>6.3200452360757699E-3</v>
      </c>
      <c r="Q661">
        <v>6.3200452360757699E-3</v>
      </c>
      <c r="R661">
        <v>30808.994942697198</v>
      </c>
      <c r="S661" t="s">
        <v>23</v>
      </c>
      <c r="T661">
        <v>6.8799999999999998E-3</v>
      </c>
      <c r="U661">
        <v>33538.665830400001</v>
      </c>
      <c r="V661">
        <v>-2729.6708877028032</v>
      </c>
      <c r="W661">
        <v>-8.1388773826196276E-2</v>
      </c>
    </row>
    <row r="662" spans="1:23" x14ac:dyDescent="0.25">
      <c r="A662" t="s">
        <v>1414</v>
      </c>
      <c r="B662" t="s">
        <v>42</v>
      </c>
      <c r="C662" t="s">
        <v>151</v>
      </c>
      <c r="D662" t="s">
        <v>35</v>
      </c>
      <c r="E662" t="s">
        <v>152</v>
      </c>
      <c r="F662" s="1">
        <v>46054</v>
      </c>
      <c r="G662">
        <v>46084</v>
      </c>
      <c r="H662" t="s">
        <v>8</v>
      </c>
      <c r="I662">
        <v>2752.9</v>
      </c>
      <c r="J662" t="s">
        <v>75</v>
      </c>
      <c r="K662" t="s">
        <v>1415</v>
      </c>
      <c r="L662">
        <v>30</v>
      </c>
      <c r="M662" t="s">
        <v>42</v>
      </c>
      <c r="N662">
        <v>1.1555</v>
      </c>
      <c r="O662">
        <v>1.3367963164349013</v>
      </c>
      <c r="P662">
        <v>6.2983756677204832E-3</v>
      </c>
      <c r="Q662">
        <v>1.3367963164349013</v>
      </c>
      <c r="R662">
        <v>3680.0665795136397</v>
      </c>
      <c r="S662" t="s">
        <v>16</v>
      </c>
      <c r="T662">
        <v>1.2490000000000001</v>
      </c>
      <c r="U662">
        <v>3438.3721000000005</v>
      </c>
      <c r="V662">
        <v>241.69447951363918</v>
      </c>
      <c r="W662">
        <v>7.0293287778143365E-2</v>
      </c>
    </row>
    <row r="663" spans="1:23" x14ac:dyDescent="0.25">
      <c r="A663" t="s">
        <v>1416</v>
      </c>
      <c r="B663" t="s">
        <v>24</v>
      </c>
      <c r="C663" t="s">
        <v>73</v>
      </c>
      <c r="D663" t="s">
        <v>31</v>
      </c>
      <c r="E663" t="s">
        <v>74</v>
      </c>
      <c r="F663" s="1">
        <v>45714</v>
      </c>
      <c r="G663">
        <v>45744</v>
      </c>
      <c r="H663" t="s">
        <v>6</v>
      </c>
      <c r="I663">
        <v>28951.5</v>
      </c>
      <c r="J663" t="s">
        <v>75</v>
      </c>
      <c r="K663" t="s">
        <v>1417</v>
      </c>
      <c r="L663">
        <v>30</v>
      </c>
      <c r="M663" t="s">
        <v>24</v>
      </c>
      <c r="N663">
        <v>1.0487</v>
      </c>
      <c r="O663">
        <v>1.2655065887918135</v>
      </c>
      <c r="P663">
        <v>6.6924058710912575E-3</v>
      </c>
      <c r="Q663">
        <v>1.0487</v>
      </c>
      <c r="R663">
        <v>30361.438050000001</v>
      </c>
      <c r="S663" t="s">
        <v>11</v>
      </c>
      <c r="T663">
        <v>1.052</v>
      </c>
      <c r="U663">
        <v>30456.978000000003</v>
      </c>
      <c r="V663">
        <v>-95.539950000002136</v>
      </c>
      <c r="W663">
        <v>-3.1368821292776365E-3</v>
      </c>
    </row>
    <row r="664" spans="1:23" x14ac:dyDescent="0.25">
      <c r="A664" t="s">
        <v>1418</v>
      </c>
      <c r="B664" t="s">
        <v>30</v>
      </c>
      <c r="C664" t="s">
        <v>103</v>
      </c>
      <c r="D664" t="s">
        <v>31</v>
      </c>
      <c r="E664" t="s">
        <v>74</v>
      </c>
      <c r="F664" s="1">
        <v>46047</v>
      </c>
      <c r="G664">
        <v>46077</v>
      </c>
      <c r="H664" t="s">
        <v>9</v>
      </c>
      <c r="I664">
        <v>1036122.98</v>
      </c>
      <c r="J664" t="s">
        <v>75</v>
      </c>
      <c r="K664" t="s">
        <v>1419</v>
      </c>
      <c r="L664">
        <v>30</v>
      </c>
      <c r="M664" t="s">
        <v>30</v>
      </c>
      <c r="N664">
        <v>1.1555</v>
      </c>
      <c r="O664">
        <v>1.3367963164349013</v>
      </c>
      <c r="P664">
        <v>6.2983756677204832E-3</v>
      </c>
      <c r="Q664">
        <v>6.2983756677204832E-3</v>
      </c>
      <c r="R664">
        <v>6525.891765998037</v>
      </c>
      <c r="S664" t="s">
        <v>16</v>
      </c>
      <c r="T664">
        <v>6.4599999999999996E-3</v>
      </c>
      <c r="U664">
        <v>6693.3544507999995</v>
      </c>
      <c r="V664">
        <v>-167.4626848019625</v>
      </c>
      <c r="W664">
        <v>-2.5019246482897241E-2</v>
      </c>
    </row>
    <row r="665" spans="1:23" x14ac:dyDescent="0.25">
      <c r="A665" t="s">
        <v>1420</v>
      </c>
      <c r="B665" t="s">
        <v>43</v>
      </c>
      <c r="C665" t="s">
        <v>215</v>
      </c>
      <c r="D665" t="s">
        <v>35</v>
      </c>
      <c r="E665" t="s">
        <v>152</v>
      </c>
      <c r="F665" s="1">
        <v>46061</v>
      </c>
      <c r="G665">
        <v>46091</v>
      </c>
      <c r="H665" t="s">
        <v>6</v>
      </c>
      <c r="I665">
        <v>9831.92</v>
      </c>
      <c r="J665" t="s">
        <v>75</v>
      </c>
      <c r="K665" t="s">
        <v>1421</v>
      </c>
      <c r="L665">
        <v>30</v>
      </c>
      <c r="M665" t="s">
        <v>43</v>
      </c>
      <c r="N665">
        <v>1.1555</v>
      </c>
      <c r="O665">
        <v>1.3367963164349013</v>
      </c>
      <c r="P665">
        <v>6.2983756677204832E-3</v>
      </c>
      <c r="Q665">
        <v>1.1555</v>
      </c>
      <c r="R665">
        <v>11360.78356</v>
      </c>
      <c r="S665" t="s">
        <v>16</v>
      </c>
      <c r="T665">
        <v>1.0649999999999999</v>
      </c>
      <c r="U665">
        <v>10470.9948</v>
      </c>
      <c r="V665">
        <v>889.78875999999946</v>
      </c>
      <c r="W665">
        <v>8.4976525821596191E-2</v>
      </c>
    </row>
    <row r="666" spans="1:23" x14ac:dyDescent="0.25">
      <c r="A666" t="s">
        <v>1422</v>
      </c>
      <c r="B666" t="s">
        <v>36</v>
      </c>
      <c r="C666" t="s">
        <v>116</v>
      </c>
      <c r="D666" t="s">
        <v>31</v>
      </c>
      <c r="E666" t="s">
        <v>74</v>
      </c>
      <c r="F666" s="1">
        <v>46131</v>
      </c>
      <c r="G666">
        <v>46176</v>
      </c>
      <c r="H666" t="s">
        <v>6</v>
      </c>
      <c r="I666">
        <v>9094.76</v>
      </c>
      <c r="J666" t="s">
        <v>75</v>
      </c>
      <c r="K666" t="s">
        <v>1423</v>
      </c>
      <c r="L666">
        <v>45</v>
      </c>
      <c r="M666" t="s">
        <v>36</v>
      </c>
      <c r="N666">
        <v>1.1797</v>
      </c>
      <c r="O666">
        <v>1.3533636196769456</v>
      </c>
      <c r="P666">
        <v>6.2843596846366926E-3</v>
      </c>
      <c r="Q666">
        <v>1.1797</v>
      </c>
      <c r="R666">
        <v>10729.088372</v>
      </c>
      <c r="S666" t="s">
        <v>19</v>
      </c>
      <c r="T666">
        <v>1.083</v>
      </c>
      <c r="U666">
        <v>9849.6250799999998</v>
      </c>
      <c r="V666">
        <v>879.46329200000037</v>
      </c>
      <c r="W666">
        <v>8.9289012003693477E-2</v>
      </c>
    </row>
    <row r="667" spans="1:23" x14ac:dyDescent="0.25">
      <c r="A667" t="s">
        <v>1424</v>
      </c>
      <c r="B667" t="s">
        <v>26</v>
      </c>
      <c r="C667" t="s">
        <v>94</v>
      </c>
      <c r="D667" t="s">
        <v>31</v>
      </c>
      <c r="E667" t="s">
        <v>74</v>
      </c>
      <c r="F667" s="1">
        <v>45842</v>
      </c>
      <c r="G667">
        <v>45872</v>
      </c>
      <c r="H667" t="s">
        <v>8</v>
      </c>
      <c r="I667">
        <v>19547.45</v>
      </c>
      <c r="J667" t="s">
        <v>75</v>
      </c>
      <c r="K667" t="s">
        <v>1425</v>
      </c>
      <c r="L667">
        <v>30</v>
      </c>
      <c r="M667" t="s">
        <v>26</v>
      </c>
      <c r="N667">
        <v>1.1767000000000001</v>
      </c>
      <c r="O667">
        <v>1.3642898550724638</v>
      </c>
      <c r="P667">
        <v>6.9250235404896433E-3</v>
      </c>
      <c r="Q667">
        <v>1.3642898550724638</v>
      </c>
      <c r="R667">
        <v>26668.387727536232</v>
      </c>
      <c r="S667" t="s">
        <v>13</v>
      </c>
      <c r="T667">
        <v>1.282</v>
      </c>
      <c r="U667">
        <v>25059.830900000001</v>
      </c>
      <c r="V667">
        <v>1608.5568275362311</v>
      </c>
      <c r="W667">
        <v>6.4188654502701809E-2</v>
      </c>
    </row>
    <row r="668" spans="1:23" x14ac:dyDescent="0.25">
      <c r="A668" t="s">
        <v>1426</v>
      </c>
      <c r="B668" t="s">
        <v>24</v>
      </c>
      <c r="C668" t="s">
        <v>73</v>
      </c>
      <c r="D668" t="s">
        <v>31</v>
      </c>
      <c r="E668" t="s">
        <v>74</v>
      </c>
      <c r="F668" s="1">
        <v>46265</v>
      </c>
      <c r="G668">
        <v>46295</v>
      </c>
      <c r="H668" t="s">
        <v>6</v>
      </c>
      <c r="I668">
        <v>34131.279999999999</v>
      </c>
      <c r="J668" t="s">
        <v>75</v>
      </c>
      <c r="K668" t="s">
        <v>1427</v>
      </c>
      <c r="L668">
        <v>30</v>
      </c>
      <c r="M668" t="s">
        <v>24</v>
      </c>
      <c r="N668">
        <v>1.1596</v>
      </c>
      <c r="O668">
        <v>1.353913693256118</v>
      </c>
      <c r="P668">
        <v>6.2606629953568726E-3</v>
      </c>
      <c r="Q668">
        <v>1.1596</v>
      </c>
      <c r="R668">
        <v>39578.632288000001</v>
      </c>
      <c r="S668" t="s">
        <v>21</v>
      </c>
      <c r="T668">
        <v>1.101</v>
      </c>
      <c r="U668">
        <v>37578.539279999997</v>
      </c>
      <c r="V668">
        <v>2000.0930080000035</v>
      </c>
      <c r="W668">
        <v>5.3224341507720353E-2</v>
      </c>
    </row>
    <row r="669" spans="1:23" x14ac:dyDescent="0.25">
      <c r="A669" t="s">
        <v>1428</v>
      </c>
      <c r="B669" t="s">
        <v>26</v>
      </c>
      <c r="C669" t="s">
        <v>94</v>
      </c>
      <c r="D669" t="s">
        <v>31</v>
      </c>
      <c r="E669" t="s">
        <v>74</v>
      </c>
      <c r="F669" s="1">
        <v>45834</v>
      </c>
      <c r="G669">
        <v>45864</v>
      </c>
      <c r="H669" t="s">
        <v>8</v>
      </c>
      <c r="I669">
        <v>4623.2</v>
      </c>
      <c r="J669" t="s">
        <v>75</v>
      </c>
      <c r="K669" t="s">
        <v>1429</v>
      </c>
      <c r="L669">
        <v>30</v>
      </c>
      <c r="M669" t="s">
        <v>26</v>
      </c>
      <c r="N669">
        <v>1.1695</v>
      </c>
      <c r="O669">
        <v>1.3702401874633861</v>
      </c>
      <c r="P669">
        <v>6.9233956902675824E-3</v>
      </c>
      <c r="Q669">
        <v>1.3702401874633861</v>
      </c>
      <c r="R669">
        <v>6334.8944346807266</v>
      </c>
      <c r="S669" t="s">
        <v>12</v>
      </c>
      <c r="T669">
        <v>1.26</v>
      </c>
      <c r="U669">
        <v>5825.232</v>
      </c>
      <c r="V669">
        <v>509.66243468072662</v>
      </c>
      <c r="W669">
        <v>8.7492212272528652E-2</v>
      </c>
    </row>
    <row r="670" spans="1:23" x14ac:dyDescent="0.25">
      <c r="A670" t="s">
        <v>1430</v>
      </c>
      <c r="B670" t="s">
        <v>22</v>
      </c>
      <c r="C670" t="s">
        <v>127</v>
      </c>
      <c r="D670" t="s">
        <v>31</v>
      </c>
      <c r="E670" t="s">
        <v>124</v>
      </c>
      <c r="F670" s="1">
        <v>46189</v>
      </c>
      <c r="G670">
        <v>46249</v>
      </c>
      <c r="H670" t="s">
        <v>9</v>
      </c>
      <c r="I670">
        <v>7262437.5599999996</v>
      </c>
      <c r="J670" t="s">
        <v>75</v>
      </c>
      <c r="K670" t="s">
        <v>1431</v>
      </c>
      <c r="L670">
        <v>60</v>
      </c>
      <c r="M670" t="s">
        <v>22</v>
      </c>
      <c r="N670">
        <v>1.1594</v>
      </c>
      <c r="O670">
        <v>1.3407963363439765</v>
      </c>
      <c r="P670">
        <v>6.2353447348607082E-3</v>
      </c>
      <c r="Q670">
        <v>6.2353447348607082E-3</v>
      </c>
      <c r="R670">
        <v>45283.801802000649</v>
      </c>
      <c r="S670" t="s">
        <v>19</v>
      </c>
      <c r="T670">
        <v>6.6E-3</v>
      </c>
      <c r="U670">
        <v>47932.087895999997</v>
      </c>
      <c r="V670">
        <v>-2648.2860939993479</v>
      </c>
      <c r="W670">
        <v>-5.5250797748377475E-2</v>
      </c>
    </row>
    <row r="671" spans="1:23" x14ac:dyDescent="0.25">
      <c r="A671" t="s">
        <v>1432</v>
      </c>
      <c r="B671" t="s">
        <v>39</v>
      </c>
      <c r="C671" t="s">
        <v>82</v>
      </c>
      <c r="D671" t="s">
        <v>33</v>
      </c>
      <c r="E671" t="s">
        <v>83</v>
      </c>
      <c r="F671" s="1">
        <v>45839</v>
      </c>
      <c r="G671">
        <v>45884</v>
      </c>
      <c r="H671" t="s">
        <v>8</v>
      </c>
      <c r="I671">
        <v>1814.77</v>
      </c>
      <c r="J671" t="s">
        <v>75</v>
      </c>
      <c r="K671" t="s">
        <v>1433</v>
      </c>
      <c r="L671">
        <v>45</v>
      </c>
      <c r="M671" t="s">
        <v>39</v>
      </c>
      <c r="N671">
        <v>1.181</v>
      </c>
      <c r="O671">
        <v>1.3751746623195156</v>
      </c>
      <c r="P671">
        <v>7.0005927682276238E-3</v>
      </c>
      <c r="Q671">
        <v>1.3751746623195156</v>
      </c>
      <c r="R671">
        <v>2495.6257219375871</v>
      </c>
      <c r="S671" t="s">
        <v>13</v>
      </c>
      <c r="T671">
        <v>1.282</v>
      </c>
      <c r="U671">
        <v>2326.53514</v>
      </c>
      <c r="V671">
        <v>169.0905819375871</v>
      </c>
      <c r="W671">
        <v>7.2679143774973073E-2</v>
      </c>
    </row>
    <row r="672" spans="1:23" x14ac:dyDescent="0.25">
      <c r="A672" t="s">
        <v>1434</v>
      </c>
      <c r="B672" t="s">
        <v>30</v>
      </c>
      <c r="C672" t="s">
        <v>103</v>
      </c>
      <c r="D672" t="s">
        <v>31</v>
      </c>
      <c r="E672" t="s">
        <v>74</v>
      </c>
      <c r="F672" s="1">
        <v>45906</v>
      </c>
      <c r="G672">
        <v>45936</v>
      </c>
      <c r="H672" t="s">
        <v>9</v>
      </c>
      <c r="I672">
        <v>2880585.9</v>
      </c>
      <c r="J672" t="s">
        <v>75</v>
      </c>
      <c r="K672" t="s">
        <v>1435</v>
      </c>
      <c r="L672">
        <v>30</v>
      </c>
      <c r="M672" t="s">
        <v>30</v>
      </c>
      <c r="N672">
        <v>1.1757</v>
      </c>
      <c r="O672">
        <v>1.3495179063360883</v>
      </c>
      <c r="P672">
        <v>6.4077828646173975E-3</v>
      </c>
      <c r="Q672">
        <v>6.4077828646173975E-3</v>
      </c>
      <c r="R672">
        <v>18458.168970078485</v>
      </c>
      <c r="S672" t="s">
        <v>13</v>
      </c>
      <c r="T672">
        <v>6.8399999999999997E-3</v>
      </c>
      <c r="U672">
        <v>19703.207555999998</v>
      </c>
      <c r="V672">
        <v>-1245.038585921513</v>
      </c>
      <c r="W672">
        <v>-6.3189639675818948E-2</v>
      </c>
    </row>
    <row r="673" spans="1:23" x14ac:dyDescent="0.25">
      <c r="A673" t="s">
        <v>1436</v>
      </c>
      <c r="B673" t="s">
        <v>38</v>
      </c>
      <c r="C673" t="s">
        <v>87</v>
      </c>
      <c r="D673" t="s">
        <v>33</v>
      </c>
      <c r="E673" t="s">
        <v>88</v>
      </c>
      <c r="F673" s="1">
        <v>46043</v>
      </c>
      <c r="G673">
        <v>46073</v>
      </c>
      <c r="H673" t="s">
        <v>6</v>
      </c>
      <c r="I673">
        <v>7988.83</v>
      </c>
      <c r="J673" t="s">
        <v>75</v>
      </c>
      <c r="K673" t="s">
        <v>1437</v>
      </c>
      <c r="L673">
        <v>30</v>
      </c>
      <c r="M673" t="s">
        <v>38</v>
      </c>
      <c r="N673">
        <v>1.1738999999999999</v>
      </c>
      <c r="O673">
        <v>1.3425205855443734</v>
      </c>
      <c r="P673">
        <v>6.3375263186308912E-3</v>
      </c>
      <c r="Q673">
        <v>1.1738999999999999</v>
      </c>
      <c r="R673">
        <v>9378.0875369999994</v>
      </c>
      <c r="S673" t="s">
        <v>16</v>
      </c>
      <c r="T673">
        <v>1.0649999999999999</v>
      </c>
      <c r="U673">
        <v>8508.1039499999988</v>
      </c>
      <c r="V673">
        <v>869.98358700000063</v>
      </c>
      <c r="W673">
        <v>0.10225352112676066</v>
      </c>
    </row>
    <row r="674" spans="1:23" x14ac:dyDescent="0.25">
      <c r="A674" t="s">
        <v>1438</v>
      </c>
      <c r="B674" t="s">
        <v>40</v>
      </c>
      <c r="C674" t="s">
        <v>78</v>
      </c>
      <c r="D674" t="s">
        <v>33</v>
      </c>
      <c r="E674" t="s">
        <v>79</v>
      </c>
      <c r="F674" s="1">
        <v>45999</v>
      </c>
      <c r="G674">
        <v>46029</v>
      </c>
      <c r="H674" t="s">
        <v>9</v>
      </c>
      <c r="I674">
        <v>1440765.45</v>
      </c>
      <c r="J674" t="s">
        <v>75</v>
      </c>
      <c r="K674" t="s">
        <v>1439</v>
      </c>
      <c r="L674">
        <v>30</v>
      </c>
      <c r="M674" t="s">
        <v>40</v>
      </c>
      <c r="N674">
        <v>1.1655</v>
      </c>
      <c r="O674">
        <v>1.3326091927738395</v>
      </c>
      <c r="P674">
        <v>6.4289260301174916E-3</v>
      </c>
      <c r="Q674">
        <v>6.4289260301174916E-3</v>
      </c>
      <c r="R674">
        <v>9262.5745047989403</v>
      </c>
      <c r="S674" t="s">
        <v>14</v>
      </c>
      <c r="T674">
        <v>6.9800000000000001E-3</v>
      </c>
      <c r="U674">
        <v>10056.542841</v>
      </c>
      <c r="V674">
        <v>-793.96833620106008</v>
      </c>
      <c r="W674">
        <v>-7.8950425484600198E-2</v>
      </c>
    </row>
    <row r="675" spans="1:23" x14ac:dyDescent="0.25">
      <c r="A675" t="s">
        <v>1440</v>
      </c>
      <c r="B675" t="s">
        <v>44</v>
      </c>
      <c r="C675" t="s">
        <v>138</v>
      </c>
      <c r="D675" t="s">
        <v>33</v>
      </c>
      <c r="E675" t="s">
        <v>88</v>
      </c>
      <c r="F675" s="1">
        <v>46383</v>
      </c>
      <c r="G675">
        <v>46428</v>
      </c>
      <c r="H675" t="s">
        <v>9</v>
      </c>
      <c r="I675">
        <v>245207.67999999999</v>
      </c>
      <c r="J675" t="s">
        <v>84</v>
      </c>
      <c r="K675" t="s">
        <v>1441</v>
      </c>
      <c r="L675">
        <v>45</v>
      </c>
      <c r="M675" t="s">
        <v>44</v>
      </c>
      <c r="N675">
        <v>1.1176999999999999</v>
      </c>
      <c r="O675">
        <v>1.320456022210408</v>
      </c>
      <c r="P675">
        <v>6.3200452360757699E-3</v>
      </c>
      <c r="Q675">
        <v>6.3200452360757699E-3</v>
      </c>
      <c r="R675">
        <v>1549.7236298331918</v>
      </c>
      <c r="S675" t="s">
        <v>23</v>
      </c>
      <c r="T675">
        <v>6.8799999999999998E-3</v>
      </c>
      <c r="U675">
        <v>1687.0288383999998</v>
      </c>
      <c r="V675">
        <v>-137.30520856680801</v>
      </c>
      <c r="W675">
        <v>-8.1388773826196151E-2</v>
      </c>
    </row>
    <row r="676" spans="1:23" x14ac:dyDescent="0.25">
      <c r="A676" t="s">
        <v>1442</v>
      </c>
      <c r="B676" t="s">
        <v>30</v>
      </c>
      <c r="C676" t="s">
        <v>103</v>
      </c>
      <c r="D676" t="s">
        <v>31</v>
      </c>
      <c r="E676" t="s">
        <v>74</v>
      </c>
      <c r="F676" s="1">
        <v>45746</v>
      </c>
      <c r="G676">
        <v>45776</v>
      </c>
      <c r="H676" t="s">
        <v>9</v>
      </c>
      <c r="I676">
        <v>2346794.84</v>
      </c>
      <c r="J676" t="s">
        <v>75</v>
      </c>
      <c r="K676" t="s">
        <v>1443</v>
      </c>
      <c r="L676">
        <v>30</v>
      </c>
      <c r="M676" t="s">
        <v>30</v>
      </c>
      <c r="N676">
        <v>1.1194</v>
      </c>
      <c r="O676">
        <v>1.3283493532692536</v>
      </c>
      <c r="P676">
        <v>6.8653787181846048E-3</v>
      </c>
      <c r="Q676">
        <v>6.8653787181846048E-3</v>
      </c>
      <c r="R676">
        <v>16111.635350481443</v>
      </c>
      <c r="S676" t="s">
        <v>11</v>
      </c>
      <c r="T676">
        <v>6.5599999999999999E-3</v>
      </c>
      <c r="U676">
        <v>15394.974150399999</v>
      </c>
      <c r="V676">
        <v>716.66120008144389</v>
      </c>
      <c r="W676">
        <v>4.6551633869604342E-2</v>
      </c>
    </row>
    <row r="677" spans="1:23" x14ac:dyDescent="0.25">
      <c r="A677" t="s">
        <v>1444</v>
      </c>
      <c r="B677" t="s">
        <v>26</v>
      </c>
      <c r="C677" t="s">
        <v>94</v>
      </c>
      <c r="D677" t="s">
        <v>31</v>
      </c>
      <c r="E677" t="s">
        <v>74</v>
      </c>
      <c r="F677" s="1">
        <v>45960</v>
      </c>
      <c r="G677">
        <v>45990</v>
      </c>
      <c r="H677" t="s">
        <v>8</v>
      </c>
      <c r="I677">
        <v>13016.8</v>
      </c>
      <c r="J677" t="s">
        <v>75</v>
      </c>
      <c r="K677" t="s">
        <v>1445</v>
      </c>
      <c r="L677">
        <v>30</v>
      </c>
      <c r="M677" t="s">
        <v>26</v>
      </c>
      <c r="N677">
        <v>1.155</v>
      </c>
      <c r="O677">
        <v>1.312350869219407</v>
      </c>
      <c r="P677">
        <v>6.4753041430733868E-3</v>
      </c>
      <c r="Q677">
        <v>1.312350869219407</v>
      </c>
      <c r="R677">
        <v>17082.608794455176</v>
      </c>
      <c r="S677" t="s">
        <v>14</v>
      </c>
      <c r="T677">
        <v>1.304</v>
      </c>
      <c r="U677">
        <v>16973.907200000001</v>
      </c>
      <c r="V677">
        <v>108.70159445517493</v>
      </c>
      <c r="W677">
        <v>6.4040408124285565E-3</v>
      </c>
    </row>
    <row r="678" spans="1:23" x14ac:dyDescent="0.25">
      <c r="A678" t="s">
        <v>1446</v>
      </c>
      <c r="B678" t="s">
        <v>40</v>
      </c>
      <c r="C678" t="s">
        <v>78</v>
      </c>
      <c r="D678" t="s">
        <v>33</v>
      </c>
      <c r="E678" t="s">
        <v>79</v>
      </c>
      <c r="F678" s="1">
        <v>45791</v>
      </c>
      <c r="G678">
        <v>45821</v>
      </c>
      <c r="H678" t="s">
        <v>9</v>
      </c>
      <c r="I678">
        <v>1070394.94</v>
      </c>
      <c r="J678" t="s">
        <v>75</v>
      </c>
      <c r="K678" t="s">
        <v>1447</v>
      </c>
      <c r="L678">
        <v>30</v>
      </c>
      <c r="M678" t="s">
        <v>40</v>
      </c>
      <c r="N678">
        <v>1.1214</v>
      </c>
      <c r="O678">
        <v>1.3326203208556149</v>
      </c>
      <c r="P678">
        <v>6.8373879641485278E-3</v>
      </c>
      <c r="Q678">
        <v>6.8373879641485278E-3</v>
      </c>
      <c r="R678">
        <v>7318.705479641485</v>
      </c>
      <c r="S678" t="s">
        <v>12</v>
      </c>
      <c r="T678">
        <v>6.7000000000000002E-3</v>
      </c>
      <c r="U678">
        <v>7171.6460980000002</v>
      </c>
      <c r="V678">
        <v>147.05938164148483</v>
      </c>
      <c r="W678">
        <v>2.0505666290824943E-2</v>
      </c>
    </row>
    <row r="679" spans="1:23" x14ac:dyDescent="0.25">
      <c r="A679" t="s">
        <v>1448</v>
      </c>
      <c r="B679" t="s">
        <v>39</v>
      </c>
      <c r="C679" t="s">
        <v>82</v>
      </c>
      <c r="D679" t="s">
        <v>33</v>
      </c>
      <c r="E679" t="s">
        <v>83</v>
      </c>
      <c r="F679" s="1">
        <v>46137</v>
      </c>
      <c r="G679">
        <v>46182</v>
      </c>
      <c r="H679" t="s">
        <v>8</v>
      </c>
      <c r="I679">
        <v>5169.3900000000003</v>
      </c>
      <c r="J679" t="s">
        <v>75</v>
      </c>
      <c r="K679" t="s">
        <v>1449</v>
      </c>
      <c r="L679">
        <v>45</v>
      </c>
      <c r="M679" t="s">
        <v>39</v>
      </c>
      <c r="N679">
        <v>1.1712</v>
      </c>
      <c r="O679">
        <v>1.3492621222768799</v>
      </c>
      <c r="P679">
        <v>6.2728295217181727E-3</v>
      </c>
      <c r="Q679">
        <v>1.3492621222768799</v>
      </c>
      <c r="R679">
        <v>6974.8621222768807</v>
      </c>
      <c r="S679" t="s">
        <v>19</v>
      </c>
      <c r="T679">
        <v>1.2709999999999999</v>
      </c>
      <c r="U679">
        <v>6570.2946899999997</v>
      </c>
      <c r="V679">
        <v>404.56743227688094</v>
      </c>
      <c r="W679">
        <v>6.1575233892116485E-2</v>
      </c>
    </row>
    <row r="680" spans="1:23" x14ac:dyDescent="0.25">
      <c r="A680" t="s">
        <v>1450</v>
      </c>
      <c r="B680" t="s">
        <v>38</v>
      </c>
      <c r="C680" t="s">
        <v>87</v>
      </c>
      <c r="D680" t="s">
        <v>33</v>
      </c>
      <c r="E680" t="s">
        <v>88</v>
      </c>
      <c r="F680" s="1">
        <v>46112</v>
      </c>
      <c r="G680">
        <v>46142</v>
      </c>
      <c r="H680" t="s">
        <v>6</v>
      </c>
      <c r="I680">
        <v>3417.17</v>
      </c>
      <c r="J680" t="s">
        <v>75</v>
      </c>
      <c r="K680" t="s">
        <v>1451</v>
      </c>
      <c r="L680">
        <v>30</v>
      </c>
      <c r="M680" t="s">
        <v>38</v>
      </c>
      <c r="N680">
        <v>1.1497999999999999</v>
      </c>
      <c r="O680">
        <v>1.3241509564336138</v>
      </c>
      <c r="P680">
        <v>6.2696984568406128E-3</v>
      </c>
      <c r="Q680">
        <v>1.1497999999999999</v>
      </c>
      <c r="R680">
        <v>3929.062066</v>
      </c>
      <c r="S680" t="s">
        <v>16</v>
      </c>
      <c r="T680">
        <v>1.0649999999999999</v>
      </c>
      <c r="U680">
        <v>3639.2860499999997</v>
      </c>
      <c r="V680">
        <v>289.77601600000025</v>
      </c>
      <c r="W680">
        <v>7.9624413145539988E-2</v>
      </c>
    </row>
    <row r="681" spans="1:23" x14ac:dyDescent="0.25">
      <c r="A681" t="s">
        <v>1452</v>
      </c>
      <c r="B681" t="s">
        <v>26</v>
      </c>
      <c r="C681" t="s">
        <v>94</v>
      </c>
      <c r="D681" t="s">
        <v>31</v>
      </c>
      <c r="E681" t="s">
        <v>74</v>
      </c>
      <c r="F681" s="1">
        <v>46341</v>
      </c>
      <c r="G681">
        <v>46371</v>
      </c>
      <c r="H681" t="s">
        <v>8</v>
      </c>
      <c r="I681">
        <v>4484.38</v>
      </c>
      <c r="J681" t="s">
        <v>84</v>
      </c>
      <c r="K681" t="s">
        <v>1453</v>
      </c>
      <c r="L681">
        <v>30</v>
      </c>
      <c r="M681" t="s">
        <v>26</v>
      </c>
      <c r="N681">
        <v>1.1176999999999999</v>
      </c>
      <c r="O681">
        <v>1.320456022210408</v>
      </c>
      <c r="P681">
        <v>6.3200452360757699E-3</v>
      </c>
      <c r="Q681">
        <v>1.320456022210408</v>
      </c>
      <c r="R681">
        <v>5921.4265768799096</v>
      </c>
      <c r="S681" t="s">
        <v>23</v>
      </c>
      <c r="T681">
        <v>1.3149999999999999</v>
      </c>
      <c r="U681">
        <v>5896.9597000000003</v>
      </c>
      <c r="V681">
        <v>24.46687687990925</v>
      </c>
      <c r="W681">
        <v>4.1490663197018707E-3</v>
      </c>
    </row>
    <row r="682" spans="1:23" x14ac:dyDescent="0.25">
      <c r="A682" t="s">
        <v>1454</v>
      </c>
      <c r="B682" t="s">
        <v>37</v>
      </c>
      <c r="C682" t="s">
        <v>91</v>
      </c>
      <c r="D682" t="s">
        <v>31</v>
      </c>
      <c r="E682" t="s">
        <v>74</v>
      </c>
      <c r="F682" s="1">
        <v>45701</v>
      </c>
      <c r="G682">
        <v>45731</v>
      </c>
      <c r="H682" t="s">
        <v>6</v>
      </c>
      <c r="I682">
        <v>11895.43</v>
      </c>
      <c r="J682" t="s">
        <v>75</v>
      </c>
      <c r="K682" t="s">
        <v>1455</v>
      </c>
      <c r="L682">
        <v>30</v>
      </c>
      <c r="M682" t="s">
        <v>37</v>
      </c>
      <c r="N682">
        <v>1.0389999999999999</v>
      </c>
      <c r="O682">
        <v>1.2471042934476011</v>
      </c>
      <c r="P682">
        <v>6.5022842480755988E-3</v>
      </c>
      <c r="Q682">
        <v>1.0389999999999999</v>
      </c>
      <c r="R682">
        <v>12359.351769999999</v>
      </c>
      <c r="S682" t="s">
        <v>11</v>
      </c>
      <c r="T682">
        <v>1.052</v>
      </c>
      <c r="U682">
        <v>12513.99236</v>
      </c>
      <c r="V682">
        <v>-154.64059000000088</v>
      </c>
      <c r="W682">
        <v>-1.2357414448669272E-2</v>
      </c>
    </row>
    <row r="683" spans="1:23" x14ac:dyDescent="0.25">
      <c r="A683" t="s">
        <v>1456</v>
      </c>
      <c r="B683" t="s">
        <v>24</v>
      </c>
      <c r="C683" t="s">
        <v>73</v>
      </c>
      <c r="D683" t="s">
        <v>31</v>
      </c>
      <c r="E683" t="s">
        <v>74</v>
      </c>
      <c r="F683" s="1">
        <v>46175</v>
      </c>
      <c r="G683">
        <v>46205</v>
      </c>
      <c r="H683" t="s">
        <v>6</v>
      </c>
      <c r="I683">
        <v>15652.39</v>
      </c>
      <c r="J683" t="s">
        <v>75</v>
      </c>
      <c r="K683" t="s">
        <v>1457</v>
      </c>
      <c r="L683">
        <v>30</v>
      </c>
      <c r="M683" t="s">
        <v>24</v>
      </c>
      <c r="N683">
        <v>1.1649</v>
      </c>
      <c r="O683">
        <v>1.3472503325044816</v>
      </c>
      <c r="P683">
        <v>6.2598742543930356E-3</v>
      </c>
      <c r="Q683">
        <v>1.1649</v>
      </c>
      <c r="R683">
        <v>18233.469110999999</v>
      </c>
      <c r="S683" t="s">
        <v>19</v>
      </c>
      <c r="T683">
        <v>1.083</v>
      </c>
      <c r="U683">
        <v>16951.538369999998</v>
      </c>
      <c r="V683">
        <v>1281.9307410000001</v>
      </c>
      <c r="W683">
        <v>7.562326869806095E-2</v>
      </c>
    </row>
    <row r="684" spans="1:23" x14ac:dyDescent="0.25">
      <c r="A684" t="s">
        <v>1458</v>
      </c>
      <c r="B684" t="s">
        <v>30</v>
      </c>
      <c r="C684" t="s">
        <v>103</v>
      </c>
      <c r="D684" t="s">
        <v>31</v>
      </c>
      <c r="E684" t="s">
        <v>74</v>
      </c>
      <c r="F684" s="1">
        <v>46240</v>
      </c>
      <c r="G684">
        <v>46270</v>
      </c>
      <c r="H684" t="s">
        <v>9</v>
      </c>
      <c r="I684">
        <v>4191121.9</v>
      </c>
      <c r="J684" t="s">
        <v>75</v>
      </c>
      <c r="K684" t="s">
        <v>1459</v>
      </c>
      <c r="L684">
        <v>30</v>
      </c>
      <c r="M684" t="s">
        <v>30</v>
      </c>
      <c r="N684">
        <v>1.1541999999999999</v>
      </c>
      <c r="O684">
        <v>1.3467125605273904</v>
      </c>
      <c r="P684">
        <v>6.3358401493110832E-3</v>
      </c>
      <c r="Q684">
        <v>6.3358401493110832E-3</v>
      </c>
      <c r="R684">
        <v>26554.278404676948</v>
      </c>
      <c r="S684" t="s">
        <v>21</v>
      </c>
      <c r="T684">
        <v>6.7400000000000003E-3</v>
      </c>
      <c r="U684">
        <v>28248.161606000001</v>
      </c>
      <c r="V684">
        <v>-1693.8832013230531</v>
      </c>
      <c r="W684">
        <v>-5.9964369538415087E-2</v>
      </c>
    </row>
    <row r="685" spans="1:23" x14ac:dyDescent="0.25">
      <c r="A685" t="s">
        <v>1460</v>
      </c>
      <c r="B685" t="s">
        <v>26</v>
      </c>
      <c r="C685" t="s">
        <v>94</v>
      </c>
      <c r="D685" t="s">
        <v>31</v>
      </c>
      <c r="E685" t="s">
        <v>74</v>
      </c>
      <c r="F685" s="1">
        <v>45787</v>
      </c>
      <c r="G685">
        <v>45817</v>
      </c>
      <c r="H685" t="s">
        <v>8</v>
      </c>
      <c r="I685">
        <v>18134.89</v>
      </c>
      <c r="J685" t="s">
        <v>75</v>
      </c>
      <c r="K685" t="s">
        <v>1461</v>
      </c>
      <c r="L685">
        <v>30</v>
      </c>
      <c r="M685" t="s">
        <v>26</v>
      </c>
      <c r="N685">
        <v>1.169</v>
      </c>
      <c r="O685">
        <v>1.3487942771431869</v>
      </c>
      <c r="P685">
        <v>6.7858594067452252E-3</v>
      </c>
      <c r="Q685">
        <v>1.3487942771431869</v>
      </c>
      <c r="R685">
        <v>24460.235848621207</v>
      </c>
      <c r="S685" t="s">
        <v>12</v>
      </c>
      <c r="T685">
        <v>1.26</v>
      </c>
      <c r="U685">
        <v>22849.9614</v>
      </c>
      <c r="V685">
        <v>1610.2744486212068</v>
      </c>
      <c r="W685">
        <v>7.0471648526338734E-2</v>
      </c>
    </row>
    <row r="686" spans="1:23" x14ac:dyDescent="0.25">
      <c r="A686" t="s">
        <v>1462</v>
      </c>
      <c r="B686" t="s">
        <v>43</v>
      </c>
      <c r="C686" t="s">
        <v>215</v>
      </c>
      <c r="D686" t="s">
        <v>35</v>
      </c>
      <c r="E686" t="s">
        <v>152</v>
      </c>
      <c r="F686" s="1">
        <v>46014</v>
      </c>
      <c r="G686">
        <v>46044</v>
      </c>
      <c r="H686" t="s">
        <v>6</v>
      </c>
      <c r="I686">
        <v>6316.31</v>
      </c>
      <c r="J686" t="s">
        <v>75</v>
      </c>
      <c r="K686" t="s">
        <v>1463</v>
      </c>
      <c r="L686">
        <v>30</v>
      </c>
      <c r="M686" t="s">
        <v>43</v>
      </c>
      <c r="N686">
        <v>1.1786000000000001</v>
      </c>
      <c r="O686">
        <v>1.3502119372207584</v>
      </c>
      <c r="P686">
        <v>6.4092664092664101E-3</v>
      </c>
      <c r="Q686">
        <v>1.1786000000000001</v>
      </c>
      <c r="R686">
        <v>7444.4029660000015</v>
      </c>
      <c r="S686" t="s">
        <v>14</v>
      </c>
      <c r="T686">
        <v>1.1060000000000001</v>
      </c>
      <c r="U686">
        <v>6985.8388600000008</v>
      </c>
      <c r="V686">
        <v>458.56410600000072</v>
      </c>
      <c r="W686">
        <v>6.564195298372523E-2</v>
      </c>
    </row>
    <row r="687" spans="1:23" x14ac:dyDescent="0.25">
      <c r="A687" t="s">
        <v>1464</v>
      </c>
      <c r="B687" t="s">
        <v>44</v>
      </c>
      <c r="C687" t="s">
        <v>138</v>
      </c>
      <c r="D687" t="s">
        <v>33</v>
      </c>
      <c r="E687" t="s">
        <v>88</v>
      </c>
      <c r="F687" s="1">
        <v>45851</v>
      </c>
      <c r="G687">
        <v>45896</v>
      </c>
      <c r="H687" t="s">
        <v>9</v>
      </c>
      <c r="I687">
        <v>1337860.54</v>
      </c>
      <c r="J687" t="s">
        <v>75</v>
      </c>
      <c r="K687" t="s">
        <v>1465</v>
      </c>
      <c r="L687">
        <v>45</v>
      </c>
      <c r="M687" t="s">
        <v>44</v>
      </c>
      <c r="N687">
        <v>1.1568000000000001</v>
      </c>
      <c r="O687">
        <v>1.3282810885291079</v>
      </c>
      <c r="P687">
        <v>6.5555933356001364E-3</v>
      </c>
      <c r="Q687">
        <v>6.5555933356001364E-3</v>
      </c>
      <c r="R687">
        <v>8770.4696399864006</v>
      </c>
      <c r="S687" t="s">
        <v>13</v>
      </c>
      <c r="T687">
        <v>6.8399999999999997E-3</v>
      </c>
      <c r="U687">
        <v>9150.9660936</v>
      </c>
      <c r="V687">
        <v>-380.49645361359944</v>
      </c>
      <c r="W687">
        <v>-4.1579921695886396E-2</v>
      </c>
    </row>
    <row r="688" spans="1:23" x14ac:dyDescent="0.25">
      <c r="A688" t="s">
        <v>1466</v>
      </c>
      <c r="B688" t="s">
        <v>30</v>
      </c>
      <c r="C688" t="s">
        <v>103</v>
      </c>
      <c r="D688" t="s">
        <v>31</v>
      </c>
      <c r="E688" t="s">
        <v>74</v>
      </c>
      <c r="F688" s="1">
        <v>45698</v>
      </c>
      <c r="G688">
        <v>45728</v>
      </c>
      <c r="H688" t="s">
        <v>9</v>
      </c>
      <c r="I688">
        <v>436028.96</v>
      </c>
      <c r="J688" t="s">
        <v>75</v>
      </c>
      <c r="K688" t="s">
        <v>1467</v>
      </c>
      <c r="L688">
        <v>30</v>
      </c>
      <c r="M688" t="s">
        <v>30</v>
      </c>
      <c r="N688">
        <v>1.032</v>
      </c>
      <c r="O688">
        <v>1.2391484456611794</v>
      </c>
      <c r="P688">
        <v>6.5765995411674744E-3</v>
      </c>
      <c r="Q688">
        <v>6.5765995411674744E-3</v>
      </c>
      <c r="R688">
        <v>2867.587858271731</v>
      </c>
      <c r="S688" t="s">
        <v>11</v>
      </c>
      <c r="T688">
        <v>6.5599999999999999E-3</v>
      </c>
      <c r="U688">
        <v>2860.3499775999999</v>
      </c>
      <c r="V688">
        <v>7.2378806717310908</v>
      </c>
      <c r="W688">
        <v>2.5304178608955025E-3</v>
      </c>
    </row>
    <row r="689" spans="1:23" x14ac:dyDescent="0.25">
      <c r="A689" t="s">
        <v>1468</v>
      </c>
      <c r="B689" t="s">
        <v>40</v>
      </c>
      <c r="C689" t="s">
        <v>78</v>
      </c>
      <c r="D689" t="s">
        <v>33</v>
      </c>
      <c r="E689" t="s">
        <v>79</v>
      </c>
      <c r="F689" s="1">
        <v>46202</v>
      </c>
      <c r="G689">
        <v>46232</v>
      </c>
      <c r="H689" t="s">
        <v>9</v>
      </c>
      <c r="I689">
        <v>1580944.94</v>
      </c>
      <c r="J689" t="s">
        <v>75</v>
      </c>
      <c r="K689" t="s">
        <v>1469</v>
      </c>
      <c r="L689">
        <v>30</v>
      </c>
      <c r="M689" t="s">
        <v>40</v>
      </c>
      <c r="N689">
        <v>1.1406000000000001</v>
      </c>
      <c r="O689">
        <v>1.3229716406657774</v>
      </c>
      <c r="P689">
        <v>6.1780955476113102E-3</v>
      </c>
      <c r="Q689">
        <v>6.1780955476113102E-3</v>
      </c>
      <c r="R689">
        <v>9767.2288948326295</v>
      </c>
      <c r="S689" t="s">
        <v>19</v>
      </c>
      <c r="T689">
        <v>6.6E-3</v>
      </c>
      <c r="U689">
        <v>10434.236604</v>
      </c>
      <c r="V689">
        <v>-667.00770916737019</v>
      </c>
      <c r="W689">
        <v>-6.3924917028589379E-2</v>
      </c>
    </row>
    <row r="690" spans="1:23" x14ac:dyDescent="0.25">
      <c r="A690" t="s">
        <v>1470</v>
      </c>
      <c r="B690" t="s">
        <v>34</v>
      </c>
      <c r="C690" t="s">
        <v>177</v>
      </c>
      <c r="D690" t="s">
        <v>31</v>
      </c>
      <c r="E690" t="s">
        <v>74</v>
      </c>
      <c r="F690" s="1">
        <v>45871</v>
      </c>
      <c r="G690">
        <v>45931</v>
      </c>
      <c r="H690" t="s">
        <v>8</v>
      </c>
      <c r="I690">
        <v>20067</v>
      </c>
      <c r="J690" t="s">
        <v>75</v>
      </c>
      <c r="K690" t="s">
        <v>1471</v>
      </c>
      <c r="L690">
        <v>60</v>
      </c>
      <c r="M690" t="s">
        <v>34</v>
      </c>
      <c r="N690">
        <v>1.1560999999999999</v>
      </c>
      <c r="O690">
        <v>1.3121098626716603</v>
      </c>
      <c r="P690">
        <v>6.5320074580484761E-3</v>
      </c>
      <c r="Q690">
        <v>1.3121098626716603</v>
      </c>
      <c r="R690">
        <v>26330.108614232206</v>
      </c>
      <c r="S690" t="s">
        <v>13</v>
      </c>
      <c r="T690">
        <v>1.282</v>
      </c>
      <c r="U690">
        <v>25725.894</v>
      </c>
      <c r="V690">
        <v>604.21461423220535</v>
      </c>
      <c r="W690">
        <v>2.3486632349188928E-2</v>
      </c>
    </row>
    <row r="691" spans="1:23" x14ac:dyDescent="0.25">
      <c r="A691" t="s">
        <v>1472</v>
      </c>
      <c r="B691" t="s">
        <v>40</v>
      </c>
      <c r="C691" t="s">
        <v>78</v>
      </c>
      <c r="D691" t="s">
        <v>33</v>
      </c>
      <c r="E691" t="s">
        <v>79</v>
      </c>
      <c r="F691" s="1">
        <v>45984</v>
      </c>
      <c r="G691">
        <v>46014</v>
      </c>
      <c r="H691" t="s">
        <v>9</v>
      </c>
      <c r="I691">
        <v>3124083.45</v>
      </c>
      <c r="J691" t="s">
        <v>75</v>
      </c>
      <c r="K691" t="s">
        <v>1473</v>
      </c>
      <c r="L691">
        <v>30</v>
      </c>
      <c r="M691" t="s">
        <v>40</v>
      </c>
      <c r="N691">
        <v>1.1555</v>
      </c>
      <c r="O691">
        <v>1.3367963164349013</v>
      </c>
      <c r="P691">
        <v>6.2983756677204832E-3</v>
      </c>
      <c r="Q691">
        <v>6.2983756677204832E-3</v>
      </c>
      <c r="R691">
        <v>19676.651185408264</v>
      </c>
      <c r="S691" t="s">
        <v>14</v>
      </c>
      <c r="T691">
        <v>6.9800000000000001E-3</v>
      </c>
      <c r="U691">
        <v>21806.102481000002</v>
      </c>
      <c r="V691">
        <v>-2129.451295591738</v>
      </c>
      <c r="W691">
        <v>-9.7653915799357643E-2</v>
      </c>
    </row>
    <row r="692" spans="1:23" x14ac:dyDescent="0.25">
      <c r="A692" t="s">
        <v>1474</v>
      </c>
      <c r="B692" t="s">
        <v>32</v>
      </c>
      <c r="C692" t="s">
        <v>106</v>
      </c>
      <c r="D692" t="s">
        <v>31</v>
      </c>
      <c r="E692" t="s">
        <v>74</v>
      </c>
      <c r="F692" s="1">
        <v>45806</v>
      </c>
      <c r="G692">
        <v>45836</v>
      </c>
      <c r="H692" t="s">
        <v>6</v>
      </c>
      <c r="I692">
        <v>20321.939999999999</v>
      </c>
      <c r="J692" t="s">
        <v>75</v>
      </c>
      <c r="K692" t="s">
        <v>1475</v>
      </c>
      <c r="L692">
        <v>30</v>
      </c>
      <c r="M692" t="s">
        <v>32</v>
      </c>
      <c r="N692">
        <v>1.1281000000000001</v>
      </c>
      <c r="O692">
        <v>1.3466634833472604</v>
      </c>
      <c r="P692">
        <v>6.900960420872332E-3</v>
      </c>
      <c r="Q692">
        <v>1.1281000000000001</v>
      </c>
      <c r="R692">
        <v>22925.180514</v>
      </c>
      <c r="S692" t="s">
        <v>12</v>
      </c>
      <c r="T692">
        <v>1.07</v>
      </c>
      <c r="U692">
        <v>21744.4758</v>
      </c>
      <c r="V692">
        <v>1180.7047139999995</v>
      </c>
      <c r="W692">
        <v>5.4299065420560726E-2</v>
      </c>
    </row>
    <row r="693" spans="1:23" x14ac:dyDescent="0.25">
      <c r="A693" t="s">
        <v>1476</v>
      </c>
      <c r="B693" t="s">
        <v>43</v>
      </c>
      <c r="C693" t="s">
        <v>215</v>
      </c>
      <c r="D693" t="s">
        <v>35</v>
      </c>
      <c r="E693" t="s">
        <v>152</v>
      </c>
      <c r="F693" s="1">
        <v>46149</v>
      </c>
      <c r="G693">
        <v>46179</v>
      </c>
      <c r="H693" t="s">
        <v>6</v>
      </c>
      <c r="I693">
        <v>4591.03</v>
      </c>
      <c r="J693" t="s">
        <v>75</v>
      </c>
      <c r="K693" t="s">
        <v>1477</v>
      </c>
      <c r="L693">
        <v>30</v>
      </c>
      <c r="M693" t="s">
        <v>43</v>
      </c>
      <c r="N693">
        <v>1.177</v>
      </c>
      <c r="O693">
        <v>1.3621108667978243</v>
      </c>
      <c r="P693">
        <v>6.3943065138262626E-3</v>
      </c>
      <c r="Q693">
        <v>1.177</v>
      </c>
      <c r="R693">
        <v>5403.6423100000002</v>
      </c>
      <c r="S693" t="s">
        <v>19</v>
      </c>
      <c r="T693">
        <v>1.083</v>
      </c>
      <c r="U693">
        <v>4972.0854899999995</v>
      </c>
      <c r="V693">
        <v>431.5568200000007</v>
      </c>
      <c r="W693">
        <v>8.679593721144982E-2</v>
      </c>
    </row>
    <row r="694" spans="1:23" x14ac:dyDescent="0.25">
      <c r="A694" t="s">
        <v>1478</v>
      </c>
      <c r="B694" t="s">
        <v>40</v>
      </c>
      <c r="C694" t="s">
        <v>78</v>
      </c>
      <c r="D694" t="s">
        <v>33</v>
      </c>
      <c r="E694" t="s">
        <v>79</v>
      </c>
      <c r="F694" s="1">
        <v>45674</v>
      </c>
      <c r="G694">
        <v>45704</v>
      </c>
      <c r="H694" t="s">
        <v>9</v>
      </c>
      <c r="I694">
        <v>2323829.5499999998</v>
      </c>
      <c r="J694" t="s">
        <v>75</v>
      </c>
      <c r="K694" t="s">
        <v>1479</v>
      </c>
      <c r="L694">
        <v>30</v>
      </c>
      <c r="M694" t="s">
        <v>40</v>
      </c>
      <c r="N694">
        <v>1.0298</v>
      </c>
      <c r="O694">
        <v>1.2193764579115012</v>
      </c>
      <c r="P694">
        <v>6.4270111714410539E-3</v>
      </c>
      <c r="Q694">
        <v>6.4270111714410539E-3</v>
      </c>
      <c r="R694">
        <v>14935.278478374836</v>
      </c>
      <c r="S694" t="s">
        <v>11</v>
      </c>
      <c r="T694">
        <v>6.5599999999999999E-3</v>
      </c>
      <c r="U694">
        <v>15244.321847999998</v>
      </c>
      <c r="V694">
        <v>-309.04336962516209</v>
      </c>
      <c r="W694">
        <v>-2.0272687280327103E-2</v>
      </c>
    </row>
    <row r="695" spans="1:23" x14ac:dyDescent="0.25">
      <c r="A695" t="s">
        <v>1480</v>
      </c>
      <c r="B695" t="s">
        <v>44</v>
      </c>
      <c r="C695" t="s">
        <v>138</v>
      </c>
      <c r="D695" t="s">
        <v>33</v>
      </c>
      <c r="E695" t="s">
        <v>88</v>
      </c>
      <c r="F695" s="1">
        <v>46196</v>
      </c>
      <c r="G695">
        <v>46241</v>
      </c>
      <c r="H695" t="s">
        <v>9</v>
      </c>
      <c r="I695">
        <v>1607641.5</v>
      </c>
      <c r="J695" t="s">
        <v>75</v>
      </c>
      <c r="K695" t="s">
        <v>1481</v>
      </c>
      <c r="L695">
        <v>45</v>
      </c>
      <c r="M695" t="s">
        <v>44</v>
      </c>
      <c r="N695">
        <v>1.1392</v>
      </c>
      <c r="O695">
        <v>1.3215777262180974</v>
      </c>
      <c r="P695">
        <v>6.1906314531029235E-3</v>
      </c>
      <c r="Q695">
        <v>6.1906314531029235E-3</v>
      </c>
      <c r="R695">
        <v>9952.3160352135637</v>
      </c>
      <c r="S695" t="s">
        <v>19</v>
      </c>
      <c r="T695">
        <v>6.6E-3</v>
      </c>
      <c r="U695">
        <v>10610.4339</v>
      </c>
      <c r="V695">
        <v>-658.11786478643626</v>
      </c>
      <c r="W695">
        <v>-6.2025537408647941E-2</v>
      </c>
    </row>
    <row r="696" spans="1:23" x14ac:dyDescent="0.25">
      <c r="A696" t="s">
        <v>1482</v>
      </c>
      <c r="B696" t="s">
        <v>36</v>
      </c>
      <c r="C696" t="s">
        <v>116</v>
      </c>
      <c r="D696" t="s">
        <v>31</v>
      </c>
      <c r="E696" t="s">
        <v>74</v>
      </c>
      <c r="F696" s="1">
        <v>46078</v>
      </c>
      <c r="G696">
        <v>46123</v>
      </c>
      <c r="H696" t="s">
        <v>6</v>
      </c>
      <c r="I696">
        <v>21330.82</v>
      </c>
      <c r="J696" t="s">
        <v>75</v>
      </c>
      <c r="K696" t="s">
        <v>1483</v>
      </c>
      <c r="L696">
        <v>45</v>
      </c>
      <c r="M696" t="s">
        <v>36</v>
      </c>
      <c r="N696">
        <v>1.1783999999999999</v>
      </c>
      <c r="O696">
        <v>1.3523066330043607</v>
      </c>
      <c r="P696">
        <v>6.3800757985923119E-3</v>
      </c>
      <c r="Q696">
        <v>1.1783999999999999</v>
      </c>
      <c r="R696">
        <v>25136.238287999997</v>
      </c>
      <c r="S696" t="s">
        <v>16</v>
      </c>
      <c r="T696">
        <v>1.0649999999999999</v>
      </c>
      <c r="U696">
        <v>22717.3233</v>
      </c>
      <c r="V696">
        <v>2418.9149879999968</v>
      </c>
      <c r="W696">
        <v>0.10647887323943647</v>
      </c>
    </row>
    <row r="697" spans="1:23" x14ac:dyDescent="0.25">
      <c r="A697" t="s">
        <v>1484</v>
      </c>
      <c r="B697" t="s">
        <v>38</v>
      </c>
      <c r="C697" t="s">
        <v>87</v>
      </c>
      <c r="D697" t="s">
        <v>33</v>
      </c>
      <c r="E697" t="s">
        <v>88</v>
      </c>
      <c r="F697" s="1">
        <v>45919</v>
      </c>
      <c r="G697">
        <v>45949</v>
      </c>
      <c r="H697" t="s">
        <v>6</v>
      </c>
      <c r="I697">
        <v>4979.87</v>
      </c>
      <c r="J697" t="s">
        <v>75</v>
      </c>
      <c r="K697" t="s">
        <v>1485</v>
      </c>
      <c r="L697">
        <v>30</v>
      </c>
      <c r="M697" t="s">
        <v>38</v>
      </c>
      <c r="N697">
        <v>1.1736</v>
      </c>
      <c r="O697">
        <v>1.3477262287551677</v>
      </c>
      <c r="P697">
        <v>6.7529777317452098E-3</v>
      </c>
      <c r="Q697">
        <v>1.1736</v>
      </c>
      <c r="R697">
        <v>5844.3754319999998</v>
      </c>
      <c r="S697" t="s">
        <v>13</v>
      </c>
      <c r="T697">
        <v>1.0880000000000001</v>
      </c>
      <c r="U697">
        <v>5418.0985600000004</v>
      </c>
      <c r="V697">
        <v>426.27687199999946</v>
      </c>
      <c r="W697">
        <v>7.8676470588235195E-2</v>
      </c>
    </row>
    <row r="698" spans="1:23" x14ac:dyDescent="0.25">
      <c r="A698" t="s">
        <v>1486</v>
      </c>
      <c r="B698" t="s">
        <v>39</v>
      </c>
      <c r="C698" t="s">
        <v>82</v>
      </c>
      <c r="D698" t="s">
        <v>33</v>
      </c>
      <c r="E698" t="s">
        <v>83</v>
      </c>
      <c r="F698" s="1">
        <v>45793</v>
      </c>
      <c r="G698">
        <v>45838</v>
      </c>
      <c r="H698" t="s">
        <v>8</v>
      </c>
      <c r="I698">
        <v>14162.4</v>
      </c>
      <c r="J698" t="s">
        <v>75</v>
      </c>
      <c r="K698" t="s">
        <v>1487</v>
      </c>
      <c r="L698">
        <v>45</v>
      </c>
      <c r="M698" t="s">
        <v>39</v>
      </c>
      <c r="N698">
        <v>1.1194</v>
      </c>
      <c r="O698">
        <v>1.3283493532692536</v>
      </c>
      <c r="P698">
        <v>6.8653787181846048E-3</v>
      </c>
      <c r="Q698">
        <v>1.3283493532692536</v>
      </c>
      <c r="R698">
        <v>18812.614880740479</v>
      </c>
      <c r="S698" t="s">
        <v>12</v>
      </c>
      <c r="T698">
        <v>1.26</v>
      </c>
      <c r="U698">
        <v>17844.624</v>
      </c>
      <c r="V698">
        <v>967.99088074047904</v>
      </c>
      <c r="W698">
        <v>5.4245518467661694E-2</v>
      </c>
    </row>
    <row r="699" spans="1:23" x14ac:dyDescent="0.25">
      <c r="A699" t="s">
        <v>1488</v>
      </c>
      <c r="B699" t="s">
        <v>40</v>
      </c>
      <c r="C699" t="s">
        <v>78</v>
      </c>
      <c r="D699" t="s">
        <v>33</v>
      </c>
      <c r="E699" t="s">
        <v>79</v>
      </c>
      <c r="F699" s="1">
        <v>45844</v>
      </c>
      <c r="G699">
        <v>45874</v>
      </c>
      <c r="H699" t="s">
        <v>9</v>
      </c>
      <c r="I699">
        <v>1326438.1599999999</v>
      </c>
      <c r="J699" t="s">
        <v>75</v>
      </c>
      <c r="K699" t="s">
        <v>1489</v>
      </c>
      <c r="L699">
        <v>30</v>
      </c>
      <c r="M699" t="s">
        <v>40</v>
      </c>
      <c r="N699">
        <v>1.1724000000000001</v>
      </c>
      <c r="O699">
        <v>1.3469669117647061</v>
      </c>
      <c r="P699">
        <v>6.7977039485127852E-3</v>
      </c>
      <c r="Q699">
        <v>6.7977039485127852E-3</v>
      </c>
      <c r="R699">
        <v>9016.7339176900332</v>
      </c>
      <c r="S699" t="s">
        <v>13</v>
      </c>
      <c r="T699">
        <v>6.8399999999999997E-3</v>
      </c>
      <c r="U699">
        <v>9072.8370143999982</v>
      </c>
      <c r="V699">
        <v>-56.10309670996503</v>
      </c>
      <c r="W699">
        <v>-6.1836332583645797E-3</v>
      </c>
    </row>
    <row r="700" spans="1:23" x14ac:dyDescent="0.25">
      <c r="A700" t="s">
        <v>1490</v>
      </c>
      <c r="B700" t="s">
        <v>43</v>
      </c>
      <c r="C700" t="s">
        <v>215</v>
      </c>
      <c r="D700" t="s">
        <v>35</v>
      </c>
      <c r="E700" t="s">
        <v>152</v>
      </c>
      <c r="F700" s="1">
        <v>46220</v>
      </c>
      <c r="G700">
        <v>46250</v>
      </c>
      <c r="H700" t="s">
        <v>6</v>
      </c>
      <c r="I700">
        <v>3547.87</v>
      </c>
      <c r="J700" t="s">
        <v>75</v>
      </c>
      <c r="K700" t="s">
        <v>1491</v>
      </c>
      <c r="L700">
        <v>30</v>
      </c>
      <c r="M700" t="s">
        <v>43</v>
      </c>
      <c r="N700">
        <v>1.1435</v>
      </c>
      <c r="O700">
        <v>1.3437448588685985</v>
      </c>
      <c r="P700">
        <v>6.1594398060867217E-3</v>
      </c>
      <c r="Q700">
        <v>1.1435</v>
      </c>
      <c r="R700">
        <v>4056.989345</v>
      </c>
      <c r="S700" t="s">
        <v>21</v>
      </c>
      <c r="T700">
        <v>1.101</v>
      </c>
      <c r="U700">
        <v>3906.20487</v>
      </c>
      <c r="V700">
        <v>150.78447499999993</v>
      </c>
      <c r="W700">
        <v>3.8601271571298799E-2</v>
      </c>
    </row>
    <row r="701" spans="1:23" x14ac:dyDescent="0.25">
      <c r="A701" t="s">
        <v>1492</v>
      </c>
      <c r="B701" t="s">
        <v>34</v>
      </c>
      <c r="C701" t="s">
        <v>177</v>
      </c>
      <c r="D701" t="s">
        <v>31</v>
      </c>
      <c r="E701" t="s">
        <v>74</v>
      </c>
      <c r="F701" s="1">
        <v>46111</v>
      </c>
      <c r="G701">
        <v>46171</v>
      </c>
      <c r="H701" t="s">
        <v>8</v>
      </c>
      <c r="I701">
        <v>23195.52</v>
      </c>
      <c r="J701" t="s">
        <v>75</v>
      </c>
      <c r="K701" t="s">
        <v>1493</v>
      </c>
      <c r="L701">
        <v>60</v>
      </c>
      <c r="M701" t="s">
        <v>34</v>
      </c>
      <c r="N701">
        <v>1.1484000000000001</v>
      </c>
      <c r="O701">
        <v>1.3229957489948505</v>
      </c>
      <c r="P701">
        <v>6.2712975098296198E-3</v>
      </c>
      <c r="Q701">
        <v>1.3229957489948505</v>
      </c>
      <c r="R701">
        <v>30687.574355725035</v>
      </c>
      <c r="S701" t="s">
        <v>16</v>
      </c>
      <c r="T701">
        <v>1.2490000000000001</v>
      </c>
      <c r="U701">
        <v>28971.204480000004</v>
      </c>
      <c r="V701">
        <v>1716.3698757250313</v>
      </c>
      <c r="W701">
        <v>5.9243994391393391E-2</v>
      </c>
    </row>
    <row r="702" spans="1:23" x14ac:dyDescent="0.25">
      <c r="A702" t="s">
        <v>1494</v>
      </c>
      <c r="B702" t="s">
        <v>44</v>
      </c>
      <c r="C702" t="s">
        <v>138</v>
      </c>
      <c r="D702" t="s">
        <v>33</v>
      </c>
      <c r="E702" t="s">
        <v>88</v>
      </c>
      <c r="F702" s="1">
        <v>46074</v>
      </c>
      <c r="G702">
        <v>46119</v>
      </c>
      <c r="H702" t="s">
        <v>9</v>
      </c>
      <c r="I702">
        <v>974629.46</v>
      </c>
      <c r="J702" t="s">
        <v>75</v>
      </c>
      <c r="K702" t="s">
        <v>1495</v>
      </c>
      <c r="L702">
        <v>45</v>
      </c>
      <c r="M702" t="s">
        <v>44</v>
      </c>
      <c r="N702">
        <v>1.1555</v>
      </c>
      <c r="O702">
        <v>1.3367963164349013</v>
      </c>
      <c r="P702">
        <v>6.2983756677204832E-3</v>
      </c>
      <c r="Q702">
        <v>6.2983756677204832E-3</v>
      </c>
      <c r="R702">
        <v>6138.582475907554</v>
      </c>
      <c r="S702" t="s">
        <v>16</v>
      </c>
      <c r="T702">
        <v>6.4599999999999996E-3</v>
      </c>
      <c r="U702">
        <v>6296.1063115999996</v>
      </c>
      <c r="V702">
        <v>-157.52383569244557</v>
      </c>
      <c r="W702">
        <v>-2.5019246482897266E-2</v>
      </c>
    </row>
    <row r="703" spans="1:23" x14ac:dyDescent="0.25">
      <c r="A703" t="s">
        <v>1496</v>
      </c>
      <c r="B703" t="s">
        <v>37</v>
      </c>
      <c r="C703" t="s">
        <v>91</v>
      </c>
      <c r="D703" t="s">
        <v>31</v>
      </c>
      <c r="E703" t="s">
        <v>74</v>
      </c>
      <c r="F703" s="1">
        <v>46188</v>
      </c>
      <c r="G703">
        <v>46218</v>
      </c>
      <c r="H703" t="s">
        <v>6</v>
      </c>
      <c r="I703">
        <v>13510.82</v>
      </c>
      <c r="J703" t="s">
        <v>75</v>
      </c>
      <c r="K703" t="s">
        <v>1497</v>
      </c>
      <c r="L703">
        <v>30</v>
      </c>
      <c r="M703" t="s">
        <v>37</v>
      </c>
      <c r="N703">
        <v>1.1607000000000001</v>
      </c>
      <c r="O703">
        <v>1.3421134789496203</v>
      </c>
      <c r="P703">
        <v>6.2426719733232935E-3</v>
      </c>
      <c r="Q703">
        <v>1.1607000000000001</v>
      </c>
      <c r="R703">
        <v>15682.008774</v>
      </c>
      <c r="S703" t="s">
        <v>19</v>
      </c>
      <c r="T703">
        <v>1.083</v>
      </c>
      <c r="U703">
        <v>14632.218059999999</v>
      </c>
      <c r="V703">
        <v>1049.7907140000007</v>
      </c>
      <c r="W703">
        <v>7.1745152354570685E-2</v>
      </c>
    </row>
    <row r="704" spans="1:23" x14ac:dyDescent="0.25">
      <c r="A704" t="s">
        <v>1498</v>
      </c>
      <c r="B704" t="s">
        <v>37</v>
      </c>
      <c r="C704" t="s">
        <v>91</v>
      </c>
      <c r="D704" t="s">
        <v>31</v>
      </c>
      <c r="E704" t="s">
        <v>74</v>
      </c>
      <c r="F704" s="1">
        <v>45712</v>
      </c>
      <c r="G704">
        <v>45742</v>
      </c>
      <c r="H704" t="s">
        <v>6</v>
      </c>
      <c r="I704">
        <v>4750.88</v>
      </c>
      <c r="J704" t="s">
        <v>75</v>
      </c>
      <c r="K704" t="s">
        <v>1499</v>
      </c>
      <c r="L704">
        <v>30</v>
      </c>
      <c r="M704" t="s">
        <v>37</v>
      </c>
      <c r="N704">
        <v>1.0466</v>
      </c>
      <c r="O704">
        <v>1.2635518531932874</v>
      </c>
      <c r="P704">
        <v>6.6743192398443976E-3</v>
      </c>
      <c r="Q704">
        <v>1.0466</v>
      </c>
      <c r="R704">
        <v>4972.2710079999997</v>
      </c>
      <c r="S704" t="s">
        <v>11</v>
      </c>
      <c r="T704">
        <v>1.052</v>
      </c>
      <c r="U704">
        <v>4997.9257600000001</v>
      </c>
      <c r="V704">
        <v>-25.654752000000371</v>
      </c>
      <c r="W704">
        <v>-5.1330798479088191E-3</v>
      </c>
    </row>
    <row r="705" spans="1:23" x14ac:dyDescent="0.25">
      <c r="A705" t="s">
        <v>1500</v>
      </c>
      <c r="B705" t="s">
        <v>28</v>
      </c>
      <c r="C705" t="s">
        <v>111</v>
      </c>
      <c r="D705" t="s">
        <v>31</v>
      </c>
      <c r="E705" t="s">
        <v>74</v>
      </c>
      <c r="F705" s="1">
        <v>46025</v>
      </c>
      <c r="G705">
        <v>46070</v>
      </c>
      <c r="H705" t="s">
        <v>9</v>
      </c>
      <c r="I705">
        <v>2342069.21</v>
      </c>
      <c r="J705" t="s">
        <v>75</v>
      </c>
      <c r="K705" t="s">
        <v>1501</v>
      </c>
      <c r="L705">
        <v>45</v>
      </c>
      <c r="M705" t="s">
        <v>28</v>
      </c>
      <c r="N705">
        <v>1.1555</v>
      </c>
      <c r="O705">
        <v>1.3367963164349013</v>
      </c>
      <c r="P705">
        <v>6.2983756677204832E-3</v>
      </c>
      <c r="Q705">
        <v>6.2983756677204832E-3</v>
      </c>
      <c r="R705">
        <v>14751.231724381334</v>
      </c>
      <c r="S705" t="s">
        <v>16</v>
      </c>
      <c r="T705">
        <v>6.4599999999999996E-3</v>
      </c>
      <c r="U705">
        <v>15129.767096599999</v>
      </c>
      <c r="V705">
        <v>-378.53537221866463</v>
      </c>
      <c r="W705">
        <v>-2.5019246482897287E-2</v>
      </c>
    </row>
    <row r="706" spans="1:23" x14ac:dyDescent="0.25">
      <c r="A706" t="s">
        <v>1502</v>
      </c>
      <c r="B706" t="s">
        <v>28</v>
      </c>
      <c r="C706" t="s">
        <v>111</v>
      </c>
      <c r="D706" t="s">
        <v>31</v>
      </c>
      <c r="E706" t="s">
        <v>74</v>
      </c>
      <c r="F706" s="1">
        <v>46280</v>
      </c>
      <c r="G706">
        <v>46325</v>
      </c>
      <c r="H706" t="s">
        <v>9</v>
      </c>
      <c r="I706">
        <v>1918261.26</v>
      </c>
      <c r="J706" t="s">
        <v>75</v>
      </c>
      <c r="K706" t="s">
        <v>1503</v>
      </c>
      <c r="L706">
        <v>45</v>
      </c>
      <c r="M706" t="s">
        <v>28</v>
      </c>
      <c r="N706">
        <v>1.1538999999999999</v>
      </c>
      <c r="O706">
        <v>1.3483290488431876</v>
      </c>
      <c r="P706">
        <v>6.4514145141451405E-3</v>
      </c>
      <c r="Q706">
        <v>6.4514145141451405E-3</v>
      </c>
      <c r="R706">
        <v>12375.498534686345</v>
      </c>
      <c r="S706" t="s">
        <v>21</v>
      </c>
      <c r="T706">
        <v>6.7400000000000003E-3</v>
      </c>
      <c r="U706">
        <v>12929.080892400001</v>
      </c>
      <c r="V706">
        <v>-553.58235771365617</v>
      </c>
      <c r="W706">
        <v>-4.2816837663925834E-2</v>
      </c>
    </row>
    <row r="707" spans="1:23" x14ac:dyDescent="0.25">
      <c r="A707" t="s">
        <v>1504</v>
      </c>
      <c r="B707" t="s">
        <v>37</v>
      </c>
      <c r="C707" t="s">
        <v>91</v>
      </c>
      <c r="D707" t="s">
        <v>31</v>
      </c>
      <c r="E707" t="s">
        <v>74</v>
      </c>
      <c r="F707" s="1">
        <v>46168</v>
      </c>
      <c r="G707">
        <v>46198</v>
      </c>
      <c r="H707" t="s">
        <v>6</v>
      </c>
      <c r="I707">
        <v>30577.15</v>
      </c>
      <c r="J707" t="s">
        <v>75</v>
      </c>
      <c r="K707" t="s">
        <v>1505</v>
      </c>
      <c r="L707">
        <v>30</v>
      </c>
      <c r="M707" t="s">
        <v>37</v>
      </c>
      <c r="N707">
        <v>1.1634</v>
      </c>
      <c r="O707">
        <v>1.3469175108538349</v>
      </c>
      <c r="P707">
        <v>6.2811791383219958E-3</v>
      </c>
      <c r="Q707">
        <v>1.1634</v>
      </c>
      <c r="R707">
        <v>35573.456310000001</v>
      </c>
      <c r="S707" t="s">
        <v>19</v>
      </c>
      <c r="T707">
        <v>1.083</v>
      </c>
      <c r="U707">
        <v>33115.053449999999</v>
      </c>
      <c r="V707">
        <v>2458.402860000002</v>
      </c>
      <c r="W707">
        <v>7.4238227146814467E-2</v>
      </c>
    </row>
    <row r="708" spans="1:23" x14ac:dyDescent="0.25">
      <c r="A708" t="s">
        <v>1506</v>
      </c>
      <c r="B708" t="s">
        <v>26</v>
      </c>
      <c r="C708" t="s">
        <v>94</v>
      </c>
      <c r="D708" t="s">
        <v>31</v>
      </c>
      <c r="E708" t="s">
        <v>74</v>
      </c>
      <c r="F708" s="1">
        <v>46243</v>
      </c>
      <c r="G708">
        <v>46273</v>
      </c>
      <c r="H708" t="s">
        <v>8</v>
      </c>
      <c r="I708">
        <v>27242.53</v>
      </c>
      <c r="J708" t="s">
        <v>75</v>
      </c>
      <c r="K708" t="s">
        <v>1507</v>
      </c>
      <c r="L708">
        <v>30</v>
      </c>
      <c r="M708" t="s">
        <v>26</v>
      </c>
      <c r="N708">
        <v>1.1535</v>
      </c>
      <c r="O708">
        <v>1.3449542354107153</v>
      </c>
      <c r="P708">
        <v>6.315703022339028E-3</v>
      </c>
      <c r="Q708">
        <v>1.3449542354107153</v>
      </c>
      <c r="R708">
        <v>36639.956106803475</v>
      </c>
      <c r="S708" t="s">
        <v>21</v>
      </c>
      <c r="T708">
        <v>1.2929999999999999</v>
      </c>
      <c r="U708">
        <v>35224.591289999997</v>
      </c>
      <c r="V708">
        <v>1415.3648168034779</v>
      </c>
      <c r="W708">
        <v>4.0181156543476759E-2</v>
      </c>
    </row>
    <row r="709" spans="1:23" x14ac:dyDescent="0.25">
      <c r="A709" t="s">
        <v>1508</v>
      </c>
      <c r="B709" t="s">
        <v>40</v>
      </c>
      <c r="C709" t="s">
        <v>78</v>
      </c>
      <c r="D709" t="s">
        <v>33</v>
      </c>
      <c r="E709" t="s">
        <v>79</v>
      </c>
      <c r="F709" s="1">
        <v>45672</v>
      </c>
      <c r="G709">
        <v>45702</v>
      </c>
      <c r="H709" t="s">
        <v>9</v>
      </c>
      <c r="I709">
        <v>1470058.04</v>
      </c>
      <c r="J709" t="s">
        <v>75</v>
      </c>
      <c r="K709" t="s">
        <v>1509</v>
      </c>
      <c r="L709">
        <v>30</v>
      </c>
      <c r="M709" t="s">
        <v>40</v>
      </c>
      <c r="N709">
        <v>1.03</v>
      </c>
      <c r="O709">
        <v>1.2216384187491844</v>
      </c>
      <c r="P709">
        <v>6.3678516228748072E-3</v>
      </c>
      <c r="Q709">
        <v>6.3678516228748072E-3</v>
      </c>
      <c r="R709">
        <v>9361.1114757341584</v>
      </c>
      <c r="S709" t="s">
        <v>11</v>
      </c>
      <c r="T709">
        <v>6.5599999999999999E-3</v>
      </c>
      <c r="U709">
        <v>9643.5807423999995</v>
      </c>
      <c r="V709">
        <v>-282.46926666584113</v>
      </c>
      <c r="W709">
        <v>-2.9290911147132986E-2</v>
      </c>
    </row>
    <row r="710" spans="1:23" x14ac:dyDescent="0.25">
      <c r="A710" t="s">
        <v>1510</v>
      </c>
      <c r="B710" t="s">
        <v>25</v>
      </c>
      <c r="C710" t="s">
        <v>169</v>
      </c>
      <c r="D710" t="s">
        <v>31</v>
      </c>
      <c r="E710" t="s">
        <v>124</v>
      </c>
      <c r="F710" s="1">
        <v>46131</v>
      </c>
      <c r="G710">
        <v>46191</v>
      </c>
      <c r="H710" t="s">
        <v>6</v>
      </c>
      <c r="I710">
        <v>24587.23</v>
      </c>
      <c r="J710" t="s">
        <v>75</v>
      </c>
      <c r="K710" t="s">
        <v>1511</v>
      </c>
      <c r="L710">
        <v>60</v>
      </c>
      <c r="M710" t="s">
        <v>25</v>
      </c>
      <c r="N710">
        <v>1.1797</v>
      </c>
      <c r="O710">
        <v>1.3533636196769456</v>
      </c>
      <c r="P710">
        <v>6.2843596846366926E-3</v>
      </c>
      <c r="Q710">
        <v>1.1797</v>
      </c>
      <c r="R710">
        <v>29005.555230999998</v>
      </c>
      <c r="S710" t="s">
        <v>19</v>
      </c>
      <c r="T710">
        <v>1.083</v>
      </c>
      <c r="U710">
        <v>26627.970089999999</v>
      </c>
      <c r="V710">
        <v>2377.5851409999996</v>
      </c>
      <c r="W710">
        <v>8.9289012003693435E-2</v>
      </c>
    </row>
    <row r="711" spans="1:23" x14ac:dyDescent="0.25">
      <c r="A711" t="s">
        <v>1512</v>
      </c>
      <c r="B711" t="s">
        <v>20</v>
      </c>
      <c r="C711" t="s">
        <v>123</v>
      </c>
      <c r="D711" t="s">
        <v>31</v>
      </c>
      <c r="E711" t="s">
        <v>124</v>
      </c>
      <c r="F711" s="1">
        <v>45664</v>
      </c>
      <c r="G711">
        <v>45709</v>
      </c>
      <c r="H711" t="s">
        <v>6</v>
      </c>
      <c r="I711">
        <v>41964.800000000003</v>
      </c>
      <c r="J711" t="s">
        <v>75</v>
      </c>
      <c r="K711" t="s">
        <v>1513</v>
      </c>
      <c r="L711">
        <v>45</v>
      </c>
      <c r="M711" t="s">
        <v>20</v>
      </c>
      <c r="N711">
        <v>1.0392999999999999</v>
      </c>
      <c r="O711">
        <v>1.2534523307001144</v>
      </c>
      <c r="P711">
        <v>6.3426095447333079E-3</v>
      </c>
      <c r="Q711">
        <v>1.0392999999999999</v>
      </c>
      <c r="R711">
        <v>43614.016640000002</v>
      </c>
      <c r="S711" t="s">
        <v>11</v>
      </c>
      <c r="T711">
        <v>1.052</v>
      </c>
      <c r="U711">
        <v>44146.969600000004</v>
      </c>
      <c r="V711">
        <v>-532.95296000000235</v>
      </c>
      <c r="W711">
        <v>-1.2072243346007656E-2</v>
      </c>
    </row>
    <row r="712" spans="1:23" x14ac:dyDescent="0.25">
      <c r="A712" t="s">
        <v>1514</v>
      </c>
      <c r="B712" t="s">
        <v>20</v>
      </c>
      <c r="C712" t="s">
        <v>123</v>
      </c>
      <c r="D712" t="s">
        <v>31</v>
      </c>
      <c r="E712" t="s">
        <v>124</v>
      </c>
      <c r="F712" s="1">
        <v>45962</v>
      </c>
      <c r="G712">
        <v>46007</v>
      </c>
      <c r="H712" t="s">
        <v>6</v>
      </c>
      <c r="I712">
        <v>62891.69</v>
      </c>
      <c r="J712" t="s">
        <v>75</v>
      </c>
      <c r="K712" t="s">
        <v>1515</v>
      </c>
      <c r="L712">
        <v>45</v>
      </c>
      <c r="M712" t="s">
        <v>20</v>
      </c>
      <c r="N712">
        <v>1.1489</v>
      </c>
      <c r="O712">
        <v>1.3299300828818819</v>
      </c>
      <c r="P712">
        <v>6.2967225693302637E-3</v>
      </c>
      <c r="Q712">
        <v>1.1489</v>
      </c>
      <c r="R712">
        <v>72256.262641000008</v>
      </c>
      <c r="S712" t="s">
        <v>14</v>
      </c>
      <c r="T712">
        <v>1.1060000000000001</v>
      </c>
      <c r="U712">
        <v>69558.209140000006</v>
      </c>
      <c r="V712">
        <v>2698.0535010000021</v>
      </c>
      <c r="W712">
        <v>3.8788426763110333E-2</v>
      </c>
    </row>
    <row r="713" spans="1:23" x14ac:dyDescent="0.25">
      <c r="A713" t="s">
        <v>1516</v>
      </c>
      <c r="B713" t="s">
        <v>38</v>
      </c>
      <c r="C713" t="s">
        <v>87</v>
      </c>
      <c r="D713" t="s">
        <v>33</v>
      </c>
      <c r="E713" t="s">
        <v>88</v>
      </c>
      <c r="F713" s="1">
        <v>46210</v>
      </c>
      <c r="G713">
        <v>46240</v>
      </c>
      <c r="H713" t="s">
        <v>6</v>
      </c>
      <c r="I713">
        <v>11397.19</v>
      </c>
      <c r="J713" t="s">
        <v>75</v>
      </c>
      <c r="K713" t="s">
        <v>1517</v>
      </c>
      <c r="L713">
        <v>30</v>
      </c>
      <c r="M713" t="s">
        <v>38</v>
      </c>
      <c r="N713">
        <v>1.1433</v>
      </c>
      <c r="O713">
        <v>1.3385863647539544</v>
      </c>
      <c r="P713">
        <v>6.176994975417364E-3</v>
      </c>
      <c r="Q713">
        <v>1.1433</v>
      </c>
      <c r="R713">
        <v>13030.407327000001</v>
      </c>
      <c r="S713" t="s">
        <v>21</v>
      </c>
      <c r="T713">
        <v>1.101</v>
      </c>
      <c r="U713">
        <v>12548.306190000001</v>
      </c>
      <c r="V713">
        <v>482.10113699999965</v>
      </c>
      <c r="W713">
        <v>3.8419618528610325E-2</v>
      </c>
    </row>
    <row r="714" spans="1:23" x14ac:dyDescent="0.25">
      <c r="A714" t="s">
        <v>1518</v>
      </c>
      <c r="B714" t="s">
        <v>40</v>
      </c>
      <c r="C714" t="s">
        <v>78</v>
      </c>
      <c r="D714" t="s">
        <v>33</v>
      </c>
      <c r="E714" t="s">
        <v>79</v>
      </c>
      <c r="F714" s="1">
        <v>45846</v>
      </c>
      <c r="G714">
        <v>45876</v>
      </c>
      <c r="H714" t="s">
        <v>9</v>
      </c>
      <c r="I714">
        <v>1700282.35</v>
      </c>
      <c r="J714" t="s">
        <v>75</v>
      </c>
      <c r="K714" t="s">
        <v>1519</v>
      </c>
      <c r="L714">
        <v>30</v>
      </c>
      <c r="M714" t="s">
        <v>40</v>
      </c>
      <c r="N714">
        <v>1.1718</v>
      </c>
      <c r="O714">
        <v>1.3575069508804449</v>
      </c>
      <c r="P714">
        <v>6.8246942341292959E-3</v>
      </c>
      <c r="Q714">
        <v>6.8246942341292959E-3</v>
      </c>
      <c r="R714">
        <v>11603.907150436809</v>
      </c>
      <c r="S714" t="s">
        <v>13</v>
      </c>
      <c r="T714">
        <v>6.8399999999999997E-3</v>
      </c>
      <c r="U714">
        <v>11629.931274</v>
      </c>
      <c r="V714">
        <v>-26.024123563191097</v>
      </c>
      <c r="W714">
        <v>-2.2376850688164349E-3</v>
      </c>
    </row>
    <row r="715" spans="1:23" x14ac:dyDescent="0.25">
      <c r="A715" t="s">
        <v>1520</v>
      </c>
      <c r="B715" t="s">
        <v>20</v>
      </c>
      <c r="C715" t="s">
        <v>123</v>
      </c>
      <c r="D715" t="s">
        <v>31</v>
      </c>
      <c r="E715" t="s">
        <v>124</v>
      </c>
      <c r="F715" s="1">
        <v>45941</v>
      </c>
      <c r="G715">
        <v>45986</v>
      </c>
      <c r="H715" t="s">
        <v>6</v>
      </c>
      <c r="I715">
        <v>22324.36</v>
      </c>
      <c r="J715" t="s">
        <v>75</v>
      </c>
      <c r="K715" t="s">
        <v>1521</v>
      </c>
      <c r="L715">
        <v>45</v>
      </c>
      <c r="M715" t="s">
        <v>20</v>
      </c>
      <c r="N715">
        <v>1.1845000000000001</v>
      </c>
      <c r="O715">
        <v>1.3577487391104999</v>
      </c>
      <c r="P715">
        <v>6.5085993735919554E-3</v>
      </c>
      <c r="Q715">
        <v>1.1845000000000001</v>
      </c>
      <c r="R715">
        <v>26443.204420000002</v>
      </c>
      <c r="S715" t="s">
        <v>14</v>
      </c>
      <c r="T715">
        <v>1.1060000000000001</v>
      </c>
      <c r="U715">
        <v>24690.742160000002</v>
      </c>
      <c r="V715">
        <v>1752.4622600000002</v>
      </c>
      <c r="W715">
        <v>7.0976491862567812E-2</v>
      </c>
    </row>
    <row r="716" spans="1:23" x14ac:dyDescent="0.25">
      <c r="A716" t="s">
        <v>1522</v>
      </c>
      <c r="B716" t="s">
        <v>40</v>
      </c>
      <c r="C716" t="s">
        <v>78</v>
      </c>
      <c r="D716" t="s">
        <v>33</v>
      </c>
      <c r="E716" t="s">
        <v>79</v>
      </c>
      <c r="F716" s="1">
        <v>46109</v>
      </c>
      <c r="G716">
        <v>46139</v>
      </c>
      <c r="H716" t="s">
        <v>9</v>
      </c>
      <c r="I716">
        <v>2386514.89</v>
      </c>
      <c r="J716" t="s">
        <v>75</v>
      </c>
      <c r="K716" t="s">
        <v>1523</v>
      </c>
      <c r="L716">
        <v>30</v>
      </c>
      <c r="M716" t="s">
        <v>40</v>
      </c>
      <c r="N716">
        <v>1.1516999999999999</v>
      </c>
      <c r="O716">
        <v>1.3280673431734318</v>
      </c>
      <c r="P716">
        <v>6.2538010425716769E-3</v>
      </c>
      <c r="Q716">
        <v>6.2538010425716769E-3</v>
      </c>
      <c r="R716">
        <v>14924.789307194831</v>
      </c>
      <c r="S716" t="s">
        <v>16</v>
      </c>
      <c r="T716">
        <v>6.4599999999999996E-3</v>
      </c>
      <c r="U716">
        <v>15416.8861894</v>
      </c>
      <c r="V716">
        <v>-492.09688220516909</v>
      </c>
      <c r="W716">
        <v>-3.1919343255158369E-2</v>
      </c>
    </row>
    <row r="717" spans="1:23" x14ac:dyDescent="0.25">
      <c r="A717" t="s">
        <v>1524</v>
      </c>
      <c r="B717" t="s">
        <v>28</v>
      </c>
      <c r="C717" t="s">
        <v>111</v>
      </c>
      <c r="D717" t="s">
        <v>31</v>
      </c>
      <c r="E717" t="s">
        <v>74</v>
      </c>
      <c r="F717" s="1">
        <v>45736</v>
      </c>
      <c r="G717">
        <v>45781</v>
      </c>
      <c r="H717" t="s">
        <v>9</v>
      </c>
      <c r="I717">
        <v>3909796.61</v>
      </c>
      <c r="J717" t="s">
        <v>75</v>
      </c>
      <c r="K717" t="s">
        <v>1525</v>
      </c>
      <c r="L717">
        <v>45</v>
      </c>
      <c r="M717" t="s">
        <v>28</v>
      </c>
      <c r="N717">
        <v>1.0832999999999999</v>
      </c>
      <c r="O717">
        <v>1.2944198829011828</v>
      </c>
      <c r="P717">
        <v>6.7348461299347219E-3</v>
      </c>
      <c r="Q717">
        <v>6.7348461299347219E-3</v>
      </c>
      <c r="R717">
        <v>26331.878567690394</v>
      </c>
      <c r="S717" t="s">
        <v>11</v>
      </c>
      <c r="T717">
        <v>6.5599999999999999E-3</v>
      </c>
      <c r="U717">
        <v>25648.2657616</v>
      </c>
      <c r="V717">
        <v>683.61280609039386</v>
      </c>
      <c r="W717">
        <v>2.6653373465658773E-2</v>
      </c>
    </row>
    <row r="718" spans="1:23" x14ac:dyDescent="0.25">
      <c r="A718" t="s">
        <v>1526</v>
      </c>
      <c r="B718" t="s">
        <v>20</v>
      </c>
      <c r="C718" t="s">
        <v>123</v>
      </c>
      <c r="D718" t="s">
        <v>31</v>
      </c>
      <c r="E718" t="s">
        <v>124</v>
      </c>
      <c r="F718" s="1">
        <v>46060</v>
      </c>
      <c r="G718">
        <v>46105</v>
      </c>
      <c r="H718" t="s">
        <v>6</v>
      </c>
      <c r="I718">
        <v>53572.94</v>
      </c>
      <c r="J718" t="s">
        <v>75</v>
      </c>
      <c r="K718" t="s">
        <v>1527</v>
      </c>
      <c r="L718">
        <v>45</v>
      </c>
      <c r="M718" t="s">
        <v>20</v>
      </c>
      <c r="N718">
        <v>1.1555</v>
      </c>
      <c r="O718">
        <v>1.3367963164349013</v>
      </c>
      <c r="P718">
        <v>6.2983756677204832E-3</v>
      </c>
      <c r="Q718">
        <v>1.1555</v>
      </c>
      <c r="R718">
        <v>61903.532169999999</v>
      </c>
      <c r="S718" t="s">
        <v>16</v>
      </c>
      <c r="T718">
        <v>1.0649999999999999</v>
      </c>
      <c r="U718">
        <v>57055.181100000002</v>
      </c>
      <c r="V718">
        <v>4848.351069999997</v>
      </c>
      <c r="W718">
        <v>8.4976525821596191E-2</v>
      </c>
    </row>
    <row r="719" spans="1:23" x14ac:dyDescent="0.25">
      <c r="A719" t="s">
        <v>1528</v>
      </c>
      <c r="B719" t="s">
        <v>24</v>
      </c>
      <c r="C719" t="s">
        <v>73</v>
      </c>
      <c r="D719" t="s">
        <v>31</v>
      </c>
      <c r="E719" t="s">
        <v>74</v>
      </c>
      <c r="F719" s="1">
        <v>46209</v>
      </c>
      <c r="G719">
        <v>46239</v>
      </c>
      <c r="H719" t="s">
        <v>6</v>
      </c>
      <c r="I719">
        <v>11325.11</v>
      </c>
      <c r="J719" t="s">
        <v>75</v>
      </c>
      <c r="K719" t="s">
        <v>1529</v>
      </c>
      <c r="L719">
        <v>30</v>
      </c>
      <c r="M719" t="s">
        <v>24</v>
      </c>
      <c r="N719">
        <v>1.1415</v>
      </c>
      <c r="O719">
        <v>1.3344946105824311</v>
      </c>
      <c r="P719">
        <v>6.1599481949166255E-3</v>
      </c>
      <c r="Q719">
        <v>1.1415</v>
      </c>
      <c r="R719">
        <v>12927.613065</v>
      </c>
      <c r="S719" t="s">
        <v>21</v>
      </c>
      <c r="T719">
        <v>1.101</v>
      </c>
      <c r="U719">
        <v>12468.946110000001</v>
      </c>
      <c r="V719">
        <v>458.66695499999878</v>
      </c>
      <c r="W719">
        <v>3.6784741144414067E-2</v>
      </c>
    </row>
    <row r="720" spans="1:23" x14ac:dyDescent="0.25">
      <c r="A720" t="s">
        <v>1530</v>
      </c>
      <c r="B720" t="s">
        <v>24</v>
      </c>
      <c r="C720" t="s">
        <v>73</v>
      </c>
      <c r="D720" t="s">
        <v>31</v>
      </c>
      <c r="E720" t="s">
        <v>74</v>
      </c>
      <c r="F720" s="1">
        <v>46236</v>
      </c>
      <c r="G720">
        <v>46266</v>
      </c>
      <c r="H720" t="s">
        <v>6</v>
      </c>
      <c r="I720">
        <v>30048.05</v>
      </c>
      <c r="J720" t="s">
        <v>75</v>
      </c>
      <c r="K720" t="s">
        <v>1531</v>
      </c>
      <c r="L720">
        <v>30</v>
      </c>
      <c r="M720" t="s">
        <v>24</v>
      </c>
      <c r="N720">
        <v>1.1485000000000001</v>
      </c>
      <c r="O720">
        <v>1.3421289425402874</v>
      </c>
      <c r="P720">
        <v>6.2408302994077054E-3</v>
      </c>
      <c r="Q720">
        <v>1.1485000000000001</v>
      </c>
      <c r="R720">
        <v>34510.185425000003</v>
      </c>
      <c r="S720" t="s">
        <v>21</v>
      </c>
      <c r="T720">
        <v>1.101</v>
      </c>
      <c r="U720">
        <v>33082.903050000001</v>
      </c>
      <c r="V720">
        <v>1427.2823750000025</v>
      </c>
      <c r="W720">
        <v>4.314259763851052E-2</v>
      </c>
    </row>
    <row r="721" spans="1:23" x14ac:dyDescent="0.25">
      <c r="A721" t="s">
        <v>1532</v>
      </c>
      <c r="B721" t="s">
        <v>41</v>
      </c>
      <c r="C721" t="s">
        <v>172</v>
      </c>
      <c r="D721" t="s">
        <v>33</v>
      </c>
      <c r="E721" t="s">
        <v>83</v>
      </c>
      <c r="F721" s="1">
        <v>45800</v>
      </c>
      <c r="G721">
        <v>45830</v>
      </c>
      <c r="H721" t="s">
        <v>9</v>
      </c>
      <c r="I721">
        <v>993169.39</v>
      </c>
      <c r="J721" t="s">
        <v>75</v>
      </c>
      <c r="K721" t="s">
        <v>1533</v>
      </c>
      <c r="L721">
        <v>30</v>
      </c>
      <c r="M721" t="s">
        <v>41</v>
      </c>
      <c r="N721">
        <v>1.1301000000000001</v>
      </c>
      <c r="O721">
        <v>1.3482462419470296</v>
      </c>
      <c r="P721">
        <v>7.0135915099609021E-3</v>
      </c>
      <c r="Q721">
        <v>7.0135915099609021E-3</v>
      </c>
      <c r="R721">
        <v>6965.6844016570485</v>
      </c>
      <c r="S721" t="s">
        <v>12</v>
      </c>
      <c r="T721">
        <v>6.7000000000000002E-3</v>
      </c>
      <c r="U721">
        <v>6654.2349130000002</v>
      </c>
      <c r="V721">
        <v>311.44948865704828</v>
      </c>
      <c r="W721">
        <v>4.6804702979239152E-2</v>
      </c>
    </row>
    <row r="722" spans="1:23" x14ac:dyDescent="0.25">
      <c r="A722" t="s">
        <v>1534</v>
      </c>
      <c r="B722" t="s">
        <v>37</v>
      </c>
      <c r="C722" t="s">
        <v>91</v>
      </c>
      <c r="D722" t="s">
        <v>31</v>
      </c>
      <c r="E722" t="s">
        <v>74</v>
      </c>
      <c r="F722" s="1">
        <v>46243</v>
      </c>
      <c r="G722">
        <v>46273</v>
      </c>
      <c r="H722" t="s">
        <v>6</v>
      </c>
      <c r="I722">
        <v>24897.59</v>
      </c>
      <c r="J722" t="s">
        <v>75</v>
      </c>
      <c r="K722" t="s">
        <v>1535</v>
      </c>
      <c r="L722">
        <v>30</v>
      </c>
      <c r="M722" t="s">
        <v>37</v>
      </c>
      <c r="N722">
        <v>1.1535</v>
      </c>
      <c r="O722">
        <v>1.3449542354107153</v>
      </c>
      <c r="P722">
        <v>6.315703022339028E-3</v>
      </c>
      <c r="Q722">
        <v>1.1535</v>
      </c>
      <c r="R722">
        <v>28719.370064999999</v>
      </c>
      <c r="S722" t="s">
        <v>21</v>
      </c>
      <c r="T722">
        <v>1.101</v>
      </c>
      <c r="U722">
        <v>27412.246589999999</v>
      </c>
      <c r="V722">
        <v>1307.1234750000003</v>
      </c>
      <c r="W722">
        <v>4.7683923705722088E-2</v>
      </c>
    </row>
    <row r="723" spans="1:23" x14ac:dyDescent="0.25">
      <c r="A723" t="s">
        <v>1536</v>
      </c>
      <c r="B723" t="s">
        <v>39</v>
      </c>
      <c r="C723" t="s">
        <v>82</v>
      </c>
      <c r="D723" t="s">
        <v>33</v>
      </c>
      <c r="E723" t="s">
        <v>83</v>
      </c>
      <c r="F723" s="1">
        <v>46023</v>
      </c>
      <c r="G723">
        <v>46068</v>
      </c>
      <c r="H723" t="s">
        <v>8</v>
      </c>
      <c r="I723">
        <v>6435.1</v>
      </c>
      <c r="J723" t="s">
        <v>75</v>
      </c>
      <c r="K723" t="s">
        <v>1537</v>
      </c>
      <c r="L723">
        <v>45</v>
      </c>
      <c r="M723" t="s">
        <v>39</v>
      </c>
      <c r="N723">
        <v>1.1555</v>
      </c>
      <c r="O723">
        <v>1.3367963164349013</v>
      </c>
      <c r="P723">
        <v>6.2983756677204832E-3</v>
      </c>
      <c r="Q723">
        <v>1.3367963164349013</v>
      </c>
      <c r="R723">
        <v>8602.4179758902337</v>
      </c>
      <c r="S723" t="s">
        <v>16</v>
      </c>
      <c r="T723">
        <v>1.2490000000000001</v>
      </c>
      <c r="U723">
        <v>8037.4399000000012</v>
      </c>
      <c r="V723">
        <v>564.9780758902325</v>
      </c>
      <c r="W723">
        <v>7.0293287778143435E-2</v>
      </c>
    </row>
    <row r="724" spans="1:23" x14ac:dyDescent="0.25">
      <c r="A724" t="s">
        <v>1538</v>
      </c>
      <c r="B724" t="s">
        <v>20</v>
      </c>
      <c r="C724" t="s">
        <v>123</v>
      </c>
      <c r="D724" t="s">
        <v>31</v>
      </c>
      <c r="E724" t="s">
        <v>124</v>
      </c>
      <c r="F724" s="1">
        <v>45918</v>
      </c>
      <c r="G724">
        <v>45963</v>
      </c>
      <c r="H724" t="s">
        <v>6</v>
      </c>
      <c r="I724">
        <v>53464.639999999999</v>
      </c>
      <c r="J724" t="s">
        <v>75</v>
      </c>
      <c r="K724" t="s">
        <v>1539</v>
      </c>
      <c r="L724">
        <v>45</v>
      </c>
      <c r="M724" t="s">
        <v>20</v>
      </c>
      <c r="N724">
        <v>1.1818</v>
      </c>
      <c r="O724">
        <v>1.3615207373271889</v>
      </c>
      <c r="P724">
        <v>6.7825987144168954E-3</v>
      </c>
      <c r="Q724">
        <v>1.1818</v>
      </c>
      <c r="R724">
        <v>63184.511551999996</v>
      </c>
      <c r="S724" t="s">
        <v>13</v>
      </c>
      <c r="T724">
        <v>1.0880000000000001</v>
      </c>
      <c r="U724">
        <v>58169.528320000005</v>
      </c>
      <c r="V724">
        <v>5014.9832319999914</v>
      </c>
      <c r="W724">
        <v>8.6213235294117493E-2</v>
      </c>
    </row>
    <row r="725" spans="1:23" x14ac:dyDescent="0.25">
      <c r="A725" t="s">
        <v>1540</v>
      </c>
      <c r="B725" t="s">
        <v>38</v>
      </c>
      <c r="C725" t="s">
        <v>87</v>
      </c>
      <c r="D725" t="s">
        <v>33</v>
      </c>
      <c r="E725" t="s">
        <v>88</v>
      </c>
      <c r="F725" s="1">
        <v>45746</v>
      </c>
      <c r="G725">
        <v>45776</v>
      </c>
      <c r="H725" t="s">
        <v>6</v>
      </c>
      <c r="I725">
        <v>10758.59</v>
      </c>
      <c r="J725" t="s">
        <v>75</v>
      </c>
      <c r="K725" t="s">
        <v>1541</v>
      </c>
      <c r="L725">
        <v>30</v>
      </c>
      <c r="M725" t="s">
        <v>38</v>
      </c>
      <c r="N725">
        <v>1.1194</v>
      </c>
      <c r="O725">
        <v>1.3283493532692536</v>
      </c>
      <c r="P725">
        <v>6.8653787181846048E-3</v>
      </c>
      <c r="Q725">
        <v>1.1194</v>
      </c>
      <c r="R725">
        <v>12043.165645999999</v>
      </c>
      <c r="S725" t="s">
        <v>11</v>
      </c>
      <c r="T725">
        <v>1.052</v>
      </c>
      <c r="U725">
        <v>11318.036680000001</v>
      </c>
      <c r="V725">
        <v>725.1289659999984</v>
      </c>
      <c r="W725">
        <v>6.4068441064638632E-2</v>
      </c>
    </row>
    <row r="726" spans="1:23" x14ac:dyDescent="0.25">
      <c r="A726" t="s">
        <v>1542</v>
      </c>
      <c r="B726" t="s">
        <v>26</v>
      </c>
      <c r="C726" t="s">
        <v>94</v>
      </c>
      <c r="D726" t="s">
        <v>31</v>
      </c>
      <c r="E726" t="s">
        <v>74</v>
      </c>
      <c r="F726" s="1">
        <v>45935</v>
      </c>
      <c r="G726">
        <v>45965</v>
      </c>
      <c r="H726" t="s">
        <v>8</v>
      </c>
      <c r="I726">
        <v>24962.97</v>
      </c>
      <c r="J726" t="s">
        <v>75</v>
      </c>
      <c r="K726" t="s">
        <v>1543</v>
      </c>
      <c r="L726">
        <v>30</v>
      </c>
      <c r="M726" t="s">
        <v>26</v>
      </c>
      <c r="N726">
        <v>1.1894</v>
      </c>
      <c r="O726">
        <v>1.3679125934445082</v>
      </c>
      <c r="P726">
        <v>6.4462630751720776E-3</v>
      </c>
      <c r="Q726">
        <v>1.3679125934445082</v>
      </c>
      <c r="R726">
        <v>34147.161032777454</v>
      </c>
      <c r="S726" t="s">
        <v>14</v>
      </c>
      <c r="T726">
        <v>1.304</v>
      </c>
      <c r="U726">
        <v>32551.712880000003</v>
      </c>
      <c r="V726">
        <v>1595.4481527774515</v>
      </c>
      <c r="W726">
        <v>4.9012725034131947E-2</v>
      </c>
    </row>
    <row r="727" spans="1:23" x14ac:dyDescent="0.25">
      <c r="A727" t="s">
        <v>1544</v>
      </c>
      <c r="B727" t="s">
        <v>39</v>
      </c>
      <c r="C727" t="s">
        <v>82</v>
      </c>
      <c r="D727" t="s">
        <v>33</v>
      </c>
      <c r="E727" t="s">
        <v>83</v>
      </c>
      <c r="F727" s="1">
        <v>46335</v>
      </c>
      <c r="G727">
        <v>46380</v>
      </c>
      <c r="H727" t="s">
        <v>8</v>
      </c>
      <c r="I727">
        <v>11658.58</v>
      </c>
      <c r="J727" t="s">
        <v>84</v>
      </c>
      <c r="K727" t="s">
        <v>1545</v>
      </c>
      <c r="L727">
        <v>45</v>
      </c>
      <c r="M727" t="s">
        <v>39</v>
      </c>
      <c r="N727">
        <v>1.1176999999999999</v>
      </c>
      <c r="O727">
        <v>1.320456022210408</v>
      </c>
      <c r="P727">
        <v>6.3200452360757699E-3</v>
      </c>
      <c r="Q727">
        <v>1.320456022210408</v>
      </c>
      <c r="R727">
        <v>15394.64217142182</v>
      </c>
      <c r="S727" t="s">
        <v>23</v>
      </c>
      <c r="T727">
        <v>1.3149999999999999</v>
      </c>
      <c r="U727">
        <v>15331.0327</v>
      </c>
      <c r="V727">
        <v>63.609471421819762</v>
      </c>
      <c r="W727">
        <v>4.1490663197019835E-3</v>
      </c>
    </row>
    <row r="728" spans="1:23" x14ac:dyDescent="0.25">
      <c r="A728" t="s">
        <v>1546</v>
      </c>
      <c r="B728" t="s">
        <v>26</v>
      </c>
      <c r="C728" t="s">
        <v>94</v>
      </c>
      <c r="D728" t="s">
        <v>31</v>
      </c>
      <c r="E728" t="s">
        <v>74</v>
      </c>
      <c r="F728" s="1">
        <v>45674</v>
      </c>
      <c r="G728">
        <v>45704</v>
      </c>
      <c r="H728" t="s">
        <v>8</v>
      </c>
      <c r="I728">
        <v>29946.34</v>
      </c>
      <c r="J728" t="s">
        <v>75</v>
      </c>
      <c r="K728" t="s">
        <v>1547</v>
      </c>
      <c r="L728">
        <v>30</v>
      </c>
      <c r="M728" t="s">
        <v>26</v>
      </c>
      <c r="N728">
        <v>1.0298</v>
      </c>
      <c r="O728">
        <v>1.2193764579115012</v>
      </c>
      <c r="P728">
        <v>6.4270111714410539E-3</v>
      </c>
      <c r="Q728">
        <v>1.2193764579115012</v>
      </c>
      <c r="R728">
        <v>36515.861996613501</v>
      </c>
      <c r="S728" t="s">
        <v>11</v>
      </c>
      <c r="T728">
        <v>1.238</v>
      </c>
      <c r="U728">
        <v>37073.568919999998</v>
      </c>
      <c r="V728">
        <v>-557.70692338649678</v>
      </c>
      <c r="W728">
        <v>-1.504324885985368E-2</v>
      </c>
    </row>
    <row r="729" spans="1:23" x14ac:dyDescent="0.25">
      <c r="A729" t="s">
        <v>1548</v>
      </c>
      <c r="B729" t="s">
        <v>30</v>
      </c>
      <c r="C729" t="s">
        <v>103</v>
      </c>
      <c r="D729" t="s">
        <v>31</v>
      </c>
      <c r="E729" t="s">
        <v>74</v>
      </c>
      <c r="F729" s="1">
        <v>45799</v>
      </c>
      <c r="G729">
        <v>45829</v>
      </c>
      <c r="H729" t="s">
        <v>9</v>
      </c>
      <c r="I729">
        <v>2506139.79</v>
      </c>
      <c r="J729" t="s">
        <v>75</v>
      </c>
      <c r="K729" t="s">
        <v>1549</v>
      </c>
      <c r="L729">
        <v>30</v>
      </c>
      <c r="M729" t="s">
        <v>30</v>
      </c>
      <c r="N729">
        <v>1.1309</v>
      </c>
      <c r="O729">
        <v>1.341995965349472</v>
      </c>
      <c r="P729">
        <v>6.9726863555089709E-3</v>
      </c>
      <c r="Q729">
        <v>6.9726863555089709E-3</v>
      </c>
      <c r="R729">
        <v>17474.526718731118</v>
      </c>
      <c r="S729" t="s">
        <v>12</v>
      </c>
      <c r="T729">
        <v>6.7000000000000002E-3</v>
      </c>
      <c r="U729">
        <v>16791.136592999999</v>
      </c>
      <c r="V729">
        <v>683.39012573111904</v>
      </c>
      <c r="W729">
        <v>4.0699456046115141E-2</v>
      </c>
    </row>
    <row r="730" spans="1:23" x14ac:dyDescent="0.25">
      <c r="A730" t="s">
        <v>1550</v>
      </c>
      <c r="B730" t="s">
        <v>30</v>
      </c>
      <c r="C730" t="s">
        <v>103</v>
      </c>
      <c r="D730" t="s">
        <v>31</v>
      </c>
      <c r="E730" t="s">
        <v>74</v>
      </c>
      <c r="F730" s="1">
        <v>45705</v>
      </c>
      <c r="G730">
        <v>45735</v>
      </c>
      <c r="H730" t="s">
        <v>9</v>
      </c>
      <c r="I730">
        <v>919707.99</v>
      </c>
      <c r="J730" t="s">
        <v>75</v>
      </c>
      <c r="K730" t="s">
        <v>1551</v>
      </c>
      <c r="L730">
        <v>30</v>
      </c>
      <c r="M730" t="s">
        <v>30</v>
      </c>
      <c r="N730">
        <v>1.0472999999999999</v>
      </c>
      <c r="O730">
        <v>1.2597885316300386</v>
      </c>
      <c r="P730">
        <v>6.6004915863112123E-3</v>
      </c>
      <c r="Q730">
        <v>6.6004915863112123E-3</v>
      </c>
      <c r="R730">
        <v>6070.5248498581968</v>
      </c>
      <c r="S730" t="s">
        <v>11</v>
      </c>
      <c r="T730">
        <v>6.5599999999999999E-3</v>
      </c>
      <c r="U730">
        <v>6033.2844144000001</v>
      </c>
      <c r="V730">
        <v>37.240435458196771</v>
      </c>
      <c r="W730">
        <v>6.17249791329459E-3</v>
      </c>
    </row>
    <row r="731" spans="1:23" x14ac:dyDescent="0.25">
      <c r="A731" t="s">
        <v>1552</v>
      </c>
      <c r="B731" t="s">
        <v>30</v>
      </c>
      <c r="C731" t="s">
        <v>103</v>
      </c>
      <c r="D731" t="s">
        <v>31</v>
      </c>
      <c r="E731" t="s">
        <v>74</v>
      </c>
      <c r="F731" s="1">
        <v>45870</v>
      </c>
      <c r="G731">
        <v>45900</v>
      </c>
      <c r="H731" t="s">
        <v>9</v>
      </c>
      <c r="I731">
        <v>3571762.86</v>
      </c>
      <c r="J731" t="s">
        <v>75</v>
      </c>
      <c r="K731" t="s">
        <v>1553</v>
      </c>
      <c r="L731">
        <v>30</v>
      </c>
      <c r="M731" t="s">
        <v>30</v>
      </c>
      <c r="N731">
        <v>1.1404000000000001</v>
      </c>
      <c r="O731">
        <v>1.3160992498557416</v>
      </c>
      <c r="P731">
        <v>6.6453003904201387E-3</v>
      </c>
      <c r="Q731">
        <v>6.6453003904201387E-3</v>
      </c>
      <c r="R731">
        <v>23735.437128046149</v>
      </c>
      <c r="S731" t="s">
        <v>13</v>
      </c>
      <c r="T731">
        <v>6.8399999999999997E-3</v>
      </c>
      <c r="U731">
        <v>24430.857962399998</v>
      </c>
      <c r="V731">
        <v>-695.42083435384848</v>
      </c>
      <c r="W731">
        <v>-2.8464855201734099E-2</v>
      </c>
    </row>
    <row r="732" spans="1:23" x14ac:dyDescent="0.25">
      <c r="A732" t="s">
        <v>1554</v>
      </c>
      <c r="B732" t="s">
        <v>30</v>
      </c>
      <c r="C732" t="s">
        <v>103</v>
      </c>
      <c r="D732" t="s">
        <v>31</v>
      </c>
      <c r="E732" t="s">
        <v>74</v>
      </c>
      <c r="F732" s="1">
        <v>46303</v>
      </c>
      <c r="G732">
        <v>46333</v>
      </c>
      <c r="H732" t="s">
        <v>9</v>
      </c>
      <c r="I732">
        <v>2027961.78</v>
      </c>
      <c r="J732" t="s">
        <v>84</v>
      </c>
      <c r="K732" t="s">
        <v>1555</v>
      </c>
      <c r="L732">
        <v>30</v>
      </c>
      <c r="M732" t="s">
        <v>30</v>
      </c>
      <c r="N732">
        <v>1.1176999999999999</v>
      </c>
      <c r="O732">
        <v>1.320456022210408</v>
      </c>
      <c r="P732">
        <v>6.3200452360757699E-3</v>
      </c>
      <c r="Q732">
        <v>6.3200452360757699E-3</v>
      </c>
      <c r="R732">
        <v>12816.810186632738</v>
      </c>
      <c r="S732" t="s">
        <v>23</v>
      </c>
      <c r="T732">
        <v>6.8799999999999998E-3</v>
      </c>
      <c r="U732">
        <v>13952.377046399999</v>
      </c>
      <c r="V732">
        <v>-1135.5668597672611</v>
      </c>
      <c r="W732">
        <v>-8.138877382619622E-2</v>
      </c>
    </row>
    <row r="733" spans="1:23" x14ac:dyDescent="0.25">
      <c r="A733" t="s">
        <v>1556</v>
      </c>
      <c r="B733" t="s">
        <v>38</v>
      </c>
      <c r="C733" t="s">
        <v>87</v>
      </c>
      <c r="D733" t="s">
        <v>33</v>
      </c>
      <c r="E733" t="s">
        <v>88</v>
      </c>
      <c r="F733" s="1">
        <v>46032</v>
      </c>
      <c r="G733">
        <v>46062</v>
      </c>
      <c r="H733" t="s">
        <v>6</v>
      </c>
      <c r="I733">
        <v>5797.25</v>
      </c>
      <c r="J733" t="s">
        <v>75</v>
      </c>
      <c r="K733" t="s">
        <v>1557</v>
      </c>
      <c r="L733">
        <v>30</v>
      </c>
      <c r="M733" t="s">
        <v>38</v>
      </c>
      <c r="N733">
        <v>1.1555</v>
      </c>
      <c r="O733">
        <v>1.3367963164349013</v>
      </c>
      <c r="P733">
        <v>6.2983756677204832E-3</v>
      </c>
      <c r="Q733">
        <v>1.1555</v>
      </c>
      <c r="R733">
        <v>6698.7223750000003</v>
      </c>
      <c r="S733" t="s">
        <v>16</v>
      </c>
      <c r="T733">
        <v>1.0649999999999999</v>
      </c>
      <c r="U733">
        <v>6174.07125</v>
      </c>
      <c r="V733">
        <v>524.65112500000032</v>
      </c>
      <c r="W733">
        <v>8.4976525821596302E-2</v>
      </c>
    </row>
    <row r="734" spans="1:23" x14ac:dyDescent="0.25">
      <c r="A734" t="s">
        <v>1558</v>
      </c>
      <c r="B734" t="s">
        <v>30</v>
      </c>
      <c r="C734" t="s">
        <v>103</v>
      </c>
      <c r="D734" t="s">
        <v>31</v>
      </c>
      <c r="E734" t="s">
        <v>74</v>
      </c>
      <c r="F734" s="1">
        <v>45706</v>
      </c>
      <c r="G734">
        <v>45736</v>
      </c>
      <c r="H734" t="s">
        <v>9</v>
      </c>
      <c r="I734">
        <v>4849643.96</v>
      </c>
      <c r="J734" t="s">
        <v>75</v>
      </c>
      <c r="K734" t="s">
        <v>1559</v>
      </c>
      <c r="L734">
        <v>30</v>
      </c>
      <c r="M734" t="s">
        <v>30</v>
      </c>
      <c r="N734">
        <v>1.0447</v>
      </c>
      <c r="O734">
        <v>1.2582956940680516</v>
      </c>
      <c r="P734">
        <v>6.5890886155786808E-3</v>
      </c>
      <c r="Q734">
        <v>6.5890886155786808E-3</v>
      </c>
      <c r="R734">
        <v>31954.733806445911</v>
      </c>
      <c r="S734" t="s">
        <v>11</v>
      </c>
      <c r="T734">
        <v>6.5599999999999999E-3</v>
      </c>
      <c r="U734">
        <v>31813.664377599998</v>
      </c>
      <c r="V734">
        <v>141.06942884591263</v>
      </c>
      <c r="W734">
        <v>4.4342401796769945E-3</v>
      </c>
    </row>
    <row r="735" spans="1:23" x14ac:dyDescent="0.25">
      <c r="A735" t="s">
        <v>1560</v>
      </c>
      <c r="B735" t="s">
        <v>32</v>
      </c>
      <c r="C735" t="s">
        <v>106</v>
      </c>
      <c r="D735" t="s">
        <v>31</v>
      </c>
      <c r="E735" t="s">
        <v>74</v>
      </c>
      <c r="F735" s="1">
        <v>46015</v>
      </c>
      <c r="G735">
        <v>46045</v>
      </c>
      <c r="H735" t="s">
        <v>6</v>
      </c>
      <c r="I735">
        <v>14822.4</v>
      </c>
      <c r="J735" t="s">
        <v>75</v>
      </c>
      <c r="K735" t="s">
        <v>1561</v>
      </c>
      <c r="L735">
        <v>30</v>
      </c>
      <c r="M735" t="s">
        <v>32</v>
      </c>
      <c r="N735">
        <v>1.1787000000000001</v>
      </c>
      <c r="O735">
        <v>1.350326497880628</v>
      </c>
      <c r="P735">
        <v>6.4119023010390033E-3</v>
      </c>
      <c r="Q735">
        <v>1.1787000000000001</v>
      </c>
      <c r="R735">
        <v>17471.16288</v>
      </c>
      <c r="S735" t="s">
        <v>14</v>
      </c>
      <c r="T735">
        <v>1.1060000000000001</v>
      </c>
      <c r="U735">
        <v>16393.574400000001</v>
      </c>
      <c r="V735">
        <v>1077.5884799999985</v>
      </c>
      <c r="W735">
        <v>6.5732368896925769E-2</v>
      </c>
    </row>
    <row r="736" spans="1:23" x14ac:dyDescent="0.25">
      <c r="A736" t="s">
        <v>1562</v>
      </c>
      <c r="B736" t="s">
        <v>26</v>
      </c>
      <c r="C736" t="s">
        <v>94</v>
      </c>
      <c r="D736" t="s">
        <v>31</v>
      </c>
      <c r="E736" t="s">
        <v>74</v>
      </c>
      <c r="F736" s="1">
        <v>46094</v>
      </c>
      <c r="G736">
        <v>46124</v>
      </c>
      <c r="H736" t="s">
        <v>8</v>
      </c>
      <c r="I736">
        <v>29501.97</v>
      </c>
      <c r="J736" t="s">
        <v>75</v>
      </c>
      <c r="K736" t="s">
        <v>1563</v>
      </c>
      <c r="L736">
        <v>30</v>
      </c>
      <c r="M736" t="s">
        <v>26</v>
      </c>
      <c r="N736">
        <v>1.1476</v>
      </c>
      <c r="O736">
        <v>1.3266591910107164</v>
      </c>
      <c r="P736">
        <v>6.2761826633852885E-3</v>
      </c>
      <c r="Q736">
        <v>1.3266591910107164</v>
      </c>
      <c r="R736">
        <v>39139.059653422424</v>
      </c>
      <c r="S736" t="s">
        <v>16</v>
      </c>
      <c r="T736">
        <v>1.2490000000000001</v>
      </c>
      <c r="U736">
        <v>36847.960530000004</v>
      </c>
      <c r="V736">
        <v>2291.0991234224202</v>
      </c>
      <c r="W736">
        <v>6.2177094484160318E-2</v>
      </c>
    </row>
    <row r="737" spans="1:23" x14ac:dyDescent="0.25">
      <c r="A737" t="s">
        <v>1564</v>
      </c>
      <c r="B737" t="s">
        <v>26</v>
      </c>
      <c r="C737" t="s">
        <v>94</v>
      </c>
      <c r="D737" t="s">
        <v>31</v>
      </c>
      <c r="E737" t="s">
        <v>74</v>
      </c>
      <c r="F737" s="1">
        <v>46288</v>
      </c>
      <c r="G737">
        <v>46318</v>
      </c>
      <c r="H737" t="s">
        <v>8</v>
      </c>
      <c r="I737">
        <v>14290.98</v>
      </c>
      <c r="J737" t="s">
        <v>75</v>
      </c>
      <c r="K737" t="s">
        <v>1565</v>
      </c>
      <c r="L737">
        <v>30</v>
      </c>
      <c r="M737" t="s">
        <v>26</v>
      </c>
      <c r="N737">
        <v>1.1411</v>
      </c>
      <c r="O737">
        <v>1.327632344386271</v>
      </c>
      <c r="P737">
        <v>6.3324084350721427E-3</v>
      </c>
      <c r="Q737">
        <v>1.327632344386271</v>
      </c>
      <c r="R737">
        <v>18973.167280977312</v>
      </c>
      <c r="S737" t="s">
        <v>21</v>
      </c>
      <c r="T737">
        <v>1.2929999999999999</v>
      </c>
      <c r="U737">
        <v>18478.237139999997</v>
      </c>
      <c r="V737">
        <v>494.9301409773143</v>
      </c>
      <c r="W737">
        <v>2.6784489084509842E-2</v>
      </c>
    </row>
    <row r="738" spans="1:23" x14ac:dyDescent="0.25">
      <c r="A738" t="s">
        <v>1566</v>
      </c>
      <c r="B738" t="s">
        <v>38</v>
      </c>
      <c r="C738" t="s">
        <v>87</v>
      </c>
      <c r="D738" t="s">
        <v>33</v>
      </c>
      <c r="E738" t="s">
        <v>88</v>
      </c>
      <c r="F738" s="1">
        <v>46200</v>
      </c>
      <c r="G738">
        <v>46230</v>
      </c>
      <c r="H738" t="s">
        <v>6</v>
      </c>
      <c r="I738">
        <v>2976.85</v>
      </c>
      <c r="J738" t="s">
        <v>75</v>
      </c>
      <c r="K738" t="s">
        <v>1567</v>
      </c>
      <c r="L738">
        <v>30</v>
      </c>
      <c r="M738" t="s">
        <v>38</v>
      </c>
      <c r="N738">
        <v>1.1400999999999999</v>
      </c>
      <c r="O738">
        <v>1.3218090964951943</v>
      </c>
      <c r="P738">
        <v>6.1861096039066733E-3</v>
      </c>
      <c r="Q738">
        <v>1.1400999999999999</v>
      </c>
      <c r="R738">
        <v>3393.9066849999995</v>
      </c>
      <c r="S738" t="s">
        <v>19</v>
      </c>
      <c r="T738">
        <v>1.083</v>
      </c>
      <c r="U738">
        <v>3223.9285499999996</v>
      </c>
      <c r="V738">
        <v>169.97813499999984</v>
      </c>
      <c r="W738">
        <v>5.272391505078481E-2</v>
      </c>
    </row>
    <row r="739" spans="1:23" x14ac:dyDescent="0.25">
      <c r="A739" t="s">
        <v>1568</v>
      </c>
      <c r="B739" t="s">
        <v>26</v>
      </c>
      <c r="C739" t="s">
        <v>94</v>
      </c>
      <c r="D739" t="s">
        <v>31</v>
      </c>
      <c r="E739" t="s">
        <v>74</v>
      </c>
      <c r="F739" s="1">
        <v>45932</v>
      </c>
      <c r="G739">
        <v>45962</v>
      </c>
      <c r="H739" t="s">
        <v>8</v>
      </c>
      <c r="I739">
        <v>14466.94</v>
      </c>
      <c r="J739" t="s">
        <v>75</v>
      </c>
      <c r="K739" t="s">
        <v>1569</v>
      </c>
      <c r="L739">
        <v>30</v>
      </c>
      <c r="M739" t="s">
        <v>26</v>
      </c>
      <c r="N739">
        <v>1.1754</v>
      </c>
      <c r="O739">
        <v>1.3477812177502579</v>
      </c>
      <c r="P739">
        <v>6.8127282211789255E-3</v>
      </c>
      <c r="Q739">
        <v>1.3477812177502579</v>
      </c>
      <c r="R739">
        <v>19498.270010319917</v>
      </c>
      <c r="S739" t="s">
        <v>14</v>
      </c>
      <c r="T739">
        <v>1.304</v>
      </c>
      <c r="U739">
        <v>18864.889760000002</v>
      </c>
      <c r="V739">
        <v>633.38025031991492</v>
      </c>
      <c r="W739">
        <v>3.357455348946152E-2</v>
      </c>
    </row>
    <row r="740" spans="1:23" x14ac:dyDescent="0.25">
      <c r="A740" t="s">
        <v>1570</v>
      </c>
      <c r="B740" t="s">
        <v>22</v>
      </c>
      <c r="C740" t="s">
        <v>127</v>
      </c>
      <c r="D740" t="s">
        <v>31</v>
      </c>
      <c r="E740" t="s">
        <v>124</v>
      </c>
      <c r="F740" s="1">
        <v>45688</v>
      </c>
      <c r="G740">
        <v>45748</v>
      </c>
      <c r="H740" t="s">
        <v>9</v>
      </c>
      <c r="I740">
        <v>4693929.29</v>
      </c>
      <c r="J740" t="s">
        <v>75</v>
      </c>
      <c r="K740" t="s">
        <v>1571</v>
      </c>
      <c r="L740">
        <v>60</v>
      </c>
      <c r="M740" t="s">
        <v>22</v>
      </c>
      <c r="N740">
        <v>1.0392999999999999</v>
      </c>
      <c r="O740">
        <v>1.2430628647976267</v>
      </c>
      <c r="P740">
        <v>6.455680477048263E-3</v>
      </c>
      <c r="Q740">
        <v>6.455680477048263E-3</v>
      </c>
      <c r="R740">
        <v>30302.507678098016</v>
      </c>
      <c r="S740" t="s">
        <v>11</v>
      </c>
      <c r="T740">
        <v>6.5599999999999999E-3</v>
      </c>
      <c r="U740">
        <v>30792.1761424</v>
      </c>
      <c r="V740">
        <v>-489.66846430198348</v>
      </c>
      <c r="W740">
        <v>-1.5902366303618378E-2</v>
      </c>
    </row>
    <row r="741" spans="1:23" x14ac:dyDescent="0.25">
      <c r="A741" t="s">
        <v>1572</v>
      </c>
      <c r="B741" t="s">
        <v>38</v>
      </c>
      <c r="C741" t="s">
        <v>87</v>
      </c>
      <c r="D741" t="s">
        <v>33</v>
      </c>
      <c r="E741" t="s">
        <v>88</v>
      </c>
      <c r="F741" s="1">
        <v>45700</v>
      </c>
      <c r="G741">
        <v>45730</v>
      </c>
      <c r="H741" t="s">
        <v>6</v>
      </c>
      <c r="I741">
        <v>5282.64</v>
      </c>
      <c r="J741" t="s">
        <v>75</v>
      </c>
      <c r="K741" t="s">
        <v>1573</v>
      </c>
      <c r="L741">
        <v>30</v>
      </c>
      <c r="M741" t="s">
        <v>38</v>
      </c>
      <c r="N741">
        <v>1.0369999999999999</v>
      </c>
      <c r="O741">
        <v>1.2443303175022198</v>
      </c>
      <c r="P741">
        <v>6.5130008792865218E-3</v>
      </c>
      <c r="Q741">
        <v>1.0369999999999999</v>
      </c>
      <c r="R741">
        <v>5478.0976799999999</v>
      </c>
      <c r="S741" t="s">
        <v>11</v>
      </c>
      <c r="T741">
        <v>1.052</v>
      </c>
      <c r="U741">
        <v>5557.3372800000006</v>
      </c>
      <c r="V741">
        <v>-79.239600000000792</v>
      </c>
      <c r="W741">
        <v>-1.4258555133079989E-2</v>
      </c>
    </row>
    <row r="742" spans="1:23" x14ac:dyDescent="0.25">
      <c r="A742" t="s">
        <v>1574</v>
      </c>
      <c r="B742" t="s">
        <v>43</v>
      </c>
      <c r="C742" t="s">
        <v>215</v>
      </c>
      <c r="D742" t="s">
        <v>35</v>
      </c>
      <c r="E742" t="s">
        <v>152</v>
      </c>
      <c r="F742" s="1">
        <v>45712</v>
      </c>
      <c r="G742">
        <v>45742</v>
      </c>
      <c r="H742" t="s">
        <v>6</v>
      </c>
      <c r="I742">
        <v>2498.3000000000002</v>
      </c>
      <c r="J742" t="s">
        <v>75</v>
      </c>
      <c r="K742" t="s">
        <v>1575</v>
      </c>
      <c r="L742">
        <v>30</v>
      </c>
      <c r="M742" t="s">
        <v>43</v>
      </c>
      <c r="N742">
        <v>1.0466</v>
      </c>
      <c r="O742">
        <v>1.2635518531932874</v>
      </c>
      <c r="P742">
        <v>6.6743192398443976E-3</v>
      </c>
      <c r="Q742">
        <v>1.0466</v>
      </c>
      <c r="R742">
        <v>2614.7207800000001</v>
      </c>
      <c r="S742" t="s">
        <v>11</v>
      </c>
      <c r="T742">
        <v>1.052</v>
      </c>
      <c r="U742">
        <v>2628.2116000000001</v>
      </c>
      <c r="V742">
        <v>-13.490819999999985</v>
      </c>
      <c r="W742">
        <v>-5.1330798479087393E-3</v>
      </c>
    </row>
    <row r="743" spans="1:23" x14ac:dyDescent="0.25">
      <c r="A743" t="s">
        <v>1576</v>
      </c>
      <c r="B743" t="s">
        <v>38</v>
      </c>
      <c r="C743" t="s">
        <v>87</v>
      </c>
      <c r="D743" t="s">
        <v>33</v>
      </c>
      <c r="E743" t="s">
        <v>88</v>
      </c>
      <c r="F743" s="1">
        <v>46008</v>
      </c>
      <c r="G743">
        <v>46038</v>
      </c>
      <c r="H743" t="s">
        <v>6</v>
      </c>
      <c r="I743">
        <v>5019.05</v>
      </c>
      <c r="J743" t="s">
        <v>75</v>
      </c>
      <c r="K743" t="s">
        <v>1577</v>
      </c>
      <c r="L743">
        <v>30</v>
      </c>
      <c r="M743" t="s">
        <v>38</v>
      </c>
      <c r="N743">
        <v>1.1721999999999999</v>
      </c>
      <c r="O743">
        <v>1.3343198634035287</v>
      </c>
      <c r="P743">
        <v>6.4272398289286102E-3</v>
      </c>
      <c r="Q743">
        <v>1.1721999999999999</v>
      </c>
      <c r="R743">
        <v>5883.3304099999996</v>
      </c>
      <c r="S743" t="s">
        <v>14</v>
      </c>
      <c r="T743">
        <v>1.1060000000000001</v>
      </c>
      <c r="U743">
        <v>5551.069300000001</v>
      </c>
      <c r="V743">
        <v>332.26110999999855</v>
      </c>
      <c r="W743">
        <v>5.985533453887857E-2</v>
      </c>
    </row>
    <row r="744" spans="1:23" x14ac:dyDescent="0.25">
      <c r="A744" t="s">
        <v>1578</v>
      </c>
      <c r="B744" t="s">
        <v>38</v>
      </c>
      <c r="C744" t="s">
        <v>87</v>
      </c>
      <c r="D744" t="s">
        <v>33</v>
      </c>
      <c r="E744" t="s">
        <v>88</v>
      </c>
      <c r="F744" s="1">
        <v>46159</v>
      </c>
      <c r="G744">
        <v>46189</v>
      </c>
      <c r="H744" t="s">
        <v>6</v>
      </c>
      <c r="I744">
        <v>1794.62</v>
      </c>
      <c r="J744" t="s">
        <v>75</v>
      </c>
      <c r="K744" t="s">
        <v>1579</v>
      </c>
      <c r="L744">
        <v>30</v>
      </c>
      <c r="M744" t="s">
        <v>38</v>
      </c>
      <c r="N744">
        <v>1.1628000000000001</v>
      </c>
      <c r="O744">
        <v>1.3357840321654222</v>
      </c>
      <c r="P744">
        <v>6.3072249945758298E-3</v>
      </c>
      <c r="Q744">
        <v>1.1628000000000001</v>
      </c>
      <c r="R744">
        <v>2086.7841359999998</v>
      </c>
      <c r="S744" t="s">
        <v>19</v>
      </c>
      <c r="T744">
        <v>1.083</v>
      </c>
      <c r="U744">
        <v>1943.5734599999998</v>
      </c>
      <c r="V744">
        <v>143.21067599999992</v>
      </c>
      <c r="W744">
        <v>7.3684210526315755E-2</v>
      </c>
    </row>
    <row r="745" spans="1:23" x14ac:dyDescent="0.25">
      <c r="A745" t="s">
        <v>1580</v>
      </c>
      <c r="B745" t="s">
        <v>22</v>
      </c>
      <c r="C745" t="s">
        <v>127</v>
      </c>
      <c r="D745" t="s">
        <v>31</v>
      </c>
      <c r="E745" t="s">
        <v>124</v>
      </c>
      <c r="F745" s="1">
        <v>46314</v>
      </c>
      <c r="G745">
        <v>46374</v>
      </c>
      <c r="H745" t="s">
        <v>9</v>
      </c>
      <c r="I745">
        <v>6574219.2300000004</v>
      </c>
      <c r="J745" t="s">
        <v>84</v>
      </c>
      <c r="K745" t="s">
        <v>1581</v>
      </c>
      <c r="L745">
        <v>60</v>
      </c>
      <c r="M745" t="s">
        <v>22</v>
      </c>
      <c r="N745">
        <v>1.1176999999999999</v>
      </c>
      <c r="O745">
        <v>1.320456022210408</v>
      </c>
      <c r="P745">
        <v>6.3200452360757699E-3</v>
      </c>
      <c r="Q745">
        <v>6.3200452360757699E-3</v>
      </c>
      <c r="R745">
        <v>41549.362925479218</v>
      </c>
      <c r="S745" t="s">
        <v>23</v>
      </c>
      <c r="T745">
        <v>6.8799999999999998E-3</v>
      </c>
      <c r="U745">
        <v>45230.6283024</v>
      </c>
      <c r="V745">
        <v>-3681.2653769207827</v>
      </c>
      <c r="W745">
        <v>-8.1388773826196206E-2</v>
      </c>
    </row>
    <row r="746" spans="1:23" x14ac:dyDescent="0.25">
      <c r="A746" t="s">
        <v>1582</v>
      </c>
      <c r="B746" t="s">
        <v>38</v>
      </c>
      <c r="C746" t="s">
        <v>87</v>
      </c>
      <c r="D746" t="s">
        <v>33</v>
      </c>
      <c r="E746" t="s">
        <v>88</v>
      </c>
      <c r="F746" s="1">
        <v>46320</v>
      </c>
      <c r="G746">
        <v>46350</v>
      </c>
      <c r="H746" t="s">
        <v>6</v>
      </c>
      <c r="I746">
        <v>6424.95</v>
      </c>
      <c r="J746" t="s">
        <v>84</v>
      </c>
      <c r="K746" t="s">
        <v>1583</v>
      </c>
      <c r="L746">
        <v>30</v>
      </c>
      <c r="M746" t="s">
        <v>38</v>
      </c>
      <c r="N746">
        <v>1.1176999999999999</v>
      </c>
      <c r="O746">
        <v>1.320456022210408</v>
      </c>
      <c r="P746">
        <v>6.3200452360757699E-3</v>
      </c>
      <c r="Q746">
        <v>1.1176999999999999</v>
      </c>
      <c r="R746">
        <v>7181.1666149999992</v>
      </c>
      <c r="S746" t="s">
        <v>23</v>
      </c>
      <c r="T746">
        <v>1.119</v>
      </c>
      <c r="U746">
        <v>7189.5190499999999</v>
      </c>
      <c r="V746">
        <v>-8.3524350000006962</v>
      </c>
      <c r="W746">
        <v>-1.1617515638964329E-3</v>
      </c>
    </row>
    <row r="747" spans="1:23" x14ac:dyDescent="0.25">
      <c r="A747" t="s">
        <v>1584</v>
      </c>
      <c r="B747" t="s">
        <v>20</v>
      </c>
      <c r="C747" t="s">
        <v>123</v>
      </c>
      <c r="D747" t="s">
        <v>31</v>
      </c>
      <c r="E747" t="s">
        <v>124</v>
      </c>
      <c r="F747" s="1">
        <v>45817</v>
      </c>
      <c r="G747">
        <v>45862</v>
      </c>
      <c r="H747" t="s">
        <v>6</v>
      </c>
      <c r="I747">
        <v>46385.51</v>
      </c>
      <c r="J747" t="s">
        <v>75</v>
      </c>
      <c r="K747" t="s">
        <v>1585</v>
      </c>
      <c r="L747">
        <v>45</v>
      </c>
      <c r="M747" t="s">
        <v>20</v>
      </c>
      <c r="N747">
        <v>1.141</v>
      </c>
      <c r="O747">
        <v>1.354463437796771</v>
      </c>
      <c r="P747">
        <v>6.9201843765162542E-3</v>
      </c>
      <c r="Q747">
        <v>1.141</v>
      </c>
      <c r="R747">
        <v>52925.866910000004</v>
      </c>
      <c r="S747" t="s">
        <v>12</v>
      </c>
      <c r="T747">
        <v>1.07</v>
      </c>
      <c r="U747">
        <v>49632.495700000007</v>
      </c>
      <c r="V747">
        <v>3293.3712099999975</v>
      </c>
      <c r="W747">
        <v>6.6355140186915823E-2</v>
      </c>
    </row>
    <row r="748" spans="1:23" x14ac:dyDescent="0.25">
      <c r="A748" t="s">
        <v>1586</v>
      </c>
      <c r="B748" t="s">
        <v>36</v>
      </c>
      <c r="C748" t="s">
        <v>116</v>
      </c>
      <c r="D748" t="s">
        <v>31</v>
      </c>
      <c r="E748" t="s">
        <v>74</v>
      </c>
      <c r="F748" s="1">
        <v>46048</v>
      </c>
      <c r="G748">
        <v>46093</v>
      </c>
      <c r="H748" t="s">
        <v>6</v>
      </c>
      <c r="I748">
        <v>10578.3</v>
      </c>
      <c r="J748" t="s">
        <v>75</v>
      </c>
      <c r="K748" t="s">
        <v>1587</v>
      </c>
      <c r="L748">
        <v>45</v>
      </c>
      <c r="M748" t="s">
        <v>36</v>
      </c>
      <c r="N748">
        <v>1.1836</v>
      </c>
      <c r="O748">
        <v>1.3643804034582132</v>
      </c>
      <c r="P748">
        <v>6.4847687924610995E-3</v>
      </c>
      <c r="Q748">
        <v>1.1836</v>
      </c>
      <c r="R748">
        <v>12520.475879999998</v>
      </c>
      <c r="S748" t="s">
        <v>16</v>
      </c>
      <c r="T748">
        <v>1.0649999999999999</v>
      </c>
      <c r="U748">
        <v>11265.889499999999</v>
      </c>
      <c r="V748">
        <v>1254.5863799999988</v>
      </c>
      <c r="W748">
        <v>0.11136150234741775</v>
      </c>
    </row>
    <row r="749" spans="1:23" x14ac:dyDescent="0.25">
      <c r="A749" t="s">
        <v>1588</v>
      </c>
      <c r="B749" t="s">
        <v>37</v>
      </c>
      <c r="C749" t="s">
        <v>91</v>
      </c>
      <c r="D749" t="s">
        <v>31</v>
      </c>
      <c r="E749" t="s">
        <v>74</v>
      </c>
      <c r="F749" s="1">
        <v>46368</v>
      </c>
      <c r="G749">
        <v>46398</v>
      </c>
      <c r="H749" t="s">
        <v>6</v>
      </c>
      <c r="I749">
        <v>18776.93</v>
      </c>
      <c r="J749" t="s">
        <v>84</v>
      </c>
      <c r="K749" t="s">
        <v>1589</v>
      </c>
      <c r="L749">
        <v>30</v>
      </c>
      <c r="M749" t="s">
        <v>37</v>
      </c>
      <c r="N749">
        <v>1.1176999999999999</v>
      </c>
      <c r="O749">
        <v>1.320456022210408</v>
      </c>
      <c r="P749">
        <v>6.3200452360757699E-3</v>
      </c>
      <c r="Q749">
        <v>1.1176999999999999</v>
      </c>
      <c r="R749">
        <v>20986.974661</v>
      </c>
      <c r="S749" t="s">
        <v>23</v>
      </c>
      <c r="T749">
        <v>1.119</v>
      </c>
      <c r="U749">
        <v>21011.384669999999</v>
      </c>
      <c r="V749">
        <v>-24.410008999999263</v>
      </c>
      <c r="W749">
        <v>-1.1617515638963009E-3</v>
      </c>
    </row>
    <row r="750" spans="1:23" x14ac:dyDescent="0.25">
      <c r="A750" t="s">
        <v>1590</v>
      </c>
      <c r="B750" t="s">
        <v>28</v>
      </c>
      <c r="C750" t="s">
        <v>111</v>
      </c>
      <c r="D750" t="s">
        <v>31</v>
      </c>
      <c r="E750" t="s">
        <v>74</v>
      </c>
      <c r="F750" s="1">
        <v>46345</v>
      </c>
      <c r="G750">
        <v>46390</v>
      </c>
      <c r="H750" t="s">
        <v>9</v>
      </c>
      <c r="I750">
        <v>776172.43</v>
      </c>
      <c r="J750" t="s">
        <v>84</v>
      </c>
      <c r="K750" t="s">
        <v>1591</v>
      </c>
      <c r="L750">
        <v>45</v>
      </c>
      <c r="M750" t="s">
        <v>28</v>
      </c>
      <c r="N750">
        <v>1.1176999999999999</v>
      </c>
      <c r="O750">
        <v>1.320456022210408</v>
      </c>
      <c r="P750">
        <v>6.3200452360757699E-3</v>
      </c>
      <c r="Q750">
        <v>6.3200452360757699E-3</v>
      </c>
      <c r="R750">
        <v>4905.4448685948546</v>
      </c>
      <c r="S750" t="s">
        <v>23</v>
      </c>
      <c r="T750">
        <v>6.8799999999999998E-3</v>
      </c>
      <c r="U750">
        <v>5340.0663184000005</v>
      </c>
      <c r="V750">
        <v>-434.62144980514586</v>
      </c>
      <c r="W750">
        <v>-8.1388773826196206E-2</v>
      </c>
    </row>
    <row r="751" spans="1:23" x14ac:dyDescent="0.25">
      <c r="A751" t="s">
        <v>1592</v>
      </c>
      <c r="B751" t="s">
        <v>30</v>
      </c>
      <c r="C751" t="s">
        <v>103</v>
      </c>
      <c r="D751" t="s">
        <v>31</v>
      </c>
      <c r="E751" t="s">
        <v>74</v>
      </c>
      <c r="F751" s="1">
        <v>45839</v>
      </c>
      <c r="G751">
        <v>45869</v>
      </c>
      <c r="H751" t="s">
        <v>9</v>
      </c>
      <c r="I751">
        <v>2099939.0499999998</v>
      </c>
      <c r="J751" t="s">
        <v>75</v>
      </c>
      <c r="K751" t="s">
        <v>1593</v>
      </c>
      <c r="L751">
        <v>30</v>
      </c>
      <c r="M751" t="s">
        <v>30</v>
      </c>
      <c r="N751">
        <v>1.181</v>
      </c>
      <c r="O751">
        <v>1.3751746623195156</v>
      </c>
      <c r="P751">
        <v>7.0005927682276238E-3</v>
      </c>
      <c r="Q751">
        <v>7.0005927682276238E-3</v>
      </c>
      <c r="R751">
        <v>14700.818127148785</v>
      </c>
      <c r="S751" t="s">
        <v>13</v>
      </c>
      <c r="T751">
        <v>6.8399999999999997E-3</v>
      </c>
      <c r="U751">
        <v>14363.583101999999</v>
      </c>
      <c r="V751">
        <v>337.23502514878601</v>
      </c>
      <c r="W751">
        <v>2.3478474887079472E-2</v>
      </c>
    </row>
    <row r="752" spans="1:23" x14ac:dyDescent="0.25">
      <c r="A752" t="s">
        <v>1594</v>
      </c>
      <c r="B752" t="s">
        <v>28</v>
      </c>
      <c r="C752" t="s">
        <v>111</v>
      </c>
      <c r="D752" t="s">
        <v>31</v>
      </c>
      <c r="E752" t="s">
        <v>74</v>
      </c>
      <c r="F752" s="1">
        <v>46249</v>
      </c>
      <c r="G752">
        <v>46294</v>
      </c>
      <c r="H752" t="s">
        <v>9</v>
      </c>
      <c r="I752">
        <v>2102025.02</v>
      </c>
      <c r="J752" t="s">
        <v>75</v>
      </c>
      <c r="K752" t="s">
        <v>1595</v>
      </c>
      <c r="L752">
        <v>45</v>
      </c>
      <c r="M752" t="s">
        <v>28</v>
      </c>
      <c r="N752">
        <v>1.1567000000000001</v>
      </c>
      <c r="O752">
        <v>1.3536571094207139</v>
      </c>
      <c r="P752">
        <v>6.2888055238405913E-3</v>
      </c>
      <c r="Q752">
        <v>6.2888055238405913E-3</v>
      </c>
      <c r="R752">
        <v>13219.22655702713</v>
      </c>
      <c r="S752" t="s">
        <v>21</v>
      </c>
      <c r="T752">
        <v>6.7400000000000003E-3</v>
      </c>
      <c r="U752">
        <v>14167.648634800002</v>
      </c>
      <c r="V752">
        <v>-948.42207777287149</v>
      </c>
      <c r="W752">
        <v>-6.6942800617123002E-2</v>
      </c>
    </row>
    <row r="753" spans="1:23" x14ac:dyDescent="0.25">
      <c r="A753" t="s">
        <v>1596</v>
      </c>
      <c r="B753" t="s">
        <v>24</v>
      </c>
      <c r="C753" t="s">
        <v>73</v>
      </c>
      <c r="D753" t="s">
        <v>31</v>
      </c>
      <c r="E753" t="s">
        <v>74</v>
      </c>
      <c r="F753" s="1">
        <v>46140</v>
      </c>
      <c r="G753">
        <v>46170</v>
      </c>
      <c r="H753" t="s">
        <v>6</v>
      </c>
      <c r="I753">
        <v>41823.93</v>
      </c>
      <c r="J753" t="s">
        <v>75</v>
      </c>
      <c r="K753" t="s">
        <v>1597</v>
      </c>
      <c r="L753">
        <v>30</v>
      </c>
      <c r="M753" t="s">
        <v>24</v>
      </c>
      <c r="N753">
        <v>1.1679999999999999</v>
      </c>
      <c r="O753">
        <v>1.3469411289857578</v>
      </c>
      <c r="P753">
        <v>6.2600493086075668E-3</v>
      </c>
      <c r="Q753">
        <v>1.1679999999999999</v>
      </c>
      <c r="R753">
        <v>48850.35024</v>
      </c>
      <c r="S753" t="s">
        <v>19</v>
      </c>
      <c r="T753">
        <v>1.083</v>
      </c>
      <c r="U753">
        <v>45295.316189999998</v>
      </c>
      <c r="V753">
        <v>3555.034050000002</v>
      </c>
      <c r="W753">
        <v>7.8485687903970508E-2</v>
      </c>
    </row>
    <row r="754" spans="1:23" x14ac:dyDescent="0.25">
      <c r="A754" t="s">
        <v>1598</v>
      </c>
      <c r="B754" t="s">
        <v>39</v>
      </c>
      <c r="C754" t="s">
        <v>82</v>
      </c>
      <c r="D754" t="s">
        <v>33</v>
      </c>
      <c r="E754" t="s">
        <v>83</v>
      </c>
      <c r="F754" s="1">
        <v>46152</v>
      </c>
      <c r="G754">
        <v>46197</v>
      </c>
      <c r="H754" t="s">
        <v>8</v>
      </c>
      <c r="I754">
        <v>6612.68</v>
      </c>
      <c r="J754" t="s">
        <v>75</v>
      </c>
      <c r="K754" t="s">
        <v>1599</v>
      </c>
      <c r="L754">
        <v>45</v>
      </c>
      <c r="M754" t="s">
        <v>39</v>
      </c>
      <c r="N754">
        <v>1.1760999999999999</v>
      </c>
      <c r="O754">
        <v>1.3610693206804767</v>
      </c>
      <c r="P754">
        <v>6.3790204480121491E-3</v>
      </c>
      <c r="Q754">
        <v>1.3610693206804767</v>
      </c>
      <c r="R754">
        <v>9000.3158754773758</v>
      </c>
      <c r="S754" t="s">
        <v>19</v>
      </c>
      <c r="T754">
        <v>1.2709999999999999</v>
      </c>
      <c r="U754">
        <v>8404.7162800000006</v>
      </c>
      <c r="V754">
        <v>595.59959547737526</v>
      </c>
      <c r="W754">
        <v>7.0864925791091091E-2</v>
      </c>
    </row>
    <row r="755" spans="1:23" x14ac:dyDescent="0.25">
      <c r="A755" t="s">
        <v>1600</v>
      </c>
      <c r="B755" t="s">
        <v>24</v>
      </c>
      <c r="C755" t="s">
        <v>73</v>
      </c>
      <c r="D755" t="s">
        <v>31</v>
      </c>
      <c r="E755" t="s">
        <v>74</v>
      </c>
      <c r="F755" s="1">
        <v>46374</v>
      </c>
      <c r="G755">
        <v>46404</v>
      </c>
      <c r="H755" t="s">
        <v>6</v>
      </c>
      <c r="I755">
        <v>26298.92</v>
      </c>
      <c r="J755" t="s">
        <v>84</v>
      </c>
      <c r="K755" t="s">
        <v>1601</v>
      </c>
      <c r="L755">
        <v>30</v>
      </c>
      <c r="M755" t="s">
        <v>24</v>
      </c>
      <c r="N755">
        <v>1.1176999999999999</v>
      </c>
      <c r="O755">
        <v>1.320456022210408</v>
      </c>
      <c r="P755">
        <v>6.3200452360757699E-3</v>
      </c>
      <c r="Q755">
        <v>1.1176999999999999</v>
      </c>
      <c r="R755">
        <v>29394.302883999997</v>
      </c>
      <c r="S755" t="s">
        <v>23</v>
      </c>
      <c r="T755">
        <v>1.119</v>
      </c>
      <c r="U755">
        <v>29428.491479999997</v>
      </c>
      <c r="V755">
        <v>-34.188595999999961</v>
      </c>
      <c r="W755">
        <v>-1.1617515638963347E-3</v>
      </c>
    </row>
    <row r="756" spans="1:23" x14ac:dyDescent="0.25">
      <c r="A756" t="s">
        <v>1602</v>
      </c>
      <c r="B756" t="s">
        <v>36</v>
      </c>
      <c r="C756" t="s">
        <v>116</v>
      </c>
      <c r="D756" t="s">
        <v>31</v>
      </c>
      <c r="E756" t="s">
        <v>74</v>
      </c>
      <c r="F756" s="1">
        <v>46338</v>
      </c>
      <c r="G756">
        <v>46383</v>
      </c>
      <c r="H756" t="s">
        <v>6</v>
      </c>
      <c r="I756">
        <v>11202.01</v>
      </c>
      <c r="J756" t="s">
        <v>84</v>
      </c>
      <c r="K756" t="s">
        <v>1603</v>
      </c>
      <c r="L756">
        <v>45</v>
      </c>
      <c r="M756" t="s">
        <v>36</v>
      </c>
      <c r="N756">
        <v>1.1176999999999999</v>
      </c>
      <c r="O756">
        <v>1.320456022210408</v>
      </c>
      <c r="P756">
        <v>6.3200452360757699E-3</v>
      </c>
      <c r="Q756">
        <v>1.1176999999999999</v>
      </c>
      <c r="R756">
        <v>12520.486577</v>
      </c>
      <c r="S756" t="s">
        <v>23</v>
      </c>
      <c r="T756">
        <v>1.119</v>
      </c>
      <c r="U756">
        <v>12535.04919</v>
      </c>
      <c r="V756">
        <v>-14.562613000000056</v>
      </c>
      <c r="W756">
        <v>-1.1617515638963406E-3</v>
      </c>
    </row>
    <row r="757" spans="1:23" x14ac:dyDescent="0.25">
      <c r="A757" t="s">
        <v>1604</v>
      </c>
      <c r="B757" t="s">
        <v>34</v>
      </c>
      <c r="C757" t="s">
        <v>177</v>
      </c>
      <c r="D757" t="s">
        <v>31</v>
      </c>
      <c r="E757" t="s">
        <v>74</v>
      </c>
      <c r="F757" s="1">
        <v>46159</v>
      </c>
      <c r="G757">
        <v>46219</v>
      </c>
      <c r="H757" t="s">
        <v>8</v>
      </c>
      <c r="I757">
        <v>29757.11</v>
      </c>
      <c r="J757" t="s">
        <v>75</v>
      </c>
      <c r="K757" t="s">
        <v>1605</v>
      </c>
      <c r="L757">
        <v>60</v>
      </c>
      <c r="M757" t="s">
        <v>34</v>
      </c>
      <c r="N757">
        <v>1.1628000000000001</v>
      </c>
      <c r="O757">
        <v>1.3357840321654222</v>
      </c>
      <c r="P757">
        <v>6.3072249945758298E-3</v>
      </c>
      <c r="Q757">
        <v>1.3357840321654222</v>
      </c>
      <c r="R757">
        <v>39749.072381390004</v>
      </c>
      <c r="S757" t="s">
        <v>19</v>
      </c>
      <c r="T757">
        <v>1.2709999999999999</v>
      </c>
      <c r="U757">
        <v>37821.286809999998</v>
      </c>
      <c r="V757">
        <v>1927.7855713900062</v>
      </c>
      <c r="W757">
        <v>5.097091437090652E-2</v>
      </c>
    </row>
    <row r="758" spans="1:23" x14ac:dyDescent="0.25">
      <c r="A758" t="s">
        <v>1604</v>
      </c>
      <c r="B758" t="s">
        <v>25</v>
      </c>
      <c r="C758" t="s">
        <v>169</v>
      </c>
      <c r="D758" t="s">
        <v>31</v>
      </c>
      <c r="E758" t="s">
        <v>124</v>
      </c>
      <c r="F758" s="1">
        <v>46183</v>
      </c>
      <c r="G758">
        <v>46243</v>
      </c>
      <c r="H758" t="s">
        <v>6</v>
      </c>
      <c r="I758">
        <v>76459.789999999994</v>
      </c>
      <c r="J758" t="s">
        <v>75</v>
      </c>
      <c r="K758" t="s">
        <v>1606</v>
      </c>
      <c r="L758">
        <v>60</v>
      </c>
      <c r="M758" t="s">
        <v>25</v>
      </c>
      <c r="N758">
        <v>1.1538999999999999</v>
      </c>
      <c r="O758">
        <v>1.3381964095189496</v>
      </c>
      <c r="P758">
        <v>6.2308979966520864E-3</v>
      </c>
      <c r="Q758">
        <v>1.1538999999999999</v>
      </c>
      <c r="R758">
        <v>88226.951680999991</v>
      </c>
      <c r="S758" t="s">
        <v>19</v>
      </c>
      <c r="T758">
        <v>1.083</v>
      </c>
      <c r="U758">
        <v>82805.952569999994</v>
      </c>
      <c r="V758">
        <v>5420.9991109999974</v>
      </c>
      <c r="W758">
        <v>6.5466297322252967E-2</v>
      </c>
    </row>
    <row r="759" spans="1:23" x14ac:dyDescent="0.25">
      <c r="A759" t="s">
        <v>1607</v>
      </c>
      <c r="B759" t="s">
        <v>26</v>
      </c>
      <c r="C759" t="s">
        <v>94</v>
      </c>
      <c r="D759" t="s">
        <v>31</v>
      </c>
      <c r="E759" t="s">
        <v>74</v>
      </c>
      <c r="F759" s="1">
        <v>45740</v>
      </c>
      <c r="G759">
        <v>45770</v>
      </c>
      <c r="H759" t="s">
        <v>8</v>
      </c>
      <c r="I759">
        <v>25053.13</v>
      </c>
      <c r="J759" t="s">
        <v>75</v>
      </c>
      <c r="K759" t="s">
        <v>1608</v>
      </c>
      <c r="L759">
        <v>30</v>
      </c>
      <c r="M759" t="s">
        <v>26</v>
      </c>
      <c r="N759">
        <v>1.0824</v>
      </c>
      <c r="O759">
        <v>1.2937618780105902</v>
      </c>
      <c r="P759">
        <v>6.6753006475485663E-3</v>
      </c>
      <c r="Q759">
        <v>1.2937618780105902</v>
      </c>
      <c r="R759">
        <v>32412.784518843458</v>
      </c>
      <c r="S759" t="s">
        <v>11</v>
      </c>
      <c r="T759">
        <v>1.238</v>
      </c>
      <c r="U759">
        <v>31015.774939999999</v>
      </c>
      <c r="V759">
        <v>1397.0095788434592</v>
      </c>
      <c r="W759">
        <v>4.5041904693530095E-2</v>
      </c>
    </row>
    <row r="760" spans="1:23" x14ac:dyDescent="0.25">
      <c r="A760" t="s">
        <v>1609</v>
      </c>
      <c r="B760" t="s">
        <v>44</v>
      </c>
      <c r="C760" t="s">
        <v>138</v>
      </c>
      <c r="D760" t="s">
        <v>33</v>
      </c>
      <c r="E760" t="s">
        <v>88</v>
      </c>
      <c r="F760" s="1">
        <v>45810</v>
      </c>
      <c r="G760">
        <v>45855</v>
      </c>
      <c r="H760" t="s">
        <v>9</v>
      </c>
      <c r="I760">
        <v>448046.8</v>
      </c>
      <c r="J760" t="s">
        <v>75</v>
      </c>
      <c r="K760" t="s">
        <v>1610</v>
      </c>
      <c r="L760">
        <v>45</v>
      </c>
      <c r="M760" t="s">
        <v>44</v>
      </c>
      <c r="N760">
        <v>1.1418999999999999</v>
      </c>
      <c r="O760">
        <v>1.3539245909414275</v>
      </c>
      <c r="P760">
        <v>7.0063811510614801E-3</v>
      </c>
      <c r="Q760">
        <v>7.0063811510614801E-3</v>
      </c>
      <c r="R760">
        <v>3139.1866543134129</v>
      </c>
      <c r="S760" t="s">
        <v>12</v>
      </c>
      <c r="T760">
        <v>6.7000000000000002E-3</v>
      </c>
      <c r="U760">
        <v>3001.91356</v>
      </c>
      <c r="V760">
        <v>137.27309431341291</v>
      </c>
      <c r="W760">
        <v>4.5728530009176184E-2</v>
      </c>
    </row>
    <row r="761" spans="1:23" x14ac:dyDescent="0.25">
      <c r="A761" t="s">
        <v>1611</v>
      </c>
      <c r="B761" t="s">
        <v>20</v>
      </c>
      <c r="C761" t="s">
        <v>123</v>
      </c>
      <c r="D761" t="s">
        <v>31</v>
      </c>
      <c r="E761" t="s">
        <v>124</v>
      </c>
      <c r="F761" s="1">
        <v>46189</v>
      </c>
      <c r="G761">
        <v>46234</v>
      </c>
      <c r="H761" t="s">
        <v>6</v>
      </c>
      <c r="I761">
        <v>46928.05</v>
      </c>
      <c r="J761" t="s">
        <v>75</v>
      </c>
      <c r="K761" t="s">
        <v>1612</v>
      </c>
      <c r="L761">
        <v>45</v>
      </c>
      <c r="M761" t="s">
        <v>20</v>
      </c>
      <c r="N761">
        <v>1.1594</v>
      </c>
      <c r="O761">
        <v>1.3407963363439765</v>
      </c>
      <c r="P761">
        <v>6.2353447348607082E-3</v>
      </c>
      <c r="Q761">
        <v>1.1594</v>
      </c>
      <c r="R761">
        <v>54408.381170000001</v>
      </c>
      <c r="S761" t="s">
        <v>19</v>
      </c>
      <c r="T761">
        <v>1.083</v>
      </c>
      <c r="U761">
        <v>50823.078150000001</v>
      </c>
      <c r="V761">
        <v>3585.3030199999994</v>
      </c>
      <c r="W761">
        <v>7.0544783010156958E-2</v>
      </c>
    </row>
    <row r="762" spans="1:23" x14ac:dyDescent="0.25">
      <c r="A762" t="s">
        <v>1613</v>
      </c>
      <c r="B762" t="s">
        <v>36</v>
      </c>
      <c r="C762" t="s">
        <v>116</v>
      </c>
      <c r="D762" t="s">
        <v>31</v>
      </c>
      <c r="E762" t="s">
        <v>74</v>
      </c>
      <c r="F762" s="1">
        <v>46274</v>
      </c>
      <c r="G762">
        <v>46319</v>
      </c>
      <c r="H762" t="s">
        <v>6</v>
      </c>
      <c r="I762">
        <v>4797.1400000000003</v>
      </c>
      <c r="J762" t="s">
        <v>75</v>
      </c>
      <c r="K762" t="s">
        <v>1614</v>
      </c>
      <c r="L762">
        <v>45</v>
      </c>
      <c r="M762" t="s">
        <v>36</v>
      </c>
      <c r="N762">
        <v>1.1652</v>
      </c>
      <c r="O762">
        <v>1.3564925842278051</v>
      </c>
      <c r="P762">
        <v>6.5244414580883587E-3</v>
      </c>
      <c r="Q762">
        <v>1.1652</v>
      </c>
      <c r="R762">
        <v>5589.6275280000009</v>
      </c>
      <c r="S762" t="s">
        <v>21</v>
      </c>
      <c r="T762">
        <v>1.101</v>
      </c>
      <c r="U762">
        <v>5281.6511399999999</v>
      </c>
      <c r="V762">
        <v>307.97638800000095</v>
      </c>
      <c r="W762">
        <v>5.8310626702997456E-2</v>
      </c>
    </row>
    <row r="763" spans="1:23" x14ac:dyDescent="0.25">
      <c r="A763" t="s">
        <v>1615</v>
      </c>
      <c r="B763" t="s">
        <v>20</v>
      </c>
      <c r="C763" t="s">
        <v>123</v>
      </c>
      <c r="D763" t="s">
        <v>31</v>
      </c>
      <c r="E763" t="s">
        <v>124</v>
      </c>
      <c r="F763" s="1">
        <v>46097</v>
      </c>
      <c r="G763">
        <v>46142</v>
      </c>
      <c r="H763" t="s">
        <v>6</v>
      </c>
      <c r="I763">
        <v>26318.06</v>
      </c>
      <c r="J763" t="s">
        <v>75</v>
      </c>
      <c r="K763" t="s">
        <v>1616</v>
      </c>
      <c r="L763">
        <v>45</v>
      </c>
      <c r="M763" t="s">
        <v>20</v>
      </c>
      <c r="N763">
        <v>1.1477999999999999</v>
      </c>
      <c r="O763">
        <v>1.3283492269234329</v>
      </c>
      <c r="P763">
        <v>6.283805978320376E-3</v>
      </c>
      <c r="Q763">
        <v>1.1477999999999999</v>
      </c>
      <c r="R763">
        <v>30207.869267999999</v>
      </c>
      <c r="S763" t="s">
        <v>16</v>
      </c>
      <c r="T763">
        <v>1.0649999999999999</v>
      </c>
      <c r="U763">
        <v>28028.733899999999</v>
      </c>
      <c r="V763">
        <v>2179.1353679999993</v>
      </c>
      <c r="W763">
        <v>7.7746478873239419E-2</v>
      </c>
    </row>
    <row r="764" spans="1:23" x14ac:dyDescent="0.25">
      <c r="A764" t="s">
        <v>1617</v>
      </c>
      <c r="B764" t="s">
        <v>24</v>
      </c>
      <c r="C764" t="s">
        <v>73</v>
      </c>
      <c r="D764" t="s">
        <v>31</v>
      </c>
      <c r="E764" t="s">
        <v>74</v>
      </c>
      <c r="F764" s="1">
        <v>46245</v>
      </c>
      <c r="G764">
        <v>46275</v>
      </c>
      <c r="H764" t="s">
        <v>6</v>
      </c>
      <c r="I764">
        <v>31680.99</v>
      </c>
      <c r="J764" t="s">
        <v>75</v>
      </c>
      <c r="K764" t="s">
        <v>1618</v>
      </c>
      <c r="L764">
        <v>30</v>
      </c>
      <c r="M764" t="s">
        <v>24</v>
      </c>
      <c r="N764">
        <v>1.1539999999999999</v>
      </c>
      <c r="O764">
        <v>1.3499760186235858</v>
      </c>
      <c r="P764">
        <v>6.2812976268234264E-3</v>
      </c>
      <c r="Q764">
        <v>1.1539999999999999</v>
      </c>
      <c r="R764">
        <v>36559.862459999997</v>
      </c>
      <c r="S764" t="s">
        <v>21</v>
      </c>
      <c r="T764">
        <v>1.101</v>
      </c>
      <c r="U764">
        <v>34880.769990000001</v>
      </c>
      <c r="V764">
        <v>1679.092469999996</v>
      </c>
      <c r="W764">
        <v>4.8138056312443119E-2</v>
      </c>
    </row>
    <row r="765" spans="1:23" x14ac:dyDescent="0.25">
      <c r="A765" t="s">
        <v>1619</v>
      </c>
      <c r="B765" t="s">
        <v>41</v>
      </c>
      <c r="C765" t="s">
        <v>172</v>
      </c>
      <c r="D765" t="s">
        <v>33</v>
      </c>
      <c r="E765" t="s">
        <v>83</v>
      </c>
      <c r="F765" s="1">
        <v>45958</v>
      </c>
      <c r="G765">
        <v>45988</v>
      </c>
      <c r="H765" t="s">
        <v>9</v>
      </c>
      <c r="I765">
        <v>1881756</v>
      </c>
      <c r="J765" t="s">
        <v>75</v>
      </c>
      <c r="K765" t="s">
        <v>1620</v>
      </c>
      <c r="L765">
        <v>30</v>
      </c>
      <c r="M765" t="s">
        <v>41</v>
      </c>
      <c r="N765">
        <v>1.163</v>
      </c>
      <c r="O765">
        <v>1.3276255707762556</v>
      </c>
      <c r="P765">
        <v>6.5665405680085821E-3</v>
      </c>
      <c r="Q765">
        <v>6.5665405680085821E-3</v>
      </c>
      <c r="R765">
        <v>12356.627113093557</v>
      </c>
      <c r="S765" t="s">
        <v>14</v>
      </c>
      <c r="T765">
        <v>6.9800000000000001E-3</v>
      </c>
      <c r="U765">
        <v>13134.65688</v>
      </c>
      <c r="V765">
        <v>-778.02976690644391</v>
      </c>
      <c r="W765">
        <v>-5.9234875643469714E-2</v>
      </c>
    </row>
    <row r="766" spans="1:23" x14ac:dyDescent="0.25">
      <c r="A766" t="s">
        <v>1621</v>
      </c>
      <c r="B766" t="s">
        <v>39</v>
      </c>
      <c r="C766" t="s">
        <v>82</v>
      </c>
      <c r="D766" t="s">
        <v>33</v>
      </c>
      <c r="E766" t="s">
        <v>83</v>
      </c>
      <c r="F766" s="1">
        <v>45790</v>
      </c>
      <c r="G766">
        <v>45835</v>
      </c>
      <c r="H766" t="s">
        <v>8</v>
      </c>
      <c r="I766">
        <v>14034.04</v>
      </c>
      <c r="J766" t="s">
        <v>75</v>
      </c>
      <c r="K766" t="s">
        <v>1622</v>
      </c>
      <c r="L766">
        <v>45</v>
      </c>
      <c r="M766" t="s">
        <v>39</v>
      </c>
      <c r="N766">
        <v>1.1112</v>
      </c>
      <c r="O766">
        <v>1.3219129193433261</v>
      </c>
      <c r="P766">
        <v>6.7505011846181878E-3</v>
      </c>
      <c r="Q766">
        <v>1.3219129193433261</v>
      </c>
      <c r="R766">
        <v>18551.778786581013</v>
      </c>
      <c r="S766" t="s">
        <v>12</v>
      </c>
      <c r="T766">
        <v>1.26</v>
      </c>
      <c r="U766">
        <v>17682.8904</v>
      </c>
      <c r="V766">
        <v>868.88838658101304</v>
      </c>
      <c r="W766">
        <v>4.9137237574068376E-2</v>
      </c>
    </row>
    <row r="767" spans="1:23" x14ac:dyDescent="0.25">
      <c r="A767" t="s">
        <v>1623</v>
      </c>
      <c r="B767" t="s">
        <v>28</v>
      </c>
      <c r="C767" t="s">
        <v>111</v>
      </c>
      <c r="D767" t="s">
        <v>31</v>
      </c>
      <c r="E767" t="s">
        <v>74</v>
      </c>
      <c r="F767" s="1">
        <v>46187</v>
      </c>
      <c r="G767">
        <v>46232</v>
      </c>
      <c r="H767" t="s">
        <v>9</v>
      </c>
      <c r="I767">
        <v>6764078.0800000001</v>
      </c>
      <c r="J767" t="s">
        <v>75</v>
      </c>
      <c r="K767" t="s">
        <v>1624</v>
      </c>
      <c r="L767">
        <v>45</v>
      </c>
      <c r="M767" t="s">
        <v>28</v>
      </c>
      <c r="N767">
        <v>1.1567000000000001</v>
      </c>
      <c r="O767">
        <v>1.3402467991425759</v>
      </c>
      <c r="P767">
        <v>6.2423097679438749E-3</v>
      </c>
      <c r="Q767">
        <v>6.2423097679438749E-3</v>
      </c>
      <c r="R767">
        <v>42223.47066991905</v>
      </c>
      <c r="S767" t="s">
        <v>19</v>
      </c>
      <c r="T767">
        <v>6.6E-3</v>
      </c>
      <c r="U767">
        <v>44642.915328000003</v>
      </c>
      <c r="V767">
        <v>-2419.4446580809526</v>
      </c>
      <c r="W767">
        <v>-5.4195489705473575E-2</v>
      </c>
    </row>
    <row r="768" spans="1:23" x14ac:dyDescent="0.25">
      <c r="A768" t="s">
        <v>1625</v>
      </c>
      <c r="B768" t="s">
        <v>42</v>
      </c>
      <c r="C768" t="s">
        <v>151</v>
      </c>
      <c r="D768" t="s">
        <v>35</v>
      </c>
      <c r="E768" t="s">
        <v>152</v>
      </c>
      <c r="F768" s="1">
        <v>46321</v>
      </c>
      <c r="G768">
        <v>46351</v>
      </c>
      <c r="H768" t="s">
        <v>8</v>
      </c>
      <c r="I768">
        <v>5042.67</v>
      </c>
      <c r="J768" t="s">
        <v>84</v>
      </c>
      <c r="K768" t="s">
        <v>1626</v>
      </c>
      <c r="L768">
        <v>30</v>
      </c>
      <c r="M768" t="s">
        <v>42</v>
      </c>
      <c r="N768">
        <v>1.1176999999999999</v>
      </c>
      <c r="O768">
        <v>1.320456022210408</v>
      </c>
      <c r="P768">
        <v>6.3200452360757699E-3</v>
      </c>
      <c r="Q768">
        <v>1.320456022210408</v>
      </c>
      <c r="R768">
        <v>6658.6239695197582</v>
      </c>
      <c r="S768" t="s">
        <v>23</v>
      </c>
      <c r="T768">
        <v>1.3149999999999999</v>
      </c>
      <c r="U768">
        <v>6631.1110499999995</v>
      </c>
      <c r="V768">
        <v>27.512919519758725</v>
      </c>
      <c r="W768">
        <v>4.1490663197019939E-3</v>
      </c>
    </row>
    <row r="769" spans="1:23" x14ac:dyDescent="0.25">
      <c r="A769" t="s">
        <v>1627</v>
      </c>
      <c r="B769" t="s">
        <v>36</v>
      </c>
      <c r="C769" t="s">
        <v>116</v>
      </c>
      <c r="D769" t="s">
        <v>31</v>
      </c>
      <c r="E769" t="s">
        <v>74</v>
      </c>
      <c r="F769" s="1">
        <v>45948</v>
      </c>
      <c r="G769">
        <v>45993</v>
      </c>
      <c r="H769" t="s">
        <v>6</v>
      </c>
      <c r="I769">
        <v>27911.11</v>
      </c>
      <c r="J769" t="s">
        <v>75</v>
      </c>
      <c r="K769" t="s">
        <v>1628</v>
      </c>
      <c r="L769">
        <v>45</v>
      </c>
      <c r="M769" t="s">
        <v>36</v>
      </c>
      <c r="N769">
        <v>1.1805000000000001</v>
      </c>
      <c r="O769">
        <v>1.347141389934954</v>
      </c>
      <c r="P769">
        <v>6.411231195351111E-3</v>
      </c>
      <c r="Q769">
        <v>1.1805000000000001</v>
      </c>
      <c r="R769">
        <v>32949.065355000006</v>
      </c>
      <c r="S769" t="s">
        <v>14</v>
      </c>
      <c r="T769">
        <v>1.1060000000000001</v>
      </c>
      <c r="U769">
        <v>30869.687660000003</v>
      </c>
      <c r="V769">
        <v>2079.3776950000029</v>
      </c>
      <c r="W769">
        <v>6.7359855334538962E-2</v>
      </c>
    </row>
    <row r="770" spans="1:23" x14ac:dyDescent="0.25">
      <c r="A770" t="s">
        <v>1629</v>
      </c>
      <c r="B770" t="s">
        <v>22</v>
      </c>
      <c r="C770" t="s">
        <v>127</v>
      </c>
      <c r="D770" t="s">
        <v>31</v>
      </c>
      <c r="E770" t="s">
        <v>124</v>
      </c>
      <c r="F770" s="1">
        <v>45921</v>
      </c>
      <c r="G770">
        <v>45981</v>
      </c>
      <c r="H770" t="s">
        <v>9</v>
      </c>
      <c r="I770">
        <v>8220534.7400000002</v>
      </c>
      <c r="J770" t="s">
        <v>75</v>
      </c>
      <c r="K770" t="s">
        <v>1630</v>
      </c>
      <c r="L770">
        <v>60</v>
      </c>
      <c r="M770" t="s">
        <v>22</v>
      </c>
      <c r="N770">
        <v>1.1738999999999999</v>
      </c>
      <c r="O770">
        <v>1.3425205855443734</v>
      </c>
      <c r="P770">
        <v>6.3375263186308912E-3</v>
      </c>
      <c r="Q770">
        <v>6.3375263186308912E-3</v>
      </c>
      <c r="R770">
        <v>52097.855267969549</v>
      </c>
      <c r="S770" t="s">
        <v>13</v>
      </c>
      <c r="T770">
        <v>6.8399999999999997E-3</v>
      </c>
      <c r="U770">
        <v>56228.457621599999</v>
      </c>
      <c r="V770">
        <v>-4130.6023536304492</v>
      </c>
      <c r="W770">
        <v>-7.3461064527647474E-2</v>
      </c>
    </row>
    <row r="771" spans="1:23" x14ac:dyDescent="0.25">
      <c r="A771" t="s">
        <v>1631</v>
      </c>
      <c r="B771" t="s">
        <v>37</v>
      </c>
      <c r="C771" t="s">
        <v>91</v>
      </c>
      <c r="D771" t="s">
        <v>31</v>
      </c>
      <c r="E771" t="s">
        <v>74</v>
      </c>
      <c r="F771" s="1">
        <v>46251</v>
      </c>
      <c r="G771">
        <v>46281</v>
      </c>
      <c r="H771" t="s">
        <v>6</v>
      </c>
      <c r="I771">
        <v>17922.72</v>
      </c>
      <c r="J771" t="s">
        <v>75</v>
      </c>
      <c r="K771" t="s">
        <v>1632</v>
      </c>
      <c r="L771">
        <v>30</v>
      </c>
      <c r="M771" t="s">
        <v>37</v>
      </c>
      <c r="N771">
        <v>1.1593</v>
      </c>
      <c r="O771">
        <v>1.3559064327485379</v>
      </c>
      <c r="P771">
        <v>6.2804052223847445E-3</v>
      </c>
      <c r="Q771">
        <v>1.1593</v>
      </c>
      <c r="R771">
        <v>20777.809296000003</v>
      </c>
      <c r="S771" t="s">
        <v>21</v>
      </c>
      <c r="T771">
        <v>1.101</v>
      </c>
      <c r="U771">
        <v>19732.914720000001</v>
      </c>
      <c r="V771">
        <v>1044.8945760000024</v>
      </c>
      <c r="W771">
        <v>5.2951861943687679E-2</v>
      </c>
    </row>
    <row r="772" spans="1:23" x14ac:dyDescent="0.25">
      <c r="A772" t="s">
        <v>1633</v>
      </c>
      <c r="B772" t="s">
        <v>22</v>
      </c>
      <c r="C772" t="s">
        <v>127</v>
      </c>
      <c r="D772" t="s">
        <v>31</v>
      </c>
      <c r="E772" t="s">
        <v>124</v>
      </c>
      <c r="F772" s="1">
        <v>46285</v>
      </c>
      <c r="G772">
        <v>46345</v>
      </c>
      <c r="H772" t="s">
        <v>9</v>
      </c>
      <c r="I772">
        <v>14275212.539999999</v>
      </c>
      <c r="J772" t="s">
        <v>75</v>
      </c>
      <c r="K772" t="s">
        <v>1634</v>
      </c>
      <c r="L772">
        <v>60</v>
      </c>
      <c r="M772" t="s">
        <v>22</v>
      </c>
      <c r="N772">
        <v>1.1459999999999999</v>
      </c>
      <c r="O772">
        <v>1.3344201210992082</v>
      </c>
      <c r="P772">
        <v>6.3335912457168119E-3</v>
      </c>
      <c r="Q772">
        <v>6.3335912457168119E-3</v>
      </c>
      <c r="R772">
        <v>90413.361174090853</v>
      </c>
      <c r="S772" t="s">
        <v>21</v>
      </c>
      <c r="T772">
        <v>6.7400000000000003E-3</v>
      </c>
      <c r="U772">
        <v>96214.932519599999</v>
      </c>
      <c r="V772">
        <v>-5801.5713455091463</v>
      </c>
      <c r="W772">
        <v>-6.0298034760116935E-2</v>
      </c>
    </row>
    <row r="773" spans="1:23" x14ac:dyDescent="0.25">
      <c r="A773" t="s">
        <v>1635</v>
      </c>
      <c r="B773" t="s">
        <v>38</v>
      </c>
      <c r="C773" t="s">
        <v>87</v>
      </c>
      <c r="D773" t="s">
        <v>33</v>
      </c>
      <c r="E773" t="s">
        <v>88</v>
      </c>
      <c r="F773" s="1">
        <v>46009</v>
      </c>
      <c r="G773">
        <v>46039</v>
      </c>
      <c r="H773" t="s">
        <v>6</v>
      </c>
      <c r="I773">
        <v>9192.86</v>
      </c>
      <c r="J773" t="s">
        <v>75</v>
      </c>
      <c r="K773" t="s">
        <v>1636</v>
      </c>
      <c r="L773">
        <v>30</v>
      </c>
      <c r="M773" t="s">
        <v>38</v>
      </c>
      <c r="N773">
        <v>1.1718999999999999</v>
      </c>
      <c r="O773">
        <v>1.3399268236908299</v>
      </c>
      <c r="P773">
        <v>6.4196110654615168E-3</v>
      </c>
      <c r="Q773">
        <v>1.1718999999999999</v>
      </c>
      <c r="R773">
        <v>10773.112634000001</v>
      </c>
      <c r="S773" t="s">
        <v>14</v>
      </c>
      <c r="T773">
        <v>1.1060000000000001</v>
      </c>
      <c r="U773">
        <v>10167.303160000001</v>
      </c>
      <c r="V773">
        <v>605.80947399999968</v>
      </c>
      <c r="W773">
        <v>5.9584086799276632E-2</v>
      </c>
    </row>
    <row r="774" spans="1:23" x14ac:dyDescent="0.25">
      <c r="A774" t="s">
        <v>1637</v>
      </c>
      <c r="B774" t="s">
        <v>26</v>
      </c>
      <c r="C774" t="s">
        <v>94</v>
      </c>
      <c r="D774" t="s">
        <v>31</v>
      </c>
      <c r="E774" t="s">
        <v>74</v>
      </c>
      <c r="F774" s="1">
        <v>45852</v>
      </c>
      <c r="G774">
        <v>45882</v>
      </c>
      <c r="H774" t="s">
        <v>8</v>
      </c>
      <c r="I774">
        <v>16494.97</v>
      </c>
      <c r="J774" t="s">
        <v>75</v>
      </c>
      <c r="K774" t="s">
        <v>1638</v>
      </c>
      <c r="L774">
        <v>30</v>
      </c>
      <c r="M774" t="s">
        <v>26</v>
      </c>
      <c r="N774">
        <v>1.169</v>
      </c>
      <c r="O774">
        <v>1.3487942771431869</v>
      </c>
      <c r="P774">
        <v>6.7858594067452252E-3</v>
      </c>
      <c r="Q774">
        <v>1.3487942771431869</v>
      </c>
      <c r="R774">
        <v>22248.321137648556</v>
      </c>
      <c r="S774" t="s">
        <v>13</v>
      </c>
      <c r="T774">
        <v>1.282</v>
      </c>
      <c r="U774">
        <v>21146.55154</v>
      </c>
      <c r="V774">
        <v>1101.7695976485556</v>
      </c>
      <c r="W774">
        <v>5.2101620236495338E-2</v>
      </c>
    </row>
    <row r="775" spans="1:23" x14ac:dyDescent="0.25">
      <c r="A775" t="s">
        <v>1639</v>
      </c>
      <c r="B775" t="s">
        <v>24</v>
      </c>
      <c r="C775" t="s">
        <v>73</v>
      </c>
      <c r="D775" t="s">
        <v>31</v>
      </c>
      <c r="E775" t="s">
        <v>74</v>
      </c>
      <c r="F775" s="1">
        <v>46228</v>
      </c>
      <c r="G775">
        <v>46258</v>
      </c>
      <c r="H775" t="s">
        <v>6</v>
      </c>
      <c r="I775">
        <v>9035.11</v>
      </c>
      <c r="J775" t="s">
        <v>75</v>
      </c>
      <c r="K775" t="s">
        <v>1640</v>
      </c>
      <c r="L775">
        <v>30</v>
      </c>
      <c r="M775" t="s">
        <v>24</v>
      </c>
      <c r="N775">
        <v>1.1376999999999999</v>
      </c>
      <c r="O775">
        <v>1.3323886260364455</v>
      </c>
      <c r="P775">
        <v>6.1041957291554884E-3</v>
      </c>
      <c r="Q775">
        <v>1.1376999999999999</v>
      </c>
      <c r="R775">
        <v>10279.244647</v>
      </c>
      <c r="S775" t="s">
        <v>21</v>
      </c>
      <c r="T775">
        <v>1.101</v>
      </c>
      <c r="U775">
        <v>9947.6561099999999</v>
      </c>
      <c r="V775">
        <v>331.58853699999963</v>
      </c>
      <c r="W775">
        <v>3.3333333333333298E-2</v>
      </c>
    </row>
    <row r="776" spans="1:23" x14ac:dyDescent="0.25">
      <c r="A776" t="s">
        <v>1641</v>
      </c>
      <c r="B776" t="s">
        <v>37</v>
      </c>
      <c r="C776" t="s">
        <v>91</v>
      </c>
      <c r="D776" t="s">
        <v>31</v>
      </c>
      <c r="E776" t="s">
        <v>74</v>
      </c>
      <c r="F776" s="1">
        <v>46294</v>
      </c>
      <c r="G776">
        <v>46324</v>
      </c>
      <c r="H776" t="s">
        <v>6</v>
      </c>
      <c r="I776">
        <v>19756.95</v>
      </c>
      <c r="J776" t="s">
        <v>75</v>
      </c>
      <c r="K776" t="s">
        <v>1642</v>
      </c>
      <c r="L776">
        <v>30</v>
      </c>
      <c r="M776" t="s">
        <v>37</v>
      </c>
      <c r="N776">
        <v>1.1355</v>
      </c>
      <c r="O776">
        <v>1.324692596654145</v>
      </c>
      <c r="P776">
        <v>6.3645535564149994E-3</v>
      </c>
      <c r="Q776">
        <v>1.1355</v>
      </c>
      <c r="R776">
        <v>22434.016725000001</v>
      </c>
      <c r="S776" t="s">
        <v>21</v>
      </c>
      <c r="T776">
        <v>1.101</v>
      </c>
      <c r="U776">
        <v>21752.401949999999</v>
      </c>
      <c r="V776">
        <v>681.61477500000183</v>
      </c>
      <c r="W776">
        <v>3.1335149863760306E-2</v>
      </c>
    </row>
    <row r="777" spans="1:23" x14ac:dyDescent="0.25">
      <c r="A777" t="s">
        <v>1643</v>
      </c>
      <c r="B777" t="s">
        <v>26</v>
      </c>
      <c r="C777" t="s">
        <v>94</v>
      </c>
      <c r="D777" t="s">
        <v>31</v>
      </c>
      <c r="E777" t="s">
        <v>74</v>
      </c>
      <c r="F777" s="1">
        <v>45725</v>
      </c>
      <c r="G777">
        <v>45755</v>
      </c>
      <c r="H777" t="s">
        <v>8</v>
      </c>
      <c r="I777">
        <v>4251.75</v>
      </c>
      <c r="J777" t="s">
        <v>75</v>
      </c>
      <c r="K777" t="s">
        <v>1644</v>
      </c>
      <c r="L777">
        <v>30</v>
      </c>
      <c r="M777" t="s">
        <v>26</v>
      </c>
      <c r="N777">
        <v>1.1376999999999999</v>
      </c>
      <c r="O777">
        <v>1.3170415475267123</v>
      </c>
      <c r="P777">
        <v>6.981039455114438E-3</v>
      </c>
      <c r="Q777">
        <v>1.3170415475267123</v>
      </c>
      <c r="R777">
        <v>5599.7313996966996</v>
      </c>
      <c r="S777" t="s">
        <v>11</v>
      </c>
      <c r="T777">
        <v>1.238</v>
      </c>
      <c r="U777">
        <v>5263.6665000000003</v>
      </c>
      <c r="V777">
        <v>336.06489969669929</v>
      </c>
      <c r="W777">
        <v>6.3846161168588336E-2</v>
      </c>
    </row>
    <row r="778" spans="1:23" x14ac:dyDescent="0.25">
      <c r="A778" t="s">
        <v>1645</v>
      </c>
      <c r="B778" t="s">
        <v>42</v>
      </c>
      <c r="C778" t="s">
        <v>151</v>
      </c>
      <c r="D778" t="s">
        <v>35</v>
      </c>
      <c r="E778" t="s">
        <v>152</v>
      </c>
      <c r="F778" s="1">
        <v>45765</v>
      </c>
      <c r="G778">
        <v>45795</v>
      </c>
      <c r="H778" t="s">
        <v>8</v>
      </c>
      <c r="I778">
        <v>8382.6200000000008</v>
      </c>
      <c r="J778" t="s">
        <v>75</v>
      </c>
      <c r="K778" t="s">
        <v>1646</v>
      </c>
      <c r="L778">
        <v>30</v>
      </c>
      <c r="M778" t="s">
        <v>42</v>
      </c>
      <c r="N778">
        <v>1.1594</v>
      </c>
      <c r="O778">
        <v>1.3579292574373389</v>
      </c>
      <c r="P778">
        <v>6.9575132021123384E-3</v>
      </c>
      <c r="Q778">
        <v>1.3579292574373389</v>
      </c>
      <c r="R778">
        <v>11383.004951979387</v>
      </c>
      <c r="S778" t="s">
        <v>12</v>
      </c>
      <c r="T778">
        <v>1.26</v>
      </c>
      <c r="U778">
        <v>10562.101200000001</v>
      </c>
      <c r="V778">
        <v>820.90375197938556</v>
      </c>
      <c r="W778">
        <v>7.7721632886776873E-2</v>
      </c>
    </row>
    <row r="779" spans="1:23" x14ac:dyDescent="0.25">
      <c r="A779" t="s">
        <v>1647</v>
      </c>
      <c r="B779" t="s">
        <v>25</v>
      </c>
      <c r="C779" t="s">
        <v>169</v>
      </c>
      <c r="D779" t="s">
        <v>31</v>
      </c>
      <c r="E779" t="s">
        <v>124</v>
      </c>
      <c r="F779" s="1">
        <v>45902</v>
      </c>
      <c r="G779">
        <v>45962</v>
      </c>
      <c r="H779" t="s">
        <v>6</v>
      </c>
      <c r="I779">
        <v>46310.85</v>
      </c>
      <c r="J779" t="s">
        <v>75</v>
      </c>
      <c r="K779" t="s">
        <v>1648</v>
      </c>
      <c r="L779">
        <v>60</v>
      </c>
      <c r="M779" t="s">
        <v>25</v>
      </c>
      <c r="N779">
        <v>1.1646000000000001</v>
      </c>
      <c r="O779">
        <v>1.3383130314870146</v>
      </c>
      <c r="P779">
        <v>6.727902946273831E-3</v>
      </c>
      <c r="Q779">
        <v>1.1646000000000001</v>
      </c>
      <c r="R779">
        <v>53933.61591</v>
      </c>
      <c r="S779" t="s">
        <v>13</v>
      </c>
      <c r="T779">
        <v>1.0880000000000001</v>
      </c>
      <c r="U779">
        <v>50386.2048</v>
      </c>
      <c r="V779">
        <v>3547.4111100000009</v>
      </c>
      <c r="W779">
        <v>7.0404411764705896E-2</v>
      </c>
    </row>
    <row r="780" spans="1:23" x14ac:dyDescent="0.25">
      <c r="A780" t="s">
        <v>1649</v>
      </c>
      <c r="B780" t="s">
        <v>30</v>
      </c>
      <c r="C780" t="s">
        <v>103</v>
      </c>
      <c r="D780" t="s">
        <v>31</v>
      </c>
      <c r="E780" t="s">
        <v>74</v>
      </c>
      <c r="F780" s="1">
        <v>45932</v>
      </c>
      <c r="G780">
        <v>45962</v>
      </c>
      <c r="H780" t="s">
        <v>9</v>
      </c>
      <c r="I780">
        <v>593123.69999999995</v>
      </c>
      <c r="J780" t="s">
        <v>75</v>
      </c>
      <c r="K780" t="s">
        <v>1650</v>
      </c>
      <c r="L780">
        <v>30</v>
      </c>
      <c r="M780" t="s">
        <v>30</v>
      </c>
      <c r="N780">
        <v>1.1754</v>
      </c>
      <c r="O780">
        <v>1.3477812177502579</v>
      </c>
      <c r="P780">
        <v>6.8127282211789255E-3</v>
      </c>
      <c r="Q780">
        <v>6.8127282211789255E-3</v>
      </c>
      <c r="R780">
        <v>4040.7905696400621</v>
      </c>
      <c r="S780" t="s">
        <v>14</v>
      </c>
      <c r="T780">
        <v>6.9800000000000001E-3</v>
      </c>
      <c r="U780">
        <v>4140.0034259999993</v>
      </c>
      <c r="V780">
        <v>-99.212856359937177</v>
      </c>
      <c r="W780">
        <v>-2.3964438226514936E-2</v>
      </c>
    </row>
    <row r="781" spans="1:23" x14ac:dyDescent="0.25">
      <c r="A781" t="s">
        <v>1651</v>
      </c>
      <c r="B781" t="s">
        <v>37</v>
      </c>
      <c r="C781" t="s">
        <v>91</v>
      </c>
      <c r="D781" t="s">
        <v>31</v>
      </c>
      <c r="E781" t="s">
        <v>74</v>
      </c>
      <c r="F781" s="1">
        <v>46088</v>
      </c>
      <c r="G781">
        <v>46118</v>
      </c>
      <c r="H781" t="s">
        <v>6</v>
      </c>
      <c r="I781">
        <v>19502.689999999999</v>
      </c>
      <c r="J781" t="s">
        <v>75</v>
      </c>
      <c r="K781" t="s">
        <v>1652</v>
      </c>
      <c r="L781">
        <v>30</v>
      </c>
      <c r="M781" t="s">
        <v>37</v>
      </c>
      <c r="N781">
        <v>1.1555</v>
      </c>
      <c r="O781">
        <v>1.3367963164349013</v>
      </c>
      <c r="P781">
        <v>6.2983756677204832E-3</v>
      </c>
      <c r="Q781">
        <v>1.1555</v>
      </c>
      <c r="R781">
        <v>22535.358294999998</v>
      </c>
      <c r="S781" t="s">
        <v>16</v>
      </c>
      <c r="T781">
        <v>1.0649999999999999</v>
      </c>
      <c r="U781">
        <v>20770.364849999998</v>
      </c>
      <c r="V781">
        <v>1764.9934450000001</v>
      </c>
      <c r="W781">
        <v>8.497652582159626E-2</v>
      </c>
    </row>
    <row r="782" spans="1:23" x14ac:dyDescent="0.25">
      <c r="A782" t="s">
        <v>1653</v>
      </c>
      <c r="B782" t="s">
        <v>38</v>
      </c>
      <c r="C782" t="s">
        <v>87</v>
      </c>
      <c r="D782" t="s">
        <v>33</v>
      </c>
      <c r="E782" t="s">
        <v>88</v>
      </c>
      <c r="F782" s="1">
        <v>45691</v>
      </c>
      <c r="G782">
        <v>45721</v>
      </c>
      <c r="H782" t="s">
        <v>6</v>
      </c>
      <c r="I782">
        <v>2521.27</v>
      </c>
      <c r="J782" t="s">
        <v>75</v>
      </c>
      <c r="K782" t="s">
        <v>1654</v>
      </c>
      <c r="L782">
        <v>30</v>
      </c>
      <c r="M782" t="s">
        <v>38</v>
      </c>
      <c r="N782">
        <v>1.0274000000000001</v>
      </c>
      <c r="O782">
        <v>1.2358063895304081</v>
      </c>
      <c r="P782">
        <v>6.4669226411531444E-3</v>
      </c>
      <c r="Q782">
        <v>1.0274000000000001</v>
      </c>
      <c r="R782">
        <v>2590.3527980000003</v>
      </c>
      <c r="S782" t="s">
        <v>11</v>
      </c>
      <c r="T782">
        <v>1.052</v>
      </c>
      <c r="U782">
        <v>2652.3760400000001</v>
      </c>
      <c r="V782">
        <v>-62.023241999999755</v>
      </c>
      <c r="W782">
        <v>-2.3384030418250858E-2</v>
      </c>
    </row>
    <row r="783" spans="1:23" x14ac:dyDescent="0.25">
      <c r="A783" t="s">
        <v>1655</v>
      </c>
      <c r="B783" t="s">
        <v>44</v>
      </c>
      <c r="C783" t="s">
        <v>138</v>
      </c>
      <c r="D783" t="s">
        <v>33</v>
      </c>
      <c r="E783" t="s">
        <v>88</v>
      </c>
      <c r="F783" s="1">
        <v>45678</v>
      </c>
      <c r="G783">
        <v>45723</v>
      </c>
      <c r="H783" t="s">
        <v>9</v>
      </c>
      <c r="I783">
        <v>1301448.3899999999</v>
      </c>
      <c r="J783" t="s">
        <v>75</v>
      </c>
      <c r="K783" t="s">
        <v>1656</v>
      </c>
      <c r="L783">
        <v>45</v>
      </c>
      <c r="M783" t="s">
        <v>44</v>
      </c>
      <c r="N783">
        <v>1.0357000000000001</v>
      </c>
      <c r="O783">
        <v>1.2249121852565847</v>
      </c>
      <c r="P783">
        <v>6.4225474389185177E-3</v>
      </c>
      <c r="Q783">
        <v>6.4225474389185177E-3</v>
      </c>
      <c r="R783">
        <v>8358.6140240791283</v>
      </c>
      <c r="S783" t="s">
        <v>11</v>
      </c>
      <c r="T783">
        <v>6.5599999999999999E-3</v>
      </c>
      <c r="U783">
        <v>8537.5014383999987</v>
      </c>
      <c r="V783">
        <v>-178.88741432087045</v>
      </c>
      <c r="W783">
        <v>-2.0953134311201414E-2</v>
      </c>
    </row>
    <row r="784" spans="1:23" x14ac:dyDescent="0.25">
      <c r="A784" t="s">
        <v>1657</v>
      </c>
      <c r="B784" t="s">
        <v>30</v>
      </c>
      <c r="C784" t="s">
        <v>103</v>
      </c>
      <c r="D784" t="s">
        <v>31</v>
      </c>
      <c r="E784" t="s">
        <v>74</v>
      </c>
      <c r="F784" s="1">
        <v>46165</v>
      </c>
      <c r="G784">
        <v>46195</v>
      </c>
      <c r="H784" t="s">
        <v>9</v>
      </c>
      <c r="I784">
        <v>1280473.04</v>
      </c>
      <c r="J784" t="s">
        <v>75</v>
      </c>
      <c r="K784" t="s">
        <v>1658</v>
      </c>
      <c r="L784">
        <v>30</v>
      </c>
      <c r="M784" t="s">
        <v>30</v>
      </c>
      <c r="N784">
        <v>1.1595</v>
      </c>
      <c r="O784">
        <v>1.3417343608970353</v>
      </c>
      <c r="P784">
        <v>6.2835311331490814E-3</v>
      </c>
      <c r="Q784">
        <v>6.2835311331490814E-3</v>
      </c>
      <c r="R784">
        <v>8045.8922119980489</v>
      </c>
      <c r="S784" t="s">
        <v>19</v>
      </c>
      <c r="T784">
        <v>6.6E-3</v>
      </c>
      <c r="U784">
        <v>8451.122064000001</v>
      </c>
      <c r="V784">
        <v>-405.22985200195217</v>
      </c>
      <c r="W784">
        <v>-4.7949828310745381E-2</v>
      </c>
    </row>
    <row r="785" spans="1:23" x14ac:dyDescent="0.25">
      <c r="A785" t="s">
        <v>1659</v>
      </c>
      <c r="B785" t="s">
        <v>26</v>
      </c>
      <c r="C785" t="s">
        <v>94</v>
      </c>
      <c r="D785" t="s">
        <v>31</v>
      </c>
      <c r="E785" t="s">
        <v>74</v>
      </c>
      <c r="F785" s="1">
        <v>46295</v>
      </c>
      <c r="G785">
        <v>46325</v>
      </c>
      <c r="H785" t="s">
        <v>8</v>
      </c>
      <c r="I785">
        <v>31218.26</v>
      </c>
      <c r="J785" t="s">
        <v>75</v>
      </c>
      <c r="K785" t="s">
        <v>1660</v>
      </c>
      <c r="L785">
        <v>30</v>
      </c>
      <c r="M785" t="s">
        <v>26</v>
      </c>
      <c r="N785">
        <v>1.1355</v>
      </c>
      <c r="O785">
        <v>1.3286451446824941</v>
      </c>
      <c r="P785">
        <v>6.3695518034442133E-3</v>
      </c>
      <c r="Q785">
        <v>1.3286451446824941</v>
      </c>
      <c r="R785">
        <v>41477.989574435713</v>
      </c>
      <c r="S785" t="s">
        <v>21</v>
      </c>
      <c r="T785">
        <v>1.2929999999999999</v>
      </c>
      <c r="U785">
        <v>40365.210179999995</v>
      </c>
      <c r="V785">
        <v>1112.7793944357181</v>
      </c>
      <c r="W785">
        <v>2.756778397718028E-2</v>
      </c>
    </row>
    <row r="786" spans="1:23" x14ac:dyDescent="0.25">
      <c r="A786" t="s">
        <v>1661</v>
      </c>
      <c r="B786" t="s">
        <v>34</v>
      </c>
      <c r="C786" t="s">
        <v>177</v>
      </c>
      <c r="D786" t="s">
        <v>31</v>
      </c>
      <c r="E786" t="s">
        <v>74</v>
      </c>
      <c r="F786" s="1">
        <v>46356</v>
      </c>
      <c r="G786">
        <v>46416</v>
      </c>
      <c r="H786" t="s">
        <v>8</v>
      </c>
      <c r="I786">
        <v>3981.24</v>
      </c>
      <c r="J786" t="s">
        <v>84</v>
      </c>
      <c r="K786" t="s">
        <v>1662</v>
      </c>
      <c r="L786">
        <v>60</v>
      </c>
      <c r="M786" t="s">
        <v>34</v>
      </c>
      <c r="N786">
        <v>1.1176999999999999</v>
      </c>
      <c r="O786">
        <v>1.320456022210408</v>
      </c>
      <c r="P786">
        <v>6.3200452360757699E-3</v>
      </c>
      <c r="Q786">
        <v>1.320456022210408</v>
      </c>
      <c r="R786">
        <v>5257.0523338649646</v>
      </c>
      <c r="S786" t="s">
        <v>23</v>
      </c>
      <c r="T786">
        <v>1.3149999999999999</v>
      </c>
      <c r="U786">
        <v>5235.3305999999993</v>
      </c>
      <c r="V786">
        <v>21.721733864965245</v>
      </c>
      <c r="W786">
        <v>4.1490663197019974E-3</v>
      </c>
    </row>
    <row r="787" spans="1:23" x14ac:dyDescent="0.25">
      <c r="A787" t="s">
        <v>1663</v>
      </c>
      <c r="B787" t="s">
        <v>26</v>
      </c>
      <c r="C787" t="s">
        <v>94</v>
      </c>
      <c r="D787" t="s">
        <v>31</v>
      </c>
      <c r="E787" t="s">
        <v>74</v>
      </c>
      <c r="F787" s="1">
        <v>46175</v>
      </c>
      <c r="G787">
        <v>46205</v>
      </c>
      <c r="H787" t="s">
        <v>8</v>
      </c>
      <c r="I787">
        <v>32332.6</v>
      </c>
      <c r="J787" t="s">
        <v>75</v>
      </c>
      <c r="K787" t="s">
        <v>1664</v>
      </c>
      <c r="L787">
        <v>30</v>
      </c>
      <c r="M787" t="s">
        <v>26</v>
      </c>
      <c r="N787">
        <v>1.1649</v>
      </c>
      <c r="O787">
        <v>1.3472503325044816</v>
      </c>
      <c r="P787">
        <v>6.2598742543930356E-3</v>
      </c>
      <c r="Q787">
        <v>1.3472503325044816</v>
      </c>
      <c r="R787">
        <v>43560.106100734396</v>
      </c>
      <c r="S787" t="s">
        <v>19</v>
      </c>
      <c r="T787">
        <v>1.2709999999999999</v>
      </c>
      <c r="U787">
        <v>41094.734599999996</v>
      </c>
      <c r="V787">
        <v>2465.3715007343999</v>
      </c>
      <c r="W787">
        <v>5.9992393787947719E-2</v>
      </c>
    </row>
    <row r="788" spans="1:23" x14ac:dyDescent="0.25">
      <c r="A788" t="s">
        <v>1665</v>
      </c>
      <c r="B788" t="s">
        <v>42</v>
      </c>
      <c r="C788" t="s">
        <v>151</v>
      </c>
      <c r="D788" t="s">
        <v>35</v>
      </c>
      <c r="E788" t="s">
        <v>152</v>
      </c>
      <c r="F788" s="1">
        <v>45762</v>
      </c>
      <c r="G788">
        <v>45792</v>
      </c>
      <c r="H788" t="s">
        <v>8</v>
      </c>
      <c r="I788">
        <v>8708.32</v>
      </c>
      <c r="J788" t="s">
        <v>75</v>
      </c>
      <c r="K788" t="s">
        <v>1666</v>
      </c>
      <c r="L788">
        <v>30</v>
      </c>
      <c r="M788" t="s">
        <v>42</v>
      </c>
      <c r="N788">
        <v>1.1324000000000001</v>
      </c>
      <c r="O788">
        <v>1.3233609910015194</v>
      </c>
      <c r="P788">
        <v>6.9966017917825153E-3</v>
      </c>
      <c r="Q788">
        <v>1.3233609910015194</v>
      </c>
      <c r="R788">
        <v>11524.250985158351</v>
      </c>
      <c r="S788" t="s">
        <v>12</v>
      </c>
      <c r="T788">
        <v>1.26</v>
      </c>
      <c r="U788">
        <v>10972.483200000001</v>
      </c>
      <c r="V788">
        <v>551.76778515835031</v>
      </c>
      <c r="W788">
        <v>5.028650079485656E-2</v>
      </c>
    </row>
    <row r="789" spans="1:23" x14ac:dyDescent="0.25">
      <c r="A789" t="s">
        <v>1667</v>
      </c>
      <c r="B789" t="s">
        <v>38</v>
      </c>
      <c r="C789" t="s">
        <v>87</v>
      </c>
      <c r="D789" t="s">
        <v>33</v>
      </c>
      <c r="E789" t="s">
        <v>88</v>
      </c>
      <c r="F789" s="1">
        <v>46132</v>
      </c>
      <c r="G789">
        <v>46162</v>
      </c>
      <c r="H789" t="s">
        <v>6</v>
      </c>
      <c r="I789">
        <v>6369.55</v>
      </c>
      <c r="J789" t="s">
        <v>75</v>
      </c>
      <c r="K789" t="s">
        <v>1668</v>
      </c>
      <c r="L789">
        <v>30</v>
      </c>
      <c r="M789" t="s">
        <v>38</v>
      </c>
      <c r="N789">
        <v>1.1759999999999999</v>
      </c>
      <c r="O789">
        <v>1.3510253317249699</v>
      </c>
      <c r="P789">
        <v>6.2928082191780824E-3</v>
      </c>
      <c r="Q789">
        <v>1.1759999999999999</v>
      </c>
      <c r="R789">
        <v>7490.5907999999999</v>
      </c>
      <c r="S789" t="s">
        <v>19</v>
      </c>
      <c r="T789">
        <v>1.083</v>
      </c>
      <c r="U789">
        <v>6898.2226499999997</v>
      </c>
      <c r="V789">
        <v>592.36815000000024</v>
      </c>
      <c r="W789">
        <v>8.5872576177285359E-2</v>
      </c>
    </row>
    <row r="790" spans="1:23" x14ac:dyDescent="0.25">
      <c r="A790" t="s">
        <v>1669</v>
      </c>
      <c r="B790" t="s">
        <v>43</v>
      </c>
      <c r="C790" t="s">
        <v>215</v>
      </c>
      <c r="D790" t="s">
        <v>35</v>
      </c>
      <c r="E790" t="s">
        <v>152</v>
      </c>
      <c r="F790" s="1">
        <v>45793</v>
      </c>
      <c r="G790">
        <v>45823</v>
      </c>
      <c r="H790" t="s">
        <v>6</v>
      </c>
      <c r="I790">
        <v>9313.9699999999993</v>
      </c>
      <c r="J790" t="s">
        <v>75</v>
      </c>
      <c r="K790" t="s">
        <v>1670</v>
      </c>
      <c r="L790">
        <v>30</v>
      </c>
      <c r="M790" t="s">
        <v>43</v>
      </c>
      <c r="N790">
        <v>1.1194</v>
      </c>
      <c r="O790">
        <v>1.3283493532692536</v>
      </c>
      <c r="P790">
        <v>6.8653787181846048E-3</v>
      </c>
      <c r="Q790">
        <v>1.1194</v>
      </c>
      <c r="R790">
        <v>10426.058017999998</v>
      </c>
      <c r="S790" t="s">
        <v>12</v>
      </c>
      <c r="T790">
        <v>1.07</v>
      </c>
      <c r="U790">
        <v>9965.9478999999992</v>
      </c>
      <c r="V790">
        <v>460.11011799999869</v>
      </c>
      <c r="W790">
        <v>4.6168224299065294E-2</v>
      </c>
    </row>
    <row r="791" spans="1:23" x14ac:dyDescent="0.25">
      <c r="A791" t="s">
        <v>1671</v>
      </c>
      <c r="B791" t="s">
        <v>22</v>
      </c>
      <c r="C791" t="s">
        <v>127</v>
      </c>
      <c r="D791" t="s">
        <v>31</v>
      </c>
      <c r="E791" t="s">
        <v>124</v>
      </c>
      <c r="F791" s="1">
        <v>46035</v>
      </c>
      <c r="G791">
        <v>46095</v>
      </c>
      <c r="H791" t="s">
        <v>9</v>
      </c>
      <c r="I791">
        <v>13053327.119999999</v>
      </c>
      <c r="J791" t="s">
        <v>75</v>
      </c>
      <c r="K791" t="s">
        <v>1672</v>
      </c>
      <c r="L791">
        <v>60</v>
      </c>
      <c r="M791" t="s">
        <v>22</v>
      </c>
      <c r="N791">
        <v>1.1654</v>
      </c>
      <c r="O791">
        <v>1.3457274826789838</v>
      </c>
      <c r="P791">
        <v>6.2953759723422646E-3</v>
      </c>
      <c r="Q791">
        <v>6.2953759723422646E-3</v>
      </c>
      <c r="R791">
        <v>82175.601910371654</v>
      </c>
      <c r="S791" t="s">
        <v>16</v>
      </c>
      <c r="T791">
        <v>6.4599999999999996E-3</v>
      </c>
      <c r="U791">
        <v>84324.49319519999</v>
      </c>
      <c r="V791">
        <v>-2148.8912848283362</v>
      </c>
      <c r="W791">
        <v>-2.5483595612652406E-2</v>
      </c>
    </row>
    <row r="792" spans="1:23" x14ac:dyDescent="0.25">
      <c r="A792" t="s">
        <v>1673</v>
      </c>
      <c r="B792" t="s">
        <v>37</v>
      </c>
      <c r="C792" t="s">
        <v>91</v>
      </c>
      <c r="D792" t="s">
        <v>31</v>
      </c>
      <c r="E792" t="s">
        <v>74</v>
      </c>
      <c r="F792" s="1">
        <v>46218</v>
      </c>
      <c r="G792">
        <v>46248</v>
      </c>
      <c r="H792" t="s">
        <v>6</v>
      </c>
      <c r="I792">
        <v>6369.9</v>
      </c>
      <c r="J792" t="s">
        <v>75</v>
      </c>
      <c r="K792" t="s">
        <v>1674</v>
      </c>
      <c r="L792">
        <v>30</v>
      </c>
      <c r="M792" t="s">
        <v>37</v>
      </c>
      <c r="N792">
        <v>1.1406000000000001</v>
      </c>
      <c r="O792">
        <v>1.3404157803814651</v>
      </c>
      <c r="P792">
        <v>6.1580822805312602E-3</v>
      </c>
      <c r="Q792">
        <v>1.1406000000000001</v>
      </c>
      <c r="R792">
        <v>7265.5079399999995</v>
      </c>
      <c r="S792" t="s">
        <v>21</v>
      </c>
      <c r="T792">
        <v>1.101</v>
      </c>
      <c r="U792">
        <v>7013.2598999999991</v>
      </c>
      <c r="V792">
        <v>252.2480400000004</v>
      </c>
      <c r="W792">
        <v>3.5967302452316136E-2</v>
      </c>
    </row>
    <row r="793" spans="1:23" x14ac:dyDescent="0.25">
      <c r="A793" t="s">
        <v>1675</v>
      </c>
      <c r="B793" t="s">
        <v>25</v>
      </c>
      <c r="C793" t="s">
        <v>169</v>
      </c>
      <c r="D793" t="s">
        <v>31</v>
      </c>
      <c r="E793" t="s">
        <v>124</v>
      </c>
      <c r="F793" s="1">
        <v>46322</v>
      </c>
      <c r="G793">
        <v>46382</v>
      </c>
      <c r="H793" t="s">
        <v>6</v>
      </c>
      <c r="I793">
        <v>20144.599999999999</v>
      </c>
      <c r="J793" t="s">
        <v>84</v>
      </c>
      <c r="K793" t="s">
        <v>1676</v>
      </c>
      <c r="L793">
        <v>60</v>
      </c>
      <c r="M793" t="s">
        <v>25</v>
      </c>
      <c r="N793">
        <v>1.1176999999999999</v>
      </c>
      <c r="O793">
        <v>1.320456022210408</v>
      </c>
      <c r="P793">
        <v>6.3200452360757699E-3</v>
      </c>
      <c r="Q793">
        <v>1.1176999999999999</v>
      </c>
      <c r="R793">
        <v>22515.619419999995</v>
      </c>
      <c r="S793" t="s">
        <v>23</v>
      </c>
      <c r="T793">
        <v>1.119</v>
      </c>
      <c r="U793">
        <v>22541.807399999998</v>
      </c>
      <c r="V793">
        <v>-26.187980000002426</v>
      </c>
      <c r="W793">
        <v>-1.1617515638964438E-3</v>
      </c>
    </row>
    <row r="794" spans="1:23" x14ac:dyDescent="0.25">
      <c r="A794" t="s">
        <v>1677</v>
      </c>
      <c r="B794" t="s">
        <v>42</v>
      </c>
      <c r="C794" t="s">
        <v>151</v>
      </c>
      <c r="D794" t="s">
        <v>35</v>
      </c>
      <c r="E794" t="s">
        <v>152</v>
      </c>
      <c r="F794" s="1">
        <v>46082</v>
      </c>
      <c r="G794">
        <v>46112</v>
      </c>
      <c r="H794" t="s">
        <v>8</v>
      </c>
      <c r="I794">
        <v>7414.7</v>
      </c>
      <c r="J794" t="s">
        <v>75</v>
      </c>
      <c r="K794" t="s">
        <v>1678</v>
      </c>
      <c r="L794">
        <v>30</v>
      </c>
      <c r="M794" t="s">
        <v>42</v>
      </c>
      <c r="N794">
        <v>1.1555</v>
      </c>
      <c r="O794">
        <v>1.3367963164349013</v>
      </c>
      <c r="P794">
        <v>6.2983756677204832E-3</v>
      </c>
      <c r="Q794">
        <v>1.3367963164349013</v>
      </c>
      <c r="R794">
        <v>9911.9436474698614</v>
      </c>
      <c r="S794" t="s">
        <v>16</v>
      </c>
      <c r="T794">
        <v>1.2490000000000001</v>
      </c>
      <c r="U794">
        <v>9260.9603000000006</v>
      </c>
      <c r="V794">
        <v>650.98334746986075</v>
      </c>
      <c r="W794">
        <v>7.0293287778143337E-2</v>
      </c>
    </row>
    <row r="795" spans="1:23" x14ac:dyDescent="0.25">
      <c r="A795" t="s">
        <v>1679</v>
      </c>
      <c r="B795" t="s">
        <v>25</v>
      </c>
      <c r="C795" t="s">
        <v>169</v>
      </c>
      <c r="D795" t="s">
        <v>31</v>
      </c>
      <c r="E795" t="s">
        <v>124</v>
      </c>
      <c r="F795" s="1">
        <v>46180</v>
      </c>
      <c r="G795">
        <v>46240</v>
      </c>
      <c r="H795" t="s">
        <v>6</v>
      </c>
      <c r="I795">
        <v>60453.63</v>
      </c>
      <c r="J795" t="s">
        <v>75</v>
      </c>
      <c r="K795" t="s">
        <v>1680</v>
      </c>
      <c r="L795">
        <v>60</v>
      </c>
      <c r="M795" t="s">
        <v>25</v>
      </c>
      <c r="N795">
        <v>1.1639999999999999</v>
      </c>
      <c r="O795">
        <v>1.3467078546388531</v>
      </c>
      <c r="P795">
        <v>6.2553740326741179E-3</v>
      </c>
      <c r="Q795">
        <v>1.1639999999999999</v>
      </c>
      <c r="R795">
        <v>70368.025319999986</v>
      </c>
      <c r="S795" t="s">
        <v>19</v>
      </c>
      <c r="T795">
        <v>1.083</v>
      </c>
      <c r="U795">
        <v>65471.281289999992</v>
      </c>
      <c r="V795">
        <v>4896.7440299999944</v>
      </c>
      <c r="W795">
        <v>7.4792243767312944E-2</v>
      </c>
    </row>
    <row r="796" spans="1:23" x14ac:dyDescent="0.25">
      <c r="A796" t="s">
        <v>1681</v>
      </c>
      <c r="B796" t="s">
        <v>25</v>
      </c>
      <c r="C796" t="s">
        <v>169</v>
      </c>
      <c r="D796" t="s">
        <v>31</v>
      </c>
      <c r="E796" t="s">
        <v>124</v>
      </c>
      <c r="F796" s="1">
        <v>46240</v>
      </c>
      <c r="G796">
        <v>46300</v>
      </c>
      <c r="H796" t="s">
        <v>6</v>
      </c>
      <c r="I796">
        <v>87591.3</v>
      </c>
      <c r="J796" t="s">
        <v>75</v>
      </c>
      <c r="K796" t="s">
        <v>1682</v>
      </c>
      <c r="L796">
        <v>60</v>
      </c>
      <c r="M796" t="s">
        <v>25</v>
      </c>
      <c r="N796">
        <v>1.1541999999999999</v>
      </c>
      <c r="O796">
        <v>1.3467125605273904</v>
      </c>
      <c r="P796">
        <v>6.3358401493110832E-3</v>
      </c>
      <c r="Q796">
        <v>1.1541999999999999</v>
      </c>
      <c r="R796">
        <v>101097.87845999999</v>
      </c>
      <c r="S796" t="s">
        <v>21</v>
      </c>
      <c r="T796">
        <v>1.101</v>
      </c>
      <c r="U796">
        <v>96438.021300000008</v>
      </c>
      <c r="V796">
        <v>4659.857159999985</v>
      </c>
      <c r="W796">
        <v>4.8319709355131538E-2</v>
      </c>
    </row>
    <row r="797" spans="1:23" x14ac:dyDescent="0.25">
      <c r="A797" t="s">
        <v>1683</v>
      </c>
      <c r="B797" t="s">
        <v>41</v>
      </c>
      <c r="C797" t="s">
        <v>172</v>
      </c>
      <c r="D797" t="s">
        <v>33</v>
      </c>
      <c r="E797" t="s">
        <v>83</v>
      </c>
      <c r="F797" s="1">
        <v>45812</v>
      </c>
      <c r="G797">
        <v>45842</v>
      </c>
      <c r="H797" t="s">
        <v>9</v>
      </c>
      <c r="I797">
        <v>831343</v>
      </c>
      <c r="J797" t="s">
        <v>75</v>
      </c>
      <c r="K797" t="s">
        <v>1684</v>
      </c>
      <c r="L797">
        <v>30</v>
      </c>
      <c r="M797" t="s">
        <v>41</v>
      </c>
      <c r="N797">
        <v>1.1384000000000001</v>
      </c>
      <c r="O797">
        <v>1.3518584491153072</v>
      </c>
      <c r="P797">
        <v>6.9351203167834297E-3</v>
      </c>
      <c r="Q797">
        <v>6.9351203167834297E-3</v>
      </c>
      <c r="R797">
        <v>5765.4637295156872</v>
      </c>
      <c r="S797" t="s">
        <v>12</v>
      </c>
      <c r="T797">
        <v>6.7000000000000002E-3</v>
      </c>
      <c r="U797">
        <v>5569.9980999999998</v>
      </c>
      <c r="V797">
        <v>195.4656295156874</v>
      </c>
      <c r="W797">
        <v>3.5092584594541856E-2</v>
      </c>
    </row>
    <row r="798" spans="1:23" x14ac:dyDescent="0.25">
      <c r="A798" t="s">
        <v>1685</v>
      </c>
      <c r="B798" t="s">
        <v>20</v>
      </c>
      <c r="C798" t="s">
        <v>123</v>
      </c>
      <c r="D798" t="s">
        <v>31</v>
      </c>
      <c r="E798" t="s">
        <v>124</v>
      </c>
      <c r="F798" s="1">
        <v>46229</v>
      </c>
      <c r="G798">
        <v>46274</v>
      </c>
      <c r="H798" t="s">
        <v>6</v>
      </c>
      <c r="I798">
        <v>32343.040000000001</v>
      </c>
      <c r="J798" t="s">
        <v>75</v>
      </c>
      <c r="K798" t="s">
        <v>1686</v>
      </c>
      <c r="L798">
        <v>45</v>
      </c>
      <c r="M798" t="s">
        <v>20</v>
      </c>
      <c r="N798">
        <v>1.1376999999999999</v>
      </c>
      <c r="O798">
        <v>1.3323886260364455</v>
      </c>
      <c r="P798">
        <v>6.1041957291554884E-3</v>
      </c>
      <c r="Q798">
        <v>1.1376999999999999</v>
      </c>
      <c r="R798">
        <v>36796.676608000002</v>
      </c>
      <c r="S798" t="s">
        <v>21</v>
      </c>
      <c r="T798">
        <v>1.101</v>
      </c>
      <c r="U798">
        <v>35609.687039999997</v>
      </c>
      <c r="V798">
        <v>1186.9895680000045</v>
      </c>
      <c r="W798">
        <v>3.3333333333333465E-2</v>
      </c>
    </row>
    <row r="799" spans="1:23" x14ac:dyDescent="0.25">
      <c r="A799" t="s">
        <v>1687</v>
      </c>
      <c r="B799" t="s">
        <v>20</v>
      </c>
      <c r="C799" t="s">
        <v>123</v>
      </c>
      <c r="D799" t="s">
        <v>31</v>
      </c>
      <c r="E799" t="s">
        <v>124</v>
      </c>
      <c r="F799" s="1">
        <v>45890</v>
      </c>
      <c r="G799">
        <v>45935</v>
      </c>
      <c r="H799" t="s">
        <v>6</v>
      </c>
      <c r="I799">
        <v>21188.91</v>
      </c>
      <c r="J799" t="s">
        <v>75</v>
      </c>
      <c r="K799" t="s">
        <v>1688</v>
      </c>
      <c r="L799">
        <v>45</v>
      </c>
      <c r="M799" t="s">
        <v>20</v>
      </c>
      <c r="N799">
        <v>1.1638999999999999</v>
      </c>
      <c r="O799">
        <v>1.3449272012941993</v>
      </c>
      <c r="P799">
        <v>6.7633215178104474E-3</v>
      </c>
      <c r="Q799">
        <v>1.1638999999999999</v>
      </c>
      <c r="R799">
        <v>24661.772348999999</v>
      </c>
      <c r="S799" t="s">
        <v>13</v>
      </c>
      <c r="T799">
        <v>1.0880000000000001</v>
      </c>
      <c r="U799">
        <v>23053.534080000001</v>
      </c>
      <c r="V799">
        <v>1608.2382689999977</v>
      </c>
      <c r="W799">
        <v>6.9761029411764597E-2</v>
      </c>
    </row>
    <row r="800" spans="1:23" x14ac:dyDescent="0.25">
      <c r="A800" t="s">
        <v>1689</v>
      </c>
      <c r="B800" t="s">
        <v>25</v>
      </c>
      <c r="C800" t="s">
        <v>169</v>
      </c>
      <c r="D800" t="s">
        <v>31</v>
      </c>
      <c r="E800" t="s">
        <v>124</v>
      </c>
      <c r="F800" s="1">
        <v>45820</v>
      </c>
      <c r="G800">
        <v>45880</v>
      </c>
      <c r="H800" t="s">
        <v>6</v>
      </c>
      <c r="I800">
        <v>68081.31</v>
      </c>
      <c r="J800" t="s">
        <v>75</v>
      </c>
      <c r="K800" t="s">
        <v>1690</v>
      </c>
      <c r="L800">
        <v>60</v>
      </c>
      <c r="M800" t="s">
        <v>25</v>
      </c>
      <c r="N800">
        <v>1.1594</v>
      </c>
      <c r="O800">
        <v>1.3579292574373389</v>
      </c>
      <c r="P800">
        <v>6.9575132021123384E-3</v>
      </c>
      <c r="Q800">
        <v>1.1594</v>
      </c>
      <c r="R800">
        <v>78933.470814</v>
      </c>
      <c r="S800" t="s">
        <v>12</v>
      </c>
      <c r="T800">
        <v>1.07</v>
      </c>
      <c r="U800">
        <v>72847.001700000008</v>
      </c>
      <c r="V800">
        <v>6086.4691139999923</v>
      </c>
      <c r="W800">
        <v>8.3551401869158756E-2</v>
      </c>
    </row>
    <row r="801" spans="1:23" x14ac:dyDescent="0.25">
      <c r="A801" t="s">
        <v>1691</v>
      </c>
      <c r="B801" t="s">
        <v>26</v>
      </c>
      <c r="C801" t="s">
        <v>94</v>
      </c>
      <c r="D801" t="s">
        <v>31</v>
      </c>
      <c r="E801" t="s">
        <v>74</v>
      </c>
      <c r="F801" s="1">
        <v>46299</v>
      </c>
      <c r="G801">
        <v>46329</v>
      </c>
      <c r="H801" t="s">
        <v>8</v>
      </c>
      <c r="I801">
        <v>9843.2999999999993</v>
      </c>
      <c r="J801" t="s">
        <v>84</v>
      </c>
      <c r="K801" t="s">
        <v>1692</v>
      </c>
      <c r="L801">
        <v>30</v>
      </c>
      <c r="M801" t="s">
        <v>26</v>
      </c>
      <c r="N801">
        <v>1.1225000000000001</v>
      </c>
      <c r="O801">
        <v>1.3200757353027648</v>
      </c>
      <c r="P801">
        <v>6.3421662240804562E-3</v>
      </c>
      <c r="Q801">
        <v>1.3200757353027648</v>
      </c>
      <c r="R801">
        <v>12993.901485305703</v>
      </c>
      <c r="S801" t="s">
        <v>23</v>
      </c>
      <c r="T801">
        <v>1.3149999999999999</v>
      </c>
      <c r="U801">
        <v>12943.939499999999</v>
      </c>
      <c r="V801">
        <v>49.961985305704729</v>
      </c>
      <c r="W801">
        <v>3.859874754954219E-3</v>
      </c>
    </row>
    <row r="802" spans="1:23" x14ac:dyDescent="0.25">
      <c r="A802" t="s">
        <v>1693</v>
      </c>
      <c r="B802" t="s">
        <v>38</v>
      </c>
      <c r="C802" t="s">
        <v>87</v>
      </c>
      <c r="D802" t="s">
        <v>33</v>
      </c>
      <c r="E802" t="s">
        <v>88</v>
      </c>
      <c r="F802" s="1">
        <v>46360</v>
      </c>
      <c r="G802">
        <v>46390</v>
      </c>
      <c r="H802" t="s">
        <v>6</v>
      </c>
      <c r="I802">
        <v>4560.41</v>
      </c>
      <c r="J802" t="s">
        <v>84</v>
      </c>
      <c r="K802" t="s">
        <v>1694</v>
      </c>
      <c r="L802">
        <v>30</v>
      </c>
      <c r="M802" t="s">
        <v>38</v>
      </c>
      <c r="N802">
        <v>1.1176999999999999</v>
      </c>
      <c r="O802">
        <v>1.320456022210408</v>
      </c>
      <c r="P802">
        <v>6.3200452360757699E-3</v>
      </c>
      <c r="Q802">
        <v>1.1176999999999999</v>
      </c>
      <c r="R802">
        <v>5097.1702569999998</v>
      </c>
      <c r="S802" t="s">
        <v>23</v>
      </c>
      <c r="T802">
        <v>1.119</v>
      </c>
      <c r="U802">
        <v>5103.09879</v>
      </c>
      <c r="V802">
        <v>-5.9285330000002432</v>
      </c>
      <c r="W802">
        <v>-1.1617515638963837E-3</v>
      </c>
    </row>
    <row r="803" spans="1:23" x14ac:dyDescent="0.25">
      <c r="A803" t="s">
        <v>1695</v>
      </c>
      <c r="B803" t="s">
        <v>36</v>
      </c>
      <c r="C803" t="s">
        <v>116</v>
      </c>
      <c r="D803" t="s">
        <v>31</v>
      </c>
      <c r="E803" t="s">
        <v>74</v>
      </c>
      <c r="F803" s="1">
        <v>46023</v>
      </c>
      <c r="G803">
        <v>46068</v>
      </c>
      <c r="H803" t="s">
        <v>6</v>
      </c>
      <c r="I803">
        <v>29686.37</v>
      </c>
      <c r="J803" t="s">
        <v>75</v>
      </c>
      <c r="K803" t="s">
        <v>1696</v>
      </c>
      <c r="L803">
        <v>45</v>
      </c>
      <c r="M803" t="s">
        <v>36</v>
      </c>
      <c r="N803">
        <v>1.1555</v>
      </c>
      <c r="O803">
        <v>1.3367963164349013</v>
      </c>
      <c r="P803">
        <v>6.2983756677204832E-3</v>
      </c>
      <c r="Q803">
        <v>1.1555</v>
      </c>
      <c r="R803">
        <v>34302.600534999998</v>
      </c>
      <c r="S803" t="s">
        <v>16</v>
      </c>
      <c r="T803">
        <v>1.0649999999999999</v>
      </c>
      <c r="U803">
        <v>31615.984049999999</v>
      </c>
      <c r="V803">
        <v>2686.6164849999986</v>
      </c>
      <c r="W803">
        <v>8.4976525821596205E-2</v>
      </c>
    </row>
    <row r="804" spans="1:23" x14ac:dyDescent="0.25">
      <c r="A804" t="s">
        <v>1697</v>
      </c>
      <c r="B804" t="s">
        <v>43</v>
      </c>
      <c r="C804" t="s">
        <v>215</v>
      </c>
      <c r="D804" t="s">
        <v>35</v>
      </c>
      <c r="E804" t="s">
        <v>152</v>
      </c>
      <c r="F804" s="1">
        <v>46189</v>
      </c>
      <c r="G804">
        <v>46219</v>
      </c>
      <c r="H804" t="s">
        <v>6</v>
      </c>
      <c r="I804">
        <v>3577.82</v>
      </c>
      <c r="J804" t="s">
        <v>75</v>
      </c>
      <c r="K804" t="s">
        <v>1698</v>
      </c>
      <c r="L804">
        <v>30</v>
      </c>
      <c r="M804" t="s">
        <v>43</v>
      </c>
      <c r="N804">
        <v>1.1594</v>
      </c>
      <c r="O804">
        <v>1.3407963363439765</v>
      </c>
      <c r="P804">
        <v>6.2353447348607082E-3</v>
      </c>
      <c r="Q804">
        <v>1.1594</v>
      </c>
      <c r="R804">
        <v>4148.1245079999999</v>
      </c>
      <c r="S804" t="s">
        <v>19</v>
      </c>
      <c r="T804">
        <v>1.083</v>
      </c>
      <c r="U804">
        <v>3874.7790599999998</v>
      </c>
      <c r="V804">
        <v>273.34544800000003</v>
      </c>
      <c r="W804">
        <v>7.0544783010156986E-2</v>
      </c>
    </row>
    <row r="805" spans="1:23" x14ac:dyDescent="0.25">
      <c r="A805" t="s">
        <v>1699</v>
      </c>
      <c r="B805" t="s">
        <v>25</v>
      </c>
      <c r="C805" t="s">
        <v>169</v>
      </c>
      <c r="D805" t="s">
        <v>31</v>
      </c>
      <c r="E805" t="s">
        <v>124</v>
      </c>
      <c r="F805" s="1">
        <v>46056</v>
      </c>
      <c r="G805">
        <v>46116</v>
      </c>
      <c r="H805" t="s">
        <v>6</v>
      </c>
      <c r="I805">
        <v>63687.3</v>
      </c>
      <c r="J805" t="s">
        <v>75</v>
      </c>
      <c r="K805" t="s">
        <v>1700</v>
      </c>
      <c r="L805">
        <v>60</v>
      </c>
      <c r="M805" t="s">
        <v>25</v>
      </c>
      <c r="N805">
        <v>1.1800999999999999</v>
      </c>
      <c r="O805">
        <v>1.3685492288066798</v>
      </c>
      <c r="P805">
        <v>6.4163766855154418E-3</v>
      </c>
      <c r="Q805">
        <v>1.1800999999999999</v>
      </c>
      <c r="R805">
        <v>75157.382729999998</v>
      </c>
      <c r="S805" t="s">
        <v>16</v>
      </c>
      <c r="T805">
        <v>1.0649999999999999</v>
      </c>
      <c r="U805">
        <v>67826.974499999997</v>
      </c>
      <c r="V805">
        <v>7330.4082300000009</v>
      </c>
      <c r="W805">
        <v>0.10807511737089204</v>
      </c>
    </row>
    <row r="806" spans="1:23" x14ac:dyDescent="0.25">
      <c r="A806" t="s">
        <v>1701</v>
      </c>
      <c r="B806" t="s">
        <v>39</v>
      </c>
      <c r="C806" t="s">
        <v>82</v>
      </c>
      <c r="D806" t="s">
        <v>33</v>
      </c>
      <c r="E806" t="s">
        <v>83</v>
      </c>
      <c r="F806" s="1">
        <v>46177</v>
      </c>
      <c r="G806">
        <v>46222</v>
      </c>
      <c r="H806" t="s">
        <v>8</v>
      </c>
      <c r="I806">
        <v>11972.27</v>
      </c>
      <c r="J806" t="s">
        <v>75</v>
      </c>
      <c r="K806" t="s">
        <v>1702</v>
      </c>
      <c r="L806">
        <v>45</v>
      </c>
      <c r="M806" t="s">
        <v>39</v>
      </c>
      <c r="N806">
        <v>1.1639999999999999</v>
      </c>
      <c r="O806">
        <v>1.3458203260492541</v>
      </c>
      <c r="P806">
        <v>6.2577280791355303E-3</v>
      </c>
      <c r="Q806">
        <v>1.3458203260492541</v>
      </c>
      <c r="R806">
        <v>16112.524314949704</v>
      </c>
      <c r="S806" t="s">
        <v>19</v>
      </c>
      <c r="T806">
        <v>1.2709999999999999</v>
      </c>
      <c r="U806">
        <v>15216.755169999999</v>
      </c>
      <c r="V806">
        <v>895.76914494970515</v>
      </c>
      <c r="W806">
        <v>5.8867290361333008E-2</v>
      </c>
    </row>
    <row r="807" spans="1:23" x14ac:dyDescent="0.25">
      <c r="A807" t="s">
        <v>1703</v>
      </c>
      <c r="B807" t="s">
        <v>24</v>
      </c>
      <c r="C807" t="s">
        <v>73</v>
      </c>
      <c r="D807" t="s">
        <v>31</v>
      </c>
      <c r="E807" t="s">
        <v>74</v>
      </c>
      <c r="F807" s="1">
        <v>45966</v>
      </c>
      <c r="G807">
        <v>45996</v>
      </c>
      <c r="H807" t="s">
        <v>6</v>
      </c>
      <c r="I807">
        <v>39283.449999999997</v>
      </c>
      <c r="J807" t="s">
        <v>75</v>
      </c>
      <c r="K807" t="s">
        <v>1704</v>
      </c>
      <c r="L807">
        <v>30</v>
      </c>
      <c r="M807" t="s">
        <v>24</v>
      </c>
      <c r="N807">
        <v>1.1492</v>
      </c>
      <c r="O807">
        <v>1.3044267877412032</v>
      </c>
      <c r="P807">
        <v>6.5047829286239891E-3</v>
      </c>
      <c r="Q807">
        <v>1.1492</v>
      </c>
      <c r="R807">
        <v>45144.540739999997</v>
      </c>
      <c r="S807" t="s">
        <v>14</v>
      </c>
      <c r="T807">
        <v>1.1060000000000001</v>
      </c>
      <c r="U807">
        <v>43447.495699999999</v>
      </c>
      <c r="V807">
        <v>1697.0450399999972</v>
      </c>
      <c r="W807">
        <v>3.9059674502712416E-2</v>
      </c>
    </row>
    <row r="808" spans="1:23" x14ac:dyDescent="0.25">
      <c r="A808" t="s">
        <v>1705</v>
      </c>
      <c r="B808" t="s">
        <v>24</v>
      </c>
      <c r="C808" t="s">
        <v>73</v>
      </c>
      <c r="D808" t="s">
        <v>31</v>
      </c>
      <c r="E808" t="s">
        <v>74</v>
      </c>
      <c r="F808" s="1">
        <v>45808</v>
      </c>
      <c r="G808">
        <v>45838</v>
      </c>
      <c r="H808" t="s">
        <v>6</v>
      </c>
      <c r="I808">
        <v>10583.43</v>
      </c>
      <c r="J808" t="s">
        <v>75</v>
      </c>
      <c r="K808" t="s">
        <v>1706</v>
      </c>
      <c r="L808">
        <v>30</v>
      </c>
      <c r="M808" t="s">
        <v>24</v>
      </c>
      <c r="N808">
        <v>1.1606000000000001</v>
      </c>
      <c r="O808">
        <v>1.3462475350887368</v>
      </c>
      <c r="P808">
        <v>6.7359257109692395E-3</v>
      </c>
      <c r="Q808">
        <v>1.1606000000000001</v>
      </c>
      <c r="R808">
        <v>12283.128858000002</v>
      </c>
      <c r="S808" t="s">
        <v>12</v>
      </c>
      <c r="T808">
        <v>1.07</v>
      </c>
      <c r="U808">
        <v>11324.270100000002</v>
      </c>
      <c r="V808">
        <v>958.85875800000031</v>
      </c>
      <c r="W808">
        <v>8.4672897196261698E-2</v>
      </c>
    </row>
    <row r="809" spans="1:23" x14ac:dyDescent="0.25">
      <c r="A809" t="s">
        <v>1707</v>
      </c>
      <c r="B809" t="s">
        <v>24</v>
      </c>
      <c r="C809" t="s">
        <v>73</v>
      </c>
      <c r="D809" t="s">
        <v>31</v>
      </c>
      <c r="E809" t="s">
        <v>74</v>
      </c>
      <c r="F809" s="1">
        <v>45840</v>
      </c>
      <c r="G809">
        <v>45870</v>
      </c>
      <c r="H809" t="s">
        <v>6</v>
      </c>
      <c r="I809">
        <v>22475.98</v>
      </c>
      <c r="J809" t="s">
        <v>75</v>
      </c>
      <c r="K809" t="s">
        <v>1708</v>
      </c>
      <c r="L809">
        <v>30</v>
      </c>
      <c r="M809" t="s">
        <v>24</v>
      </c>
      <c r="N809">
        <v>1.1755</v>
      </c>
      <c r="O809">
        <v>1.3660662405578152</v>
      </c>
      <c r="P809">
        <v>6.9371496016524051E-3</v>
      </c>
      <c r="Q809">
        <v>1.1755</v>
      </c>
      <c r="R809">
        <v>26420.514489999998</v>
      </c>
      <c r="S809" t="s">
        <v>13</v>
      </c>
      <c r="T809">
        <v>1.0880000000000001</v>
      </c>
      <c r="U809">
        <v>24453.866240000003</v>
      </c>
      <c r="V809">
        <v>1966.6482499999947</v>
      </c>
      <c r="W809">
        <v>8.0422794117646829E-2</v>
      </c>
    </row>
    <row r="810" spans="1:23" x14ac:dyDescent="0.25">
      <c r="A810" t="s">
        <v>1709</v>
      </c>
      <c r="B810" t="s">
        <v>38</v>
      </c>
      <c r="C810" t="s">
        <v>87</v>
      </c>
      <c r="D810" t="s">
        <v>33</v>
      </c>
      <c r="E810" t="s">
        <v>88</v>
      </c>
      <c r="F810" s="1">
        <v>45710</v>
      </c>
      <c r="G810">
        <v>45740</v>
      </c>
      <c r="H810" t="s">
        <v>6</v>
      </c>
      <c r="I810">
        <v>7619.3</v>
      </c>
      <c r="J810" t="s">
        <v>75</v>
      </c>
      <c r="K810" t="s">
        <v>1710</v>
      </c>
      <c r="L810">
        <v>30</v>
      </c>
      <c r="M810" t="s">
        <v>38</v>
      </c>
      <c r="N810">
        <v>1.0824</v>
      </c>
      <c r="O810">
        <v>1.2937618780105902</v>
      </c>
      <c r="P810">
        <v>6.6753006475485663E-3</v>
      </c>
      <c r="Q810">
        <v>1.0824</v>
      </c>
      <c r="R810">
        <v>8247.1303200000002</v>
      </c>
      <c r="S810" t="s">
        <v>11</v>
      </c>
      <c r="T810">
        <v>1.052</v>
      </c>
      <c r="U810">
        <v>8015.5036000000009</v>
      </c>
      <c r="V810">
        <v>231.6267199999993</v>
      </c>
      <c r="W810">
        <v>2.8897338403041734E-2</v>
      </c>
    </row>
    <row r="811" spans="1:23" x14ac:dyDescent="0.25">
      <c r="A811" t="s">
        <v>1711</v>
      </c>
      <c r="B811" t="s">
        <v>22</v>
      </c>
      <c r="C811" t="s">
        <v>127</v>
      </c>
      <c r="D811" t="s">
        <v>31</v>
      </c>
      <c r="E811" t="s">
        <v>124</v>
      </c>
      <c r="F811" s="1">
        <v>46319</v>
      </c>
      <c r="G811">
        <v>46379</v>
      </c>
      <c r="H811" t="s">
        <v>9</v>
      </c>
      <c r="I811">
        <v>6050803.2800000003</v>
      </c>
      <c r="J811" t="s">
        <v>84</v>
      </c>
      <c r="K811" t="s">
        <v>1712</v>
      </c>
      <c r="L811">
        <v>60</v>
      </c>
      <c r="M811" t="s">
        <v>22</v>
      </c>
      <c r="N811">
        <v>1.1176999999999999</v>
      </c>
      <c r="O811">
        <v>1.320456022210408</v>
      </c>
      <c r="P811">
        <v>6.3200452360757699E-3</v>
      </c>
      <c r="Q811">
        <v>6.3200452360757699E-3</v>
      </c>
      <c r="R811">
        <v>38241.350444195647</v>
      </c>
      <c r="S811" t="s">
        <v>23</v>
      </c>
      <c r="T811">
        <v>6.8799999999999998E-3</v>
      </c>
      <c r="U811">
        <v>41629.526566400004</v>
      </c>
      <c r="V811">
        <v>-3388.1761222043569</v>
      </c>
      <c r="W811">
        <v>-8.138877382619622E-2</v>
      </c>
    </row>
    <row r="812" spans="1:23" x14ac:dyDescent="0.25">
      <c r="A812" t="s">
        <v>1713</v>
      </c>
      <c r="B812" t="s">
        <v>26</v>
      </c>
      <c r="C812" t="s">
        <v>94</v>
      </c>
      <c r="D812" t="s">
        <v>31</v>
      </c>
      <c r="E812" t="s">
        <v>74</v>
      </c>
      <c r="F812" s="1">
        <v>45961</v>
      </c>
      <c r="G812">
        <v>45991</v>
      </c>
      <c r="H812" t="s">
        <v>8</v>
      </c>
      <c r="I812">
        <v>25671.84</v>
      </c>
      <c r="J812" t="s">
        <v>75</v>
      </c>
      <c r="K812" t="s">
        <v>1714</v>
      </c>
      <c r="L812">
        <v>30</v>
      </c>
      <c r="M812" t="s">
        <v>26</v>
      </c>
      <c r="N812">
        <v>1.1554</v>
      </c>
      <c r="O812">
        <v>1.3105716878402902</v>
      </c>
      <c r="P812">
        <v>6.4859099584596387E-3</v>
      </c>
      <c r="Q812">
        <v>1.3105716878402902</v>
      </c>
      <c r="R812">
        <v>33644.786678765879</v>
      </c>
      <c r="S812" t="s">
        <v>14</v>
      </c>
      <c r="T812">
        <v>1.304</v>
      </c>
      <c r="U812">
        <v>33476.079360000003</v>
      </c>
      <c r="V812">
        <v>168.70731876587524</v>
      </c>
      <c r="W812">
        <v>5.0396379143329648E-3</v>
      </c>
    </row>
    <row r="813" spans="1:23" x14ac:dyDescent="0.25">
      <c r="A813" t="s">
        <v>1715</v>
      </c>
      <c r="B813" t="s">
        <v>30</v>
      </c>
      <c r="C813" t="s">
        <v>103</v>
      </c>
      <c r="D813" t="s">
        <v>31</v>
      </c>
      <c r="E813" t="s">
        <v>74</v>
      </c>
      <c r="F813" s="1">
        <v>45884</v>
      </c>
      <c r="G813">
        <v>45914</v>
      </c>
      <c r="H813" t="s">
        <v>9</v>
      </c>
      <c r="I813">
        <v>3516002.13</v>
      </c>
      <c r="J813" t="s">
        <v>75</v>
      </c>
      <c r="K813" t="s">
        <v>1716</v>
      </c>
      <c r="L813">
        <v>30</v>
      </c>
      <c r="M813" t="s">
        <v>30</v>
      </c>
      <c r="N813">
        <v>1.1688000000000001</v>
      </c>
      <c r="O813">
        <v>1.3556019485038275</v>
      </c>
      <c r="P813">
        <v>6.8028636284267509E-3</v>
      </c>
      <c r="Q813">
        <v>6.8028636284267509E-3</v>
      </c>
      <c r="R813">
        <v>23918.883007647983</v>
      </c>
      <c r="S813" t="s">
        <v>13</v>
      </c>
      <c r="T813">
        <v>6.8399999999999997E-3</v>
      </c>
      <c r="U813">
        <v>24049.454569199999</v>
      </c>
      <c r="V813">
        <v>-130.57156155201665</v>
      </c>
      <c r="W813">
        <v>-5.4292940896563582E-3</v>
      </c>
    </row>
    <row r="814" spans="1:23" x14ac:dyDescent="0.25">
      <c r="A814" t="s">
        <v>1717</v>
      </c>
      <c r="B814" t="s">
        <v>28</v>
      </c>
      <c r="C814" t="s">
        <v>111</v>
      </c>
      <c r="D814" t="s">
        <v>31</v>
      </c>
      <c r="E814" t="s">
        <v>74</v>
      </c>
      <c r="F814" s="1">
        <v>46314</v>
      </c>
      <c r="G814">
        <v>46359</v>
      </c>
      <c r="H814" t="s">
        <v>9</v>
      </c>
      <c r="I814">
        <v>4046767.01</v>
      </c>
      <c r="J814" t="s">
        <v>84</v>
      </c>
      <c r="K814" t="s">
        <v>1718</v>
      </c>
      <c r="L814">
        <v>45</v>
      </c>
      <c r="M814" t="s">
        <v>28</v>
      </c>
      <c r="N814">
        <v>1.1176999999999999</v>
      </c>
      <c r="O814">
        <v>1.320456022210408</v>
      </c>
      <c r="P814">
        <v>6.3200452360757699E-3</v>
      </c>
      <c r="Q814">
        <v>6.3200452360757699E-3</v>
      </c>
      <c r="R814">
        <v>25575.750563059086</v>
      </c>
      <c r="S814" t="s">
        <v>23</v>
      </c>
      <c r="T814">
        <v>6.8799999999999998E-3</v>
      </c>
      <c r="U814">
        <v>27841.757028799999</v>
      </c>
      <c r="V814">
        <v>-2266.006465740913</v>
      </c>
      <c r="W814">
        <v>-8.1388773826196262E-2</v>
      </c>
    </row>
    <row r="815" spans="1:23" x14ac:dyDescent="0.25">
      <c r="A815" t="s">
        <v>1719</v>
      </c>
      <c r="B815" t="s">
        <v>40</v>
      </c>
      <c r="C815" t="s">
        <v>78</v>
      </c>
      <c r="D815" t="s">
        <v>33</v>
      </c>
      <c r="E815" t="s">
        <v>79</v>
      </c>
      <c r="F815" s="1">
        <v>46313</v>
      </c>
      <c r="G815">
        <v>46343</v>
      </c>
      <c r="H815" t="s">
        <v>9</v>
      </c>
      <c r="I815">
        <v>1429471.07</v>
      </c>
      <c r="J815" t="s">
        <v>84</v>
      </c>
      <c r="K815" t="s">
        <v>1720</v>
      </c>
      <c r="L815">
        <v>30</v>
      </c>
      <c r="M815" t="s">
        <v>40</v>
      </c>
      <c r="N815">
        <v>1.1176999999999999</v>
      </c>
      <c r="O815">
        <v>1.320456022210408</v>
      </c>
      <c r="P815">
        <v>6.3200452360757699E-3</v>
      </c>
      <c r="Q815">
        <v>6.3200452360757699E-3</v>
      </c>
      <c r="R815">
        <v>9034.3218260616341</v>
      </c>
      <c r="S815" t="s">
        <v>23</v>
      </c>
      <c r="T815">
        <v>6.8799999999999998E-3</v>
      </c>
      <c r="U815">
        <v>9834.7609616000009</v>
      </c>
      <c r="V815">
        <v>-800.43913553836683</v>
      </c>
      <c r="W815">
        <v>-8.1388773826196248E-2</v>
      </c>
    </row>
    <row r="816" spans="1:23" x14ac:dyDescent="0.25">
      <c r="A816" t="s">
        <v>1721</v>
      </c>
      <c r="B816" t="s">
        <v>40</v>
      </c>
      <c r="C816" t="s">
        <v>78</v>
      </c>
      <c r="D816" t="s">
        <v>33</v>
      </c>
      <c r="E816" t="s">
        <v>79</v>
      </c>
      <c r="F816" s="1">
        <v>45791</v>
      </c>
      <c r="G816">
        <v>45821</v>
      </c>
      <c r="H816" t="s">
        <v>9</v>
      </c>
      <c r="I816">
        <v>474893.22</v>
      </c>
      <c r="J816" t="s">
        <v>75</v>
      </c>
      <c r="K816" t="s">
        <v>1722</v>
      </c>
      <c r="L816">
        <v>30</v>
      </c>
      <c r="M816" t="s">
        <v>40</v>
      </c>
      <c r="N816">
        <v>1.1214</v>
      </c>
      <c r="O816">
        <v>1.3326203208556149</v>
      </c>
      <c r="P816">
        <v>6.8373879641485278E-3</v>
      </c>
      <c r="Q816">
        <v>6.8373879641485278E-3</v>
      </c>
      <c r="R816">
        <v>3247.0291866837388</v>
      </c>
      <c r="S816" t="s">
        <v>12</v>
      </c>
      <c r="T816">
        <v>6.7000000000000002E-3</v>
      </c>
      <c r="U816">
        <v>3181.7845739999998</v>
      </c>
      <c r="V816">
        <v>65.244612683738978</v>
      </c>
      <c r="W816">
        <v>2.0505666290825064E-2</v>
      </c>
    </row>
    <row r="817" spans="1:23" x14ac:dyDescent="0.25">
      <c r="A817" t="s">
        <v>1723</v>
      </c>
      <c r="B817" t="s">
        <v>40</v>
      </c>
      <c r="C817" t="s">
        <v>78</v>
      </c>
      <c r="D817" t="s">
        <v>33</v>
      </c>
      <c r="E817" t="s">
        <v>79</v>
      </c>
      <c r="F817" s="1">
        <v>45808</v>
      </c>
      <c r="G817">
        <v>45838</v>
      </c>
      <c r="H817" t="s">
        <v>9</v>
      </c>
      <c r="I817">
        <v>904463.09</v>
      </c>
      <c r="J817" t="s">
        <v>75</v>
      </c>
      <c r="K817" t="s">
        <v>1724</v>
      </c>
      <c r="L817">
        <v>30</v>
      </c>
      <c r="M817" t="s">
        <v>40</v>
      </c>
      <c r="N817">
        <v>1.1606000000000001</v>
      </c>
      <c r="O817">
        <v>1.3462475350887368</v>
      </c>
      <c r="P817">
        <v>6.7359257109692395E-3</v>
      </c>
      <c r="Q817">
        <v>6.7359257109692395E-3</v>
      </c>
      <c r="R817">
        <v>6092.3961825536853</v>
      </c>
      <c r="S817" t="s">
        <v>12</v>
      </c>
      <c r="T817">
        <v>6.7000000000000002E-3</v>
      </c>
      <c r="U817">
        <v>6059.9027029999997</v>
      </c>
      <c r="V817">
        <v>32.493479553685575</v>
      </c>
      <c r="W817">
        <v>5.3620464133193818E-3</v>
      </c>
    </row>
    <row r="818" spans="1:23" x14ac:dyDescent="0.25">
      <c r="A818" t="s">
        <v>1725</v>
      </c>
      <c r="B818" t="s">
        <v>22</v>
      </c>
      <c r="C818" t="s">
        <v>127</v>
      </c>
      <c r="D818" t="s">
        <v>31</v>
      </c>
      <c r="E818" t="s">
        <v>124</v>
      </c>
      <c r="F818" s="1">
        <v>46005</v>
      </c>
      <c r="G818">
        <v>46065</v>
      </c>
      <c r="H818" t="s">
        <v>9</v>
      </c>
      <c r="I818">
        <v>5716678.8399999999</v>
      </c>
      <c r="J818" t="s">
        <v>75</v>
      </c>
      <c r="K818" t="s">
        <v>1726</v>
      </c>
      <c r="L818">
        <v>60</v>
      </c>
      <c r="M818" t="s">
        <v>22</v>
      </c>
      <c r="N818">
        <v>1.1555</v>
      </c>
      <c r="O818">
        <v>1.3367963164349013</v>
      </c>
      <c r="P818">
        <v>6.2983756677204832E-3</v>
      </c>
      <c r="Q818">
        <v>6.2983756677204832E-3</v>
      </c>
      <c r="R818">
        <v>36005.79090602856</v>
      </c>
      <c r="S818" t="s">
        <v>14</v>
      </c>
      <c r="T818">
        <v>6.9800000000000001E-3</v>
      </c>
      <c r="U818">
        <v>39902.4183032</v>
      </c>
      <c r="V818">
        <v>-3896.62739717144</v>
      </c>
      <c r="W818">
        <v>-9.7653915799357643E-2</v>
      </c>
    </row>
    <row r="819" spans="1:23" x14ac:dyDescent="0.25">
      <c r="A819" t="s">
        <v>1727</v>
      </c>
      <c r="B819" t="s">
        <v>43</v>
      </c>
      <c r="C819" t="s">
        <v>215</v>
      </c>
      <c r="D819" t="s">
        <v>35</v>
      </c>
      <c r="E819" t="s">
        <v>152</v>
      </c>
      <c r="F819" s="1">
        <v>45984</v>
      </c>
      <c r="G819">
        <v>46014</v>
      </c>
      <c r="H819" t="s">
        <v>6</v>
      </c>
      <c r="I819">
        <v>10085.969999999999</v>
      </c>
      <c r="J819" t="s">
        <v>75</v>
      </c>
      <c r="K819" t="s">
        <v>1728</v>
      </c>
      <c r="L819">
        <v>30</v>
      </c>
      <c r="M819" t="s">
        <v>43</v>
      </c>
      <c r="N819">
        <v>1.1555</v>
      </c>
      <c r="O819">
        <v>1.3367963164349013</v>
      </c>
      <c r="P819">
        <v>6.2983756677204832E-3</v>
      </c>
      <c r="Q819">
        <v>1.1555</v>
      </c>
      <c r="R819">
        <v>11654.338334999999</v>
      </c>
      <c r="S819" t="s">
        <v>14</v>
      </c>
      <c r="T819">
        <v>1.1060000000000001</v>
      </c>
      <c r="U819">
        <v>11155.08282</v>
      </c>
      <c r="V819">
        <v>499.25551499999892</v>
      </c>
      <c r="W819">
        <v>4.4755877034357953E-2</v>
      </c>
    </row>
    <row r="820" spans="1:23" x14ac:dyDescent="0.25">
      <c r="A820" t="s">
        <v>1729</v>
      </c>
      <c r="B820" t="s">
        <v>24</v>
      </c>
      <c r="C820" t="s">
        <v>73</v>
      </c>
      <c r="D820" t="s">
        <v>31</v>
      </c>
      <c r="E820" t="s">
        <v>74</v>
      </c>
      <c r="F820" s="1">
        <v>46221</v>
      </c>
      <c r="G820">
        <v>46251</v>
      </c>
      <c r="H820" t="s">
        <v>6</v>
      </c>
      <c r="I820">
        <v>9411.5499999999993</v>
      </c>
      <c r="J820" t="s">
        <v>75</v>
      </c>
      <c r="K820" t="s">
        <v>1730</v>
      </c>
      <c r="L820">
        <v>30</v>
      </c>
      <c r="M820" t="s">
        <v>24</v>
      </c>
      <c r="N820">
        <v>1.1435</v>
      </c>
      <c r="O820">
        <v>1.3437448588685985</v>
      </c>
      <c r="P820">
        <v>6.1594398060867217E-3</v>
      </c>
      <c r="Q820">
        <v>1.1435</v>
      </c>
      <c r="R820">
        <v>10762.107424999998</v>
      </c>
      <c r="S820" t="s">
        <v>21</v>
      </c>
      <c r="T820">
        <v>1.101</v>
      </c>
      <c r="U820">
        <v>10362.116549999999</v>
      </c>
      <c r="V820">
        <v>399.99087499999951</v>
      </c>
      <c r="W820">
        <v>3.8601271571298779E-2</v>
      </c>
    </row>
    <row r="821" spans="1:23" x14ac:dyDescent="0.25">
      <c r="A821" t="s">
        <v>1731</v>
      </c>
      <c r="B821" t="s">
        <v>36</v>
      </c>
      <c r="C821" t="s">
        <v>116</v>
      </c>
      <c r="D821" t="s">
        <v>31</v>
      </c>
      <c r="E821" t="s">
        <v>74</v>
      </c>
      <c r="F821" s="1">
        <v>45773</v>
      </c>
      <c r="G821">
        <v>45818</v>
      </c>
      <c r="H821" t="s">
        <v>6</v>
      </c>
      <c r="I821">
        <v>4925.0600000000004</v>
      </c>
      <c r="J821" t="s">
        <v>75</v>
      </c>
      <c r="K821" t="s">
        <v>1732</v>
      </c>
      <c r="L821">
        <v>45</v>
      </c>
      <c r="M821" t="s">
        <v>36</v>
      </c>
      <c r="N821">
        <v>1.1607000000000001</v>
      </c>
      <c r="O821">
        <v>1.3612055822680897</v>
      </c>
      <c r="P821">
        <v>6.8978427527188451E-3</v>
      </c>
      <c r="Q821">
        <v>1.1607000000000001</v>
      </c>
      <c r="R821">
        <v>5716.5171420000006</v>
      </c>
      <c r="S821" t="s">
        <v>12</v>
      </c>
      <c r="T821">
        <v>1.07</v>
      </c>
      <c r="U821">
        <v>5269.8142000000007</v>
      </c>
      <c r="V821">
        <v>446.70294199999989</v>
      </c>
      <c r="W821">
        <v>8.4766355140186878E-2</v>
      </c>
    </row>
    <row r="822" spans="1:23" x14ac:dyDescent="0.25">
      <c r="A822" t="s">
        <v>1733</v>
      </c>
      <c r="B822" t="s">
        <v>26</v>
      </c>
      <c r="C822" t="s">
        <v>94</v>
      </c>
      <c r="D822" t="s">
        <v>31</v>
      </c>
      <c r="E822" t="s">
        <v>74</v>
      </c>
      <c r="F822" s="1">
        <v>45892</v>
      </c>
      <c r="G822">
        <v>45922</v>
      </c>
      <c r="H822" t="s">
        <v>8</v>
      </c>
      <c r="I822">
        <v>21895.96</v>
      </c>
      <c r="J822" t="s">
        <v>75</v>
      </c>
      <c r="K822" t="s">
        <v>1734</v>
      </c>
      <c r="L822">
        <v>30</v>
      </c>
      <c r="M822" t="s">
        <v>26</v>
      </c>
      <c r="N822">
        <v>1.1655</v>
      </c>
      <c r="O822">
        <v>1.3326091927738395</v>
      </c>
      <c r="P822">
        <v>6.4289260301174916E-3</v>
      </c>
      <c r="Q822">
        <v>1.3326091927738395</v>
      </c>
      <c r="R822">
        <v>29178.757580608279</v>
      </c>
      <c r="S822" t="s">
        <v>13</v>
      </c>
      <c r="T822">
        <v>1.282</v>
      </c>
      <c r="U822">
        <v>28070.620719999999</v>
      </c>
      <c r="V822">
        <v>1108.1368606082797</v>
      </c>
      <c r="W822">
        <v>3.9476749433572191E-2</v>
      </c>
    </row>
    <row r="823" spans="1:23" x14ac:dyDescent="0.25">
      <c r="A823" t="s">
        <v>1735</v>
      </c>
      <c r="B823" t="s">
        <v>42</v>
      </c>
      <c r="C823" t="s">
        <v>151</v>
      </c>
      <c r="D823" t="s">
        <v>35</v>
      </c>
      <c r="E823" t="s">
        <v>152</v>
      </c>
      <c r="F823" s="1">
        <v>46332</v>
      </c>
      <c r="G823">
        <v>46362</v>
      </c>
      <c r="H823" t="s">
        <v>8</v>
      </c>
      <c r="I823">
        <v>4384.63</v>
      </c>
      <c r="J823" t="s">
        <v>84</v>
      </c>
      <c r="K823" t="s">
        <v>1736</v>
      </c>
      <c r="L823">
        <v>30</v>
      </c>
      <c r="M823" t="s">
        <v>42</v>
      </c>
      <c r="N823">
        <v>1.1176999999999999</v>
      </c>
      <c r="O823">
        <v>1.320456022210408</v>
      </c>
      <c r="P823">
        <v>6.3200452360757699E-3</v>
      </c>
      <c r="Q823">
        <v>1.320456022210408</v>
      </c>
      <c r="R823">
        <v>5789.7110886644214</v>
      </c>
      <c r="S823" t="s">
        <v>23</v>
      </c>
      <c r="T823">
        <v>1.3149999999999999</v>
      </c>
      <c r="U823">
        <v>5765.78845</v>
      </c>
      <c r="V823">
        <v>23.922638664421356</v>
      </c>
      <c r="W823">
        <v>4.1490663197019228E-3</v>
      </c>
    </row>
    <row r="824" spans="1:23" x14ac:dyDescent="0.25">
      <c r="A824" t="s">
        <v>1737</v>
      </c>
      <c r="B824" t="s">
        <v>24</v>
      </c>
      <c r="C824" t="s">
        <v>73</v>
      </c>
      <c r="D824" t="s">
        <v>31</v>
      </c>
      <c r="E824" t="s">
        <v>74</v>
      </c>
      <c r="F824" s="1">
        <v>46280</v>
      </c>
      <c r="G824">
        <v>46310</v>
      </c>
      <c r="H824" t="s">
        <v>6</v>
      </c>
      <c r="I824">
        <v>16438.37</v>
      </c>
      <c r="J824" t="s">
        <v>75</v>
      </c>
      <c r="K824" t="s">
        <v>1738</v>
      </c>
      <c r="L824">
        <v>30</v>
      </c>
      <c r="M824" t="s">
        <v>24</v>
      </c>
      <c r="N824">
        <v>1.1538999999999999</v>
      </c>
      <c r="O824">
        <v>1.3483290488431876</v>
      </c>
      <c r="P824">
        <v>6.4514145141451405E-3</v>
      </c>
      <c r="Q824">
        <v>1.1538999999999999</v>
      </c>
      <c r="R824">
        <v>18968.235142999998</v>
      </c>
      <c r="S824" t="s">
        <v>21</v>
      </c>
      <c r="T824">
        <v>1.101</v>
      </c>
      <c r="U824">
        <v>18098.645369999998</v>
      </c>
      <c r="V824">
        <v>869.5897729999997</v>
      </c>
      <c r="W824">
        <v>4.8047229791098989E-2</v>
      </c>
    </row>
    <row r="825" spans="1:23" x14ac:dyDescent="0.25">
      <c r="A825" t="s">
        <v>1739</v>
      </c>
      <c r="B825" t="s">
        <v>24</v>
      </c>
      <c r="C825" t="s">
        <v>73</v>
      </c>
      <c r="D825" t="s">
        <v>31</v>
      </c>
      <c r="E825" t="s">
        <v>74</v>
      </c>
      <c r="F825" s="1">
        <v>45849</v>
      </c>
      <c r="G825">
        <v>45879</v>
      </c>
      <c r="H825" t="s">
        <v>6</v>
      </c>
      <c r="I825">
        <v>11027.12</v>
      </c>
      <c r="J825" t="s">
        <v>75</v>
      </c>
      <c r="K825" t="s">
        <v>1740</v>
      </c>
      <c r="L825">
        <v>30</v>
      </c>
      <c r="M825" t="s">
        <v>24</v>
      </c>
      <c r="N825">
        <v>1.1682999999999999</v>
      </c>
      <c r="O825">
        <v>1.3495437218435946</v>
      </c>
      <c r="P825">
        <v>6.7999534369361497E-3</v>
      </c>
      <c r="Q825">
        <v>1.1682999999999999</v>
      </c>
      <c r="R825">
        <v>12882.984296000001</v>
      </c>
      <c r="S825" t="s">
        <v>13</v>
      </c>
      <c r="T825">
        <v>1.0880000000000001</v>
      </c>
      <c r="U825">
        <v>11997.506560000002</v>
      </c>
      <c r="V825">
        <v>885.47773599999891</v>
      </c>
      <c r="W825">
        <v>7.3805147058823434E-2</v>
      </c>
    </row>
    <row r="826" spans="1:23" x14ac:dyDescent="0.25">
      <c r="A826" t="s">
        <v>1741</v>
      </c>
      <c r="B826" t="s">
        <v>28</v>
      </c>
      <c r="C826" t="s">
        <v>111</v>
      </c>
      <c r="D826" t="s">
        <v>31</v>
      </c>
      <c r="E826" t="s">
        <v>74</v>
      </c>
      <c r="F826" s="1">
        <v>45863</v>
      </c>
      <c r="G826">
        <v>45908</v>
      </c>
      <c r="H826" t="s">
        <v>9</v>
      </c>
      <c r="I826">
        <v>976623.31</v>
      </c>
      <c r="J826" t="s">
        <v>75</v>
      </c>
      <c r="K826" t="s">
        <v>1742</v>
      </c>
      <c r="L826">
        <v>45</v>
      </c>
      <c r="M826" t="s">
        <v>28</v>
      </c>
      <c r="N826">
        <v>1.1724000000000001</v>
      </c>
      <c r="O826">
        <v>1.3452667814113597</v>
      </c>
      <c r="P826">
        <v>6.7725723528392354E-3</v>
      </c>
      <c r="Q826">
        <v>6.7725723528392354E-3</v>
      </c>
      <c r="R826">
        <v>6614.2520284443426</v>
      </c>
      <c r="S826" t="s">
        <v>13</v>
      </c>
      <c r="T826">
        <v>6.8399999999999997E-3</v>
      </c>
      <c r="U826">
        <v>6680.1034404000002</v>
      </c>
      <c r="V826">
        <v>-65.851411955657568</v>
      </c>
      <c r="W826">
        <v>-9.8578431521584992E-3</v>
      </c>
    </row>
    <row r="827" spans="1:23" x14ac:dyDescent="0.25">
      <c r="A827" t="s">
        <v>1743</v>
      </c>
      <c r="B827" t="s">
        <v>32</v>
      </c>
      <c r="C827" t="s">
        <v>106</v>
      </c>
      <c r="D827" t="s">
        <v>31</v>
      </c>
      <c r="E827" t="s">
        <v>74</v>
      </c>
      <c r="F827" s="1">
        <v>45685</v>
      </c>
      <c r="G827">
        <v>45715</v>
      </c>
      <c r="H827" t="s">
        <v>6</v>
      </c>
      <c r="I827">
        <v>18959.07</v>
      </c>
      <c r="J827" t="s">
        <v>75</v>
      </c>
      <c r="K827" t="s">
        <v>1744</v>
      </c>
      <c r="L827">
        <v>30</v>
      </c>
      <c r="M827" t="s">
        <v>32</v>
      </c>
      <c r="N827">
        <v>1.0421</v>
      </c>
      <c r="O827">
        <v>1.2425478132303143</v>
      </c>
      <c r="P827">
        <v>6.4382799950574564E-3</v>
      </c>
      <c r="Q827">
        <v>1.0421</v>
      </c>
      <c r="R827">
        <v>19757.246846999999</v>
      </c>
      <c r="S827" t="s">
        <v>11</v>
      </c>
      <c r="T827">
        <v>1.052</v>
      </c>
      <c r="U827">
        <v>19944.941640000001</v>
      </c>
      <c r="V827">
        <v>-187.69479300000239</v>
      </c>
      <c r="W827">
        <v>-9.4106463878328196E-3</v>
      </c>
    </row>
    <row r="828" spans="1:23" x14ac:dyDescent="0.25">
      <c r="A828" t="s">
        <v>1745</v>
      </c>
      <c r="B828" t="s">
        <v>30</v>
      </c>
      <c r="C828" t="s">
        <v>103</v>
      </c>
      <c r="D828" t="s">
        <v>31</v>
      </c>
      <c r="E828" t="s">
        <v>74</v>
      </c>
      <c r="F828" s="1">
        <v>46382</v>
      </c>
      <c r="G828">
        <v>46412</v>
      </c>
      <c r="H828" t="s">
        <v>9</v>
      </c>
      <c r="I828">
        <v>817870.4</v>
      </c>
      <c r="J828" t="s">
        <v>84</v>
      </c>
      <c r="K828" t="s">
        <v>1746</v>
      </c>
      <c r="L828">
        <v>30</v>
      </c>
      <c r="M828" t="s">
        <v>30</v>
      </c>
      <c r="N828">
        <v>1.1176999999999999</v>
      </c>
      <c r="O828">
        <v>1.320456022210408</v>
      </c>
      <c r="P828">
        <v>6.3200452360757699E-3</v>
      </c>
      <c r="Q828">
        <v>6.3200452360757699E-3</v>
      </c>
      <c r="R828">
        <v>5168.9779252473845</v>
      </c>
      <c r="S828" t="s">
        <v>23</v>
      </c>
      <c r="T828">
        <v>6.8799999999999998E-3</v>
      </c>
      <c r="U828">
        <v>5626.9483520000003</v>
      </c>
      <c r="V828">
        <v>-457.97042675261582</v>
      </c>
      <c r="W828">
        <v>-8.1388773826196262E-2</v>
      </c>
    </row>
    <row r="829" spans="1:23" x14ac:dyDescent="0.25">
      <c r="A829" t="s">
        <v>1747</v>
      </c>
      <c r="B829" t="s">
        <v>26</v>
      </c>
      <c r="C829" t="s">
        <v>94</v>
      </c>
      <c r="D829" t="s">
        <v>31</v>
      </c>
      <c r="E829" t="s">
        <v>74</v>
      </c>
      <c r="F829" s="1">
        <v>46069</v>
      </c>
      <c r="G829">
        <v>46099</v>
      </c>
      <c r="H829" t="s">
        <v>8</v>
      </c>
      <c r="I829">
        <v>25992.86</v>
      </c>
      <c r="J829" t="s">
        <v>75</v>
      </c>
      <c r="K829" t="s">
        <v>1748</v>
      </c>
      <c r="L829">
        <v>30</v>
      </c>
      <c r="M829" t="s">
        <v>26</v>
      </c>
      <c r="N829">
        <v>1.1855</v>
      </c>
      <c r="O829">
        <v>1.3642117376294591</v>
      </c>
      <c r="P829">
        <v>6.5212607954232907E-3</v>
      </c>
      <c r="Q829">
        <v>1.3642117376294591</v>
      </c>
      <c r="R829">
        <v>35459.764706559261</v>
      </c>
      <c r="S829" t="s">
        <v>16</v>
      </c>
      <c r="T829">
        <v>1.2490000000000001</v>
      </c>
      <c r="U829">
        <v>32465.082140000002</v>
      </c>
      <c r="V829">
        <v>2994.6825665592587</v>
      </c>
      <c r="W829">
        <v>9.2243184651288196E-2</v>
      </c>
    </row>
    <row r="830" spans="1:23" x14ac:dyDescent="0.25">
      <c r="A830" t="s">
        <v>1749</v>
      </c>
      <c r="B830" t="s">
        <v>32</v>
      </c>
      <c r="C830" t="s">
        <v>106</v>
      </c>
      <c r="D830" t="s">
        <v>31</v>
      </c>
      <c r="E830" t="s">
        <v>74</v>
      </c>
      <c r="F830" s="1">
        <v>46279</v>
      </c>
      <c r="G830">
        <v>46309</v>
      </c>
      <c r="H830" t="s">
        <v>6</v>
      </c>
      <c r="I830">
        <v>3271.56</v>
      </c>
      <c r="J830" t="s">
        <v>75</v>
      </c>
      <c r="K830" t="s">
        <v>1750</v>
      </c>
      <c r="L830">
        <v>30</v>
      </c>
      <c r="M830" t="s">
        <v>32</v>
      </c>
      <c r="N830">
        <v>1.1551</v>
      </c>
      <c r="O830">
        <v>1.3494474169957242</v>
      </c>
      <c r="P830">
        <v>6.4704234819628051E-3</v>
      </c>
      <c r="Q830">
        <v>1.1551</v>
      </c>
      <c r="R830">
        <v>3778.9789559999999</v>
      </c>
      <c r="S830" t="s">
        <v>21</v>
      </c>
      <c r="T830">
        <v>1.101</v>
      </c>
      <c r="U830">
        <v>3601.98756</v>
      </c>
      <c r="V830">
        <v>176.9913959999999</v>
      </c>
      <c r="W830">
        <v>4.913714804722976E-2</v>
      </c>
    </row>
    <row r="831" spans="1:23" x14ac:dyDescent="0.25">
      <c r="A831" t="s">
        <v>1751</v>
      </c>
      <c r="B831" t="s">
        <v>37</v>
      </c>
      <c r="C831" t="s">
        <v>91</v>
      </c>
      <c r="D831" t="s">
        <v>31</v>
      </c>
      <c r="E831" t="s">
        <v>74</v>
      </c>
      <c r="F831" s="1">
        <v>45964</v>
      </c>
      <c r="G831">
        <v>45994</v>
      </c>
      <c r="H831" t="s">
        <v>6</v>
      </c>
      <c r="I831">
        <v>3942.94</v>
      </c>
      <c r="J831" t="s">
        <v>75</v>
      </c>
      <c r="K831" t="s">
        <v>1752</v>
      </c>
      <c r="L831">
        <v>30</v>
      </c>
      <c r="M831" t="s">
        <v>37</v>
      </c>
      <c r="N831">
        <v>1.1514</v>
      </c>
      <c r="O831">
        <v>1.3136337706788364</v>
      </c>
      <c r="P831">
        <v>6.4842034127386384E-3</v>
      </c>
      <c r="Q831">
        <v>1.1514</v>
      </c>
      <c r="R831">
        <v>4539.901116</v>
      </c>
      <c r="S831" t="s">
        <v>14</v>
      </c>
      <c r="T831">
        <v>1.1060000000000001</v>
      </c>
      <c r="U831">
        <v>4360.8916400000007</v>
      </c>
      <c r="V831">
        <v>179.00947599999927</v>
      </c>
      <c r="W831">
        <v>4.1048824593128218E-2</v>
      </c>
    </row>
    <row r="832" spans="1:23" x14ac:dyDescent="0.25">
      <c r="A832" t="s">
        <v>1753</v>
      </c>
      <c r="B832" t="s">
        <v>44</v>
      </c>
      <c r="C832" t="s">
        <v>138</v>
      </c>
      <c r="D832" t="s">
        <v>33</v>
      </c>
      <c r="E832" t="s">
        <v>88</v>
      </c>
      <c r="F832" s="1">
        <v>46345</v>
      </c>
      <c r="G832">
        <v>46390</v>
      </c>
      <c r="H832" t="s">
        <v>9</v>
      </c>
      <c r="I832">
        <v>779784.21</v>
      </c>
      <c r="J832" t="s">
        <v>84</v>
      </c>
      <c r="K832" t="s">
        <v>1754</v>
      </c>
      <c r="L832">
        <v>45</v>
      </c>
      <c r="M832" t="s">
        <v>44</v>
      </c>
      <c r="N832">
        <v>1.1176999999999999</v>
      </c>
      <c r="O832">
        <v>1.320456022210408</v>
      </c>
      <c r="P832">
        <v>6.3200452360757699E-3</v>
      </c>
      <c r="Q832">
        <v>6.3200452360757699E-3</v>
      </c>
      <c r="R832">
        <v>4928.2714815776071</v>
      </c>
      <c r="S832" t="s">
        <v>23</v>
      </c>
      <c r="T832">
        <v>6.8799999999999998E-3</v>
      </c>
      <c r="U832">
        <v>5364.9153647999992</v>
      </c>
      <c r="V832">
        <v>-436.64388322239211</v>
      </c>
      <c r="W832">
        <v>-8.138877382619622E-2</v>
      </c>
    </row>
    <row r="833" spans="1:23" x14ac:dyDescent="0.25">
      <c r="A833" t="s">
        <v>1755</v>
      </c>
      <c r="B833" t="s">
        <v>37</v>
      </c>
      <c r="C833" t="s">
        <v>91</v>
      </c>
      <c r="D833" t="s">
        <v>31</v>
      </c>
      <c r="E833" t="s">
        <v>74</v>
      </c>
      <c r="F833" s="1">
        <v>46012</v>
      </c>
      <c r="G833">
        <v>46042</v>
      </c>
      <c r="H833" t="s">
        <v>6</v>
      </c>
      <c r="I833">
        <v>14113.96</v>
      </c>
      <c r="J833" t="s">
        <v>75</v>
      </c>
      <c r="K833" t="s">
        <v>1756</v>
      </c>
      <c r="L833">
        <v>30</v>
      </c>
      <c r="M833" t="s">
        <v>37</v>
      </c>
      <c r="N833">
        <v>1.1555</v>
      </c>
      <c r="O833">
        <v>1.3367963164349013</v>
      </c>
      <c r="P833">
        <v>6.2983756677204832E-3</v>
      </c>
      <c r="Q833">
        <v>1.1555</v>
      </c>
      <c r="R833">
        <v>16308.680779999999</v>
      </c>
      <c r="S833" t="s">
        <v>14</v>
      </c>
      <c r="T833">
        <v>1.1060000000000001</v>
      </c>
      <c r="U833">
        <v>15610.03976</v>
      </c>
      <c r="V833">
        <v>698.64101999999912</v>
      </c>
      <c r="W833">
        <v>4.4755877034357988E-2</v>
      </c>
    </row>
    <row r="834" spans="1:23" x14ac:dyDescent="0.25">
      <c r="A834" t="s">
        <v>1757</v>
      </c>
      <c r="B834" t="s">
        <v>24</v>
      </c>
      <c r="C834" t="s">
        <v>73</v>
      </c>
      <c r="D834" t="s">
        <v>31</v>
      </c>
      <c r="E834" t="s">
        <v>74</v>
      </c>
      <c r="F834" s="1">
        <v>46132</v>
      </c>
      <c r="G834">
        <v>46162</v>
      </c>
      <c r="H834" t="s">
        <v>6</v>
      </c>
      <c r="I834">
        <v>39974.49</v>
      </c>
      <c r="J834" t="s">
        <v>75</v>
      </c>
      <c r="K834" t="s">
        <v>1758</v>
      </c>
      <c r="L834">
        <v>30</v>
      </c>
      <c r="M834" t="s">
        <v>24</v>
      </c>
      <c r="N834">
        <v>1.1759999999999999</v>
      </c>
      <c r="O834">
        <v>1.3510253317249699</v>
      </c>
      <c r="P834">
        <v>6.2928082191780824E-3</v>
      </c>
      <c r="Q834">
        <v>1.1759999999999999</v>
      </c>
      <c r="R834">
        <v>47010.000239999994</v>
      </c>
      <c r="S834" t="s">
        <v>19</v>
      </c>
      <c r="T834">
        <v>1.083</v>
      </c>
      <c r="U834">
        <v>43292.372669999997</v>
      </c>
      <c r="V834">
        <v>3717.6275699999969</v>
      </c>
      <c r="W834">
        <v>8.5872576177285248E-2</v>
      </c>
    </row>
    <row r="835" spans="1:23" x14ac:dyDescent="0.25">
      <c r="A835" t="s">
        <v>1759</v>
      </c>
      <c r="B835" t="s">
        <v>30</v>
      </c>
      <c r="C835" t="s">
        <v>103</v>
      </c>
      <c r="D835" t="s">
        <v>31</v>
      </c>
      <c r="E835" t="s">
        <v>74</v>
      </c>
      <c r="F835" s="1">
        <v>46114</v>
      </c>
      <c r="G835">
        <v>46144</v>
      </c>
      <c r="H835" t="s">
        <v>9</v>
      </c>
      <c r="I835">
        <v>3768408.4</v>
      </c>
      <c r="J835" t="s">
        <v>75</v>
      </c>
      <c r="K835" t="s">
        <v>1760</v>
      </c>
      <c r="L835">
        <v>30</v>
      </c>
      <c r="M835" t="s">
        <v>30</v>
      </c>
      <c r="N835">
        <v>1.1525000000000001</v>
      </c>
      <c r="O835">
        <v>1.3208714886594157</v>
      </c>
      <c r="P835">
        <v>6.2656300967706864E-3</v>
      </c>
      <c r="Q835">
        <v>6.2656300967706864E-3</v>
      </c>
      <c r="R835">
        <v>23611.453087963466</v>
      </c>
      <c r="S835" t="s">
        <v>19</v>
      </c>
      <c r="T835">
        <v>6.6E-3</v>
      </c>
      <c r="U835">
        <v>24871.495439999999</v>
      </c>
      <c r="V835">
        <v>-1260.042352036533</v>
      </c>
      <c r="W835">
        <v>-5.0662106549896023E-2</v>
      </c>
    </row>
    <row r="836" spans="1:23" x14ac:dyDescent="0.25">
      <c r="A836" t="s">
        <v>1761</v>
      </c>
      <c r="B836" t="s">
        <v>22</v>
      </c>
      <c r="C836" t="s">
        <v>127</v>
      </c>
      <c r="D836" t="s">
        <v>31</v>
      </c>
      <c r="E836" t="s">
        <v>124</v>
      </c>
      <c r="F836" s="1">
        <v>45812</v>
      </c>
      <c r="G836">
        <v>45872</v>
      </c>
      <c r="H836" t="s">
        <v>9</v>
      </c>
      <c r="I836">
        <v>4921085.96</v>
      </c>
      <c r="J836" t="s">
        <v>75</v>
      </c>
      <c r="K836" t="s">
        <v>1762</v>
      </c>
      <c r="L836">
        <v>60</v>
      </c>
      <c r="M836" t="s">
        <v>22</v>
      </c>
      <c r="N836">
        <v>1.1384000000000001</v>
      </c>
      <c r="O836">
        <v>1.3518584491153072</v>
      </c>
      <c r="P836">
        <v>6.9351203167834297E-3</v>
      </c>
      <c r="Q836">
        <v>6.9351203167834297E-3</v>
      </c>
      <c r="R836">
        <v>34128.323221833685</v>
      </c>
      <c r="S836" t="s">
        <v>12</v>
      </c>
      <c r="T836">
        <v>6.7000000000000002E-3</v>
      </c>
      <c r="U836">
        <v>32971.275932000004</v>
      </c>
      <c r="V836">
        <v>1157.0472898336811</v>
      </c>
      <c r="W836">
        <v>3.5092584594541523E-2</v>
      </c>
    </row>
    <row r="837" spans="1:23" x14ac:dyDescent="0.25">
      <c r="A837" t="s">
        <v>1763</v>
      </c>
      <c r="B837" t="s">
        <v>26</v>
      </c>
      <c r="C837" t="s">
        <v>94</v>
      </c>
      <c r="D837" t="s">
        <v>31</v>
      </c>
      <c r="E837" t="s">
        <v>74</v>
      </c>
      <c r="F837" s="1">
        <v>45855</v>
      </c>
      <c r="G837">
        <v>45885</v>
      </c>
      <c r="H837" t="s">
        <v>8</v>
      </c>
      <c r="I837">
        <v>14134.77</v>
      </c>
      <c r="J837" t="s">
        <v>75</v>
      </c>
      <c r="K837" t="s">
        <v>1764</v>
      </c>
      <c r="L837">
        <v>30</v>
      </c>
      <c r="M837" t="s">
        <v>26</v>
      </c>
      <c r="N837">
        <v>1.1578999999999999</v>
      </c>
      <c r="O837">
        <v>1.3395418787598334</v>
      </c>
      <c r="P837">
        <v>6.7210355235662869E-3</v>
      </c>
      <c r="Q837">
        <v>1.3395418787598334</v>
      </c>
      <c r="R837">
        <v>18934.116361638131</v>
      </c>
      <c r="S837" t="s">
        <v>13</v>
      </c>
      <c r="T837">
        <v>1.282</v>
      </c>
      <c r="U837">
        <v>18120.775140000002</v>
      </c>
      <c r="V837">
        <v>813.34122163812935</v>
      </c>
      <c r="W837">
        <v>4.4884460811102436E-2</v>
      </c>
    </row>
    <row r="838" spans="1:23" x14ac:dyDescent="0.25">
      <c r="A838" t="s">
        <v>1765</v>
      </c>
      <c r="B838" t="s">
        <v>37</v>
      </c>
      <c r="C838" t="s">
        <v>91</v>
      </c>
      <c r="D838" t="s">
        <v>31</v>
      </c>
      <c r="E838" t="s">
        <v>74</v>
      </c>
      <c r="F838" s="1">
        <v>46146</v>
      </c>
      <c r="G838">
        <v>46176</v>
      </c>
      <c r="H838" t="s">
        <v>6</v>
      </c>
      <c r="I838">
        <v>2896.55</v>
      </c>
      <c r="J838" t="s">
        <v>75</v>
      </c>
      <c r="K838" t="s">
        <v>1766</v>
      </c>
      <c r="L838">
        <v>30</v>
      </c>
      <c r="M838" t="s">
        <v>37</v>
      </c>
      <c r="N838">
        <v>1.17</v>
      </c>
      <c r="O838">
        <v>1.354825262280275</v>
      </c>
      <c r="P838">
        <v>6.3645759669259637E-3</v>
      </c>
      <c r="Q838">
        <v>1.17</v>
      </c>
      <c r="R838">
        <v>3388.9634999999998</v>
      </c>
      <c r="S838" t="s">
        <v>19</v>
      </c>
      <c r="T838">
        <v>1.083</v>
      </c>
      <c r="U838">
        <v>3136.9636500000001</v>
      </c>
      <c r="V838">
        <v>251.9998499999997</v>
      </c>
      <c r="W838">
        <v>8.0332409972299068E-2</v>
      </c>
    </row>
    <row r="839" spans="1:23" x14ac:dyDescent="0.25">
      <c r="A839" t="s">
        <v>1767</v>
      </c>
      <c r="B839" t="s">
        <v>30</v>
      </c>
      <c r="C839" t="s">
        <v>103</v>
      </c>
      <c r="D839" t="s">
        <v>31</v>
      </c>
      <c r="E839" t="s">
        <v>74</v>
      </c>
      <c r="F839" s="1">
        <v>45744</v>
      </c>
      <c r="G839">
        <v>45774</v>
      </c>
      <c r="H839" t="s">
        <v>9</v>
      </c>
      <c r="I839">
        <v>702669.89</v>
      </c>
      <c r="J839" t="s">
        <v>75</v>
      </c>
      <c r="K839" t="s">
        <v>1768</v>
      </c>
      <c r="L839">
        <v>30</v>
      </c>
      <c r="M839" t="s">
        <v>30</v>
      </c>
      <c r="N839">
        <v>1.0797000000000001</v>
      </c>
      <c r="O839">
        <v>1.2952566040452027</v>
      </c>
      <c r="P839">
        <v>6.6385882931628152E-3</v>
      </c>
      <c r="Q839">
        <v>6.6385882931628152E-3</v>
      </c>
      <c r="R839">
        <v>4664.7361057120033</v>
      </c>
      <c r="S839" t="s">
        <v>11</v>
      </c>
      <c r="T839">
        <v>6.5599999999999999E-3</v>
      </c>
      <c r="U839">
        <v>4609.5144784000004</v>
      </c>
      <c r="V839">
        <v>55.221627312002965</v>
      </c>
      <c r="W839">
        <v>1.1979922738233992E-2</v>
      </c>
    </row>
    <row r="840" spans="1:23" x14ac:dyDescent="0.25">
      <c r="A840" t="s">
        <v>1769</v>
      </c>
      <c r="B840" t="s">
        <v>24</v>
      </c>
      <c r="C840" t="s">
        <v>73</v>
      </c>
      <c r="D840" t="s">
        <v>31</v>
      </c>
      <c r="E840" t="s">
        <v>74</v>
      </c>
      <c r="F840" s="1">
        <v>45998</v>
      </c>
      <c r="G840">
        <v>46028</v>
      </c>
      <c r="H840" t="s">
        <v>6</v>
      </c>
      <c r="I840">
        <v>13969.24</v>
      </c>
      <c r="J840" t="s">
        <v>75</v>
      </c>
      <c r="K840" t="s">
        <v>1770</v>
      </c>
      <c r="L840">
        <v>30</v>
      </c>
      <c r="M840" t="s">
        <v>24</v>
      </c>
      <c r="N840">
        <v>1.1555</v>
      </c>
      <c r="O840">
        <v>1.3367963164349013</v>
      </c>
      <c r="P840">
        <v>6.2983756677204832E-3</v>
      </c>
      <c r="Q840">
        <v>1.1555</v>
      </c>
      <c r="R840">
        <v>16141.456819999999</v>
      </c>
      <c r="S840" t="s">
        <v>14</v>
      </c>
      <c r="T840">
        <v>1.1060000000000001</v>
      </c>
      <c r="U840">
        <v>15449.979440000001</v>
      </c>
      <c r="V840">
        <v>691.47737999999845</v>
      </c>
      <c r="W840">
        <v>4.4755877034357947E-2</v>
      </c>
    </row>
    <row r="841" spans="1:23" x14ac:dyDescent="0.25">
      <c r="A841" t="s">
        <v>1771</v>
      </c>
      <c r="B841" t="s">
        <v>24</v>
      </c>
      <c r="C841" t="s">
        <v>73</v>
      </c>
      <c r="D841" t="s">
        <v>31</v>
      </c>
      <c r="E841" t="s">
        <v>74</v>
      </c>
      <c r="F841" s="1">
        <v>46200</v>
      </c>
      <c r="G841">
        <v>46230</v>
      </c>
      <c r="H841" t="s">
        <v>6</v>
      </c>
      <c r="I841">
        <v>17332.740000000002</v>
      </c>
      <c r="J841" t="s">
        <v>75</v>
      </c>
      <c r="K841" t="s">
        <v>1772</v>
      </c>
      <c r="L841">
        <v>30</v>
      </c>
      <c r="M841" t="s">
        <v>24</v>
      </c>
      <c r="N841">
        <v>1.1400999999999999</v>
      </c>
      <c r="O841">
        <v>1.3218090964951943</v>
      </c>
      <c r="P841">
        <v>6.1861096039066733E-3</v>
      </c>
      <c r="Q841">
        <v>1.1400999999999999</v>
      </c>
      <c r="R841">
        <v>19761.056874000002</v>
      </c>
      <c r="S841" t="s">
        <v>19</v>
      </c>
      <c r="T841">
        <v>1.083</v>
      </c>
      <c r="U841">
        <v>18771.35742</v>
      </c>
      <c r="V841">
        <v>989.69945400000142</v>
      </c>
      <c r="W841">
        <v>5.2723915050784935E-2</v>
      </c>
    </row>
    <row r="842" spans="1:23" x14ac:dyDescent="0.25">
      <c r="A842" t="s">
        <v>1773</v>
      </c>
      <c r="B842" t="s">
        <v>28</v>
      </c>
      <c r="C842" t="s">
        <v>111</v>
      </c>
      <c r="D842" t="s">
        <v>31</v>
      </c>
      <c r="E842" t="s">
        <v>74</v>
      </c>
      <c r="F842" s="1">
        <v>45686</v>
      </c>
      <c r="G842">
        <v>45731</v>
      </c>
      <c r="H842" t="s">
        <v>9</v>
      </c>
      <c r="I842">
        <v>4610859.42</v>
      </c>
      <c r="J842" t="s">
        <v>75</v>
      </c>
      <c r="K842" t="s">
        <v>1774</v>
      </c>
      <c r="L842">
        <v>45</v>
      </c>
      <c r="M842" t="s">
        <v>28</v>
      </c>
      <c r="N842">
        <v>1.0396000000000001</v>
      </c>
      <c r="O842">
        <v>1.2417137465212666</v>
      </c>
      <c r="P842">
        <v>6.437151702786378E-3</v>
      </c>
      <c r="Q842">
        <v>6.437151702786378E-3</v>
      </c>
      <c r="R842">
        <v>29680.801566761609</v>
      </c>
      <c r="S842" t="s">
        <v>11</v>
      </c>
      <c r="T842">
        <v>6.5599999999999999E-3</v>
      </c>
      <c r="U842">
        <v>30247.237795199999</v>
      </c>
      <c r="V842">
        <v>-566.43622843838966</v>
      </c>
      <c r="W842">
        <v>-1.8726874575247288E-2</v>
      </c>
    </row>
    <row r="843" spans="1:23" x14ac:dyDescent="0.25">
      <c r="A843" t="s">
        <v>1775</v>
      </c>
      <c r="B843" t="s">
        <v>24</v>
      </c>
      <c r="C843" t="s">
        <v>73</v>
      </c>
      <c r="D843" t="s">
        <v>31</v>
      </c>
      <c r="E843" t="s">
        <v>74</v>
      </c>
      <c r="F843" s="1">
        <v>46064</v>
      </c>
      <c r="G843">
        <v>46094</v>
      </c>
      <c r="H843" t="s">
        <v>6</v>
      </c>
      <c r="I843">
        <v>43061.85</v>
      </c>
      <c r="J843" t="s">
        <v>75</v>
      </c>
      <c r="K843" t="s">
        <v>1776</v>
      </c>
      <c r="L843">
        <v>30</v>
      </c>
      <c r="M843" t="s">
        <v>24</v>
      </c>
      <c r="N843">
        <v>1.19</v>
      </c>
      <c r="O843">
        <v>1.3679733302678467</v>
      </c>
      <c r="P843">
        <v>6.5102029651512667E-3</v>
      </c>
      <c r="Q843">
        <v>1.19</v>
      </c>
      <c r="R843">
        <v>51243.601499999997</v>
      </c>
      <c r="S843" t="s">
        <v>16</v>
      </c>
      <c r="T843">
        <v>1.0649999999999999</v>
      </c>
      <c r="U843">
        <v>45860.870249999993</v>
      </c>
      <c r="V843">
        <v>5382.7312500000044</v>
      </c>
      <c r="W843">
        <v>0.11737089201877945</v>
      </c>
    </row>
    <row r="844" spans="1:23" x14ac:dyDescent="0.25">
      <c r="A844" t="s">
        <v>1775</v>
      </c>
      <c r="B844" t="s">
        <v>34</v>
      </c>
      <c r="C844" t="s">
        <v>177</v>
      </c>
      <c r="D844" t="s">
        <v>31</v>
      </c>
      <c r="E844" t="s">
        <v>74</v>
      </c>
      <c r="F844" s="1">
        <v>46259</v>
      </c>
      <c r="G844">
        <v>46319</v>
      </c>
      <c r="H844" t="s">
        <v>8</v>
      </c>
      <c r="I844">
        <v>6771.3</v>
      </c>
      <c r="J844" t="s">
        <v>75</v>
      </c>
      <c r="K844" t="s">
        <v>1777</v>
      </c>
      <c r="L844">
        <v>60</v>
      </c>
      <c r="M844" t="s">
        <v>34</v>
      </c>
      <c r="N844">
        <v>1.1661999999999999</v>
      </c>
      <c r="O844">
        <v>1.3631794272355346</v>
      </c>
      <c r="P844">
        <v>6.2800215401184701E-3</v>
      </c>
      <c r="Q844">
        <v>1.3631794272355346</v>
      </c>
      <c r="R844">
        <v>9230.4968556399763</v>
      </c>
      <c r="S844" t="s">
        <v>21</v>
      </c>
      <c r="T844">
        <v>1.2929999999999999</v>
      </c>
      <c r="U844">
        <v>8755.2909</v>
      </c>
      <c r="V844">
        <v>475.20595563997631</v>
      </c>
      <c r="W844">
        <v>5.4276432510080998E-2</v>
      </c>
    </row>
    <row r="845" spans="1:23" x14ac:dyDescent="0.25">
      <c r="A845" t="s">
        <v>1778</v>
      </c>
      <c r="B845" t="s">
        <v>40</v>
      </c>
      <c r="C845" t="s">
        <v>78</v>
      </c>
      <c r="D845" t="s">
        <v>33</v>
      </c>
      <c r="E845" t="s">
        <v>79</v>
      </c>
      <c r="F845" s="1">
        <v>45932</v>
      </c>
      <c r="G845">
        <v>45962</v>
      </c>
      <c r="H845" t="s">
        <v>9</v>
      </c>
      <c r="I845">
        <v>952636.41</v>
      </c>
      <c r="J845" t="s">
        <v>75</v>
      </c>
      <c r="K845" t="s">
        <v>1779</v>
      </c>
      <c r="L845">
        <v>30</v>
      </c>
      <c r="M845" t="s">
        <v>40</v>
      </c>
      <c r="N845">
        <v>1.1754</v>
      </c>
      <c r="O845">
        <v>1.3477812177502579</v>
      </c>
      <c r="P845">
        <v>6.8127282211789255E-3</v>
      </c>
      <c r="Q845">
        <v>6.8127282211789255E-3</v>
      </c>
      <c r="R845">
        <v>6490.0529549295779</v>
      </c>
      <c r="S845" t="s">
        <v>14</v>
      </c>
      <c r="T845">
        <v>6.9800000000000001E-3</v>
      </c>
      <c r="U845">
        <v>6649.4021418000002</v>
      </c>
      <c r="V845">
        <v>-159.34918687042227</v>
      </c>
      <c r="W845">
        <v>-2.3964438226514943E-2</v>
      </c>
    </row>
    <row r="846" spans="1:23" x14ac:dyDescent="0.25">
      <c r="A846" t="s">
        <v>1780</v>
      </c>
      <c r="B846" t="s">
        <v>36</v>
      </c>
      <c r="C846" t="s">
        <v>116</v>
      </c>
      <c r="D846" t="s">
        <v>31</v>
      </c>
      <c r="E846" t="s">
        <v>74</v>
      </c>
      <c r="F846" s="1">
        <v>45708</v>
      </c>
      <c r="G846">
        <v>45753</v>
      </c>
      <c r="H846" t="s">
        <v>6</v>
      </c>
      <c r="I846">
        <v>22296.04</v>
      </c>
      <c r="J846" t="s">
        <v>75</v>
      </c>
      <c r="K846" t="s">
        <v>1781</v>
      </c>
      <c r="L846">
        <v>45</v>
      </c>
      <c r="M846" t="s">
        <v>36</v>
      </c>
      <c r="N846">
        <v>1.0443</v>
      </c>
      <c r="O846">
        <v>1.2608816391582047</v>
      </c>
      <c r="P846">
        <v>6.6685823754789276E-3</v>
      </c>
      <c r="Q846">
        <v>1.0443</v>
      </c>
      <c r="R846">
        <v>23283.754572000002</v>
      </c>
      <c r="S846" t="s">
        <v>11</v>
      </c>
      <c r="T846">
        <v>1.052</v>
      </c>
      <c r="U846">
        <v>23455.434080000003</v>
      </c>
      <c r="V846">
        <v>-171.67950800000108</v>
      </c>
      <c r="W846">
        <v>-7.3193916349810336E-3</v>
      </c>
    </row>
    <row r="847" spans="1:23" x14ac:dyDescent="0.25">
      <c r="A847" t="s">
        <v>1782</v>
      </c>
      <c r="B847" t="s">
        <v>41</v>
      </c>
      <c r="C847" t="s">
        <v>172</v>
      </c>
      <c r="D847" t="s">
        <v>33</v>
      </c>
      <c r="E847" t="s">
        <v>83</v>
      </c>
      <c r="F847" s="1">
        <v>45697</v>
      </c>
      <c r="G847">
        <v>45727</v>
      </c>
      <c r="H847" t="s">
        <v>9</v>
      </c>
      <c r="I847">
        <v>1184324.58</v>
      </c>
      <c r="J847" t="s">
        <v>75</v>
      </c>
      <c r="K847" t="s">
        <v>1783</v>
      </c>
      <c r="L847">
        <v>30</v>
      </c>
      <c r="M847" t="s">
        <v>41</v>
      </c>
      <c r="N847">
        <v>1.0693999999999999</v>
      </c>
      <c r="O847">
        <v>1.2807185628742515</v>
      </c>
      <c r="P847">
        <v>6.6799925042163779E-3</v>
      </c>
      <c r="Q847">
        <v>6.6799925042163779E-3</v>
      </c>
      <c r="R847">
        <v>7911.2793169592105</v>
      </c>
      <c r="S847" t="s">
        <v>11</v>
      </c>
      <c r="T847">
        <v>6.5599999999999999E-3</v>
      </c>
      <c r="U847">
        <v>7769.1692448000003</v>
      </c>
      <c r="V847">
        <v>142.11007215921018</v>
      </c>
      <c r="W847">
        <v>1.8291540276886897E-2</v>
      </c>
    </row>
    <row r="848" spans="1:23" x14ac:dyDescent="0.25">
      <c r="A848" t="s">
        <v>1784</v>
      </c>
      <c r="B848" t="s">
        <v>41</v>
      </c>
      <c r="C848" t="s">
        <v>172</v>
      </c>
      <c r="D848" t="s">
        <v>33</v>
      </c>
      <c r="E848" t="s">
        <v>83</v>
      </c>
      <c r="F848" s="1">
        <v>45858</v>
      </c>
      <c r="G848">
        <v>45888</v>
      </c>
      <c r="H848" t="s">
        <v>9</v>
      </c>
      <c r="I848">
        <v>456619.32</v>
      </c>
      <c r="J848" t="s">
        <v>75</v>
      </c>
      <c r="K848" t="s">
        <v>1785</v>
      </c>
      <c r="L848">
        <v>30</v>
      </c>
      <c r="M848" t="s">
        <v>41</v>
      </c>
      <c r="N848">
        <v>1.1607000000000001</v>
      </c>
      <c r="O848">
        <v>1.3375201659368519</v>
      </c>
      <c r="P848">
        <v>6.5780674412014746E-3</v>
      </c>
      <c r="Q848">
        <v>6.5780674412014746E-3</v>
      </c>
      <c r="R848">
        <v>3003.6726819155574</v>
      </c>
      <c r="S848" t="s">
        <v>13</v>
      </c>
      <c r="T848">
        <v>6.8399999999999997E-3</v>
      </c>
      <c r="U848">
        <v>3123.2761488000001</v>
      </c>
      <c r="V848">
        <v>-119.6034668844427</v>
      </c>
      <c r="W848">
        <v>-3.8294233742474475E-2</v>
      </c>
    </row>
    <row r="849" spans="1:23" x14ac:dyDescent="0.25">
      <c r="A849" t="s">
        <v>1786</v>
      </c>
      <c r="B849" t="s">
        <v>30</v>
      </c>
      <c r="C849" t="s">
        <v>103</v>
      </c>
      <c r="D849" t="s">
        <v>31</v>
      </c>
      <c r="E849" t="s">
        <v>74</v>
      </c>
      <c r="F849" s="1">
        <v>46222</v>
      </c>
      <c r="G849">
        <v>46252</v>
      </c>
      <c r="H849" t="s">
        <v>9</v>
      </c>
      <c r="I849">
        <v>2406973.6800000002</v>
      </c>
      <c r="J849" t="s">
        <v>75</v>
      </c>
      <c r="K849" t="s">
        <v>1787</v>
      </c>
      <c r="L849">
        <v>30</v>
      </c>
      <c r="M849" t="s">
        <v>30</v>
      </c>
      <c r="N849">
        <v>1.1435</v>
      </c>
      <c r="O849">
        <v>1.3437448588685985</v>
      </c>
      <c r="P849">
        <v>6.1594398060867217E-3</v>
      </c>
      <c r="Q849">
        <v>6.1594398060867217E-3</v>
      </c>
      <c r="R849">
        <v>14825.609496795045</v>
      </c>
      <c r="S849" t="s">
        <v>21</v>
      </c>
      <c r="T849">
        <v>6.7400000000000003E-3</v>
      </c>
      <c r="U849">
        <v>16223.002603200002</v>
      </c>
      <c r="V849">
        <v>-1397.3931064049575</v>
      </c>
      <c r="W849">
        <v>-8.6136527286836559E-2</v>
      </c>
    </row>
    <row r="850" spans="1:23" x14ac:dyDescent="0.25">
      <c r="A850" t="s">
        <v>1788</v>
      </c>
      <c r="B850" t="s">
        <v>26</v>
      </c>
      <c r="C850" t="s">
        <v>94</v>
      </c>
      <c r="D850" t="s">
        <v>31</v>
      </c>
      <c r="E850" t="s">
        <v>74</v>
      </c>
      <c r="F850" s="1">
        <v>45900</v>
      </c>
      <c r="G850">
        <v>45930</v>
      </c>
      <c r="H850" t="s">
        <v>8</v>
      </c>
      <c r="I850">
        <v>26635.37</v>
      </c>
      <c r="J850" t="s">
        <v>75</v>
      </c>
      <c r="K850" t="s">
        <v>1789</v>
      </c>
      <c r="L850">
        <v>30</v>
      </c>
      <c r="M850" t="s">
        <v>26</v>
      </c>
      <c r="N850">
        <v>1.1718999999999999</v>
      </c>
      <c r="O850">
        <v>1.3399268236908299</v>
      </c>
      <c r="P850">
        <v>6.4196110654615168E-3</v>
      </c>
      <c r="Q850">
        <v>1.3399268236908299</v>
      </c>
      <c r="R850">
        <v>35689.44672193002</v>
      </c>
      <c r="S850" t="s">
        <v>13</v>
      </c>
      <c r="T850">
        <v>1.282</v>
      </c>
      <c r="U850">
        <v>34146.54434</v>
      </c>
      <c r="V850">
        <v>1542.9023819300201</v>
      </c>
      <c r="W850">
        <v>4.5184729868042048E-2</v>
      </c>
    </row>
    <row r="851" spans="1:23" x14ac:dyDescent="0.25">
      <c r="A851" t="s">
        <v>1790</v>
      </c>
      <c r="B851" t="s">
        <v>37</v>
      </c>
      <c r="C851" t="s">
        <v>91</v>
      </c>
      <c r="D851" t="s">
        <v>31</v>
      </c>
      <c r="E851" t="s">
        <v>74</v>
      </c>
      <c r="F851" s="1">
        <v>46284</v>
      </c>
      <c r="G851">
        <v>46314</v>
      </c>
      <c r="H851" t="s">
        <v>6</v>
      </c>
      <c r="I851">
        <v>19207.32</v>
      </c>
      <c r="J851" t="s">
        <v>75</v>
      </c>
      <c r="K851" t="s">
        <v>1791</v>
      </c>
      <c r="L851">
        <v>30</v>
      </c>
      <c r="M851" t="s">
        <v>37</v>
      </c>
      <c r="N851">
        <v>1.1459999999999999</v>
      </c>
      <c r="O851">
        <v>1.3344201210992082</v>
      </c>
      <c r="P851">
        <v>6.3335912457168119E-3</v>
      </c>
      <c r="Q851">
        <v>1.1459999999999999</v>
      </c>
      <c r="R851">
        <v>22011.588719999996</v>
      </c>
      <c r="S851" t="s">
        <v>21</v>
      </c>
      <c r="T851">
        <v>1.101</v>
      </c>
      <c r="U851">
        <v>21147.259320000001</v>
      </c>
      <c r="V851">
        <v>864.32939999999508</v>
      </c>
      <c r="W851">
        <v>4.0871934604904396E-2</v>
      </c>
    </row>
    <row r="852" spans="1:23" x14ac:dyDescent="0.25">
      <c r="A852" t="s">
        <v>1792</v>
      </c>
      <c r="B852" t="s">
        <v>36</v>
      </c>
      <c r="C852" t="s">
        <v>116</v>
      </c>
      <c r="D852" t="s">
        <v>31</v>
      </c>
      <c r="E852" t="s">
        <v>74</v>
      </c>
      <c r="F852" s="1">
        <v>45874</v>
      </c>
      <c r="G852">
        <v>45919</v>
      </c>
      <c r="H852" t="s">
        <v>6</v>
      </c>
      <c r="I852">
        <v>8205.4699999999993</v>
      </c>
      <c r="J852" t="s">
        <v>75</v>
      </c>
      <c r="K852" t="s">
        <v>1793</v>
      </c>
      <c r="L852">
        <v>45</v>
      </c>
      <c r="M852" t="s">
        <v>36</v>
      </c>
      <c r="N852">
        <v>1.1546000000000001</v>
      </c>
      <c r="O852">
        <v>1.3281950995053493</v>
      </c>
      <c r="P852">
        <v>6.7750264053514858E-3</v>
      </c>
      <c r="Q852">
        <v>1.1546000000000001</v>
      </c>
      <c r="R852">
        <v>9474.0356620000002</v>
      </c>
      <c r="S852" t="s">
        <v>13</v>
      </c>
      <c r="T852">
        <v>1.0880000000000001</v>
      </c>
      <c r="U852">
        <v>8927.5513599999995</v>
      </c>
      <c r="V852">
        <v>546.48430200000075</v>
      </c>
      <c r="W852">
        <v>6.1213235294117735E-2</v>
      </c>
    </row>
    <row r="853" spans="1:23" x14ac:dyDescent="0.25">
      <c r="A853" t="s">
        <v>1794</v>
      </c>
      <c r="B853" t="s">
        <v>43</v>
      </c>
      <c r="C853" t="s">
        <v>215</v>
      </c>
      <c r="D853" t="s">
        <v>35</v>
      </c>
      <c r="E853" t="s">
        <v>152</v>
      </c>
      <c r="F853" s="1">
        <v>45892</v>
      </c>
      <c r="G853">
        <v>45922</v>
      </c>
      <c r="H853" t="s">
        <v>6</v>
      </c>
      <c r="I853">
        <v>1676.16</v>
      </c>
      <c r="J853" t="s">
        <v>75</v>
      </c>
      <c r="K853" t="s">
        <v>1795</v>
      </c>
      <c r="L853">
        <v>30</v>
      </c>
      <c r="M853" t="s">
        <v>43</v>
      </c>
      <c r="N853">
        <v>1.1655</v>
      </c>
      <c r="O853">
        <v>1.3326091927738395</v>
      </c>
      <c r="P853">
        <v>6.4289260301174916E-3</v>
      </c>
      <c r="Q853">
        <v>1.1655</v>
      </c>
      <c r="R853">
        <v>1953.56448</v>
      </c>
      <c r="S853" t="s">
        <v>13</v>
      </c>
      <c r="T853">
        <v>1.0880000000000001</v>
      </c>
      <c r="U853">
        <v>1823.6620800000003</v>
      </c>
      <c r="V853">
        <v>129.90239999999972</v>
      </c>
      <c r="W853">
        <v>7.1231617647058654E-2</v>
      </c>
    </row>
    <row r="854" spans="1:23" x14ac:dyDescent="0.25">
      <c r="A854" t="s">
        <v>1796</v>
      </c>
      <c r="B854" t="s">
        <v>36</v>
      </c>
      <c r="C854" t="s">
        <v>116</v>
      </c>
      <c r="D854" t="s">
        <v>31</v>
      </c>
      <c r="E854" t="s">
        <v>74</v>
      </c>
      <c r="F854" s="1">
        <v>46267</v>
      </c>
      <c r="G854">
        <v>46312</v>
      </c>
      <c r="H854" t="s">
        <v>6</v>
      </c>
      <c r="I854">
        <v>19642.099999999999</v>
      </c>
      <c r="J854" t="s">
        <v>75</v>
      </c>
      <c r="K854" t="s">
        <v>1797</v>
      </c>
      <c r="L854">
        <v>45</v>
      </c>
      <c r="M854" t="s">
        <v>36</v>
      </c>
      <c r="N854">
        <v>1.1577999999999999</v>
      </c>
      <c r="O854">
        <v>1.3483172237102596</v>
      </c>
      <c r="P854">
        <v>6.2658296352419091E-3</v>
      </c>
      <c r="Q854">
        <v>1.1577999999999999</v>
      </c>
      <c r="R854">
        <v>22741.623379999997</v>
      </c>
      <c r="S854" t="s">
        <v>21</v>
      </c>
      <c r="T854">
        <v>1.101</v>
      </c>
      <c r="U854">
        <v>21625.952099999999</v>
      </c>
      <c r="V854">
        <v>1115.6712799999987</v>
      </c>
      <c r="W854">
        <v>5.1589464123524012E-2</v>
      </c>
    </row>
    <row r="855" spans="1:23" x14ac:dyDescent="0.25">
      <c r="A855" t="s">
        <v>1798</v>
      </c>
      <c r="B855" t="s">
        <v>36</v>
      </c>
      <c r="C855" t="s">
        <v>116</v>
      </c>
      <c r="D855" t="s">
        <v>31</v>
      </c>
      <c r="E855" t="s">
        <v>74</v>
      </c>
      <c r="F855" s="1">
        <v>46235</v>
      </c>
      <c r="G855">
        <v>46280</v>
      </c>
      <c r="H855" t="s">
        <v>6</v>
      </c>
      <c r="I855">
        <v>16312.24</v>
      </c>
      <c r="J855" t="s">
        <v>75</v>
      </c>
      <c r="K855" t="s">
        <v>1799</v>
      </c>
      <c r="L855">
        <v>45</v>
      </c>
      <c r="M855" t="s">
        <v>36</v>
      </c>
      <c r="N855">
        <v>1.1485000000000001</v>
      </c>
      <c r="O855">
        <v>1.3421289425402874</v>
      </c>
      <c r="P855">
        <v>6.2408302994077054E-3</v>
      </c>
      <c r="Q855">
        <v>1.1485000000000001</v>
      </c>
      <c r="R855">
        <v>18734.607640000002</v>
      </c>
      <c r="S855" t="s">
        <v>21</v>
      </c>
      <c r="T855">
        <v>1.101</v>
      </c>
      <c r="U855">
        <v>17959.776239999999</v>
      </c>
      <c r="V855">
        <v>774.83140000000276</v>
      </c>
      <c r="W855">
        <v>4.3142597638510603E-2</v>
      </c>
    </row>
    <row r="856" spans="1:23" x14ac:dyDescent="0.25">
      <c r="A856" t="s">
        <v>1800</v>
      </c>
      <c r="B856" t="s">
        <v>34</v>
      </c>
      <c r="C856" t="s">
        <v>177</v>
      </c>
      <c r="D856" t="s">
        <v>31</v>
      </c>
      <c r="E856" t="s">
        <v>74</v>
      </c>
      <c r="F856" s="1">
        <v>45899</v>
      </c>
      <c r="G856">
        <v>45959</v>
      </c>
      <c r="H856" t="s">
        <v>8</v>
      </c>
      <c r="I856">
        <v>4605.08</v>
      </c>
      <c r="J856" t="s">
        <v>75</v>
      </c>
      <c r="K856" t="s">
        <v>1801</v>
      </c>
      <c r="L856">
        <v>60</v>
      </c>
      <c r="M856" t="s">
        <v>34</v>
      </c>
      <c r="N856">
        <v>1.1721999999999999</v>
      </c>
      <c r="O856">
        <v>1.3343198634035287</v>
      </c>
      <c r="P856">
        <v>6.4272398289286102E-3</v>
      </c>
      <c r="Q856">
        <v>1.3343198634035287</v>
      </c>
      <c r="R856">
        <v>6144.6497165623223</v>
      </c>
      <c r="S856" t="s">
        <v>13</v>
      </c>
      <c r="T856">
        <v>1.282</v>
      </c>
      <c r="U856">
        <v>5903.7125599999999</v>
      </c>
      <c r="V856">
        <v>240.93715656232234</v>
      </c>
      <c r="W856">
        <v>4.0811125899788442E-2</v>
      </c>
    </row>
    <row r="857" spans="1:23" x14ac:dyDescent="0.25">
      <c r="A857" t="s">
        <v>1802</v>
      </c>
      <c r="B857" t="s">
        <v>32</v>
      </c>
      <c r="C857" t="s">
        <v>106</v>
      </c>
      <c r="D857" t="s">
        <v>31</v>
      </c>
      <c r="E857" t="s">
        <v>74</v>
      </c>
      <c r="F857" s="1">
        <v>45821</v>
      </c>
      <c r="G857">
        <v>45851</v>
      </c>
      <c r="H857" t="s">
        <v>6</v>
      </c>
      <c r="I857">
        <v>22174.65</v>
      </c>
      <c r="J857" t="s">
        <v>75</v>
      </c>
      <c r="K857" t="s">
        <v>1803</v>
      </c>
      <c r="L857">
        <v>30</v>
      </c>
      <c r="M857" t="s">
        <v>32</v>
      </c>
      <c r="N857">
        <v>1.1512</v>
      </c>
      <c r="O857">
        <v>1.3535567313345092</v>
      </c>
      <c r="P857">
        <v>6.9374472700976259E-3</v>
      </c>
      <c r="Q857">
        <v>1.1512</v>
      </c>
      <c r="R857">
        <v>25527.45708</v>
      </c>
      <c r="S857" t="s">
        <v>12</v>
      </c>
      <c r="T857">
        <v>1.07</v>
      </c>
      <c r="U857">
        <v>23726.875500000002</v>
      </c>
      <c r="V857">
        <v>1800.5815799999982</v>
      </c>
      <c r="W857">
        <v>7.5887850467289644E-2</v>
      </c>
    </row>
    <row r="858" spans="1:23" x14ac:dyDescent="0.25">
      <c r="A858" t="s">
        <v>1804</v>
      </c>
      <c r="B858" t="s">
        <v>44</v>
      </c>
      <c r="C858" t="s">
        <v>138</v>
      </c>
      <c r="D858" t="s">
        <v>33</v>
      </c>
      <c r="E858" t="s">
        <v>88</v>
      </c>
      <c r="F858" s="1">
        <v>46340</v>
      </c>
      <c r="G858">
        <v>46385</v>
      </c>
      <c r="H858" t="s">
        <v>9</v>
      </c>
      <c r="I858">
        <v>851908.68</v>
      </c>
      <c r="J858" t="s">
        <v>84</v>
      </c>
      <c r="K858" t="s">
        <v>1805</v>
      </c>
      <c r="L858">
        <v>45</v>
      </c>
      <c r="M858" t="s">
        <v>44</v>
      </c>
      <c r="N858">
        <v>1.1176999999999999</v>
      </c>
      <c r="O858">
        <v>1.320456022210408</v>
      </c>
      <c r="P858">
        <v>6.3200452360757699E-3</v>
      </c>
      <c r="Q858">
        <v>6.3200452360757699E-3</v>
      </c>
      <c r="R858">
        <v>5384.1013946055982</v>
      </c>
      <c r="S858" t="s">
        <v>23</v>
      </c>
      <c r="T858">
        <v>6.8799999999999998E-3</v>
      </c>
      <c r="U858">
        <v>5861.1317184</v>
      </c>
      <c r="V858">
        <v>-477.03032379440174</v>
      </c>
      <c r="W858">
        <v>-8.1388773826196109E-2</v>
      </c>
    </row>
    <row r="859" spans="1:23" x14ac:dyDescent="0.25">
      <c r="A859" t="s">
        <v>1806</v>
      </c>
      <c r="B859" t="s">
        <v>34</v>
      </c>
      <c r="C859" t="s">
        <v>177</v>
      </c>
      <c r="D859" t="s">
        <v>31</v>
      </c>
      <c r="E859" t="s">
        <v>74</v>
      </c>
      <c r="F859" s="1">
        <v>45669</v>
      </c>
      <c r="G859">
        <v>45729</v>
      </c>
      <c r="H859" t="s">
        <v>8</v>
      </c>
      <c r="I859">
        <v>24078.02</v>
      </c>
      <c r="J859" t="s">
        <v>75</v>
      </c>
      <c r="K859" t="s">
        <v>1807</v>
      </c>
      <c r="L859">
        <v>60</v>
      </c>
      <c r="M859" t="s">
        <v>34</v>
      </c>
      <c r="N859">
        <v>1.0471999999999999</v>
      </c>
      <c r="O859">
        <v>1.2405672112115431</v>
      </c>
      <c r="P859">
        <v>6.3892617449664421E-3</v>
      </c>
      <c r="Q859">
        <v>1.2405672112115431</v>
      </c>
      <c r="R859">
        <v>29870.402122895761</v>
      </c>
      <c r="S859" t="s">
        <v>11</v>
      </c>
      <c r="T859">
        <v>1.238</v>
      </c>
      <c r="U859">
        <v>29808.588759999999</v>
      </c>
      <c r="V859">
        <v>61.813362895762111</v>
      </c>
      <c r="W859">
        <v>2.0736762613434811E-3</v>
      </c>
    </row>
    <row r="860" spans="1:23" x14ac:dyDescent="0.25">
      <c r="A860" t="s">
        <v>1808</v>
      </c>
      <c r="B860" t="s">
        <v>28</v>
      </c>
      <c r="C860" t="s">
        <v>111</v>
      </c>
      <c r="D860" t="s">
        <v>31</v>
      </c>
      <c r="E860" t="s">
        <v>74</v>
      </c>
      <c r="F860" s="1">
        <v>45977</v>
      </c>
      <c r="G860">
        <v>46022</v>
      </c>
      <c r="H860" t="s">
        <v>9</v>
      </c>
      <c r="I860">
        <v>4858168.6100000003</v>
      </c>
      <c r="J860" t="s">
        <v>75</v>
      </c>
      <c r="K860" t="s">
        <v>1809</v>
      </c>
      <c r="L860">
        <v>45</v>
      </c>
      <c r="M860" t="s">
        <v>28</v>
      </c>
      <c r="N860">
        <v>1.1555</v>
      </c>
      <c r="O860">
        <v>1.3367963164349013</v>
      </c>
      <c r="P860">
        <v>6.2983756677204832E-3</v>
      </c>
      <c r="Q860">
        <v>6.2983756677204832E-3</v>
      </c>
      <c r="R860">
        <v>30598.570962907444</v>
      </c>
      <c r="S860" t="s">
        <v>14</v>
      </c>
      <c r="T860">
        <v>6.9800000000000001E-3</v>
      </c>
      <c r="U860">
        <v>33910.0168978</v>
      </c>
      <c r="V860">
        <v>-3311.4459348925557</v>
      </c>
      <c r="W860">
        <v>-9.765391579935763E-2</v>
      </c>
    </row>
    <row r="861" spans="1:23" x14ac:dyDescent="0.25">
      <c r="A861" t="s">
        <v>1810</v>
      </c>
      <c r="B861" t="s">
        <v>20</v>
      </c>
      <c r="C861" t="s">
        <v>123</v>
      </c>
      <c r="D861" t="s">
        <v>31</v>
      </c>
      <c r="E861" t="s">
        <v>124</v>
      </c>
      <c r="F861" s="1">
        <v>46332</v>
      </c>
      <c r="G861">
        <v>46377</v>
      </c>
      <c r="H861" t="s">
        <v>6</v>
      </c>
      <c r="I861">
        <v>15928.68</v>
      </c>
      <c r="J861" t="s">
        <v>84</v>
      </c>
      <c r="K861" t="s">
        <v>1811</v>
      </c>
      <c r="L861">
        <v>45</v>
      </c>
      <c r="M861" t="s">
        <v>20</v>
      </c>
      <c r="N861">
        <v>1.1176999999999999</v>
      </c>
      <c r="O861">
        <v>1.320456022210408</v>
      </c>
      <c r="P861">
        <v>6.3200452360757699E-3</v>
      </c>
      <c r="Q861">
        <v>1.1176999999999999</v>
      </c>
      <c r="R861">
        <v>17803.485635999998</v>
      </c>
      <c r="S861" t="s">
        <v>23</v>
      </c>
      <c r="T861">
        <v>1.119</v>
      </c>
      <c r="U861">
        <v>17824.192920000001</v>
      </c>
      <c r="V861">
        <v>-20.70728400000371</v>
      </c>
      <c r="W861">
        <v>-1.1617515638965442E-3</v>
      </c>
    </row>
    <row r="862" spans="1:23" x14ac:dyDescent="0.25">
      <c r="A862" t="s">
        <v>1812</v>
      </c>
      <c r="B862" t="s">
        <v>38</v>
      </c>
      <c r="C862" t="s">
        <v>87</v>
      </c>
      <c r="D862" t="s">
        <v>33</v>
      </c>
      <c r="E862" t="s">
        <v>88</v>
      </c>
      <c r="F862" s="1">
        <v>46180</v>
      </c>
      <c r="G862">
        <v>46210</v>
      </c>
      <c r="H862" t="s">
        <v>6</v>
      </c>
      <c r="I862">
        <v>4783.1000000000004</v>
      </c>
      <c r="J862" t="s">
        <v>75</v>
      </c>
      <c r="K862" t="s">
        <v>1813</v>
      </c>
      <c r="L862">
        <v>30</v>
      </c>
      <c r="M862" t="s">
        <v>38</v>
      </c>
      <c r="N862">
        <v>1.1639999999999999</v>
      </c>
      <c r="O862">
        <v>1.3467078546388531</v>
      </c>
      <c r="P862">
        <v>6.2553740326741179E-3</v>
      </c>
      <c r="Q862">
        <v>1.1639999999999999</v>
      </c>
      <c r="R862">
        <v>5567.5284000000001</v>
      </c>
      <c r="S862" t="s">
        <v>19</v>
      </c>
      <c r="T862">
        <v>1.083</v>
      </c>
      <c r="U862">
        <v>5180.0973000000004</v>
      </c>
      <c r="V862">
        <v>387.43109999999979</v>
      </c>
      <c r="W862">
        <v>7.4792243767312971E-2</v>
      </c>
    </row>
    <row r="863" spans="1:23" x14ac:dyDescent="0.25">
      <c r="A863" t="s">
        <v>1814</v>
      </c>
      <c r="B863" t="s">
        <v>34</v>
      </c>
      <c r="C863" t="s">
        <v>177</v>
      </c>
      <c r="D863" t="s">
        <v>31</v>
      </c>
      <c r="E863" t="s">
        <v>74</v>
      </c>
      <c r="F863" s="1">
        <v>45758</v>
      </c>
      <c r="G863">
        <v>45818</v>
      </c>
      <c r="H863" t="s">
        <v>8</v>
      </c>
      <c r="I863">
        <v>3830.89</v>
      </c>
      <c r="J863" t="s">
        <v>75</v>
      </c>
      <c r="K863" t="s">
        <v>1815</v>
      </c>
      <c r="L863">
        <v>60</v>
      </c>
      <c r="M863" t="s">
        <v>34</v>
      </c>
      <c r="N863">
        <v>1.1346000000000001</v>
      </c>
      <c r="O863">
        <v>1.3089826714968043</v>
      </c>
      <c r="P863">
        <v>7.0006787190720066E-3</v>
      </c>
      <c r="Q863">
        <v>1.3089826714968043</v>
      </c>
      <c r="R863">
        <v>5014.5686264103924</v>
      </c>
      <c r="S863" t="s">
        <v>12</v>
      </c>
      <c r="T863">
        <v>1.26</v>
      </c>
      <c r="U863">
        <v>4826.9214000000002</v>
      </c>
      <c r="V863">
        <v>187.64722641039225</v>
      </c>
      <c r="W863">
        <v>3.8875136108574765E-2</v>
      </c>
    </row>
    <row r="864" spans="1:23" x14ac:dyDescent="0.25">
      <c r="A864" t="s">
        <v>1816</v>
      </c>
      <c r="B864" t="s">
        <v>38</v>
      </c>
      <c r="C864" t="s">
        <v>87</v>
      </c>
      <c r="D864" t="s">
        <v>33</v>
      </c>
      <c r="E864" t="s">
        <v>88</v>
      </c>
      <c r="F864" s="1">
        <v>45931</v>
      </c>
      <c r="G864">
        <v>45961</v>
      </c>
      <c r="H864" t="s">
        <v>6</v>
      </c>
      <c r="I864">
        <v>3826.62</v>
      </c>
      <c r="J864" t="s">
        <v>75</v>
      </c>
      <c r="K864" t="s">
        <v>1817</v>
      </c>
      <c r="L864">
        <v>30</v>
      </c>
      <c r="M864" t="s">
        <v>38</v>
      </c>
      <c r="N864">
        <v>1.1724000000000001</v>
      </c>
      <c r="O864">
        <v>1.3469669117647061</v>
      </c>
      <c r="P864">
        <v>6.7977039485127852E-3</v>
      </c>
      <c r="Q864">
        <v>1.1724000000000001</v>
      </c>
      <c r="R864">
        <v>4486.3292879999999</v>
      </c>
      <c r="S864" t="s">
        <v>14</v>
      </c>
      <c r="T864">
        <v>1.1060000000000001</v>
      </c>
      <c r="U864">
        <v>4232.24172</v>
      </c>
      <c r="V864">
        <v>254.08756799999992</v>
      </c>
      <c r="W864">
        <v>6.0036166365280273E-2</v>
      </c>
    </row>
    <row r="865" spans="1:23" x14ac:dyDescent="0.25">
      <c r="A865" t="s">
        <v>1818</v>
      </c>
      <c r="B865" t="s">
        <v>24</v>
      </c>
      <c r="C865" t="s">
        <v>73</v>
      </c>
      <c r="D865" t="s">
        <v>31</v>
      </c>
      <c r="E865" t="s">
        <v>74</v>
      </c>
      <c r="F865" s="1">
        <v>46343</v>
      </c>
      <c r="G865">
        <v>46373</v>
      </c>
      <c r="H865" t="s">
        <v>6</v>
      </c>
      <c r="I865">
        <v>32655.599999999999</v>
      </c>
      <c r="J865" t="s">
        <v>84</v>
      </c>
      <c r="K865" t="s">
        <v>1819</v>
      </c>
      <c r="L865">
        <v>30</v>
      </c>
      <c r="M865" t="s">
        <v>24</v>
      </c>
      <c r="N865">
        <v>1.1176999999999999</v>
      </c>
      <c r="O865">
        <v>1.320456022210408</v>
      </c>
      <c r="P865">
        <v>6.3200452360757699E-3</v>
      </c>
      <c r="Q865">
        <v>1.1176999999999999</v>
      </c>
      <c r="R865">
        <v>36499.164119999994</v>
      </c>
      <c r="S865" t="s">
        <v>23</v>
      </c>
      <c r="T865">
        <v>1.119</v>
      </c>
      <c r="U865">
        <v>36541.616399999999</v>
      </c>
      <c r="V865">
        <v>-42.452280000004976</v>
      </c>
      <c r="W865">
        <v>-1.1617515638964722E-3</v>
      </c>
    </row>
    <row r="866" spans="1:23" x14ac:dyDescent="0.25">
      <c r="A866" t="s">
        <v>1820</v>
      </c>
      <c r="B866" t="s">
        <v>30</v>
      </c>
      <c r="C866" t="s">
        <v>103</v>
      </c>
      <c r="D866" t="s">
        <v>31</v>
      </c>
      <c r="E866" t="s">
        <v>74</v>
      </c>
      <c r="F866" s="1">
        <v>45934</v>
      </c>
      <c r="G866">
        <v>45964</v>
      </c>
      <c r="H866" t="s">
        <v>9</v>
      </c>
      <c r="I866">
        <v>2063873.92</v>
      </c>
      <c r="J866" t="s">
        <v>75</v>
      </c>
      <c r="K866" t="s">
        <v>1821</v>
      </c>
      <c r="L866">
        <v>30</v>
      </c>
      <c r="M866" t="s">
        <v>30</v>
      </c>
      <c r="N866">
        <v>1.1886000000000001</v>
      </c>
      <c r="O866">
        <v>1.3660498793242157</v>
      </c>
      <c r="P866">
        <v>6.4023700511715602E-3</v>
      </c>
      <c r="Q866">
        <v>6.4023700511715602E-3</v>
      </c>
      <c r="R866">
        <v>13213.684574802048</v>
      </c>
      <c r="S866" t="s">
        <v>14</v>
      </c>
      <c r="T866">
        <v>6.9800000000000001E-3</v>
      </c>
      <c r="U866">
        <v>14405.839961599999</v>
      </c>
      <c r="V866">
        <v>-1192.155386797951</v>
      </c>
      <c r="W866">
        <v>-8.2755006995478456E-2</v>
      </c>
    </row>
    <row r="867" spans="1:23" x14ac:dyDescent="0.25">
      <c r="A867" t="s">
        <v>1822</v>
      </c>
      <c r="B867" t="s">
        <v>41</v>
      </c>
      <c r="C867" t="s">
        <v>172</v>
      </c>
      <c r="D867" t="s">
        <v>33</v>
      </c>
      <c r="E867" t="s">
        <v>83</v>
      </c>
      <c r="F867" s="1">
        <v>45730</v>
      </c>
      <c r="G867">
        <v>45760</v>
      </c>
      <c r="H867" t="s">
        <v>9</v>
      </c>
      <c r="I867">
        <v>322326.46000000002</v>
      </c>
      <c r="J867" t="s">
        <v>75</v>
      </c>
      <c r="K867" t="s">
        <v>1823</v>
      </c>
      <c r="L867">
        <v>30</v>
      </c>
      <c r="M867" t="s">
        <v>41</v>
      </c>
      <c r="N867">
        <v>1.0889</v>
      </c>
      <c r="O867">
        <v>1.2934915600536925</v>
      </c>
      <c r="P867">
        <v>6.7265875957499381E-3</v>
      </c>
      <c r="Q867">
        <v>6.7265875957499381E-3</v>
      </c>
      <c r="R867">
        <v>2168.1571676179888</v>
      </c>
      <c r="S867" t="s">
        <v>11</v>
      </c>
      <c r="T867">
        <v>6.5599999999999999E-3</v>
      </c>
      <c r="U867">
        <v>2114.4615776000001</v>
      </c>
      <c r="V867">
        <v>53.695590017988707</v>
      </c>
      <c r="W867">
        <v>2.5394450571636959E-2</v>
      </c>
    </row>
    <row r="868" spans="1:23" x14ac:dyDescent="0.25">
      <c r="A868" t="s">
        <v>1824</v>
      </c>
      <c r="B868" t="s">
        <v>22</v>
      </c>
      <c r="C868" t="s">
        <v>127</v>
      </c>
      <c r="D868" t="s">
        <v>31</v>
      </c>
      <c r="E868" t="s">
        <v>124</v>
      </c>
      <c r="F868" s="1">
        <v>46214</v>
      </c>
      <c r="G868">
        <v>46274</v>
      </c>
      <c r="H868" t="s">
        <v>9</v>
      </c>
      <c r="I868">
        <v>7265785.0499999998</v>
      </c>
      <c r="J868" t="s">
        <v>75</v>
      </c>
      <c r="K868" t="s">
        <v>1825</v>
      </c>
      <c r="L868">
        <v>60</v>
      </c>
      <c r="M868" t="s">
        <v>22</v>
      </c>
      <c r="N868">
        <v>1.143</v>
      </c>
      <c r="O868">
        <v>1.3422582349832657</v>
      </c>
      <c r="P868">
        <v>6.1777105177818611E-3</v>
      </c>
      <c r="Q868">
        <v>6.1777105177818611E-3</v>
      </c>
      <c r="R868">
        <v>44885.916723327202</v>
      </c>
      <c r="S868" t="s">
        <v>21</v>
      </c>
      <c r="T868">
        <v>6.7400000000000003E-3</v>
      </c>
      <c r="U868">
        <v>48971.391237000003</v>
      </c>
      <c r="V868">
        <v>-4085.4745136728015</v>
      </c>
      <c r="W868">
        <v>-8.3425739201504423E-2</v>
      </c>
    </row>
    <row r="869" spans="1:23" x14ac:dyDescent="0.25">
      <c r="A869" t="s">
        <v>1826</v>
      </c>
      <c r="B869" t="s">
        <v>34</v>
      </c>
      <c r="C869" t="s">
        <v>177</v>
      </c>
      <c r="D869" t="s">
        <v>31</v>
      </c>
      <c r="E869" t="s">
        <v>74</v>
      </c>
      <c r="F869" s="1">
        <v>46335</v>
      </c>
      <c r="G869">
        <v>46395</v>
      </c>
      <c r="H869" t="s">
        <v>8</v>
      </c>
      <c r="I869">
        <v>12579.97</v>
      </c>
      <c r="J869" t="s">
        <v>84</v>
      </c>
      <c r="K869" t="s">
        <v>1827</v>
      </c>
      <c r="L869">
        <v>60</v>
      </c>
      <c r="M869" t="s">
        <v>34</v>
      </c>
      <c r="N869">
        <v>1.1176999999999999</v>
      </c>
      <c r="O869">
        <v>1.320456022210408</v>
      </c>
      <c r="P869">
        <v>6.3200452360757699E-3</v>
      </c>
      <c r="Q869">
        <v>1.320456022210408</v>
      </c>
      <c r="R869">
        <v>16611.297145726265</v>
      </c>
      <c r="S869" t="s">
        <v>23</v>
      </c>
      <c r="T869">
        <v>1.3149999999999999</v>
      </c>
      <c r="U869">
        <v>16542.660549999997</v>
      </c>
      <c r="V869">
        <v>68.636595726267842</v>
      </c>
      <c r="W869">
        <v>4.149066319701993E-3</v>
      </c>
    </row>
    <row r="870" spans="1:23" x14ac:dyDescent="0.25">
      <c r="A870" t="s">
        <v>1828</v>
      </c>
      <c r="B870" t="s">
        <v>36</v>
      </c>
      <c r="C870" t="s">
        <v>116</v>
      </c>
      <c r="D870" t="s">
        <v>31</v>
      </c>
      <c r="E870" t="s">
        <v>74</v>
      </c>
      <c r="F870" s="1">
        <v>46190</v>
      </c>
      <c r="G870">
        <v>46235</v>
      </c>
      <c r="H870" t="s">
        <v>6</v>
      </c>
      <c r="I870">
        <v>15761.14</v>
      </c>
      <c r="J870" t="s">
        <v>75</v>
      </c>
      <c r="K870" t="s">
        <v>1829</v>
      </c>
      <c r="L870">
        <v>45</v>
      </c>
      <c r="M870" t="s">
        <v>36</v>
      </c>
      <c r="N870">
        <v>1.1591</v>
      </c>
      <c r="O870">
        <v>1.3405734244705827</v>
      </c>
      <c r="P870">
        <v>6.2377569691098918E-3</v>
      </c>
      <c r="Q870">
        <v>1.1591</v>
      </c>
      <c r="R870">
        <v>18268.737374</v>
      </c>
      <c r="S870" t="s">
        <v>19</v>
      </c>
      <c r="T870">
        <v>1.083</v>
      </c>
      <c r="U870">
        <v>17069.314619999997</v>
      </c>
      <c r="V870">
        <v>1199.4227540000029</v>
      </c>
      <c r="W870">
        <v>7.0267774699907845E-2</v>
      </c>
    </row>
    <row r="871" spans="1:23" x14ac:dyDescent="0.25">
      <c r="A871" t="s">
        <v>1830</v>
      </c>
      <c r="B871" t="s">
        <v>28</v>
      </c>
      <c r="C871" t="s">
        <v>111</v>
      </c>
      <c r="D871" t="s">
        <v>31</v>
      </c>
      <c r="E871" t="s">
        <v>74</v>
      </c>
      <c r="F871" s="1">
        <v>45788</v>
      </c>
      <c r="G871">
        <v>45833</v>
      </c>
      <c r="H871" t="s">
        <v>9</v>
      </c>
      <c r="I871">
        <v>1108267.93</v>
      </c>
      <c r="J871" t="s">
        <v>75</v>
      </c>
      <c r="K871" t="s">
        <v>1831</v>
      </c>
      <c r="L871">
        <v>45</v>
      </c>
      <c r="M871" t="s">
        <v>28</v>
      </c>
      <c r="N871">
        <v>1.1665000000000001</v>
      </c>
      <c r="O871">
        <v>1.3440488535545572</v>
      </c>
      <c r="P871">
        <v>6.7591841464827909E-3</v>
      </c>
      <c r="Q871">
        <v>6.7591841464827909E-3</v>
      </c>
      <c r="R871">
        <v>7490.9870225112991</v>
      </c>
      <c r="S871" t="s">
        <v>12</v>
      </c>
      <c r="T871">
        <v>6.7000000000000002E-3</v>
      </c>
      <c r="U871">
        <v>7425.3951310000002</v>
      </c>
      <c r="V871">
        <v>65.591891511298854</v>
      </c>
      <c r="W871">
        <v>8.8334546989239336E-3</v>
      </c>
    </row>
    <row r="872" spans="1:23" x14ac:dyDescent="0.25">
      <c r="A872" t="s">
        <v>1832</v>
      </c>
      <c r="B872" t="s">
        <v>24</v>
      </c>
      <c r="C872" t="s">
        <v>73</v>
      </c>
      <c r="D872" t="s">
        <v>31</v>
      </c>
      <c r="E872" t="s">
        <v>74</v>
      </c>
      <c r="F872" s="1">
        <v>46358</v>
      </c>
      <c r="G872">
        <v>46388</v>
      </c>
      <c r="H872" t="s">
        <v>6</v>
      </c>
      <c r="I872">
        <v>14875.6</v>
      </c>
      <c r="J872" t="s">
        <v>84</v>
      </c>
      <c r="K872" t="s">
        <v>1833</v>
      </c>
      <c r="L872">
        <v>30</v>
      </c>
      <c r="M872" t="s">
        <v>24</v>
      </c>
      <c r="N872">
        <v>1.1176999999999999</v>
      </c>
      <c r="O872">
        <v>1.320456022210408</v>
      </c>
      <c r="P872">
        <v>6.3200452360757699E-3</v>
      </c>
      <c r="Q872">
        <v>1.1176999999999999</v>
      </c>
      <c r="R872">
        <v>16626.458119999999</v>
      </c>
      <c r="S872" t="s">
        <v>23</v>
      </c>
      <c r="T872">
        <v>1.119</v>
      </c>
      <c r="U872">
        <v>16645.796399999999</v>
      </c>
      <c r="V872">
        <v>-19.338279999999941</v>
      </c>
      <c r="W872">
        <v>-1.1617515638963326E-3</v>
      </c>
    </row>
    <row r="873" spans="1:23" x14ac:dyDescent="0.25">
      <c r="A873" t="s">
        <v>1834</v>
      </c>
      <c r="B873" t="s">
        <v>26</v>
      </c>
      <c r="C873" t="s">
        <v>94</v>
      </c>
      <c r="D873" t="s">
        <v>31</v>
      </c>
      <c r="E873" t="s">
        <v>74</v>
      </c>
      <c r="F873" s="1">
        <v>45988</v>
      </c>
      <c r="G873">
        <v>46018</v>
      </c>
      <c r="H873" t="s">
        <v>8</v>
      </c>
      <c r="I873">
        <v>14330.81</v>
      </c>
      <c r="J873" t="s">
        <v>75</v>
      </c>
      <c r="K873" t="s">
        <v>1835</v>
      </c>
      <c r="L873">
        <v>30</v>
      </c>
      <c r="M873" t="s">
        <v>26</v>
      </c>
      <c r="N873">
        <v>1.1586000000000001</v>
      </c>
      <c r="O873">
        <v>1.3235092529129542</v>
      </c>
      <c r="P873">
        <v>6.3972171608414775E-3</v>
      </c>
      <c r="Q873">
        <v>1.3235092529129542</v>
      </c>
      <c r="R873">
        <v>18966.959636737491</v>
      </c>
      <c r="S873" t="s">
        <v>14</v>
      </c>
      <c r="T873">
        <v>1.304</v>
      </c>
      <c r="U873">
        <v>18687.376240000001</v>
      </c>
      <c r="V873">
        <v>279.58339673748924</v>
      </c>
      <c r="W873">
        <v>1.4961083522203929E-2</v>
      </c>
    </row>
    <row r="874" spans="1:23" x14ac:dyDescent="0.25">
      <c r="A874" t="s">
        <v>1836</v>
      </c>
      <c r="B874" t="s">
        <v>38</v>
      </c>
      <c r="C874" t="s">
        <v>87</v>
      </c>
      <c r="D874" t="s">
        <v>33</v>
      </c>
      <c r="E874" t="s">
        <v>88</v>
      </c>
      <c r="F874" s="1">
        <v>45667</v>
      </c>
      <c r="G874">
        <v>45697</v>
      </c>
      <c r="H874" t="s">
        <v>6</v>
      </c>
      <c r="I874">
        <v>8197.99</v>
      </c>
      <c r="J874" t="s">
        <v>75</v>
      </c>
      <c r="K874" t="s">
        <v>1837</v>
      </c>
      <c r="L874">
        <v>30</v>
      </c>
      <c r="M874" t="s">
        <v>38</v>
      </c>
      <c r="N874">
        <v>1.0304</v>
      </c>
      <c r="O874">
        <v>1.2311662863082935</v>
      </c>
      <c r="P874">
        <v>6.3269065454992016E-3</v>
      </c>
      <c r="Q874">
        <v>1.0304</v>
      </c>
      <c r="R874">
        <v>8447.2088960000001</v>
      </c>
      <c r="S874" t="s">
        <v>11</v>
      </c>
      <c r="T874">
        <v>1.052</v>
      </c>
      <c r="U874">
        <v>8624.2854800000005</v>
      </c>
      <c r="V874">
        <v>-177.07658400000037</v>
      </c>
      <c r="W874">
        <v>-2.0532319391635023E-2</v>
      </c>
    </row>
    <row r="875" spans="1:23" x14ac:dyDescent="0.25">
      <c r="A875" t="s">
        <v>1838</v>
      </c>
      <c r="B875" t="s">
        <v>37</v>
      </c>
      <c r="C875" t="s">
        <v>91</v>
      </c>
      <c r="D875" t="s">
        <v>31</v>
      </c>
      <c r="E875" t="s">
        <v>74</v>
      </c>
      <c r="F875" s="1">
        <v>45980</v>
      </c>
      <c r="G875">
        <v>46010</v>
      </c>
      <c r="H875" t="s">
        <v>6</v>
      </c>
      <c r="I875">
        <v>8798.64</v>
      </c>
      <c r="J875" t="s">
        <v>75</v>
      </c>
      <c r="K875" t="s">
        <v>1839</v>
      </c>
      <c r="L875">
        <v>30</v>
      </c>
      <c r="M875" t="s">
        <v>37</v>
      </c>
      <c r="N875">
        <v>1.1583000000000001</v>
      </c>
      <c r="O875">
        <v>1.3122238586156112</v>
      </c>
      <c r="P875">
        <v>6.4047553220901304E-3</v>
      </c>
      <c r="Q875">
        <v>1.1583000000000001</v>
      </c>
      <c r="R875">
        <v>10191.464712000001</v>
      </c>
      <c r="S875" t="s">
        <v>14</v>
      </c>
      <c r="T875">
        <v>1.1060000000000001</v>
      </c>
      <c r="U875">
        <v>9731.2958400000007</v>
      </c>
      <c r="V875">
        <v>460.16887200000019</v>
      </c>
      <c r="W875">
        <v>4.7287522603978317E-2</v>
      </c>
    </row>
    <row r="876" spans="1:23" x14ac:dyDescent="0.25">
      <c r="A876" t="s">
        <v>1840</v>
      </c>
      <c r="B876" t="s">
        <v>38</v>
      </c>
      <c r="C876" t="s">
        <v>87</v>
      </c>
      <c r="D876" t="s">
        <v>33</v>
      </c>
      <c r="E876" t="s">
        <v>88</v>
      </c>
      <c r="F876" s="1">
        <v>46205</v>
      </c>
      <c r="G876">
        <v>46235</v>
      </c>
      <c r="H876" t="s">
        <v>6</v>
      </c>
      <c r="I876">
        <v>4813.3599999999997</v>
      </c>
      <c r="J876" t="s">
        <v>75</v>
      </c>
      <c r="K876" t="s">
        <v>1841</v>
      </c>
      <c r="L876">
        <v>30</v>
      </c>
      <c r="M876" t="s">
        <v>38</v>
      </c>
      <c r="N876">
        <v>1.1398999999999999</v>
      </c>
      <c r="O876">
        <v>1.3306484561956458</v>
      </c>
      <c r="P876">
        <v>6.1887181714533899E-3</v>
      </c>
      <c r="Q876">
        <v>1.1398999999999999</v>
      </c>
      <c r="R876">
        <v>5486.7490639999996</v>
      </c>
      <c r="S876" t="s">
        <v>21</v>
      </c>
      <c r="T876">
        <v>1.101</v>
      </c>
      <c r="U876">
        <v>5299.5093599999991</v>
      </c>
      <c r="V876">
        <v>187.23970400000053</v>
      </c>
      <c r="W876">
        <v>3.5331516802906554E-2</v>
      </c>
    </row>
    <row r="877" spans="1:23" x14ac:dyDescent="0.25">
      <c r="A877" t="s">
        <v>1842</v>
      </c>
      <c r="B877" t="s">
        <v>32</v>
      </c>
      <c r="C877" t="s">
        <v>106</v>
      </c>
      <c r="D877" t="s">
        <v>31</v>
      </c>
      <c r="E877" t="s">
        <v>74</v>
      </c>
      <c r="F877" s="1">
        <v>46184</v>
      </c>
      <c r="G877">
        <v>46214</v>
      </c>
      <c r="H877" t="s">
        <v>6</v>
      </c>
      <c r="I877">
        <v>14206.98</v>
      </c>
      <c r="J877" t="s">
        <v>75</v>
      </c>
      <c r="K877" t="s">
        <v>1843</v>
      </c>
      <c r="L877">
        <v>30</v>
      </c>
      <c r="M877" t="s">
        <v>32</v>
      </c>
      <c r="N877">
        <v>1.1536999999999999</v>
      </c>
      <c r="O877">
        <v>1.336383644156145</v>
      </c>
      <c r="P877">
        <v>6.2291452945305321E-3</v>
      </c>
      <c r="Q877">
        <v>1.1536999999999999</v>
      </c>
      <c r="R877">
        <v>16390.592826</v>
      </c>
      <c r="S877" t="s">
        <v>19</v>
      </c>
      <c r="T877">
        <v>1.083</v>
      </c>
      <c r="U877">
        <v>15386.159339999998</v>
      </c>
      <c r="V877">
        <v>1004.4334860000017</v>
      </c>
      <c r="W877">
        <v>6.5281625115420253E-2</v>
      </c>
    </row>
    <row r="878" spans="1:23" x14ac:dyDescent="0.25">
      <c r="A878" t="s">
        <v>1844</v>
      </c>
      <c r="B878" t="s">
        <v>40</v>
      </c>
      <c r="C878" t="s">
        <v>78</v>
      </c>
      <c r="D878" t="s">
        <v>33</v>
      </c>
      <c r="E878" t="s">
        <v>79</v>
      </c>
      <c r="F878" s="1">
        <v>46228</v>
      </c>
      <c r="G878">
        <v>46258</v>
      </c>
      <c r="H878" t="s">
        <v>9</v>
      </c>
      <c r="I878">
        <v>2988878.32</v>
      </c>
      <c r="J878" t="s">
        <v>75</v>
      </c>
      <c r="K878" t="s">
        <v>1845</v>
      </c>
      <c r="L878">
        <v>30</v>
      </c>
      <c r="M878" t="s">
        <v>40</v>
      </c>
      <c r="N878">
        <v>1.1376999999999999</v>
      </c>
      <c r="O878">
        <v>1.3323886260364455</v>
      </c>
      <c r="P878">
        <v>6.1041957291554884E-3</v>
      </c>
      <c r="Q878">
        <v>6.1041957291554884E-3</v>
      </c>
      <c r="R878">
        <v>18244.698275909432</v>
      </c>
      <c r="S878" t="s">
        <v>21</v>
      </c>
      <c r="T878">
        <v>6.7400000000000003E-3</v>
      </c>
      <c r="U878">
        <v>20145.039876800001</v>
      </c>
      <c r="V878">
        <v>-1900.3416008905697</v>
      </c>
      <c r="W878">
        <v>-9.4332977870105611E-2</v>
      </c>
    </row>
    <row r="879" spans="1:23" x14ac:dyDescent="0.25">
      <c r="A879" t="s">
        <v>1846</v>
      </c>
      <c r="B879" t="s">
        <v>22</v>
      </c>
      <c r="C879" t="s">
        <v>127</v>
      </c>
      <c r="D879" t="s">
        <v>31</v>
      </c>
      <c r="E879" t="s">
        <v>124</v>
      </c>
      <c r="F879" s="1">
        <v>45978</v>
      </c>
      <c r="G879">
        <v>46038</v>
      </c>
      <c r="H879" t="s">
        <v>9</v>
      </c>
      <c r="I879">
        <v>10410644.74</v>
      </c>
      <c r="J879" t="s">
        <v>75</v>
      </c>
      <c r="K879" t="s">
        <v>1847</v>
      </c>
      <c r="L879">
        <v>60</v>
      </c>
      <c r="M879" t="s">
        <v>22</v>
      </c>
      <c r="N879">
        <v>1.1593</v>
      </c>
      <c r="O879">
        <v>1.3181353041500854</v>
      </c>
      <c r="P879">
        <v>6.4559781700729525E-3</v>
      </c>
      <c r="Q879">
        <v>6.4559781700729525E-3</v>
      </c>
      <c r="R879">
        <v>67210.895177824816</v>
      </c>
      <c r="S879" t="s">
        <v>14</v>
      </c>
      <c r="T879">
        <v>6.9800000000000001E-3</v>
      </c>
      <c r="U879">
        <v>72666.300285200006</v>
      </c>
      <c r="V879">
        <v>-5455.4051073751907</v>
      </c>
      <c r="W879">
        <v>-7.5074760734534007E-2</v>
      </c>
    </row>
    <row r="880" spans="1:23" x14ac:dyDescent="0.25">
      <c r="A880" t="s">
        <v>1848</v>
      </c>
      <c r="B880" t="s">
        <v>39</v>
      </c>
      <c r="C880" t="s">
        <v>82</v>
      </c>
      <c r="D880" t="s">
        <v>33</v>
      </c>
      <c r="E880" t="s">
        <v>83</v>
      </c>
      <c r="F880" s="1">
        <v>46196</v>
      </c>
      <c r="G880">
        <v>46241</v>
      </c>
      <c r="H880" t="s">
        <v>8</v>
      </c>
      <c r="I880">
        <v>5712.26</v>
      </c>
      <c r="J880" t="s">
        <v>75</v>
      </c>
      <c r="K880" t="s">
        <v>1849</v>
      </c>
      <c r="L880">
        <v>45</v>
      </c>
      <c r="M880" t="s">
        <v>39</v>
      </c>
      <c r="N880">
        <v>1.1392</v>
      </c>
      <c r="O880">
        <v>1.3215777262180974</v>
      </c>
      <c r="P880">
        <v>6.1906314531029235E-3</v>
      </c>
      <c r="Q880">
        <v>1.3215777262180974</v>
      </c>
      <c r="R880">
        <v>7549.1955823665894</v>
      </c>
      <c r="S880" t="s">
        <v>19</v>
      </c>
      <c r="T880">
        <v>1.2709999999999999</v>
      </c>
      <c r="U880">
        <v>7260.2824599999994</v>
      </c>
      <c r="V880">
        <v>288.91312236658996</v>
      </c>
      <c r="W880">
        <v>3.9793647693231758E-2</v>
      </c>
    </row>
    <row r="881" spans="1:23" x14ac:dyDescent="0.25">
      <c r="A881" t="s">
        <v>1850</v>
      </c>
      <c r="B881" t="s">
        <v>42</v>
      </c>
      <c r="C881" t="s">
        <v>151</v>
      </c>
      <c r="D881" t="s">
        <v>35</v>
      </c>
      <c r="E881" t="s">
        <v>152</v>
      </c>
      <c r="F881" s="1">
        <v>46131</v>
      </c>
      <c r="G881">
        <v>46161</v>
      </c>
      <c r="H881" t="s">
        <v>8</v>
      </c>
      <c r="I881">
        <v>6110.38</v>
      </c>
      <c r="J881" t="s">
        <v>75</v>
      </c>
      <c r="K881" t="s">
        <v>1851</v>
      </c>
      <c r="L881">
        <v>30</v>
      </c>
      <c r="M881" t="s">
        <v>42</v>
      </c>
      <c r="N881">
        <v>1.1797</v>
      </c>
      <c r="O881">
        <v>1.3533636196769456</v>
      </c>
      <c r="P881">
        <v>6.2843596846366926E-3</v>
      </c>
      <c r="Q881">
        <v>1.3533636196769456</v>
      </c>
      <c r="R881">
        <v>8269.5659944016152</v>
      </c>
      <c r="S881" t="s">
        <v>19</v>
      </c>
      <c r="T881">
        <v>1.2709999999999999</v>
      </c>
      <c r="U881">
        <v>7766.2929799999993</v>
      </c>
      <c r="V881">
        <v>503.27301440161591</v>
      </c>
      <c r="W881">
        <v>6.4802218471239792E-2</v>
      </c>
    </row>
    <row r="882" spans="1:23" x14ac:dyDescent="0.25">
      <c r="A882" t="s">
        <v>1852</v>
      </c>
      <c r="B882" t="s">
        <v>38</v>
      </c>
      <c r="C882" t="s">
        <v>87</v>
      </c>
      <c r="D882" t="s">
        <v>33</v>
      </c>
      <c r="E882" t="s">
        <v>88</v>
      </c>
      <c r="F882" s="1">
        <v>45716</v>
      </c>
      <c r="G882">
        <v>45746</v>
      </c>
      <c r="H882" t="s">
        <v>6</v>
      </c>
      <c r="I882">
        <v>3081.13</v>
      </c>
      <c r="J882" t="s">
        <v>75</v>
      </c>
      <c r="K882" t="s">
        <v>1853</v>
      </c>
      <c r="L882">
        <v>30</v>
      </c>
      <c r="M882" t="s">
        <v>38</v>
      </c>
      <c r="N882">
        <v>1.0410999999999999</v>
      </c>
      <c r="O882">
        <v>1.2602895603331394</v>
      </c>
      <c r="P882">
        <v>6.6329001019367981E-3</v>
      </c>
      <c r="Q882">
        <v>1.0410999999999999</v>
      </c>
      <c r="R882">
        <v>3207.764443</v>
      </c>
      <c r="S882" t="s">
        <v>11</v>
      </c>
      <c r="T882">
        <v>1.052</v>
      </c>
      <c r="U882">
        <v>3241.3487600000003</v>
      </c>
      <c r="V882">
        <v>-33.584317000000283</v>
      </c>
      <c r="W882">
        <v>-1.0361216730038109E-2</v>
      </c>
    </row>
    <row r="883" spans="1:23" x14ac:dyDescent="0.25">
      <c r="A883" t="s">
        <v>1854</v>
      </c>
      <c r="B883" t="s">
        <v>34</v>
      </c>
      <c r="C883" t="s">
        <v>177</v>
      </c>
      <c r="D883" t="s">
        <v>31</v>
      </c>
      <c r="E883" t="s">
        <v>74</v>
      </c>
      <c r="F883" s="1">
        <v>45674</v>
      </c>
      <c r="G883">
        <v>45734</v>
      </c>
      <c r="H883" t="s">
        <v>8</v>
      </c>
      <c r="I883">
        <v>26255.64</v>
      </c>
      <c r="J883" t="s">
        <v>75</v>
      </c>
      <c r="K883" t="s">
        <v>1855</v>
      </c>
      <c r="L883">
        <v>60</v>
      </c>
      <c r="M883" t="s">
        <v>34</v>
      </c>
      <c r="N883">
        <v>1.0298</v>
      </c>
      <c r="O883">
        <v>1.2193764579115012</v>
      </c>
      <c r="P883">
        <v>6.4270111714410539E-3</v>
      </c>
      <c r="Q883">
        <v>1.2193764579115012</v>
      </c>
      <c r="R883">
        <v>32015.509303399525</v>
      </c>
      <c r="S883" t="s">
        <v>11</v>
      </c>
      <c r="T883">
        <v>1.238</v>
      </c>
      <c r="U883">
        <v>32504.482319999999</v>
      </c>
      <c r="V883">
        <v>-488.97301660047378</v>
      </c>
      <c r="W883">
        <v>-1.5043248859853671E-2</v>
      </c>
    </row>
    <row r="884" spans="1:23" x14ac:dyDescent="0.25">
      <c r="A884" t="s">
        <v>1856</v>
      </c>
      <c r="B884" t="s">
        <v>30</v>
      </c>
      <c r="C884" t="s">
        <v>103</v>
      </c>
      <c r="D884" t="s">
        <v>31</v>
      </c>
      <c r="E884" t="s">
        <v>74</v>
      </c>
      <c r="F884" s="1">
        <v>45876</v>
      </c>
      <c r="G884">
        <v>45906</v>
      </c>
      <c r="H884" t="s">
        <v>9</v>
      </c>
      <c r="I884">
        <v>623341.55000000005</v>
      </c>
      <c r="J884" t="s">
        <v>75</v>
      </c>
      <c r="K884" t="s">
        <v>1857</v>
      </c>
      <c r="L884">
        <v>30</v>
      </c>
      <c r="M884" t="s">
        <v>30</v>
      </c>
      <c r="N884">
        <v>1.1642999999999999</v>
      </c>
      <c r="O884">
        <v>1.3424420615703907</v>
      </c>
      <c r="P884">
        <v>6.7849650349650348E-3</v>
      </c>
      <c r="Q884">
        <v>6.7849650349650348E-3</v>
      </c>
      <c r="R884">
        <v>4229.3506215909092</v>
      </c>
      <c r="S884" t="s">
        <v>13</v>
      </c>
      <c r="T884">
        <v>6.8399999999999997E-3</v>
      </c>
      <c r="U884">
        <v>4263.6562020000001</v>
      </c>
      <c r="V884">
        <v>-34.305580409090908</v>
      </c>
      <c r="W884">
        <v>-8.0460475197317305E-3</v>
      </c>
    </row>
    <row r="885" spans="1:23" x14ac:dyDescent="0.25">
      <c r="A885" t="s">
        <v>1858</v>
      </c>
      <c r="B885" t="s">
        <v>32</v>
      </c>
      <c r="C885" t="s">
        <v>106</v>
      </c>
      <c r="D885" t="s">
        <v>31</v>
      </c>
      <c r="E885" t="s">
        <v>74</v>
      </c>
      <c r="F885" s="1">
        <v>45948</v>
      </c>
      <c r="G885">
        <v>45978</v>
      </c>
      <c r="H885" t="s">
        <v>6</v>
      </c>
      <c r="I885">
        <v>15514.69</v>
      </c>
      <c r="J885" t="s">
        <v>75</v>
      </c>
      <c r="K885" t="s">
        <v>1859</v>
      </c>
      <c r="L885">
        <v>30</v>
      </c>
      <c r="M885" t="s">
        <v>32</v>
      </c>
      <c r="N885">
        <v>1.1805000000000001</v>
      </c>
      <c r="O885">
        <v>1.347141389934954</v>
      </c>
      <c r="P885">
        <v>6.411231195351111E-3</v>
      </c>
      <c r="Q885">
        <v>1.1805000000000001</v>
      </c>
      <c r="R885">
        <v>18315.091545000003</v>
      </c>
      <c r="S885" t="s">
        <v>14</v>
      </c>
      <c r="T885">
        <v>1.1060000000000001</v>
      </c>
      <c r="U885">
        <v>17159.247140000003</v>
      </c>
      <c r="V885">
        <v>1155.8444049999998</v>
      </c>
      <c r="W885">
        <v>6.7359855334538851E-2</v>
      </c>
    </row>
    <row r="886" spans="1:23" x14ac:dyDescent="0.25">
      <c r="A886" t="s">
        <v>1860</v>
      </c>
      <c r="B886" t="s">
        <v>42</v>
      </c>
      <c r="C886" t="s">
        <v>151</v>
      </c>
      <c r="D886" t="s">
        <v>35</v>
      </c>
      <c r="E886" t="s">
        <v>152</v>
      </c>
      <c r="F886" s="1">
        <v>45739</v>
      </c>
      <c r="G886">
        <v>45769</v>
      </c>
      <c r="H886" t="s">
        <v>8</v>
      </c>
      <c r="I886">
        <v>2353.94</v>
      </c>
      <c r="J886" t="s">
        <v>75</v>
      </c>
      <c r="K886" t="s">
        <v>1861</v>
      </c>
      <c r="L886">
        <v>30</v>
      </c>
      <c r="M886" t="s">
        <v>42</v>
      </c>
      <c r="N886">
        <v>1.1359999999999999</v>
      </c>
      <c r="O886">
        <v>1.3347432734108799</v>
      </c>
      <c r="P886">
        <v>6.9740315550371416E-3</v>
      </c>
      <c r="Q886">
        <v>1.3347432734108799</v>
      </c>
      <c r="R886">
        <v>3141.905581012807</v>
      </c>
      <c r="S886" t="s">
        <v>11</v>
      </c>
      <c r="T886">
        <v>1.238</v>
      </c>
      <c r="U886">
        <v>2914.1777200000001</v>
      </c>
      <c r="V886">
        <v>227.7278610128069</v>
      </c>
      <c r="W886">
        <v>7.8144808894087245E-2</v>
      </c>
    </row>
    <row r="887" spans="1:23" x14ac:dyDescent="0.25">
      <c r="A887" t="s">
        <v>1862</v>
      </c>
      <c r="B887" t="s">
        <v>32</v>
      </c>
      <c r="C887" t="s">
        <v>106</v>
      </c>
      <c r="D887" t="s">
        <v>31</v>
      </c>
      <c r="E887" t="s">
        <v>74</v>
      </c>
      <c r="F887" s="1">
        <v>46052</v>
      </c>
      <c r="G887">
        <v>46082</v>
      </c>
      <c r="H887" t="s">
        <v>6</v>
      </c>
      <c r="I887">
        <v>24745.05</v>
      </c>
      <c r="J887" t="s">
        <v>75</v>
      </c>
      <c r="K887" t="s">
        <v>1863</v>
      </c>
      <c r="L887">
        <v>30</v>
      </c>
      <c r="M887" t="s">
        <v>32</v>
      </c>
      <c r="N887">
        <v>1.1919</v>
      </c>
      <c r="O887">
        <v>1.376010159316555</v>
      </c>
      <c r="P887">
        <v>6.4921836701345385E-3</v>
      </c>
      <c r="Q887">
        <v>1.1919</v>
      </c>
      <c r="R887">
        <v>29493.625094999999</v>
      </c>
      <c r="S887" t="s">
        <v>16</v>
      </c>
      <c r="T887">
        <v>1.0649999999999999</v>
      </c>
      <c r="U887">
        <v>26353.478249999996</v>
      </c>
      <c r="V887">
        <v>3140.1468450000029</v>
      </c>
      <c r="W887">
        <v>0.11915492957746492</v>
      </c>
    </row>
    <row r="888" spans="1:23" x14ac:dyDescent="0.25">
      <c r="A888" t="s">
        <v>1864</v>
      </c>
      <c r="B888" t="s">
        <v>24</v>
      </c>
      <c r="C888" t="s">
        <v>73</v>
      </c>
      <c r="D888" t="s">
        <v>31</v>
      </c>
      <c r="E888" t="s">
        <v>74</v>
      </c>
      <c r="F888" s="1">
        <v>46139</v>
      </c>
      <c r="G888">
        <v>46169</v>
      </c>
      <c r="H888" t="s">
        <v>6</v>
      </c>
      <c r="I888">
        <v>14741.48</v>
      </c>
      <c r="J888" t="s">
        <v>75</v>
      </c>
      <c r="K888" t="s">
        <v>1865</v>
      </c>
      <c r="L888">
        <v>30</v>
      </c>
      <c r="M888" t="s">
        <v>24</v>
      </c>
      <c r="N888">
        <v>1.1749000000000001</v>
      </c>
      <c r="O888">
        <v>1.357010857010857</v>
      </c>
      <c r="P888">
        <v>6.280872447343099E-3</v>
      </c>
      <c r="Q888">
        <v>1.1749000000000001</v>
      </c>
      <c r="R888">
        <v>17319.764852</v>
      </c>
      <c r="S888" t="s">
        <v>19</v>
      </c>
      <c r="T888">
        <v>1.083</v>
      </c>
      <c r="U888">
        <v>15965.02284</v>
      </c>
      <c r="V888">
        <v>1354.7420120000006</v>
      </c>
      <c r="W888">
        <v>8.4856879039704569E-2</v>
      </c>
    </row>
    <row r="889" spans="1:23" x14ac:dyDescent="0.25">
      <c r="A889" t="s">
        <v>1866</v>
      </c>
      <c r="B889" t="s">
        <v>39</v>
      </c>
      <c r="C889" t="s">
        <v>82</v>
      </c>
      <c r="D889" t="s">
        <v>33</v>
      </c>
      <c r="E889" t="s">
        <v>83</v>
      </c>
      <c r="F889" s="1">
        <v>46184</v>
      </c>
      <c r="G889">
        <v>46229</v>
      </c>
      <c r="H889" t="s">
        <v>8</v>
      </c>
      <c r="I889">
        <v>5742</v>
      </c>
      <c r="J889" t="s">
        <v>75</v>
      </c>
      <c r="K889" t="s">
        <v>1867</v>
      </c>
      <c r="L889">
        <v>45</v>
      </c>
      <c r="M889" t="s">
        <v>39</v>
      </c>
      <c r="N889">
        <v>1.1536999999999999</v>
      </c>
      <c r="O889">
        <v>1.336383644156145</v>
      </c>
      <c r="P889">
        <v>6.2291452945305321E-3</v>
      </c>
      <c r="Q889">
        <v>1.336383644156145</v>
      </c>
      <c r="R889">
        <v>7673.5148847445844</v>
      </c>
      <c r="S889" t="s">
        <v>19</v>
      </c>
      <c r="T889">
        <v>1.2709999999999999</v>
      </c>
      <c r="U889">
        <v>7298.0819999999994</v>
      </c>
      <c r="V889">
        <v>375.43288474458495</v>
      </c>
      <c r="W889">
        <v>5.1442678328989036E-2</v>
      </c>
    </row>
    <row r="890" spans="1:23" x14ac:dyDescent="0.25">
      <c r="A890" t="s">
        <v>1868</v>
      </c>
      <c r="B890" t="s">
        <v>39</v>
      </c>
      <c r="C890" t="s">
        <v>82</v>
      </c>
      <c r="D890" t="s">
        <v>33</v>
      </c>
      <c r="E890" t="s">
        <v>83</v>
      </c>
      <c r="F890" s="1">
        <v>45678</v>
      </c>
      <c r="G890">
        <v>45723</v>
      </c>
      <c r="H890" t="s">
        <v>8</v>
      </c>
      <c r="I890">
        <v>2928.39</v>
      </c>
      <c r="J890" t="s">
        <v>75</v>
      </c>
      <c r="K890" t="s">
        <v>1869</v>
      </c>
      <c r="L890">
        <v>45</v>
      </c>
      <c r="M890" t="s">
        <v>39</v>
      </c>
      <c r="N890">
        <v>1.0357000000000001</v>
      </c>
      <c r="O890">
        <v>1.2249121852565847</v>
      </c>
      <c r="P890">
        <v>6.4225474389185177E-3</v>
      </c>
      <c r="Q890">
        <v>1.2249121852565847</v>
      </c>
      <c r="R890">
        <v>3587.0205941835302</v>
      </c>
      <c r="S890" t="s">
        <v>11</v>
      </c>
      <c r="T890">
        <v>1.238</v>
      </c>
      <c r="U890">
        <v>3625.3468199999998</v>
      </c>
      <c r="V890">
        <v>-38.32622581646956</v>
      </c>
      <c r="W890">
        <v>-1.0571740503566377E-2</v>
      </c>
    </row>
    <row r="891" spans="1:23" x14ac:dyDescent="0.25">
      <c r="A891" t="s">
        <v>1870</v>
      </c>
      <c r="B891" t="s">
        <v>30</v>
      </c>
      <c r="C891" t="s">
        <v>103</v>
      </c>
      <c r="D891" t="s">
        <v>31</v>
      </c>
      <c r="E891" t="s">
        <v>74</v>
      </c>
      <c r="F891" s="1">
        <v>45932</v>
      </c>
      <c r="G891">
        <v>45962</v>
      </c>
      <c r="H891" t="s">
        <v>9</v>
      </c>
      <c r="I891">
        <v>2720362.74</v>
      </c>
      <c r="J891" t="s">
        <v>75</v>
      </c>
      <c r="K891" t="s">
        <v>1871</v>
      </c>
      <c r="L891">
        <v>30</v>
      </c>
      <c r="M891" t="s">
        <v>30</v>
      </c>
      <c r="N891">
        <v>1.1754</v>
      </c>
      <c r="O891">
        <v>1.3477812177502579</v>
      </c>
      <c r="P891">
        <v>6.8127282211789255E-3</v>
      </c>
      <c r="Q891">
        <v>6.8127282211789255E-3</v>
      </c>
      <c r="R891">
        <v>18533.092010641631</v>
      </c>
      <c r="S891" t="s">
        <v>14</v>
      </c>
      <c r="T891">
        <v>6.9800000000000001E-3</v>
      </c>
      <c r="U891">
        <v>18988.131925200003</v>
      </c>
      <c r="V891">
        <v>-455.0399145583724</v>
      </c>
      <c r="W891">
        <v>-2.3964438226514978E-2</v>
      </c>
    </row>
    <row r="892" spans="1:23" x14ac:dyDescent="0.25">
      <c r="A892" t="s">
        <v>1872</v>
      </c>
      <c r="B892" t="s">
        <v>30</v>
      </c>
      <c r="C892" t="s">
        <v>103</v>
      </c>
      <c r="D892" t="s">
        <v>31</v>
      </c>
      <c r="E892" t="s">
        <v>74</v>
      </c>
      <c r="F892" s="1">
        <v>46318</v>
      </c>
      <c r="G892">
        <v>46348</v>
      </c>
      <c r="H892" t="s">
        <v>9</v>
      </c>
      <c r="I892">
        <v>4101933.74</v>
      </c>
      <c r="J892" t="s">
        <v>84</v>
      </c>
      <c r="K892" t="s">
        <v>1873</v>
      </c>
      <c r="L892">
        <v>30</v>
      </c>
      <c r="M892" t="s">
        <v>30</v>
      </c>
      <c r="N892">
        <v>1.1176999999999999</v>
      </c>
      <c r="O892">
        <v>1.320456022210408</v>
      </c>
      <c r="P892">
        <v>6.3200452360757699E-3</v>
      </c>
      <c r="Q892">
        <v>6.3200452360757699E-3</v>
      </c>
      <c r="R892">
        <v>25924.406792185466</v>
      </c>
      <c r="S892" t="s">
        <v>23</v>
      </c>
      <c r="T892">
        <v>6.8799999999999998E-3</v>
      </c>
      <c r="U892">
        <v>28221.304131200002</v>
      </c>
      <c r="V892">
        <v>-2296.8973390145366</v>
      </c>
      <c r="W892">
        <v>-8.1388773826196317E-2</v>
      </c>
    </row>
    <row r="893" spans="1:23" x14ac:dyDescent="0.25">
      <c r="A893" t="s">
        <v>1874</v>
      </c>
      <c r="B893" t="s">
        <v>38</v>
      </c>
      <c r="C893" t="s">
        <v>87</v>
      </c>
      <c r="D893" t="s">
        <v>33</v>
      </c>
      <c r="E893" t="s">
        <v>88</v>
      </c>
      <c r="F893" s="1">
        <v>45740</v>
      </c>
      <c r="G893">
        <v>45770</v>
      </c>
      <c r="H893" t="s">
        <v>6</v>
      </c>
      <c r="I893">
        <v>5586.46</v>
      </c>
      <c r="J893" t="s">
        <v>75</v>
      </c>
      <c r="K893" t="s">
        <v>1875</v>
      </c>
      <c r="L893">
        <v>30</v>
      </c>
      <c r="M893" t="s">
        <v>38</v>
      </c>
      <c r="N893">
        <v>1.0824</v>
      </c>
      <c r="O893">
        <v>1.2937618780105902</v>
      </c>
      <c r="P893">
        <v>6.6753006475485663E-3</v>
      </c>
      <c r="Q893">
        <v>1.0824</v>
      </c>
      <c r="R893">
        <v>6046.7843039999998</v>
      </c>
      <c r="S893" t="s">
        <v>11</v>
      </c>
      <c r="T893">
        <v>1.052</v>
      </c>
      <c r="U893">
        <v>5876.9559200000003</v>
      </c>
      <c r="V893">
        <v>169.82838399999946</v>
      </c>
      <c r="W893">
        <v>2.889733840304173E-2</v>
      </c>
    </row>
    <row r="894" spans="1:23" x14ac:dyDescent="0.25">
      <c r="A894" t="s">
        <v>1876</v>
      </c>
      <c r="B894" t="s">
        <v>24</v>
      </c>
      <c r="C894" t="s">
        <v>73</v>
      </c>
      <c r="D894" t="s">
        <v>31</v>
      </c>
      <c r="E894" t="s">
        <v>74</v>
      </c>
      <c r="F894" s="1">
        <v>45784</v>
      </c>
      <c r="G894">
        <v>45814</v>
      </c>
      <c r="H894" t="s">
        <v>6</v>
      </c>
      <c r="I894">
        <v>8684.11</v>
      </c>
      <c r="J894" t="s">
        <v>75</v>
      </c>
      <c r="K894" t="s">
        <v>1877</v>
      </c>
      <c r="L894">
        <v>30</v>
      </c>
      <c r="M894" t="s">
        <v>24</v>
      </c>
      <c r="N894">
        <v>1.1359999999999999</v>
      </c>
      <c r="O894">
        <v>1.3347432734108799</v>
      </c>
      <c r="P894">
        <v>6.9740315550371416E-3</v>
      </c>
      <c r="Q894">
        <v>1.1359999999999999</v>
      </c>
      <c r="R894">
        <v>9865.1489600000004</v>
      </c>
      <c r="S894" t="s">
        <v>12</v>
      </c>
      <c r="T894">
        <v>1.07</v>
      </c>
      <c r="U894">
        <v>9291.9977000000017</v>
      </c>
      <c r="V894">
        <v>573.15125999999873</v>
      </c>
      <c r="W894">
        <v>6.1682242990654057E-2</v>
      </c>
    </row>
    <row r="895" spans="1:23" x14ac:dyDescent="0.25">
      <c r="A895" t="s">
        <v>1878</v>
      </c>
      <c r="B895" t="s">
        <v>32</v>
      </c>
      <c r="C895" t="s">
        <v>106</v>
      </c>
      <c r="D895" t="s">
        <v>31</v>
      </c>
      <c r="E895" t="s">
        <v>74</v>
      </c>
      <c r="F895" s="1">
        <v>46308</v>
      </c>
      <c r="G895">
        <v>46338</v>
      </c>
      <c r="H895" t="s">
        <v>6</v>
      </c>
      <c r="I895">
        <v>11227.79</v>
      </c>
      <c r="J895" t="s">
        <v>84</v>
      </c>
      <c r="K895" t="s">
        <v>1879</v>
      </c>
      <c r="L895">
        <v>30</v>
      </c>
      <c r="M895" t="s">
        <v>32</v>
      </c>
      <c r="N895">
        <v>1.1176999999999999</v>
      </c>
      <c r="O895">
        <v>1.320456022210408</v>
      </c>
      <c r="P895">
        <v>6.3200452360757699E-3</v>
      </c>
      <c r="Q895">
        <v>1.1176999999999999</v>
      </c>
      <c r="R895">
        <v>12549.300883</v>
      </c>
      <c r="S895" t="s">
        <v>23</v>
      </c>
      <c r="T895">
        <v>1.119</v>
      </c>
      <c r="U895">
        <v>12563.897010000001</v>
      </c>
      <c r="V895">
        <v>-14.596127000000706</v>
      </c>
      <c r="W895">
        <v>-1.1617515638963922E-3</v>
      </c>
    </row>
    <row r="896" spans="1:23" x14ac:dyDescent="0.25">
      <c r="A896" t="s">
        <v>1880</v>
      </c>
      <c r="B896" t="s">
        <v>32</v>
      </c>
      <c r="C896" t="s">
        <v>106</v>
      </c>
      <c r="D896" t="s">
        <v>31</v>
      </c>
      <c r="E896" t="s">
        <v>74</v>
      </c>
      <c r="F896" s="1">
        <v>46288</v>
      </c>
      <c r="G896">
        <v>46318</v>
      </c>
      <c r="H896" t="s">
        <v>6</v>
      </c>
      <c r="I896">
        <v>22303.48</v>
      </c>
      <c r="J896" t="s">
        <v>75</v>
      </c>
      <c r="K896" t="s">
        <v>1881</v>
      </c>
      <c r="L896">
        <v>30</v>
      </c>
      <c r="M896" t="s">
        <v>32</v>
      </c>
      <c r="N896">
        <v>1.1411</v>
      </c>
      <c r="O896">
        <v>1.327632344386271</v>
      </c>
      <c r="P896">
        <v>6.3324084350721427E-3</v>
      </c>
      <c r="Q896">
        <v>1.1411</v>
      </c>
      <c r="R896">
        <v>25450.501027999999</v>
      </c>
      <c r="S896" t="s">
        <v>21</v>
      </c>
      <c r="T896">
        <v>1.101</v>
      </c>
      <c r="U896">
        <v>24556.13148</v>
      </c>
      <c r="V896">
        <v>894.36954799999876</v>
      </c>
      <c r="W896">
        <v>3.6421435059037187E-2</v>
      </c>
    </row>
    <row r="897" spans="1:23" x14ac:dyDescent="0.25">
      <c r="A897" t="s">
        <v>1882</v>
      </c>
      <c r="B897" t="s">
        <v>26</v>
      </c>
      <c r="C897" t="s">
        <v>94</v>
      </c>
      <c r="D897" t="s">
        <v>31</v>
      </c>
      <c r="E897" t="s">
        <v>74</v>
      </c>
      <c r="F897" s="1">
        <v>45950</v>
      </c>
      <c r="G897">
        <v>45980</v>
      </c>
      <c r="H897" t="s">
        <v>8</v>
      </c>
      <c r="I897">
        <v>33764.699999999997</v>
      </c>
      <c r="J897" t="s">
        <v>75</v>
      </c>
      <c r="K897" t="s">
        <v>1883</v>
      </c>
      <c r="L897">
        <v>30</v>
      </c>
      <c r="M897" t="s">
        <v>26</v>
      </c>
      <c r="N897">
        <v>1.1655</v>
      </c>
      <c r="O897">
        <v>1.3410424577148774</v>
      </c>
      <c r="P897">
        <v>6.6330886119173637E-3</v>
      </c>
      <c r="Q897">
        <v>1.3410424577148774</v>
      </c>
      <c r="R897">
        <v>45279.896272005521</v>
      </c>
      <c r="S897" t="s">
        <v>14</v>
      </c>
      <c r="T897">
        <v>1.304</v>
      </c>
      <c r="U897">
        <v>44029.168799999999</v>
      </c>
      <c r="V897">
        <v>1250.7274720055211</v>
      </c>
      <c r="W897">
        <v>2.840679272613298E-2</v>
      </c>
    </row>
    <row r="898" spans="1:23" x14ac:dyDescent="0.25">
      <c r="A898" t="s">
        <v>1884</v>
      </c>
      <c r="B898" t="s">
        <v>37</v>
      </c>
      <c r="C898" t="s">
        <v>91</v>
      </c>
      <c r="D898" t="s">
        <v>31</v>
      </c>
      <c r="E898" t="s">
        <v>74</v>
      </c>
      <c r="F898" s="1">
        <v>46104</v>
      </c>
      <c r="G898">
        <v>46134</v>
      </c>
      <c r="H898" t="s">
        <v>6</v>
      </c>
      <c r="I898">
        <v>11335.73</v>
      </c>
      <c r="J898" t="s">
        <v>75</v>
      </c>
      <c r="K898" t="s">
        <v>1885</v>
      </c>
      <c r="L898">
        <v>30</v>
      </c>
      <c r="M898" t="s">
        <v>37</v>
      </c>
      <c r="N898">
        <v>1.1596</v>
      </c>
      <c r="O898">
        <v>1.3418190233742189</v>
      </c>
      <c r="P898">
        <v>6.3069726966169908E-3</v>
      </c>
      <c r="Q898">
        <v>1.1596</v>
      </c>
      <c r="R898">
        <v>13144.912507999999</v>
      </c>
      <c r="S898" t="s">
        <v>16</v>
      </c>
      <c r="T898">
        <v>1.0649999999999999</v>
      </c>
      <c r="U898">
        <v>12072.552449999999</v>
      </c>
      <c r="V898">
        <v>1072.3600580000002</v>
      </c>
      <c r="W898">
        <v>8.8826291079812228E-2</v>
      </c>
    </row>
    <row r="899" spans="1:23" x14ac:dyDescent="0.25">
      <c r="A899" t="s">
        <v>1886</v>
      </c>
      <c r="B899" t="s">
        <v>30</v>
      </c>
      <c r="C899" t="s">
        <v>103</v>
      </c>
      <c r="D899" t="s">
        <v>31</v>
      </c>
      <c r="E899" t="s">
        <v>74</v>
      </c>
      <c r="F899" s="1">
        <v>45972</v>
      </c>
      <c r="G899">
        <v>46002</v>
      </c>
      <c r="H899" t="s">
        <v>9</v>
      </c>
      <c r="I899">
        <v>1483611.36</v>
      </c>
      <c r="J899" t="s">
        <v>75</v>
      </c>
      <c r="K899" t="s">
        <v>1887</v>
      </c>
      <c r="L899">
        <v>30</v>
      </c>
      <c r="M899" t="s">
        <v>30</v>
      </c>
      <c r="N899">
        <v>1.1575</v>
      </c>
      <c r="O899">
        <v>1.3147432985006815</v>
      </c>
      <c r="P899">
        <v>6.4860472935111503E-3</v>
      </c>
      <c r="Q899">
        <v>6.4860472935111503E-3</v>
      </c>
      <c r="R899">
        <v>9622.7734461503969</v>
      </c>
      <c r="S899" t="s">
        <v>14</v>
      </c>
      <c r="T899">
        <v>6.9800000000000001E-3</v>
      </c>
      <c r="U899">
        <v>10355.607292800001</v>
      </c>
      <c r="V899">
        <v>-732.83384664960431</v>
      </c>
      <c r="W899">
        <v>-7.0766863393818116E-2</v>
      </c>
    </row>
    <row r="900" spans="1:23" x14ac:dyDescent="0.25">
      <c r="A900" t="s">
        <v>1888</v>
      </c>
      <c r="B900" t="s">
        <v>37</v>
      </c>
      <c r="C900" t="s">
        <v>91</v>
      </c>
      <c r="D900" t="s">
        <v>31</v>
      </c>
      <c r="E900" t="s">
        <v>74</v>
      </c>
      <c r="F900" s="1">
        <v>46347</v>
      </c>
      <c r="G900">
        <v>46377</v>
      </c>
      <c r="H900" t="s">
        <v>6</v>
      </c>
      <c r="I900">
        <v>8656.83</v>
      </c>
      <c r="J900" t="s">
        <v>84</v>
      </c>
      <c r="K900" t="s">
        <v>1889</v>
      </c>
      <c r="L900">
        <v>30</v>
      </c>
      <c r="M900" t="s">
        <v>37</v>
      </c>
      <c r="N900">
        <v>1.1176999999999999</v>
      </c>
      <c r="O900">
        <v>1.320456022210408</v>
      </c>
      <c r="P900">
        <v>6.3200452360757699E-3</v>
      </c>
      <c r="Q900">
        <v>1.1176999999999999</v>
      </c>
      <c r="R900">
        <v>9675.7388909999991</v>
      </c>
      <c r="S900" t="s">
        <v>23</v>
      </c>
      <c r="T900">
        <v>1.119</v>
      </c>
      <c r="U900">
        <v>9686.9927700000007</v>
      </c>
      <c r="V900">
        <v>-11.253879000001689</v>
      </c>
      <c r="W900">
        <v>-1.1617515638965104E-3</v>
      </c>
    </row>
    <row r="901" spans="1:23" x14ac:dyDescent="0.25">
      <c r="A901" t="s">
        <v>1890</v>
      </c>
      <c r="B901" t="s">
        <v>34</v>
      </c>
      <c r="C901" t="s">
        <v>177</v>
      </c>
      <c r="D901" t="s">
        <v>31</v>
      </c>
      <c r="E901" t="s">
        <v>74</v>
      </c>
      <c r="F901" s="1">
        <v>45778</v>
      </c>
      <c r="G901">
        <v>45838</v>
      </c>
      <c r="H901" t="s">
        <v>8</v>
      </c>
      <c r="I901">
        <v>19481.5</v>
      </c>
      <c r="J901" t="s">
        <v>75</v>
      </c>
      <c r="K901" t="s">
        <v>1891</v>
      </c>
      <c r="L901">
        <v>60</v>
      </c>
      <c r="M901" t="s">
        <v>34</v>
      </c>
      <c r="N901">
        <v>1.181</v>
      </c>
      <c r="O901">
        <v>1.3751746623195156</v>
      </c>
      <c r="P901">
        <v>7.0005927682276238E-3</v>
      </c>
      <c r="Q901">
        <v>1.3751746623195156</v>
      </c>
      <c r="R901">
        <v>26790.465183977642</v>
      </c>
      <c r="S901" t="s">
        <v>12</v>
      </c>
      <c r="T901">
        <v>1.26</v>
      </c>
      <c r="U901">
        <v>24546.69</v>
      </c>
      <c r="V901">
        <v>2243.7751839776429</v>
      </c>
      <c r="W901">
        <v>9.1408462158345707E-2</v>
      </c>
    </row>
    <row r="902" spans="1:23" x14ac:dyDescent="0.25">
      <c r="A902" t="s">
        <v>1892</v>
      </c>
      <c r="B902" t="s">
        <v>22</v>
      </c>
      <c r="C902" t="s">
        <v>127</v>
      </c>
      <c r="D902" t="s">
        <v>31</v>
      </c>
      <c r="E902" t="s">
        <v>124</v>
      </c>
      <c r="F902" s="1">
        <v>46197</v>
      </c>
      <c r="G902">
        <v>46257</v>
      </c>
      <c r="H902" t="s">
        <v>9</v>
      </c>
      <c r="I902">
        <v>11718724.470000001</v>
      </c>
      <c r="J902" t="s">
        <v>75</v>
      </c>
      <c r="K902" t="s">
        <v>1893</v>
      </c>
      <c r="L902">
        <v>60</v>
      </c>
      <c r="M902" t="s">
        <v>22</v>
      </c>
      <c r="N902">
        <v>1.1339999999999999</v>
      </c>
      <c r="O902">
        <v>1.3160796146927405</v>
      </c>
      <c r="P902">
        <v>6.1848922825197706E-3</v>
      </c>
      <c r="Q902">
        <v>6.1848922825197706E-3</v>
      </c>
      <c r="R902">
        <v>72479.048535478592</v>
      </c>
      <c r="S902" t="s">
        <v>19</v>
      </c>
      <c r="T902">
        <v>6.6E-3</v>
      </c>
      <c r="U902">
        <v>77343.581502000001</v>
      </c>
      <c r="V902">
        <v>-4864.5329665214085</v>
      </c>
      <c r="W902">
        <v>-6.2895108709125638E-2</v>
      </c>
    </row>
    <row r="903" spans="1:23" x14ac:dyDescent="0.25">
      <c r="A903" t="s">
        <v>1894</v>
      </c>
      <c r="B903" t="s">
        <v>44</v>
      </c>
      <c r="C903" t="s">
        <v>138</v>
      </c>
      <c r="D903" t="s">
        <v>33</v>
      </c>
      <c r="E903" t="s">
        <v>88</v>
      </c>
      <c r="F903" s="1">
        <v>45805</v>
      </c>
      <c r="G903">
        <v>45850</v>
      </c>
      <c r="H903" t="s">
        <v>9</v>
      </c>
      <c r="I903">
        <v>874996.75</v>
      </c>
      <c r="J903" t="s">
        <v>75</v>
      </c>
      <c r="K903" t="s">
        <v>1895</v>
      </c>
      <c r="L903">
        <v>45</v>
      </c>
      <c r="M903" t="s">
        <v>44</v>
      </c>
      <c r="N903">
        <v>1.1316999999999999</v>
      </c>
      <c r="O903">
        <v>1.3475827577994759</v>
      </c>
      <c r="P903">
        <v>6.9246772318423784E-3</v>
      </c>
      <c r="Q903">
        <v>6.9246772318423784E-3</v>
      </c>
      <c r="R903">
        <v>6059.0700726610776</v>
      </c>
      <c r="S903" t="s">
        <v>12</v>
      </c>
      <c r="T903">
        <v>6.7000000000000002E-3</v>
      </c>
      <c r="U903">
        <v>5862.4782249999998</v>
      </c>
      <c r="V903">
        <v>196.59184766107774</v>
      </c>
      <c r="W903">
        <v>3.3533915200355008E-2</v>
      </c>
    </row>
    <row r="904" spans="1:23" x14ac:dyDescent="0.25">
      <c r="A904" t="s">
        <v>1896</v>
      </c>
      <c r="B904" t="s">
        <v>41</v>
      </c>
      <c r="C904" t="s">
        <v>172</v>
      </c>
      <c r="D904" t="s">
        <v>33</v>
      </c>
      <c r="E904" t="s">
        <v>83</v>
      </c>
      <c r="F904" s="1">
        <v>45682</v>
      </c>
      <c r="G904">
        <v>45712</v>
      </c>
      <c r="H904" t="s">
        <v>9</v>
      </c>
      <c r="I904">
        <v>1521223</v>
      </c>
      <c r="J904" t="s">
        <v>75</v>
      </c>
      <c r="K904" t="s">
        <v>1897</v>
      </c>
      <c r="L904">
        <v>30</v>
      </c>
      <c r="M904" t="s">
        <v>41</v>
      </c>
      <c r="N904">
        <v>1.0369999999999999</v>
      </c>
      <c r="O904">
        <v>1.2443303175022198</v>
      </c>
      <c r="P904">
        <v>6.5130008792865218E-3</v>
      </c>
      <c r="Q904">
        <v>6.5130008792865218E-3</v>
      </c>
      <c r="R904">
        <v>9907.726736590881</v>
      </c>
      <c r="S904" t="s">
        <v>11</v>
      </c>
      <c r="T904">
        <v>6.5599999999999999E-3</v>
      </c>
      <c r="U904">
        <v>9979.2228799999993</v>
      </c>
      <c r="V904">
        <v>-71.496143409118304</v>
      </c>
      <c r="W904">
        <v>-7.1645001087618067E-3</v>
      </c>
    </row>
    <row r="905" spans="1:23" x14ac:dyDescent="0.25">
      <c r="A905" t="s">
        <v>1898</v>
      </c>
      <c r="B905" t="s">
        <v>38</v>
      </c>
      <c r="C905" t="s">
        <v>87</v>
      </c>
      <c r="D905" t="s">
        <v>33</v>
      </c>
      <c r="E905" t="s">
        <v>88</v>
      </c>
      <c r="F905" s="1">
        <v>46322</v>
      </c>
      <c r="G905">
        <v>46352</v>
      </c>
      <c r="H905" t="s">
        <v>6</v>
      </c>
      <c r="I905">
        <v>7686.9</v>
      </c>
      <c r="J905" t="s">
        <v>84</v>
      </c>
      <c r="K905" t="s">
        <v>1899</v>
      </c>
      <c r="L905">
        <v>30</v>
      </c>
      <c r="M905" t="s">
        <v>38</v>
      </c>
      <c r="N905">
        <v>1.1176999999999999</v>
      </c>
      <c r="O905">
        <v>1.320456022210408</v>
      </c>
      <c r="P905">
        <v>6.3200452360757699E-3</v>
      </c>
      <c r="Q905">
        <v>1.1176999999999999</v>
      </c>
      <c r="R905">
        <v>8591.6481299999996</v>
      </c>
      <c r="S905" t="s">
        <v>23</v>
      </c>
      <c r="T905">
        <v>1.119</v>
      </c>
      <c r="U905">
        <v>8601.6410999999989</v>
      </c>
      <c r="V905">
        <v>-9.9929699999993318</v>
      </c>
      <c r="W905">
        <v>-1.1617515638962584E-3</v>
      </c>
    </row>
    <row r="906" spans="1:23" x14ac:dyDescent="0.25">
      <c r="A906" t="s">
        <v>1900</v>
      </c>
      <c r="B906" t="s">
        <v>39</v>
      </c>
      <c r="C906" t="s">
        <v>82</v>
      </c>
      <c r="D906" t="s">
        <v>33</v>
      </c>
      <c r="E906" t="s">
        <v>83</v>
      </c>
      <c r="F906" s="1">
        <v>46149</v>
      </c>
      <c r="G906">
        <v>46194</v>
      </c>
      <c r="H906" t="s">
        <v>8</v>
      </c>
      <c r="I906">
        <v>13106.54</v>
      </c>
      <c r="J906" t="s">
        <v>75</v>
      </c>
      <c r="K906" t="s">
        <v>1901</v>
      </c>
      <c r="L906">
        <v>45</v>
      </c>
      <c r="M906" t="s">
        <v>39</v>
      </c>
      <c r="N906">
        <v>1.177</v>
      </c>
      <c r="O906">
        <v>1.3621108667978243</v>
      </c>
      <c r="P906">
        <v>6.3943065138262626E-3</v>
      </c>
      <c r="Q906">
        <v>1.3621108667978243</v>
      </c>
      <c r="R906">
        <v>17852.560560120357</v>
      </c>
      <c r="S906" t="s">
        <v>19</v>
      </c>
      <c r="T906">
        <v>1.2709999999999999</v>
      </c>
      <c r="U906">
        <v>16658.412339999999</v>
      </c>
      <c r="V906">
        <v>1194.148220120358</v>
      </c>
      <c r="W906">
        <v>7.1684395592308769E-2</v>
      </c>
    </row>
    <row r="907" spans="1:23" x14ac:dyDescent="0.25">
      <c r="A907" t="s">
        <v>1902</v>
      </c>
      <c r="B907" t="s">
        <v>26</v>
      </c>
      <c r="C907" t="s">
        <v>94</v>
      </c>
      <c r="D907" t="s">
        <v>31</v>
      </c>
      <c r="E907" t="s">
        <v>74</v>
      </c>
      <c r="F907" s="1">
        <v>45662</v>
      </c>
      <c r="G907">
        <v>45692</v>
      </c>
      <c r="H907" t="s">
        <v>8</v>
      </c>
      <c r="I907">
        <v>21940.9</v>
      </c>
      <c r="J907" t="s">
        <v>75</v>
      </c>
      <c r="K907" t="s">
        <v>1903</v>
      </c>
      <c r="L907">
        <v>30</v>
      </c>
      <c r="M907" t="s">
        <v>26</v>
      </c>
      <c r="N907">
        <v>1.03</v>
      </c>
      <c r="O907">
        <v>1.2216384187491844</v>
      </c>
      <c r="P907">
        <v>6.3678516228748072E-3</v>
      </c>
      <c r="Q907">
        <v>1.2216384187491844</v>
      </c>
      <c r="R907">
        <v>26803.846381933981</v>
      </c>
      <c r="S907" t="s">
        <v>11</v>
      </c>
      <c r="T907">
        <v>1.238</v>
      </c>
      <c r="U907">
        <v>27162.834200000001</v>
      </c>
      <c r="V907">
        <v>-358.98781806601983</v>
      </c>
      <c r="W907">
        <v>-1.3216139944115987E-2</v>
      </c>
    </row>
    <row r="908" spans="1:23" x14ac:dyDescent="0.25">
      <c r="A908" t="s">
        <v>1904</v>
      </c>
      <c r="B908" t="s">
        <v>24</v>
      </c>
      <c r="C908" t="s">
        <v>73</v>
      </c>
      <c r="D908" t="s">
        <v>31</v>
      </c>
      <c r="E908" t="s">
        <v>74</v>
      </c>
      <c r="F908" s="1">
        <v>45911</v>
      </c>
      <c r="G908">
        <v>45941</v>
      </c>
      <c r="H908" t="s">
        <v>6</v>
      </c>
      <c r="I908">
        <v>14445.38</v>
      </c>
      <c r="J908" t="s">
        <v>75</v>
      </c>
      <c r="K908" t="s">
        <v>1905</v>
      </c>
      <c r="L908">
        <v>30</v>
      </c>
      <c r="M908" t="s">
        <v>24</v>
      </c>
      <c r="N908">
        <v>1.1685000000000001</v>
      </c>
      <c r="O908">
        <v>1.3513357233722678</v>
      </c>
      <c r="P908">
        <v>6.7590236001850998E-3</v>
      </c>
      <c r="Q908">
        <v>1.1685000000000001</v>
      </c>
      <c r="R908">
        <v>16879.426530000001</v>
      </c>
      <c r="S908" t="s">
        <v>13</v>
      </c>
      <c r="T908">
        <v>1.0880000000000001</v>
      </c>
      <c r="U908">
        <v>15716.57344</v>
      </c>
      <c r="V908">
        <v>1162.8530900000005</v>
      </c>
      <c r="W908">
        <v>7.3988970588235323E-2</v>
      </c>
    </row>
    <row r="909" spans="1:23" x14ac:dyDescent="0.25">
      <c r="A909" t="s">
        <v>1906</v>
      </c>
      <c r="B909" t="s">
        <v>30</v>
      </c>
      <c r="C909" t="s">
        <v>103</v>
      </c>
      <c r="D909" t="s">
        <v>31</v>
      </c>
      <c r="E909" t="s">
        <v>74</v>
      </c>
      <c r="F909" s="1">
        <v>45774</v>
      </c>
      <c r="G909">
        <v>45804</v>
      </c>
      <c r="H909" t="s">
        <v>9</v>
      </c>
      <c r="I909">
        <v>5074228.2699999996</v>
      </c>
      <c r="J909" t="s">
        <v>75</v>
      </c>
      <c r="K909" t="s">
        <v>1907</v>
      </c>
      <c r="L909">
        <v>30</v>
      </c>
      <c r="M909" t="s">
        <v>30</v>
      </c>
      <c r="N909">
        <v>1.1597999999999999</v>
      </c>
      <c r="O909">
        <v>1.3603096410978184</v>
      </c>
      <c r="P909">
        <v>6.8598805228603536E-3</v>
      </c>
      <c r="Q909">
        <v>6.8598805228603536E-3</v>
      </c>
      <c r="R909">
        <v>34808.599677920385</v>
      </c>
      <c r="S909" t="s">
        <v>12</v>
      </c>
      <c r="T909">
        <v>6.7000000000000002E-3</v>
      </c>
      <c r="U909">
        <v>33997.329408999998</v>
      </c>
      <c r="V909">
        <v>811.27026892038702</v>
      </c>
      <c r="W909">
        <v>2.3862764606022914E-2</v>
      </c>
    </row>
    <row r="910" spans="1:23" x14ac:dyDescent="0.25">
      <c r="A910" t="s">
        <v>1908</v>
      </c>
      <c r="B910" t="s">
        <v>36</v>
      </c>
      <c r="C910" t="s">
        <v>116</v>
      </c>
      <c r="D910" t="s">
        <v>31</v>
      </c>
      <c r="E910" t="s">
        <v>74</v>
      </c>
      <c r="F910" s="1">
        <v>45769</v>
      </c>
      <c r="G910">
        <v>45814</v>
      </c>
      <c r="H910" t="s">
        <v>6</v>
      </c>
      <c r="I910">
        <v>37229.440000000002</v>
      </c>
      <c r="J910" t="s">
        <v>75</v>
      </c>
      <c r="K910" t="s">
        <v>1909</v>
      </c>
      <c r="L910">
        <v>45</v>
      </c>
      <c r="M910" t="s">
        <v>36</v>
      </c>
      <c r="N910">
        <v>1.1476</v>
      </c>
      <c r="O910">
        <v>1.3366255910922686</v>
      </c>
      <c r="P910">
        <v>7.1257373486494869E-3</v>
      </c>
      <c r="Q910">
        <v>1.1476</v>
      </c>
      <c r="R910">
        <v>42724.505343999997</v>
      </c>
      <c r="S910" t="s">
        <v>12</v>
      </c>
      <c r="T910">
        <v>1.07</v>
      </c>
      <c r="U910">
        <v>39835.500800000002</v>
      </c>
      <c r="V910">
        <v>2889.0045439999958</v>
      </c>
      <c r="W910">
        <v>7.2523364485981207E-2</v>
      </c>
    </row>
    <row r="911" spans="1:23" x14ac:dyDescent="0.25">
      <c r="A911" t="s">
        <v>1910</v>
      </c>
      <c r="B911" t="s">
        <v>22</v>
      </c>
      <c r="C911" t="s">
        <v>127</v>
      </c>
      <c r="D911" t="s">
        <v>31</v>
      </c>
      <c r="E911" t="s">
        <v>124</v>
      </c>
      <c r="F911" s="1">
        <v>46222</v>
      </c>
      <c r="G911">
        <v>46282</v>
      </c>
      <c r="H911" t="s">
        <v>9</v>
      </c>
      <c r="I911">
        <v>3862948.96</v>
      </c>
      <c r="J911" t="s">
        <v>75</v>
      </c>
      <c r="K911" t="s">
        <v>1911</v>
      </c>
      <c r="L911">
        <v>60</v>
      </c>
      <c r="M911" t="s">
        <v>22</v>
      </c>
      <c r="N911">
        <v>1.1435</v>
      </c>
      <c r="O911">
        <v>1.3437448588685985</v>
      </c>
      <c r="P911">
        <v>6.1594398060867217E-3</v>
      </c>
      <c r="Q911">
        <v>6.1594398060867217E-3</v>
      </c>
      <c r="R911">
        <v>23793.601593105304</v>
      </c>
      <c r="S911" t="s">
        <v>21</v>
      </c>
      <c r="T911">
        <v>6.7400000000000003E-3</v>
      </c>
      <c r="U911">
        <v>26036.275990400001</v>
      </c>
      <c r="V911">
        <v>-2242.674397294697</v>
      </c>
      <c r="W911">
        <v>-8.6136527286836545E-2</v>
      </c>
    </row>
    <row r="912" spans="1:23" x14ac:dyDescent="0.25">
      <c r="A912" t="s">
        <v>1912</v>
      </c>
      <c r="B912" t="s">
        <v>25</v>
      </c>
      <c r="C912" t="s">
        <v>169</v>
      </c>
      <c r="D912" t="s">
        <v>31</v>
      </c>
      <c r="E912" t="s">
        <v>124</v>
      </c>
      <c r="F912" s="1">
        <v>46215</v>
      </c>
      <c r="G912">
        <v>46275</v>
      </c>
      <c r="H912" t="s">
        <v>6</v>
      </c>
      <c r="I912">
        <v>24827.84</v>
      </c>
      <c r="J912" t="s">
        <v>75</v>
      </c>
      <c r="K912" t="s">
        <v>1913</v>
      </c>
      <c r="L912">
        <v>60</v>
      </c>
      <c r="M912" t="s">
        <v>25</v>
      </c>
      <c r="N912">
        <v>1.143</v>
      </c>
      <c r="O912">
        <v>1.3422582349832657</v>
      </c>
      <c r="P912">
        <v>6.1777105177818611E-3</v>
      </c>
      <c r="Q912">
        <v>1.143</v>
      </c>
      <c r="R912">
        <v>28378.221120000002</v>
      </c>
      <c r="S912" t="s">
        <v>21</v>
      </c>
      <c r="T912">
        <v>1.101</v>
      </c>
      <c r="U912">
        <v>27335.451839999998</v>
      </c>
      <c r="V912">
        <v>1042.7692800000041</v>
      </c>
      <c r="W912">
        <v>3.8147138964577811E-2</v>
      </c>
    </row>
    <row r="913" spans="1:23" x14ac:dyDescent="0.25">
      <c r="A913" t="s">
        <v>1914</v>
      </c>
      <c r="B913" t="s">
        <v>37</v>
      </c>
      <c r="C913" t="s">
        <v>91</v>
      </c>
      <c r="D913" t="s">
        <v>31</v>
      </c>
      <c r="E913" t="s">
        <v>74</v>
      </c>
      <c r="F913" s="1">
        <v>46209</v>
      </c>
      <c r="G913">
        <v>46239</v>
      </c>
      <c r="H913" t="s">
        <v>6</v>
      </c>
      <c r="I913">
        <v>7524.93</v>
      </c>
      <c r="J913" t="s">
        <v>75</v>
      </c>
      <c r="K913" t="s">
        <v>1915</v>
      </c>
      <c r="L913">
        <v>30</v>
      </c>
      <c r="M913" t="s">
        <v>37</v>
      </c>
      <c r="N913">
        <v>1.1415</v>
      </c>
      <c r="O913">
        <v>1.3344946105824311</v>
      </c>
      <c r="P913">
        <v>6.1599481949166255E-3</v>
      </c>
      <c r="Q913">
        <v>1.1415</v>
      </c>
      <c r="R913">
        <v>8589.7075949999999</v>
      </c>
      <c r="S913" t="s">
        <v>21</v>
      </c>
      <c r="T913">
        <v>1.101</v>
      </c>
      <c r="U913">
        <v>8284.9479300000003</v>
      </c>
      <c r="V913">
        <v>304.75966499999959</v>
      </c>
      <c r="W913">
        <v>3.6784741144414115E-2</v>
      </c>
    </row>
    <row r="914" spans="1:23" x14ac:dyDescent="0.25">
      <c r="A914" t="s">
        <v>1916</v>
      </c>
      <c r="B914" t="s">
        <v>24</v>
      </c>
      <c r="C914" t="s">
        <v>73</v>
      </c>
      <c r="D914" t="s">
        <v>31</v>
      </c>
      <c r="E914" t="s">
        <v>74</v>
      </c>
      <c r="F914" s="1">
        <v>46174</v>
      </c>
      <c r="G914">
        <v>46204</v>
      </c>
      <c r="H914" t="s">
        <v>6</v>
      </c>
      <c r="I914">
        <v>35842.550000000003</v>
      </c>
      <c r="J914" t="s">
        <v>75</v>
      </c>
      <c r="K914" t="s">
        <v>1917</v>
      </c>
      <c r="L914">
        <v>30</v>
      </c>
      <c r="M914" t="s">
        <v>24</v>
      </c>
      <c r="N914">
        <v>1.1646000000000001</v>
      </c>
      <c r="O914">
        <v>1.3464673441781416</v>
      </c>
      <c r="P914">
        <v>6.2700549154732421E-3</v>
      </c>
      <c r="Q914">
        <v>1.1646000000000001</v>
      </c>
      <c r="R914">
        <v>41742.233730000007</v>
      </c>
      <c r="S914" t="s">
        <v>19</v>
      </c>
      <c r="T914">
        <v>1.083</v>
      </c>
      <c r="U914">
        <v>38817.481650000002</v>
      </c>
      <c r="V914">
        <v>2924.7520800000057</v>
      </c>
      <c r="W914">
        <v>7.5346260387811781E-2</v>
      </c>
    </row>
    <row r="915" spans="1:23" x14ac:dyDescent="0.25">
      <c r="A915" t="s">
        <v>1918</v>
      </c>
      <c r="B915" t="s">
        <v>28</v>
      </c>
      <c r="C915" t="s">
        <v>111</v>
      </c>
      <c r="D915" t="s">
        <v>31</v>
      </c>
      <c r="E915" t="s">
        <v>74</v>
      </c>
      <c r="F915" s="1">
        <v>46042</v>
      </c>
      <c r="G915">
        <v>46087</v>
      </c>
      <c r="H915" t="s">
        <v>9</v>
      </c>
      <c r="I915">
        <v>4593482.09</v>
      </c>
      <c r="J915" t="s">
        <v>75</v>
      </c>
      <c r="K915" t="s">
        <v>1919</v>
      </c>
      <c r="L915">
        <v>45</v>
      </c>
      <c r="M915" t="s">
        <v>28</v>
      </c>
      <c r="N915">
        <v>1.1728000000000001</v>
      </c>
      <c r="O915">
        <v>1.3446457234579225</v>
      </c>
      <c r="P915">
        <v>6.3332973323253052E-3</v>
      </c>
      <c r="Q915">
        <v>6.3332973323253052E-3</v>
      </c>
      <c r="R915">
        <v>29091.887866681067</v>
      </c>
      <c r="S915" t="s">
        <v>16</v>
      </c>
      <c r="T915">
        <v>6.4599999999999996E-3</v>
      </c>
      <c r="U915">
        <v>29673.894301399996</v>
      </c>
      <c r="V915">
        <v>-582.00643471892909</v>
      </c>
      <c r="W915">
        <v>-1.9613416048714253E-2</v>
      </c>
    </row>
    <row r="916" spans="1:23" x14ac:dyDescent="0.25">
      <c r="A916" t="s">
        <v>1920</v>
      </c>
      <c r="B916" t="s">
        <v>44</v>
      </c>
      <c r="C916" t="s">
        <v>138</v>
      </c>
      <c r="D916" t="s">
        <v>33</v>
      </c>
      <c r="E916" t="s">
        <v>88</v>
      </c>
      <c r="F916" s="1">
        <v>45873</v>
      </c>
      <c r="G916">
        <v>45918</v>
      </c>
      <c r="H916" t="s">
        <v>9</v>
      </c>
      <c r="I916">
        <v>622394.85</v>
      </c>
      <c r="J916" t="s">
        <v>75</v>
      </c>
      <c r="K916" t="s">
        <v>1921</v>
      </c>
      <c r="L916">
        <v>45</v>
      </c>
      <c r="M916" t="s">
        <v>44</v>
      </c>
      <c r="N916">
        <v>1.1565000000000001</v>
      </c>
      <c r="O916">
        <v>1.3286994485294119</v>
      </c>
      <c r="P916">
        <v>6.7849809328248759E-3</v>
      </c>
      <c r="Q916">
        <v>6.7849809328248759E-3</v>
      </c>
      <c r="R916">
        <v>4222.9371899383987</v>
      </c>
      <c r="S916" t="s">
        <v>13</v>
      </c>
      <c r="T916">
        <v>6.8399999999999997E-3</v>
      </c>
      <c r="U916">
        <v>4257.1807739999995</v>
      </c>
      <c r="V916">
        <v>-34.243584061600814</v>
      </c>
      <c r="W916">
        <v>-8.0437232712168641E-3</v>
      </c>
    </row>
    <row r="917" spans="1:23" x14ac:dyDescent="0.25">
      <c r="A917" t="s">
        <v>1922</v>
      </c>
      <c r="B917" t="s">
        <v>30</v>
      </c>
      <c r="C917" t="s">
        <v>103</v>
      </c>
      <c r="D917" t="s">
        <v>31</v>
      </c>
      <c r="E917" t="s">
        <v>74</v>
      </c>
      <c r="F917" s="1">
        <v>45717</v>
      </c>
      <c r="G917">
        <v>45747</v>
      </c>
      <c r="H917" t="s">
        <v>9</v>
      </c>
      <c r="I917">
        <v>2404302.16</v>
      </c>
      <c r="J917" t="s">
        <v>75</v>
      </c>
      <c r="K917" t="s">
        <v>1923</v>
      </c>
      <c r="L917">
        <v>30</v>
      </c>
      <c r="M917" t="s">
        <v>30</v>
      </c>
      <c r="N917">
        <v>1.0803</v>
      </c>
      <c r="O917">
        <v>1.2944700736924091</v>
      </c>
      <c r="P917">
        <v>6.7007815407517683E-3</v>
      </c>
      <c r="Q917">
        <v>6.7007815407517683E-3</v>
      </c>
      <c r="R917">
        <v>16110.703532117606</v>
      </c>
      <c r="S917" t="s">
        <v>11</v>
      </c>
      <c r="T917">
        <v>6.5599999999999999E-3</v>
      </c>
      <c r="U917">
        <v>15772.222169600002</v>
      </c>
      <c r="V917">
        <v>338.48136251760479</v>
      </c>
      <c r="W917">
        <v>2.1460600724354937E-2</v>
      </c>
    </row>
    <row r="918" spans="1:23" x14ac:dyDescent="0.25">
      <c r="A918" t="s">
        <v>1924</v>
      </c>
      <c r="B918" t="s">
        <v>36</v>
      </c>
      <c r="C918" t="s">
        <v>116</v>
      </c>
      <c r="D918" t="s">
        <v>31</v>
      </c>
      <c r="E918" t="s">
        <v>74</v>
      </c>
      <c r="F918" s="1">
        <v>46072</v>
      </c>
      <c r="G918">
        <v>46117</v>
      </c>
      <c r="H918" t="s">
        <v>6</v>
      </c>
      <c r="I918">
        <v>31181.06</v>
      </c>
      <c r="J918" t="s">
        <v>75</v>
      </c>
      <c r="K918" t="s">
        <v>1925</v>
      </c>
      <c r="L918">
        <v>45</v>
      </c>
      <c r="M918" t="s">
        <v>36</v>
      </c>
      <c r="N918">
        <v>1.1753</v>
      </c>
      <c r="O918">
        <v>1.3450446326390477</v>
      </c>
      <c r="P918">
        <v>6.4559187036528423E-3</v>
      </c>
      <c r="Q918">
        <v>1.1753</v>
      </c>
      <c r="R918">
        <v>36647.099818000002</v>
      </c>
      <c r="S918" t="s">
        <v>16</v>
      </c>
      <c r="T918">
        <v>1.0649999999999999</v>
      </c>
      <c r="U918">
        <v>33207.8289</v>
      </c>
      <c r="V918">
        <v>3439.270918000002</v>
      </c>
      <c r="W918">
        <v>0.10356807511737096</v>
      </c>
    </row>
    <row r="919" spans="1:23" x14ac:dyDescent="0.25">
      <c r="A919" t="s">
        <v>1926</v>
      </c>
      <c r="B919" t="s">
        <v>38</v>
      </c>
      <c r="C919" t="s">
        <v>87</v>
      </c>
      <c r="D919" t="s">
        <v>33</v>
      </c>
      <c r="E919" t="s">
        <v>88</v>
      </c>
      <c r="F919" s="1">
        <v>46286</v>
      </c>
      <c r="G919">
        <v>46316</v>
      </c>
      <c r="H919" t="s">
        <v>6</v>
      </c>
      <c r="I919">
        <v>4809.41</v>
      </c>
      <c r="J919" t="s">
        <v>75</v>
      </c>
      <c r="K919" t="s">
        <v>1927</v>
      </c>
      <c r="L919">
        <v>30</v>
      </c>
      <c r="M919" t="s">
        <v>38</v>
      </c>
      <c r="N919">
        <v>1.149</v>
      </c>
      <c r="O919">
        <v>1.3394730706458382</v>
      </c>
      <c r="P919">
        <v>6.3586054233536254E-3</v>
      </c>
      <c r="Q919">
        <v>1.149</v>
      </c>
      <c r="R919">
        <v>5526.0120900000002</v>
      </c>
      <c r="S919" t="s">
        <v>21</v>
      </c>
      <c r="T919">
        <v>1.101</v>
      </c>
      <c r="U919">
        <v>5295.1604099999995</v>
      </c>
      <c r="V919">
        <v>230.85168000000067</v>
      </c>
      <c r="W919">
        <v>4.3596730245231738E-2</v>
      </c>
    </row>
    <row r="920" spans="1:23" x14ac:dyDescent="0.25">
      <c r="A920" t="s">
        <v>1928</v>
      </c>
      <c r="B920" t="s">
        <v>22</v>
      </c>
      <c r="C920" t="s">
        <v>127</v>
      </c>
      <c r="D920" t="s">
        <v>31</v>
      </c>
      <c r="E920" t="s">
        <v>124</v>
      </c>
      <c r="F920" s="1">
        <v>46319</v>
      </c>
      <c r="G920">
        <v>46379</v>
      </c>
      <c r="H920" t="s">
        <v>9</v>
      </c>
      <c r="I920">
        <v>14282148.189999999</v>
      </c>
      <c r="J920" t="s">
        <v>84</v>
      </c>
      <c r="K920" t="s">
        <v>1929</v>
      </c>
      <c r="L920">
        <v>60</v>
      </c>
      <c r="M920" t="s">
        <v>22</v>
      </c>
      <c r="N920">
        <v>1.1176999999999999</v>
      </c>
      <c r="O920">
        <v>1.320456022210408</v>
      </c>
      <c r="P920">
        <v>6.3200452360757699E-3</v>
      </c>
      <c r="Q920">
        <v>6.3200452360757699E-3</v>
      </c>
      <c r="R920">
        <v>90263.822629137678</v>
      </c>
      <c r="S920" t="s">
        <v>23</v>
      </c>
      <c r="T920">
        <v>6.8799999999999998E-3</v>
      </c>
      <c r="U920">
        <v>98261.179547199994</v>
      </c>
      <c r="V920">
        <v>-7997.3569180623163</v>
      </c>
      <c r="W920">
        <v>-8.1388773826196206E-2</v>
      </c>
    </row>
    <row r="921" spans="1:23" x14ac:dyDescent="0.25">
      <c r="A921" t="s">
        <v>1930</v>
      </c>
      <c r="B921" t="s">
        <v>22</v>
      </c>
      <c r="C921" t="s">
        <v>127</v>
      </c>
      <c r="D921" t="s">
        <v>31</v>
      </c>
      <c r="E921" t="s">
        <v>124</v>
      </c>
      <c r="F921" s="1">
        <v>45880</v>
      </c>
      <c r="G921">
        <v>45940</v>
      </c>
      <c r="H921" t="s">
        <v>9</v>
      </c>
      <c r="I921">
        <v>5457670.4100000001</v>
      </c>
      <c r="J921" t="s">
        <v>75</v>
      </c>
      <c r="K921" t="s">
        <v>1931</v>
      </c>
      <c r="L921">
        <v>60</v>
      </c>
      <c r="M921" t="s">
        <v>22</v>
      </c>
      <c r="N921">
        <v>1.1621999999999999</v>
      </c>
      <c r="O921">
        <v>1.3426524953789278</v>
      </c>
      <c r="P921">
        <v>6.7624810892586975E-3</v>
      </c>
      <c r="Q921">
        <v>6.7624810892586975E-3</v>
      </c>
      <c r="R921">
        <v>36907.392939031764</v>
      </c>
      <c r="S921" t="s">
        <v>13</v>
      </c>
      <c r="T921">
        <v>6.8399999999999997E-3</v>
      </c>
      <c r="U921">
        <v>37330.4656044</v>
      </c>
      <c r="V921">
        <v>-423.0726653682359</v>
      </c>
      <c r="W921">
        <v>-1.1333174084985694E-2</v>
      </c>
    </row>
    <row r="922" spans="1:23" x14ac:dyDescent="0.25">
      <c r="A922" t="s">
        <v>1932</v>
      </c>
      <c r="B922" t="s">
        <v>24</v>
      </c>
      <c r="C922" t="s">
        <v>73</v>
      </c>
      <c r="D922" t="s">
        <v>31</v>
      </c>
      <c r="E922" t="s">
        <v>74</v>
      </c>
      <c r="F922" s="1">
        <v>46369</v>
      </c>
      <c r="G922">
        <v>46399</v>
      </c>
      <c r="H922" t="s">
        <v>6</v>
      </c>
      <c r="I922">
        <v>14603.87</v>
      </c>
      <c r="J922" t="s">
        <v>84</v>
      </c>
      <c r="K922" t="s">
        <v>1933</v>
      </c>
      <c r="L922">
        <v>30</v>
      </c>
      <c r="M922" t="s">
        <v>24</v>
      </c>
      <c r="N922">
        <v>1.1176999999999999</v>
      </c>
      <c r="O922">
        <v>1.320456022210408</v>
      </c>
      <c r="P922">
        <v>6.3200452360757699E-3</v>
      </c>
      <c r="Q922">
        <v>1.1176999999999999</v>
      </c>
      <c r="R922">
        <v>16322.745499000001</v>
      </c>
      <c r="S922" t="s">
        <v>23</v>
      </c>
      <c r="T922">
        <v>1.119</v>
      </c>
      <c r="U922">
        <v>16341.730530000001</v>
      </c>
      <c r="V922">
        <v>-18.985031000000163</v>
      </c>
      <c r="W922">
        <v>-1.161751563896346E-3</v>
      </c>
    </row>
    <row r="923" spans="1:23" x14ac:dyDescent="0.25">
      <c r="A923" t="s">
        <v>1934</v>
      </c>
      <c r="B923" t="s">
        <v>25</v>
      </c>
      <c r="C923" t="s">
        <v>169</v>
      </c>
      <c r="D923" t="s">
        <v>31</v>
      </c>
      <c r="E923" t="s">
        <v>124</v>
      </c>
      <c r="F923" s="1">
        <v>45897</v>
      </c>
      <c r="G923">
        <v>45957</v>
      </c>
      <c r="H923" t="s">
        <v>6</v>
      </c>
      <c r="I923">
        <v>39592.639999999999</v>
      </c>
      <c r="J923" t="s">
        <v>75</v>
      </c>
      <c r="K923" t="s">
        <v>1935</v>
      </c>
      <c r="L923">
        <v>60</v>
      </c>
      <c r="M923" t="s">
        <v>25</v>
      </c>
      <c r="N923">
        <v>1.1676</v>
      </c>
      <c r="O923">
        <v>1.3518582841264328</v>
      </c>
      <c r="P923">
        <v>6.8089573128061586E-3</v>
      </c>
      <c r="Q923">
        <v>1.1676</v>
      </c>
      <c r="R923">
        <v>46228.366463999999</v>
      </c>
      <c r="S923" t="s">
        <v>13</v>
      </c>
      <c r="T923">
        <v>1.0880000000000001</v>
      </c>
      <c r="U923">
        <v>43076.79232</v>
      </c>
      <c r="V923">
        <v>3151.5741439999983</v>
      </c>
      <c r="W923">
        <v>7.3161764705882315E-2</v>
      </c>
    </row>
    <row r="924" spans="1:23" x14ac:dyDescent="0.25">
      <c r="A924" t="s">
        <v>1936</v>
      </c>
      <c r="B924" t="s">
        <v>40</v>
      </c>
      <c r="C924" t="s">
        <v>78</v>
      </c>
      <c r="D924" t="s">
        <v>33</v>
      </c>
      <c r="E924" t="s">
        <v>79</v>
      </c>
      <c r="F924" s="1">
        <v>45934</v>
      </c>
      <c r="G924">
        <v>45964</v>
      </c>
      <c r="H924" t="s">
        <v>9</v>
      </c>
      <c r="I924">
        <v>1821346.7</v>
      </c>
      <c r="J924" t="s">
        <v>75</v>
      </c>
      <c r="K924" t="s">
        <v>1937</v>
      </c>
      <c r="L924">
        <v>30</v>
      </c>
      <c r="M924" t="s">
        <v>40</v>
      </c>
      <c r="N924">
        <v>1.1886000000000001</v>
      </c>
      <c r="O924">
        <v>1.3660498793242157</v>
      </c>
      <c r="P924">
        <v>6.4023700511715602E-3</v>
      </c>
      <c r="Q924">
        <v>6.4023700511715602E-3</v>
      </c>
      <c r="R924">
        <v>11660.935564880152</v>
      </c>
      <c r="S924" t="s">
        <v>14</v>
      </c>
      <c r="T924">
        <v>6.9800000000000001E-3</v>
      </c>
      <c r="U924">
        <v>12712.999965999999</v>
      </c>
      <c r="V924">
        <v>-1052.0644011198474</v>
      </c>
      <c r="W924">
        <v>-8.2755006995478456E-2</v>
      </c>
    </row>
    <row r="925" spans="1:23" x14ac:dyDescent="0.25">
      <c r="A925" t="s">
        <v>1938</v>
      </c>
      <c r="B925" t="s">
        <v>22</v>
      </c>
      <c r="C925" t="s">
        <v>127</v>
      </c>
      <c r="D925" t="s">
        <v>31</v>
      </c>
      <c r="E925" t="s">
        <v>124</v>
      </c>
      <c r="F925" s="1">
        <v>45666</v>
      </c>
      <c r="G925">
        <v>45726</v>
      </c>
      <c r="H925" t="s">
        <v>9</v>
      </c>
      <c r="I925">
        <v>10299335.93</v>
      </c>
      <c r="J925" t="s">
        <v>75</v>
      </c>
      <c r="K925" t="s">
        <v>1939</v>
      </c>
      <c r="L925">
        <v>60</v>
      </c>
      <c r="M925" t="s">
        <v>22</v>
      </c>
      <c r="N925">
        <v>1.0305</v>
      </c>
      <c r="O925">
        <v>1.2295962199312713</v>
      </c>
      <c r="P925">
        <v>6.339197834645669E-3</v>
      </c>
      <c r="Q925">
        <v>6.339197834645669E-3</v>
      </c>
      <c r="R925">
        <v>65289.528025744337</v>
      </c>
      <c r="S925" t="s">
        <v>11</v>
      </c>
      <c r="T925">
        <v>6.5599999999999999E-3</v>
      </c>
      <c r="U925">
        <v>67563.643700799992</v>
      </c>
      <c r="V925">
        <v>-2274.1156750556547</v>
      </c>
      <c r="W925">
        <v>-3.3658866669867421E-2</v>
      </c>
    </row>
    <row r="926" spans="1:23" x14ac:dyDescent="0.25">
      <c r="A926" t="s">
        <v>1940</v>
      </c>
      <c r="B926" t="s">
        <v>32</v>
      </c>
      <c r="C926" t="s">
        <v>106</v>
      </c>
      <c r="D926" t="s">
        <v>31</v>
      </c>
      <c r="E926" t="s">
        <v>74</v>
      </c>
      <c r="F926" s="1">
        <v>46047</v>
      </c>
      <c r="G926">
        <v>46077</v>
      </c>
      <c r="H926" t="s">
        <v>6</v>
      </c>
      <c r="I926">
        <v>8549.0400000000009</v>
      </c>
      <c r="J926" t="s">
        <v>75</v>
      </c>
      <c r="K926" t="s">
        <v>1941</v>
      </c>
      <c r="L926">
        <v>30</v>
      </c>
      <c r="M926" t="s">
        <v>32</v>
      </c>
      <c r="N926">
        <v>1.1555</v>
      </c>
      <c r="O926">
        <v>1.3367963164349013</v>
      </c>
      <c r="P926">
        <v>6.2983756677204832E-3</v>
      </c>
      <c r="Q926">
        <v>1.1555</v>
      </c>
      <c r="R926">
        <v>9878.4157200000009</v>
      </c>
      <c r="S926" t="s">
        <v>16</v>
      </c>
      <c r="T926">
        <v>1.0649999999999999</v>
      </c>
      <c r="U926">
        <v>9104.7276000000002</v>
      </c>
      <c r="V926">
        <v>773.68812000000071</v>
      </c>
      <c r="W926">
        <v>8.4976525821596316E-2</v>
      </c>
    </row>
    <row r="927" spans="1:23" x14ac:dyDescent="0.25">
      <c r="A927" t="s">
        <v>1942</v>
      </c>
      <c r="B927" t="s">
        <v>44</v>
      </c>
      <c r="C927" t="s">
        <v>138</v>
      </c>
      <c r="D927" t="s">
        <v>33</v>
      </c>
      <c r="E927" t="s">
        <v>88</v>
      </c>
      <c r="F927" s="1">
        <v>45721</v>
      </c>
      <c r="G927">
        <v>45766</v>
      </c>
      <c r="H927" t="s">
        <v>9</v>
      </c>
      <c r="I927">
        <v>339058.63</v>
      </c>
      <c r="J927" t="s">
        <v>75</v>
      </c>
      <c r="K927" t="s">
        <v>1943</v>
      </c>
      <c r="L927">
        <v>45</v>
      </c>
      <c r="M927" t="s">
        <v>44</v>
      </c>
      <c r="N927">
        <v>1.0693999999999999</v>
      </c>
      <c r="O927">
        <v>1.2807185628742515</v>
      </c>
      <c r="P927">
        <v>6.6799925042163779E-3</v>
      </c>
      <c r="Q927">
        <v>6.6799925042163779E-3</v>
      </c>
      <c r="R927">
        <v>2264.9091068898742</v>
      </c>
      <c r="S927" t="s">
        <v>11</v>
      </c>
      <c r="T927">
        <v>6.5599999999999999E-3</v>
      </c>
      <c r="U927">
        <v>2224.2246128000002</v>
      </c>
      <c r="V927">
        <v>40.684494089874079</v>
      </c>
      <c r="W927">
        <v>1.8291540276886769E-2</v>
      </c>
    </row>
    <row r="928" spans="1:23" x14ac:dyDescent="0.25">
      <c r="A928" t="s">
        <v>1944</v>
      </c>
      <c r="B928" t="s">
        <v>28</v>
      </c>
      <c r="C928" t="s">
        <v>111</v>
      </c>
      <c r="D928" t="s">
        <v>31</v>
      </c>
      <c r="E928" t="s">
        <v>74</v>
      </c>
      <c r="F928" s="1">
        <v>45709</v>
      </c>
      <c r="G928">
        <v>45754</v>
      </c>
      <c r="H928" t="s">
        <v>9</v>
      </c>
      <c r="I928">
        <v>3247067.81</v>
      </c>
      <c r="J928" t="s">
        <v>75</v>
      </c>
      <c r="K928" t="s">
        <v>1945</v>
      </c>
      <c r="L928">
        <v>45</v>
      </c>
      <c r="M928" t="s">
        <v>28</v>
      </c>
      <c r="N928">
        <v>1.0465</v>
      </c>
      <c r="O928">
        <v>1.2644997583373609</v>
      </c>
      <c r="P928">
        <v>6.6461323510732884E-3</v>
      </c>
      <c r="Q928">
        <v>6.6461323510732884E-3</v>
      </c>
      <c r="R928">
        <v>21580.442418169696</v>
      </c>
      <c r="S928" t="s">
        <v>11</v>
      </c>
      <c r="T928">
        <v>6.5599999999999999E-3</v>
      </c>
      <c r="U928">
        <v>21300.764833599998</v>
      </c>
      <c r="V928">
        <v>279.6775845696975</v>
      </c>
      <c r="W928">
        <v>1.3129931566050241E-2</v>
      </c>
    </row>
    <row r="929" spans="1:23" x14ac:dyDescent="0.25">
      <c r="A929" t="s">
        <v>1946</v>
      </c>
      <c r="B929" t="s">
        <v>28</v>
      </c>
      <c r="C929" t="s">
        <v>111</v>
      </c>
      <c r="D929" t="s">
        <v>31</v>
      </c>
      <c r="E929" t="s">
        <v>74</v>
      </c>
      <c r="F929" s="1">
        <v>46310</v>
      </c>
      <c r="G929">
        <v>46355</v>
      </c>
      <c r="H929" t="s">
        <v>9</v>
      </c>
      <c r="I929">
        <v>2234924.11</v>
      </c>
      <c r="J929" t="s">
        <v>84</v>
      </c>
      <c r="K929" t="s">
        <v>1947</v>
      </c>
      <c r="L929">
        <v>45</v>
      </c>
      <c r="M929" t="s">
        <v>28</v>
      </c>
      <c r="N929">
        <v>1.1176999999999999</v>
      </c>
      <c r="O929">
        <v>1.320456022210408</v>
      </c>
      <c r="P929">
        <v>6.3200452360757699E-3</v>
      </c>
      <c r="Q929">
        <v>6.3200452360757699E-3</v>
      </c>
      <c r="R929">
        <v>14124.82147439638</v>
      </c>
      <c r="S929" t="s">
        <v>23</v>
      </c>
      <c r="T929">
        <v>6.8799999999999998E-3</v>
      </c>
      <c r="U929">
        <v>15376.277876799999</v>
      </c>
      <c r="V929">
        <v>-1251.456402403619</v>
      </c>
      <c r="W929">
        <v>-8.1388773826196179E-2</v>
      </c>
    </row>
    <row r="930" spans="1:23" x14ac:dyDescent="0.25">
      <c r="A930" t="s">
        <v>1948</v>
      </c>
      <c r="B930" t="s">
        <v>39</v>
      </c>
      <c r="C930" t="s">
        <v>82</v>
      </c>
      <c r="D930" t="s">
        <v>33</v>
      </c>
      <c r="E930" t="s">
        <v>83</v>
      </c>
      <c r="F930" s="1">
        <v>45855</v>
      </c>
      <c r="G930">
        <v>45900</v>
      </c>
      <c r="H930" t="s">
        <v>8</v>
      </c>
      <c r="I930">
        <v>831.89</v>
      </c>
      <c r="J930" t="s">
        <v>75</v>
      </c>
      <c r="K930" t="s">
        <v>1949</v>
      </c>
      <c r="L930">
        <v>45</v>
      </c>
      <c r="M930" t="s">
        <v>39</v>
      </c>
      <c r="N930">
        <v>1.1578999999999999</v>
      </c>
      <c r="O930">
        <v>1.3395418787598334</v>
      </c>
      <c r="P930">
        <v>6.7210355235662869E-3</v>
      </c>
      <c r="Q930">
        <v>1.3395418787598334</v>
      </c>
      <c r="R930">
        <v>1114.3514935215178</v>
      </c>
      <c r="S930" t="s">
        <v>13</v>
      </c>
      <c r="T930">
        <v>1.282</v>
      </c>
      <c r="U930">
        <v>1066.48298</v>
      </c>
      <c r="V930">
        <v>47.868513521517798</v>
      </c>
      <c r="W930">
        <v>4.4884460811102485E-2</v>
      </c>
    </row>
    <row r="931" spans="1:23" x14ac:dyDescent="0.25">
      <c r="A931" t="s">
        <v>1950</v>
      </c>
      <c r="B931" t="s">
        <v>24</v>
      </c>
      <c r="C931" t="s">
        <v>73</v>
      </c>
      <c r="D931" t="s">
        <v>31</v>
      </c>
      <c r="E931" t="s">
        <v>74</v>
      </c>
      <c r="F931" s="1">
        <v>45969</v>
      </c>
      <c r="G931">
        <v>45999</v>
      </c>
      <c r="H931" t="s">
        <v>6</v>
      </c>
      <c r="I931">
        <v>16455.52</v>
      </c>
      <c r="J931" t="s">
        <v>75</v>
      </c>
      <c r="K931" t="s">
        <v>1951</v>
      </c>
      <c r="L931">
        <v>30</v>
      </c>
      <c r="M931" t="s">
        <v>24</v>
      </c>
      <c r="N931">
        <v>1.1555</v>
      </c>
      <c r="O931">
        <v>1.3367963164349013</v>
      </c>
      <c r="P931">
        <v>6.2983756677204832E-3</v>
      </c>
      <c r="Q931">
        <v>1.1555</v>
      </c>
      <c r="R931">
        <v>19014.353360000001</v>
      </c>
      <c r="S931" t="s">
        <v>14</v>
      </c>
      <c r="T931">
        <v>1.1060000000000001</v>
      </c>
      <c r="U931">
        <v>18199.805120000001</v>
      </c>
      <c r="V931">
        <v>814.54824000000008</v>
      </c>
      <c r="W931">
        <v>4.4755877034358051E-2</v>
      </c>
    </row>
    <row r="932" spans="1:23" x14ac:dyDescent="0.25">
      <c r="A932" t="s">
        <v>1952</v>
      </c>
      <c r="B932" t="s">
        <v>41</v>
      </c>
      <c r="C932" t="s">
        <v>172</v>
      </c>
      <c r="D932" t="s">
        <v>33</v>
      </c>
      <c r="E932" t="s">
        <v>83</v>
      </c>
      <c r="F932" s="1">
        <v>46199</v>
      </c>
      <c r="G932">
        <v>46229</v>
      </c>
      <c r="H932" t="s">
        <v>9</v>
      </c>
      <c r="I932">
        <v>776171.64</v>
      </c>
      <c r="J932" t="s">
        <v>75</v>
      </c>
      <c r="K932" t="s">
        <v>1953</v>
      </c>
      <c r="L932">
        <v>30</v>
      </c>
      <c r="M932" t="s">
        <v>41</v>
      </c>
      <c r="N932">
        <v>1.1400999999999999</v>
      </c>
      <c r="O932">
        <v>1.3218090964951943</v>
      </c>
      <c r="P932">
        <v>6.1861096039066733E-3</v>
      </c>
      <c r="Q932">
        <v>6.1861096039066733E-3</v>
      </c>
      <c r="R932">
        <v>4801.4828364839932</v>
      </c>
      <c r="S932" t="s">
        <v>19</v>
      </c>
      <c r="T932">
        <v>6.6E-3</v>
      </c>
      <c r="U932">
        <v>5122.7328239999997</v>
      </c>
      <c r="V932">
        <v>-321.24998751600651</v>
      </c>
      <c r="W932">
        <v>-6.2710666074746388E-2</v>
      </c>
    </row>
    <row r="933" spans="1:23" x14ac:dyDescent="0.25">
      <c r="A933" t="s">
        <v>1954</v>
      </c>
      <c r="B933" t="s">
        <v>26</v>
      </c>
      <c r="C933" t="s">
        <v>94</v>
      </c>
      <c r="D933" t="s">
        <v>31</v>
      </c>
      <c r="E933" t="s">
        <v>74</v>
      </c>
      <c r="F933" s="1">
        <v>46237</v>
      </c>
      <c r="G933">
        <v>46267</v>
      </c>
      <c r="H933" t="s">
        <v>8</v>
      </c>
      <c r="I933">
        <v>6090.12</v>
      </c>
      <c r="J933" t="s">
        <v>75</v>
      </c>
      <c r="K933" t="s">
        <v>1955</v>
      </c>
      <c r="L933">
        <v>30</v>
      </c>
      <c r="M933" t="s">
        <v>26</v>
      </c>
      <c r="N933">
        <v>1.1535</v>
      </c>
      <c r="O933">
        <v>1.3470274310137447</v>
      </c>
      <c r="P933">
        <v>6.3824489570076916E-3</v>
      </c>
      <c r="Q933">
        <v>1.3470274310137447</v>
      </c>
      <c r="R933">
        <v>8203.5586981654269</v>
      </c>
      <c r="S933" t="s">
        <v>21</v>
      </c>
      <c r="T933">
        <v>1.2929999999999999</v>
      </c>
      <c r="U933">
        <v>7874.5251599999992</v>
      </c>
      <c r="V933">
        <v>329.03353816542767</v>
      </c>
      <c r="W933">
        <v>4.1784556081782546E-2</v>
      </c>
    </row>
    <row r="934" spans="1:23" x14ac:dyDescent="0.25">
      <c r="A934" t="s">
        <v>1956</v>
      </c>
      <c r="B934" t="s">
        <v>39</v>
      </c>
      <c r="C934" t="s">
        <v>82</v>
      </c>
      <c r="D934" t="s">
        <v>33</v>
      </c>
      <c r="E934" t="s">
        <v>83</v>
      </c>
      <c r="F934" s="1">
        <v>45813</v>
      </c>
      <c r="G934">
        <v>45858</v>
      </c>
      <c r="H934" t="s">
        <v>8</v>
      </c>
      <c r="I934">
        <v>16783.09</v>
      </c>
      <c r="J934" t="s">
        <v>75</v>
      </c>
      <c r="K934" t="s">
        <v>1957</v>
      </c>
      <c r="L934">
        <v>45</v>
      </c>
      <c r="M934" t="s">
        <v>39</v>
      </c>
      <c r="N934">
        <v>1.1423000000000001</v>
      </c>
      <c r="O934">
        <v>1.3568119729183989</v>
      </c>
      <c r="P934">
        <v>6.9797140413051456E-3</v>
      </c>
      <c r="Q934">
        <v>1.3568119729183989</v>
      </c>
      <c r="R934">
        <v>22771.497454567052</v>
      </c>
      <c r="S934" t="s">
        <v>12</v>
      </c>
      <c r="T934">
        <v>1.26</v>
      </c>
      <c r="U934">
        <v>21146.6934</v>
      </c>
      <c r="V934">
        <v>1624.8040545670519</v>
      </c>
      <c r="W934">
        <v>7.6834899141586449E-2</v>
      </c>
    </row>
    <row r="935" spans="1:23" x14ac:dyDescent="0.25">
      <c r="A935" t="s">
        <v>1958</v>
      </c>
      <c r="B935" t="s">
        <v>28</v>
      </c>
      <c r="C935" t="s">
        <v>111</v>
      </c>
      <c r="D935" t="s">
        <v>31</v>
      </c>
      <c r="E935" t="s">
        <v>74</v>
      </c>
      <c r="F935" s="1">
        <v>46275</v>
      </c>
      <c r="G935">
        <v>46320</v>
      </c>
      <c r="H935" t="s">
        <v>9</v>
      </c>
      <c r="I935">
        <v>5364841.9800000004</v>
      </c>
      <c r="J935" t="s">
        <v>75</v>
      </c>
      <c r="K935" t="s">
        <v>1959</v>
      </c>
      <c r="L935">
        <v>45</v>
      </c>
      <c r="M935" t="s">
        <v>28</v>
      </c>
      <c r="N935">
        <v>1.1616</v>
      </c>
      <c r="O935">
        <v>1.3520339870802538</v>
      </c>
      <c r="P935">
        <v>6.4861242950471831E-3</v>
      </c>
      <c r="Q935">
        <v>6.4861242950471831E-3</v>
      </c>
      <c r="R935">
        <v>34797.031905567033</v>
      </c>
      <c r="S935" t="s">
        <v>21</v>
      </c>
      <c r="T935">
        <v>6.7400000000000003E-3</v>
      </c>
      <c r="U935">
        <v>36159.034945200008</v>
      </c>
      <c r="V935">
        <v>-1362.0030396329748</v>
      </c>
      <c r="W935">
        <v>-3.7667018538993839E-2</v>
      </c>
    </row>
    <row r="936" spans="1:23" x14ac:dyDescent="0.25">
      <c r="A936" t="s">
        <v>1960</v>
      </c>
      <c r="B936" t="s">
        <v>42</v>
      </c>
      <c r="C936" t="s">
        <v>151</v>
      </c>
      <c r="D936" t="s">
        <v>35</v>
      </c>
      <c r="E936" t="s">
        <v>152</v>
      </c>
      <c r="F936" s="1">
        <v>45715</v>
      </c>
      <c r="G936">
        <v>45745</v>
      </c>
      <c r="H936" t="s">
        <v>8</v>
      </c>
      <c r="I936">
        <v>1670.06</v>
      </c>
      <c r="J936" t="s">
        <v>75</v>
      </c>
      <c r="K936" t="s">
        <v>1961</v>
      </c>
      <c r="L936">
        <v>30</v>
      </c>
      <c r="M936" t="s">
        <v>42</v>
      </c>
      <c r="N936">
        <v>1.0477000000000001</v>
      </c>
      <c r="O936">
        <v>1.267281942109274</v>
      </c>
      <c r="P936">
        <v>6.6847444650035099E-3</v>
      </c>
      <c r="Q936">
        <v>1.267281942109274</v>
      </c>
      <c r="R936">
        <v>2116.436880239014</v>
      </c>
      <c r="S936" t="s">
        <v>11</v>
      </c>
      <c r="T936">
        <v>1.238</v>
      </c>
      <c r="U936">
        <v>2067.5342799999999</v>
      </c>
      <c r="V936">
        <v>48.902600239014191</v>
      </c>
      <c r="W936">
        <v>2.3652618828169658E-2</v>
      </c>
    </row>
    <row r="937" spans="1:23" x14ac:dyDescent="0.25">
      <c r="A937" t="s">
        <v>1962</v>
      </c>
      <c r="B937" t="s">
        <v>40</v>
      </c>
      <c r="C937" t="s">
        <v>78</v>
      </c>
      <c r="D937" t="s">
        <v>33</v>
      </c>
      <c r="E937" t="s">
        <v>79</v>
      </c>
      <c r="F937" s="1">
        <v>45676</v>
      </c>
      <c r="G937">
        <v>45706</v>
      </c>
      <c r="H937" t="s">
        <v>9</v>
      </c>
      <c r="I937">
        <v>1586213.73</v>
      </c>
      <c r="J937" t="s">
        <v>75</v>
      </c>
      <c r="K937" t="s">
        <v>1963</v>
      </c>
      <c r="L937">
        <v>30</v>
      </c>
      <c r="M937" t="s">
        <v>40</v>
      </c>
      <c r="N937">
        <v>1.0335000000000001</v>
      </c>
      <c r="O937">
        <v>1.2423666875030055</v>
      </c>
      <c r="P937">
        <v>6.4384500373785196E-3</v>
      </c>
      <c r="Q937">
        <v>6.4384500373785196E-3</v>
      </c>
      <c r="R937">
        <v>10212.757849208821</v>
      </c>
      <c r="S937" t="s">
        <v>11</v>
      </c>
      <c r="T937">
        <v>6.5599999999999999E-3</v>
      </c>
      <c r="U937">
        <v>10405.5620688</v>
      </c>
      <c r="V937">
        <v>-192.80421959117848</v>
      </c>
      <c r="W937">
        <v>-1.8528957716689037E-2</v>
      </c>
    </row>
    <row r="938" spans="1:23" x14ac:dyDescent="0.25">
      <c r="A938" t="s">
        <v>1964</v>
      </c>
      <c r="B938" t="s">
        <v>38</v>
      </c>
      <c r="C938" t="s">
        <v>87</v>
      </c>
      <c r="D938" t="s">
        <v>33</v>
      </c>
      <c r="E938" t="s">
        <v>88</v>
      </c>
      <c r="F938" s="1">
        <v>46171</v>
      </c>
      <c r="G938">
        <v>46201</v>
      </c>
      <c r="H938" t="s">
        <v>6</v>
      </c>
      <c r="I938">
        <v>6164.81</v>
      </c>
      <c r="J938" t="s">
        <v>75</v>
      </c>
      <c r="K938" t="s">
        <v>1965</v>
      </c>
      <c r="L938">
        <v>30</v>
      </c>
      <c r="M938" t="s">
        <v>38</v>
      </c>
      <c r="N938">
        <v>1.1644000000000001</v>
      </c>
      <c r="O938">
        <v>1.3426657288147321</v>
      </c>
      <c r="P938">
        <v>6.2787813426799684E-3</v>
      </c>
      <c r="Q938">
        <v>1.1644000000000001</v>
      </c>
      <c r="R938">
        <v>7178.3047640000013</v>
      </c>
      <c r="S938" t="s">
        <v>19</v>
      </c>
      <c r="T938">
        <v>1.083</v>
      </c>
      <c r="U938">
        <v>6676.4892300000001</v>
      </c>
      <c r="V938">
        <v>501.81553400000121</v>
      </c>
      <c r="W938">
        <v>7.5161588180978942E-2</v>
      </c>
    </row>
    <row r="939" spans="1:23" x14ac:dyDescent="0.25">
      <c r="A939" t="s">
        <v>1966</v>
      </c>
      <c r="B939" t="s">
        <v>32</v>
      </c>
      <c r="C939" t="s">
        <v>106</v>
      </c>
      <c r="D939" t="s">
        <v>31</v>
      </c>
      <c r="E939" t="s">
        <v>74</v>
      </c>
      <c r="F939" s="1">
        <v>46288</v>
      </c>
      <c r="G939">
        <v>46318</v>
      </c>
      <c r="H939" t="s">
        <v>6</v>
      </c>
      <c r="I939">
        <v>13344.74</v>
      </c>
      <c r="J939" t="s">
        <v>75</v>
      </c>
      <c r="K939" t="s">
        <v>1967</v>
      </c>
      <c r="L939">
        <v>30</v>
      </c>
      <c r="M939" t="s">
        <v>32</v>
      </c>
      <c r="N939">
        <v>1.1411</v>
      </c>
      <c r="O939">
        <v>1.327632344386271</v>
      </c>
      <c r="P939">
        <v>6.3324084350721427E-3</v>
      </c>
      <c r="Q939">
        <v>1.1411</v>
      </c>
      <c r="R939">
        <v>15227.682814</v>
      </c>
      <c r="S939" t="s">
        <v>21</v>
      </c>
      <c r="T939">
        <v>1.101</v>
      </c>
      <c r="U939">
        <v>14692.558739999999</v>
      </c>
      <c r="V939">
        <v>535.1240740000012</v>
      </c>
      <c r="W939">
        <v>3.6421435059037326E-2</v>
      </c>
    </row>
    <row r="940" spans="1:23" x14ac:dyDescent="0.25">
      <c r="A940" t="s">
        <v>1968</v>
      </c>
      <c r="B940" t="s">
        <v>30</v>
      </c>
      <c r="C940" t="s">
        <v>103</v>
      </c>
      <c r="D940" t="s">
        <v>31</v>
      </c>
      <c r="E940" t="s">
        <v>74</v>
      </c>
      <c r="F940" s="1">
        <v>46273</v>
      </c>
      <c r="G940">
        <v>46303</v>
      </c>
      <c r="H940" t="s">
        <v>9</v>
      </c>
      <c r="I940">
        <v>2382721.0299999998</v>
      </c>
      <c r="J940" t="s">
        <v>75</v>
      </c>
      <c r="K940" t="s">
        <v>1969</v>
      </c>
      <c r="L940">
        <v>30</v>
      </c>
      <c r="M940" t="s">
        <v>30</v>
      </c>
      <c r="N940">
        <v>1.1614</v>
      </c>
      <c r="O940">
        <v>1.3545602985770935</v>
      </c>
      <c r="P940">
        <v>6.4810267857142861E-3</v>
      </c>
      <c r="Q940">
        <v>6.4810267857142861E-3</v>
      </c>
      <c r="R940">
        <v>15442.478818314732</v>
      </c>
      <c r="S940" t="s">
        <v>21</v>
      </c>
      <c r="T940">
        <v>6.7400000000000003E-3</v>
      </c>
      <c r="U940">
        <v>16059.539742199999</v>
      </c>
      <c r="V940">
        <v>-617.06092388526667</v>
      </c>
      <c r="W940">
        <v>-3.8423325561678608E-2</v>
      </c>
    </row>
    <row r="941" spans="1:23" x14ac:dyDescent="0.25">
      <c r="A941" t="s">
        <v>1970</v>
      </c>
      <c r="B941" t="s">
        <v>26</v>
      </c>
      <c r="C941" t="s">
        <v>94</v>
      </c>
      <c r="D941" t="s">
        <v>31</v>
      </c>
      <c r="E941" t="s">
        <v>74</v>
      </c>
      <c r="F941" s="1">
        <v>46249</v>
      </c>
      <c r="G941">
        <v>46279</v>
      </c>
      <c r="H941" t="s">
        <v>8</v>
      </c>
      <c r="I941">
        <v>7661.15</v>
      </c>
      <c r="J941" t="s">
        <v>75</v>
      </c>
      <c r="K941" t="s">
        <v>1971</v>
      </c>
      <c r="L941">
        <v>30</v>
      </c>
      <c r="M941" t="s">
        <v>26</v>
      </c>
      <c r="N941">
        <v>1.1567000000000001</v>
      </c>
      <c r="O941">
        <v>1.3536571094207139</v>
      </c>
      <c r="P941">
        <v>6.2888055238405913E-3</v>
      </c>
      <c r="Q941">
        <v>1.3536571094207139</v>
      </c>
      <c r="R941">
        <v>10370.570163838502</v>
      </c>
      <c r="S941" t="s">
        <v>21</v>
      </c>
      <c r="T941">
        <v>1.2929999999999999</v>
      </c>
      <c r="U941">
        <v>9905.8669499999996</v>
      </c>
      <c r="V941">
        <v>464.70321383850205</v>
      </c>
      <c r="W941">
        <v>4.6911917572091164E-2</v>
      </c>
    </row>
    <row r="942" spans="1:23" x14ac:dyDescent="0.25">
      <c r="A942" t="s">
        <v>1972</v>
      </c>
      <c r="B942" t="s">
        <v>32</v>
      </c>
      <c r="C942" t="s">
        <v>106</v>
      </c>
      <c r="D942" t="s">
        <v>31</v>
      </c>
      <c r="E942" t="s">
        <v>806</v>
      </c>
      <c r="F942" s="1">
        <v>46295</v>
      </c>
      <c r="G942">
        <v>46325</v>
      </c>
      <c r="H942" t="s">
        <v>6</v>
      </c>
      <c r="I942">
        <v>20906.87</v>
      </c>
      <c r="J942" t="s">
        <v>75</v>
      </c>
      <c r="K942" t="s">
        <v>1973</v>
      </c>
      <c r="L942">
        <v>30</v>
      </c>
      <c r="M942" t="s">
        <v>32</v>
      </c>
      <c r="N942">
        <v>1.1355</v>
      </c>
      <c r="O942">
        <v>1.3286451446824941</v>
      </c>
      <c r="P942">
        <v>6.3695518034442133E-3</v>
      </c>
      <c r="Q942">
        <v>1.1355</v>
      </c>
      <c r="R942">
        <v>23739.750884999998</v>
      </c>
      <c r="S942" t="s">
        <v>21</v>
      </c>
      <c r="T942">
        <v>1.101</v>
      </c>
      <c r="U942">
        <v>23018.46387</v>
      </c>
      <c r="V942">
        <v>721.28701499999806</v>
      </c>
      <c r="W942">
        <v>3.1335149863760133E-2</v>
      </c>
    </row>
    <row r="943" spans="1:23" x14ac:dyDescent="0.25">
      <c r="A943" t="s">
        <v>1974</v>
      </c>
      <c r="B943" t="s">
        <v>43</v>
      </c>
      <c r="C943" t="s">
        <v>215</v>
      </c>
      <c r="D943" t="s">
        <v>35</v>
      </c>
      <c r="E943" t="s">
        <v>152</v>
      </c>
      <c r="F943" s="1">
        <v>46287</v>
      </c>
      <c r="G943">
        <v>46317</v>
      </c>
      <c r="H943" t="s">
        <v>6</v>
      </c>
      <c r="I943">
        <v>7894.4</v>
      </c>
      <c r="J943" t="s">
        <v>75</v>
      </c>
      <c r="K943" t="s">
        <v>1975</v>
      </c>
      <c r="L943">
        <v>30</v>
      </c>
      <c r="M943" t="s">
        <v>43</v>
      </c>
      <c r="N943">
        <v>1.1463000000000001</v>
      </c>
      <c r="O943">
        <v>1.3363254837957568</v>
      </c>
      <c r="P943">
        <v>6.3623244713326308E-3</v>
      </c>
      <c r="Q943">
        <v>1.1463000000000001</v>
      </c>
      <c r="R943">
        <v>9049.3507200000004</v>
      </c>
      <c r="S943" t="s">
        <v>21</v>
      </c>
      <c r="T943">
        <v>1.101</v>
      </c>
      <c r="U943">
        <v>8691.7343999999994</v>
      </c>
      <c r="V943">
        <v>357.616320000001</v>
      </c>
      <c r="W943">
        <v>4.1144414168937445E-2</v>
      </c>
    </row>
    <row r="944" spans="1:23" x14ac:dyDescent="0.25">
      <c r="A944" t="s">
        <v>1976</v>
      </c>
      <c r="B944" t="s">
        <v>40</v>
      </c>
      <c r="C944" t="s">
        <v>78</v>
      </c>
      <c r="D944" t="s">
        <v>33</v>
      </c>
      <c r="E944" t="s">
        <v>79</v>
      </c>
      <c r="F944" s="1">
        <v>46375</v>
      </c>
      <c r="G944">
        <v>46405</v>
      </c>
      <c r="H944" t="s">
        <v>9</v>
      </c>
      <c r="I944">
        <v>1513701.57</v>
      </c>
      <c r="J944" t="s">
        <v>84</v>
      </c>
      <c r="K944" t="s">
        <v>1977</v>
      </c>
      <c r="L944">
        <v>30</v>
      </c>
      <c r="M944" t="s">
        <v>40</v>
      </c>
      <c r="N944">
        <v>1.1176999999999999</v>
      </c>
      <c r="O944">
        <v>1.320456022210408</v>
      </c>
      <c r="P944">
        <v>6.3200452360757699E-3</v>
      </c>
      <c r="Q944">
        <v>6.3200452360757699E-3</v>
      </c>
      <c r="R944">
        <v>9566.662396318914</v>
      </c>
      <c r="S944" t="s">
        <v>23</v>
      </c>
      <c r="T944">
        <v>6.8799999999999998E-3</v>
      </c>
      <c r="U944">
        <v>10414.266801600001</v>
      </c>
      <c r="V944">
        <v>-847.60440528108666</v>
      </c>
      <c r="W944">
        <v>-8.1388773826196248E-2</v>
      </c>
    </row>
    <row r="945" spans="1:23" x14ac:dyDescent="0.25">
      <c r="A945" t="s">
        <v>1978</v>
      </c>
      <c r="B945" t="s">
        <v>38</v>
      </c>
      <c r="C945" t="s">
        <v>87</v>
      </c>
      <c r="D945" t="s">
        <v>33</v>
      </c>
      <c r="E945" t="s">
        <v>88</v>
      </c>
      <c r="F945" s="1">
        <v>45824</v>
      </c>
      <c r="G945">
        <v>45854</v>
      </c>
      <c r="H945" t="s">
        <v>6</v>
      </c>
      <c r="I945">
        <v>8625.14</v>
      </c>
      <c r="J945" t="s">
        <v>75</v>
      </c>
      <c r="K945" t="s">
        <v>1979</v>
      </c>
      <c r="L945">
        <v>30</v>
      </c>
      <c r="M945" t="s">
        <v>38</v>
      </c>
      <c r="N945">
        <v>1.1574</v>
      </c>
      <c r="O945">
        <v>1.357972544878564</v>
      </c>
      <c r="P945">
        <v>6.9351069566780518E-3</v>
      </c>
      <c r="Q945">
        <v>1.1574</v>
      </c>
      <c r="R945">
        <v>9982.7370359999986</v>
      </c>
      <c r="S945" t="s">
        <v>12</v>
      </c>
      <c r="T945">
        <v>1.07</v>
      </c>
      <c r="U945">
        <v>9228.8997999999992</v>
      </c>
      <c r="V945">
        <v>753.83723599999939</v>
      </c>
      <c r="W945">
        <v>8.1682242990654144E-2</v>
      </c>
    </row>
    <row r="946" spans="1:23" x14ac:dyDescent="0.25">
      <c r="A946" t="s">
        <v>1980</v>
      </c>
      <c r="B946" t="s">
        <v>22</v>
      </c>
      <c r="C946" t="s">
        <v>127</v>
      </c>
      <c r="D946" t="s">
        <v>31</v>
      </c>
      <c r="E946" t="s">
        <v>124</v>
      </c>
      <c r="F946" s="1">
        <v>46015</v>
      </c>
      <c r="G946">
        <v>46075</v>
      </c>
      <c r="H946" t="s">
        <v>9</v>
      </c>
      <c r="I946">
        <v>5386942</v>
      </c>
      <c r="J946" t="s">
        <v>75</v>
      </c>
      <c r="K946" t="s">
        <v>1981</v>
      </c>
      <c r="L946">
        <v>60</v>
      </c>
      <c r="M946" t="s">
        <v>22</v>
      </c>
      <c r="N946">
        <v>1.1787000000000001</v>
      </c>
      <c r="O946">
        <v>1.350326497880628</v>
      </c>
      <c r="P946">
        <v>6.4119023010390033E-3</v>
      </c>
      <c r="Q946">
        <v>6.4119023010390033E-3</v>
      </c>
      <c r="R946">
        <v>34540.545805363654</v>
      </c>
      <c r="S946" t="s">
        <v>14</v>
      </c>
      <c r="T946">
        <v>6.9800000000000001E-3</v>
      </c>
      <c r="U946">
        <v>37600.855159999999</v>
      </c>
      <c r="V946">
        <v>-3060.3093546363452</v>
      </c>
      <c r="W946">
        <v>-8.1389355152005141E-2</v>
      </c>
    </row>
    <row r="947" spans="1:23" x14ac:dyDescent="0.25">
      <c r="A947" t="s">
        <v>1982</v>
      </c>
      <c r="B947" t="s">
        <v>40</v>
      </c>
      <c r="C947" t="s">
        <v>78</v>
      </c>
      <c r="D947" t="s">
        <v>33</v>
      </c>
      <c r="E947" t="s">
        <v>79</v>
      </c>
      <c r="F947" s="1">
        <v>46191</v>
      </c>
      <c r="G947">
        <v>46221</v>
      </c>
      <c r="H947" t="s">
        <v>9</v>
      </c>
      <c r="I947">
        <v>790563.08</v>
      </c>
      <c r="J947" t="s">
        <v>75</v>
      </c>
      <c r="K947" t="s">
        <v>1983</v>
      </c>
      <c r="L947">
        <v>30</v>
      </c>
      <c r="M947" t="s">
        <v>40</v>
      </c>
      <c r="N947">
        <v>1.1460999999999999</v>
      </c>
      <c r="O947">
        <v>1.3228606385188946</v>
      </c>
      <c r="P947">
        <v>6.2139449143352845E-3</v>
      </c>
      <c r="Q947">
        <v>6.2139449143352845E-3</v>
      </c>
      <c r="R947">
        <v>4912.5154304272382</v>
      </c>
      <c r="S947" t="s">
        <v>19</v>
      </c>
      <c r="T947">
        <v>6.6E-3</v>
      </c>
      <c r="U947">
        <v>5217.7163279999995</v>
      </c>
      <c r="V947">
        <v>-305.20089757276128</v>
      </c>
      <c r="W947">
        <v>-5.849319479768416E-2</v>
      </c>
    </row>
    <row r="948" spans="1:23" x14ac:dyDescent="0.25">
      <c r="A948" t="s">
        <v>1984</v>
      </c>
      <c r="B948" t="s">
        <v>25</v>
      </c>
      <c r="C948" t="s">
        <v>169</v>
      </c>
      <c r="D948" t="s">
        <v>31</v>
      </c>
      <c r="E948" t="s">
        <v>124</v>
      </c>
      <c r="F948" s="1">
        <v>46328</v>
      </c>
      <c r="G948">
        <v>46388</v>
      </c>
      <c r="H948" t="s">
        <v>6</v>
      </c>
      <c r="I948">
        <v>67091.490000000005</v>
      </c>
      <c r="J948" t="s">
        <v>84</v>
      </c>
      <c r="K948" t="s">
        <v>1985</v>
      </c>
      <c r="L948">
        <v>60</v>
      </c>
      <c r="M948" t="s">
        <v>25</v>
      </c>
      <c r="N948">
        <v>1.1176999999999999</v>
      </c>
      <c r="O948">
        <v>1.320456022210408</v>
      </c>
      <c r="P948">
        <v>6.3200452360757699E-3</v>
      </c>
      <c r="Q948">
        <v>1.1176999999999999</v>
      </c>
      <c r="R948">
        <v>74988.158372999998</v>
      </c>
      <c r="S948" t="s">
        <v>23</v>
      </c>
      <c r="T948">
        <v>1.119</v>
      </c>
      <c r="U948">
        <v>75075.377310000011</v>
      </c>
      <c r="V948">
        <v>-87.218937000012374</v>
      </c>
      <c r="W948">
        <v>-1.1617515638965006E-3</v>
      </c>
    </row>
    <row r="949" spans="1:23" x14ac:dyDescent="0.25">
      <c r="A949" t="s">
        <v>1986</v>
      </c>
      <c r="B949" t="s">
        <v>41</v>
      </c>
      <c r="C949" t="s">
        <v>172</v>
      </c>
      <c r="D949" t="s">
        <v>33</v>
      </c>
      <c r="E949" t="s">
        <v>83</v>
      </c>
      <c r="F949" s="1">
        <v>45961</v>
      </c>
      <c r="G949">
        <v>45991</v>
      </c>
      <c r="H949" t="s">
        <v>9</v>
      </c>
      <c r="I949">
        <v>1754068.45</v>
      </c>
      <c r="J949" t="s">
        <v>75</v>
      </c>
      <c r="K949" t="s">
        <v>1987</v>
      </c>
      <c r="L949">
        <v>30</v>
      </c>
      <c r="M949" t="s">
        <v>41</v>
      </c>
      <c r="N949">
        <v>1.1554</v>
      </c>
      <c r="O949">
        <v>1.3105716878402902</v>
      </c>
      <c r="P949">
        <v>6.4859099584596387E-3</v>
      </c>
      <c r="Q949">
        <v>6.4859099584596387E-3</v>
      </c>
      <c r="R949">
        <v>11376.730027674863</v>
      </c>
      <c r="S949" t="s">
        <v>14</v>
      </c>
      <c r="T949">
        <v>6.9800000000000001E-3</v>
      </c>
      <c r="U949">
        <v>12243.397781</v>
      </c>
      <c r="V949">
        <v>-866.6677533251368</v>
      </c>
      <c r="W949">
        <v>-7.0786538902630536E-2</v>
      </c>
    </row>
    <row r="950" spans="1:23" x14ac:dyDescent="0.25">
      <c r="A950" t="s">
        <v>1988</v>
      </c>
      <c r="B950" t="s">
        <v>32</v>
      </c>
      <c r="C950" t="s">
        <v>106</v>
      </c>
      <c r="D950" t="s">
        <v>31</v>
      </c>
      <c r="E950" t="s">
        <v>806</v>
      </c>
      <c r="F950" s="1">
        <v>46349</v>
      </c>
      <c r="G950">
        <v>46379</v>
      </c>
      <c r="H950" t="s">
        <v>6</v>
      </c>
      <c r="I950">
        <v>19777.14</v>
      </c>
      <c r="J950" t="s">
        <v>84</v>
      </c>
      <c r="K950" t="s">
        <v>1989</v>
      </c>
      <c r="L950">
        <v>30</v>
      </c>
      <c r="M950" t="s">
        <v>32</v>
      </c>
      <c r="N950">
        <v>1.1176999999999999</v>
      </c>
      <c r="O950">
        <v>1.320456022210408</v>
      </c>
      <c r="P950">
        <v>6.3200452360757699E-3</v>
      </c>
      <c r="Q950">
        <v>1.1176999999999999</v>
      </c>
      <c r="R950">
        <v>22104.909377999997</v>
      </c>
      <c r="S950" t="s">
        <v>23</v>
      </c>
      <c r="T950">
        <v>1.119</v>
      </c>
      <c r="U950">
        <v>22130.61966</v>
      </c>
      <c r="V950">
        <v>-25.710282000003644</v>
      </c>
      <c r="W950">
        <v>-1.1617515638965006E-3</v>
      </c>
    </row>
    <row r="951" spans="1:23" x14ac:dyDescent="0.25">
      <c r="A951" t="s">
        <v>1990</v>
      </c>
      <c r="B951" t="s">
        <v>20</v>
      </c>
      <c r="C951" t="s">
        <v>123</v>
      </c>
      <c r="D951" t="s">
        <v>31</v>
      </c>
      <c r="E951" t="s">
        <v>124</v>
      </c>
      <c r="F951" s="1">
        <v>46267</v>
      </c>
      <c r="G951">
        <v>46312</v>
      </c>
      <c r="H951" t="s">
        <v>6</v>
      </c>
      <c r="I951">
        <v>72459.95</v>
      </c>
      <c r="J951" t="s">
        <v>75</v>
      </c>
      <c r="K951" t="s">
        <v>1991</v>
      </c>
      <c r="L951">
        <v>45</v>
      </c>
      <c r="M951" t="s">
        <v>20</v>
      </c>
      <c r="N951">
        <v>1.1577999999999999</v>
      </c>
      <c r="O951">
        <v>1.3483172237102596</v>
      </c>
      <c r="P951">
        <v>6.2658296352419091E-3</v>
      </c>
      <c r="Q951">
        <v>1.1577999999999999</v>
      </c>
      <c r="R951">
        <v>83894.130109999998</v>
      </c>
      <c r="S951" t="s">
        <v>21</v>
      </c>
      <c r="T951">
        <v>1.101</v>
      </c>
      <c r="U951">
        <v>79778.404949999996</v>
      </c>
      <c r="V951">
        <v>4115.7251600000018</v>
      </c>
      <c r="W951">
        <v>5.1589464123524095E-2</v>
      </c>
    </row>
    <row r="952" spans="1:23" x14ac:dyDescent="0.25">
      <c r="A952" t="s">
        <v>1992</v>
      </c>
      <c r="B952" t="s">
        <v>20</v>
      </c>
      <c r="C952" t="s">
        <v>123</v>
      </c>
      <c r="D952" t="s">
        <v>31</v>
      </c>
      <c r="E952" t="s">
        <v>124</v>
      </c>
      <c r="F952" s="1">
        <v>46271</v>
      </c>
      <c r="G952">
        <v>46316</v>
      </c>
      <c r="H952" t="s">
        <v>6</v>
      </c>
      <c r="I952">
        <v>54891.28</v>
      </c>
      <c r="J952" t="s">
        <v>75</v>
      </c>
      <c r="K952" t="s">
        <v>1993</v>
      </c>
      <c r="L952">
        <v>45</v>
      </c>
      <c r="M952" t="s">
        <v>20</v>
      </c>
      <c r="N952">
        <v>1.1621999999999999</v>
      </c>
      <c r="O952">
        <v>1.3530000698502875</v>
      </c>
      <c r="P952">
        <v>6.400132165868164E-3</v>
      </c>
      <c r="Q952">
        <v>1.1621999999999999</v>
      </c>
      <c r="R952">
        <v>63794.645615999994</v>
      </c>
      <c r="S952" t="s">
        <v>21</v>
      </c>
      <c r="T952">
        <v>1.101</v>
      </c>
      <c r="U952">
        <v>60435.299279999999</v>
      </c>
      <c r="V952">
        <v>3359.3463359999951</v>
      </c>
      <c r="W952">
        <v>5.5585831062670218E-2</v>
      </c>
    </row>
    <row r="953" spans="1:23" x14ac:dyDescent="0.25">
      <c r="A953" t="s">
        <v>1994</v>
      </c>
      <c r="B953" t="s">
        <v>30</v>
      </c>
      <c r="C953" t="s">
        <v>103</v>
      </c>
      <c r="D953" t="s">
        <v>31</v>
      </c>
      <c r="E953" t="s">
        <v>74</v>
      </c>
      <c r="F953" s="1">
        <v>45728</v>
      </c>
      <c r="G953">
        <v>45758</v>
      </c>
      <c r="H953" t="s">
        <v>9</v>
      </c>
      <c r="I953">
        <v>2004398.28</v>
      </c>
      <c r="J953" t="s">
        <v>75</v>
      </c>
      <c r="K953" t="s">
        <v>1995</v>
      </c>
      <c r="L953">
        <v>30</v>
      </c>
      <c r="M953" t="s">
        <v>30</v>
      </c>
      <c r="N953">
        <v>1.0886</v>
      </c>
      <c r="O953">
        <v>1.2947501129903185</v>
      </c>
      <c r="P953">
        <v>6.710226222030451E-3</v>
      </c>
      <c r="Q953">
        <v>6.710226222030451E-3</v>
      </c>
      <c r="R953">
        <v>13449.965897848735</v>
      </c>
      <c r="S953" t="s">
        <v>11</v>
      </c>
      <c r="T953">
        <v>6.5599999999999999E-3</v>
      </c>
      <c r="U953">
        <v>13148.8527168</v>
      </c>
      <c r="V953">
        <v>301.11318104873499</v>
      </c>
      <c r="W953">
        <v>2.2900338724154184E-2</v>
      </c>
    </row>
    <row r="954" spans="1:23" x14ac:dyDescent="0.25">
      <c r="A954" t="s">
        <v>1996</v>
      </c>
      <c r="B954" t="s">
        <v>40</v>
      </c>
      <c r="C954" t="s">
        <v>78</v>
      </c>
      <c r="D954" t="s">
        <v>33</v>
      </c>
      <c r="E954" t="s">
        <v>79</v>
      </c>
      <c r="F954" s="1">
        <v>46064</v>
      </c>
      <c r="G954">
        <v>46094</v>
      </c>
      <c r="H954" t="s">
        <v>9</v>
      </c>
      <c r="I954">
        <v>2370987.38</v>
      </c>
      <c r="J954" t="s">
        <v>75</v>
      </c>
      <c r="K954" t="s">
        <v>1997</v>
      </c>
      <c r="L954">
        <v>30</v>
      </c>
      <c r="M954" t="s">
        <v>40</v>
      </c>
      <c r="N954">
        <v>1.19</v>
      </c>
      <c r="O954">
        <v>1.3679733302678467</v>
      </c>
      <c r="P954">
        <v>6.5102029651512667E-3</v>
      </c>
      <c r="Q954">
        <v>6.5102029651512667E-3</v>
      </c>
      <c r="R954">
        <v>15435.609071612233</v>
      </c>
      <c r="S954" t="s">
        <v>16</v>
      </c>
      <c r="T954">
        <v>6.4599999999999996E-3</v>
      </c>
      <c r="U954">
        <v>15316.578474799999</v>
      </c>
      <c r="V954">
        <v>119.03059681223385</v>
      </c>
      <c r="W954">
        <v>7.7713568345614556E-3</v>
      </c>
    </row>
    <row r="955" spans="1:23" x14ac:dyDescent="0.25">
      <c r="A955" t="s">
        <v>1998</v>
      </c>
      <c r="B955" t="s">
        <v>30</v>
      </c>
      <c r="C955" t="s">
        <v>103</v>
      </c>
      <c r="D955" t="s">
        <v>31</v>
      </c>
      <c r="E955" t="s">
        <v>74</v>
      </c>
      <c r="F955" s="1">
        <v>46299</v>
      </c>
      <c r="G955">
        <v>46329</v>
      </c>
      <c r="H955" t="s">
        <v>9</v>
      </c>
      <c r="I955">
        <v>2085133.92</v>
      </c>
      <c r="J955" t="s">
        <v>84</v>
      </c>
      <c r="K955" t="s">
        <v>1999</v>
      </c>
      <c r="L955">
        <v>30</v>
      </c>
      <c r="M955" t="s">
        <v>30</v>
      </c>
      <c r="N955">
        <v>1.1225000000000001</v>
      </c>
      <c r="O955">
        <v>1.3200757353027648</v>
      </c>
      <c r="P955">
        <v>6.3421662240804562E-3</v>
      </c>
      <c r="Q955">
        <v>6.3421662240804562E-3</v>
      </c>
      <c r="R955">
        <v>13224.265920108479</v>
      </c>
      <c r="S955" t="s">
        <v>23</v>
      </c>
      <c r="T955">
        <v>6.8799999999999998E-3</v>
      </c>
      <c r="U955">
        <v>14345.7213696</v>
      </c>
      <c r="V955">
        <v>-1121.455449491521</v>
      </c>
      <c r="W955">
        <v>-7.8173513941794226E-2</v>
      </c>
    </row>
    <row r="956" spans="1:23" x14ac:dyDescent="0.25">
      <c r="A956" t="s">
        <v>2000</v>
      </c>
      <c r="B956" t="s">
        <v>37</v>
      </c>
      <c r="C956" t="s">
        <v>91</v>
      </c>
      <c r="D956" t="s">
        <v>31</v>
      </c>
      <c r="E956" t="s">
        <v>74</v>
      </c>
      <c r="F956" s="1">
        <v>45985</v>
      </c>
      <c r="G956">
        <v>46015</v>
      </c>
      <c r="H956" t="s">
        <v>6</v>
      </c>
      <c r="I956">
        <v>15483.6</v>
      </c>
      <c r="J956" t="s">
        <v>75</v>
      </c>
      <c r="K956" t="s">
        <v>2001</v>
      </c>
      <c r="L956">
        <v>30</v>
      </c>
      <c r="M956" t="s">
        <v>37</v>
      </c>
      <c r="N956">
        <v>1.1544000000000001</v>
      </c>
      <c r="O956">
        <v>1.3112221717401182</v>
      </c>
      <c r="P956">
        <v>6.3701578192252514E-3</v>
      </c>
      <c r="Q956">
        <v>1.1544000000000001</v>
      </c>
      <c r="R956">
        <v>17874.26784</v>
      </c>
      <c r="S956" t="s">
        <v>14</v>
      </c>
      <c r="T956">
        <v>1.1060000000000001</v>
      </c>
      <c r="U956">
        <v>17124.8616</v>
      </c>
      <c r="V956">
        <v>749.40624000000025</v>
      </c>
      <c r="W956">
        <v>4.3761301989150105E-2</v>
      </c>
    </row>
    <row r="957" spans="1:23" x14ac:dyDescent="0.25">
      <c r="A957" t="s">
        <v>2002</v>
      </c>
      <c r="B957" t="s">
        <v>24</v>
      </c>
      <c r="C957" t="s">
        <v>73</v>
      </c>
      <c r="D957" t="s">
        <v>31</v>
      </c>
      <c r="E957" t="s">
        <v>74</v>
      </c>
      <c r="F957" s="1">
        <v>46122</v>
      </c>
      <c r="G957">
        <v>46152</v>
      </c>
      <c r="H957" t="s">
        <v>6</v>
      </c>
      <c r="I957">
        <v>29244.34</v>
      </c>
      <c r="J957" t="s">
        <v>75</v>
      </c>
      <c r="K957" t="s">
        <v>2003</v>
      </c>
      <c r="L957">
        <v>30</v>
      </c>
      <c r="M957" t="s">
        <v>24</v>
      </c>
      <c r="N957">
        <v>1.1711</v>
      </c>
      <c r="O957">
        <v>1.3444693186384249</v>
      </c>
      <c r="P957">
        <v>6.2817143163653921E-3</v>
      </c>
      <c r="Q957">
        <v>1.1711</v>
      </c>
      <c r="R957">
        <v>34248.046574</v>
      </c>
      <c r="S957" t="s">
        <v>19</v>
      </c>
      <c r="T957">
        <v>1.083</v>
      </c>
      <c r="U957">
        <v>31671.620220000001</v>
      </c>
      <c r="V957">
        <v>2576.4263539999993</v>
      </c>
      <c r="W957">
        <v>8.1348107109879941E-2</v>
      </c>
    </row>
    <row r="958" spans="1:23" x14ac:dyDescent="0.25">
      <c r="A958" t="s">
        <v>2004</v>
      </c>
      <c r="B958" t="s">
        <v>38</v>
      </c>
      <c r="C958" t="s">
        <v>87</v>
      </c>
      <c r="D958" t="s">
        <v>33</v>
      </c>
      <c r="E958" t="s">
        <v>88</v>
      </c>
      <c r="F958" s="1">
        <v>46256</v>
      </c>
      <c r="G958">
        <v>46286</v>
      </c>
      <c r="H958" t="s">
        <v>6</v>
      </c>
      <c r="I958">
        <v>6948.62</v>
      </c>
      <c r="J958" t="s">
        <v>75</v>
      </c>
      <c r="K958" t="s">
        <v>2005</v>
      </c>
      <c r="L958">
        <v>30</v>
      </c>
      <c r="M958" t="s">
        <v>38</v>
      </c>
      <c r="N958">
        <v>1.1698999999999999</v>
      </c>
      <c r="O958">
        <v>1.3655888875919224</v>
      </c>
      <c r="P958">
        <v>6.3013034579338578E-3</v>
      </c>
      <c r="Q958">
        <v>1.1698999999999999</v>
      </c>
      <c r="R958">
        <v>8129.1905379999998</v>
      </c>
      <c r="S958" t="s">
        <v>21</v>
      </c>
      <c r="T958">
        <v>1.101</v>
      </c>
      <c r="U958">
        <v>7650.4306200000001</v>
      </c>
      <c r="V958">
        <v>478.75991799999974</v>
      </c>
      <c r="W958">
        <v>6.257947320617617E-2</v>
      </c>
    </row>
    <row r="959" spans="1:23" x14ac:dyDescent="0.25">
      <c r="A959" t="s">
        <v>2006</v>
      </c>
      <c r="B959" t="s">
        <v>28</v>
      </c>
      <c r="C959" t="s">
        <v>111</v>
      </c>
      <c r="D959" t="s">
        <v>31</v>
      </c>
      <c r="E959" t="s">
        <v>74</v>
      </c>
      <c r="F959" s="1">
        <v>45746</v>
      </c>
      <c r="G959">
        <v>45791</v>
      </c>
      <c r="H959" t="s">
        <v>9</v>
      </c>
      <c r="I959">
        <v>5109033.7300000004</v>
      </c>
      <c r="J959" t="s">
        <v>75</v>
      </c>
      <c r="K959" t="s">
        <v>2007</v>
      </c>
      <c r="L959">
        <v>45</v>
      </c>
      <c r="M959" t="s">
        <v>28</v>
      </c>
      <c r="N959">
        <v>1.1194</v>
      </c>
      <c r="O959">
        <v>1.3283493532692536</v>
      </c>
      <c r="P959">
        <v>6.8653787181846048E-3</v>
      </c>
      <c r="Q959">
        <v>6.8653787181846048E-3</v>
      </c>
      <c r="R959">
        <v>35075.451440429315</v>
      </c>
      <c r="S959" t="s">
        <v>11</v>
      </c>
      <c r="T959">
        <v>6.5599999999999999E-3</v>
      </c>
      <c r="U959">
        <v>33515.261268800001</v>
      </c>
      <c r="V959">
        <v>1560.1901716293141</v>
      </c>
      <c r="W959">
        <v>4.6551633869604502E-2</v>
      </c>
    </row>
    <row r="960" spans="1:23" x14ac:dyDescent="0.25">
      <c r="A960" t="s">
        <v>2008</v>
      </c>
      <c r="B960" t="s">
        <v>24</v>
      </c>
      <c r="C960" t="s">
        <v>73</v>
      </c>
      <c r="D960" t="s">
        <v>31</v>
      </c>
      <c r="E960" t="s">
        <v>74</v>
      </c>
      <c r="F960" s="1">
        <v>45760</v>
      </c>
      <c r="G960">
        <v>45790</v>
      </c>
      <c r="H960" t="s">
        <v>6</v>
      </c>
      <c r="I960">
        <v>15224.59</v>
      </c>
      <c r="J960" t="s">
        <v>75</v>
      </c>
      <c r="K960" t="s">
        <v>2009</v>
      </c>
      <c r="L960">
        <v>30</v>
      </c>
      <c r="M960" t="s">
        <v>24</v>
      </c>
      <c r="N960">
        <v>1.1423000000000001</v>
      </c>
      <c r="O960">
        <v>1.3568119729183989</v>
      </c>
      <c r="P960">
        <v>6.9797140413051456E-3</v>
      </c>
      <c r="Q960">
        <v>1.1423000000000001</v>
      </c>
      <c r="R960">
        <v>17391.049157000001</v>
      </c>
      <c r="S960" t="s">
        <v>12</v>
      </c>
      <c r="T960">
        <v>1.07</v>
      </c>
      <c r="U960">
        <v>16290.311300000001</v>
      </c>
      <c r="V960">
        <v>1100.7378570000001</v>
      </c>
      <c r="W960">
        <v>6.7570093457943931E-2</v>
      </c>
    </row>
    <row r="961" spans="1:23" x14ac:dyDescent="0.25">
      <c r="A961" t="s">
        <v>2010</v>
      </c>
      <c r="B961" t="s">
        <v>41</v>
      </c>
      <c r="C961" t="s">
        <v>172</v>
      </c>
      <c r="D961" t="s">
        <v>33</v>
      </c>
      <c r="E961" t="s">
        <v>83</v>
      </c>
      <c r="F961" s="1">
        <v>45717</v>
      </c>
      <c r="G961">
        <v>45747</v>
      </c>
      <c r="H961" t="s">
        <v>9</v>
      </c>
      <c r="I961">
        <v>442169</v>
      </c>
      <c r="J961" t="s">
        <v>75</v>
      </c>
      <c r="K961" t="s">
        <v>2011</v>
      </c>
      <c r="L961">
        <v>30</v>
      </c>
      <c r="M961" t="s">
        <v>41</v>
      </c>
      <c r="N961">
        <v>1.0803</v>
      </c>
      <c r="O961">
        <v>1.2944700736924091</v>
      </c>
      <c r="P961">
        <v>6.7007815407517683E-3</v>
      </c>
      <c r="Q961">
        <v>6.7007815407517683E-3</v>
      </c>
      <c r="R961">
        <v>2962.8778730926688</v>
      </c>
      <c r="S961" t="s">
        <v>11</v>
      </c>
      <c r="T961">
        <v>6.5599999999999999E-3</v>
      </c>
      <c r="U961">
        <v>2900.6286399999999</v>
      </c>
      <c r="V961">
        <v>62.249233092668874</v>
      </c>
      <c r="W961">
        <v>2.1460600724355006E-2</v>
      </c>
    </row>
    <row r="962" spans="1:23" x14ac:dyDescent="0.25">
      <c r="A962" t="s">
        <v>2012</v>
      </c>
      <c r="B962" t="s">
        <v>38</v>
      </c>
      <c r="C962" t="s">
        <v>87</v>
      </c>
      <c r="D962" t="s">
        <v>33</v>
      </c>
      <c r="E962" t="s">
        <v>88</v>
      </c>
      <c r="F962" s="1">
        <v>46060</v>
      </c>
      <c r="G962">
        <v>46090</v>
      </c>
      <c r="H962" t="s">
        <v>6</v>
      </c>
      <c r="I962">
        <v>13008.07</v>
      </c>
      <c r="J962" t="s">
        <v>75</v>
      </c>
      <c r="K962" t="s">
        <v>2013</v>
      </c>
      <c r="L962">
        <v>30</v>
      </c>
      <c r="M962" t="s">
        <v>38</v>
      </c>
      <c r="N962">
        <v>1.1555</v>
      </c>
      <c r="O962">
        <v>1.3367963164349013</v>
      </c>
      <c r="P962">
        <v>6.2983756677204832E-3</v>
      </c>
      <c r="Q962">
        <v>1.1555</v>
      </c>
      <c r="R962">
        <v>15030.824885</v>
      </c>
      <c r="S962" t="s">
        <v>16</v>
      </c>
      <c r="T962">
        <v>1.0649999999999999</v>
      </c>
      <c r="U962">
        <v>13853.59455</v>
      </c>
      <c r="V962">
        <v>1177.2303350000002</v>
      </c>
      <c r="W962">
        <v>8.497652582159626E-2</v>
      </c>
    </row>
    <row r="963" spans="1:23" x14ac:dyDescent="0.25">
      <c r="A963" t="s">
        <v>2014</v>
      </c>
      <c r="B963" t="s">
        <v>24</v>
      </c>
      <c r="C963" t="s">
        <v>73</v>
      </c>
      <c r="D963" t="s">
        <v>31</v>
      </c>
      <c r="E963" t="s">
        <v>74</v>
      </c>
      <c r="F963" s="1">
        <v>45847</v>
      </c>
      <c r="G963">
        <v>45877</v>
      </c>
      <c r="H963" t="s">
        <v>6</v>
      </c>
      <c r="I963">
        <v>14019.09</v>
      </c>
      <c r="J963" t="s">
        <v>75</v>
      </c>
      <c r="K963" t="s">
        <v>2015</v>
      </c>
      <c r="L963">
        <v>30</v>
      </c>
      <c r="M963" t="s">
        <v>24</v>
      </c>
      <c r="N963">
        <v>1.1698</v>
      </c>
      <c r="O963">
        <v>1.3581794961105307</v>
      </c>
      <c r="P963">
        <v>6.815824739264697E-3</v>
      </c>
      <c r="Q963">
        <v>1.1698</v>
      </c>
      <c r="R963">
        <v>16399.531481999999</v>
      </c>
      <c r="S963" t="s">
        <v>13</v>
      </c>
      <c r="T963">
        <v>1.0880000000000001</v>
      </c>
      <c r="U963">
        <v>15252.769920000001</v>
      </c>
      <c r="V963">
        <v>1146.7615619999979</v>
      </c>
      <c r="W963">
        <v>7.5183823529411622E-2</v>
      </c>
    </row>
    <row r="964" spans="1:23" x14ac:dyDescent="0.25">
      <c r="A964" t="s">
        <v>2016</v>
      </c>
      <c r="B964" t="s">
        <v>41</v>
      </c>
      <c r="C964" t="s">
        <v>172</v>
      </c>
      <c r="D964" t="s">
        <v>33</v>
      </c>
      <c r="E964" t="s">
        <v>83</v>
      </c>
      <c r="F964" s="1">
        <v>46195</v>
      </c>
      <c r="G964">
        <v>46225</v>
      </c>
      <c r="H964" t="s">
        <v>9</v>
      </c>
      <c r="I964">
        <v>1312301.23</v>
      </c>
      <c r="J964" t="s">
        <v>75</v>
      </c>
      <c r="K964" t="s">
        <v>2017</v>
      </c>
      <c r="L964">
        <v>30</v>
      </c>
      <c r="M964" t="s">
        <v>41</v>
      </c>
      <c r="N964">
        <v>1.1456</v>
      </c>
      <c r="O964">
        <v>1.3248831937826711</v>
      </c>
      <c r="P964">
        <v>6.1814061403982082E-3</v>
      </c>
      <c r="Q964">
        <v>6.1814061403982082E-3</v>
      </c>
      <c r="R964">
        <v>8111.8668811741209</v>
      </c>
      <c r="S964" t="s">
        <v>19</v>
      </c>
      <c r="T964">
        <v>6.6E-3</v>
      </c>
      <c r="U964">
        <v>8661.188118</v>
      </c>
      <c r="V964">
        <v>-549.32123682587917</v>
      </c>
      <c r="W964">
        <v>-6.3423312060877604E-2</v>
      </c>
    </row>
    <row r="965" spans="1:23" x14ac:dyDescent="0.25">
      <c r="A965" t="s">
        <v>2018</v>
      </c>
      <c r="B965" t="s">
        <v>30</v>
      </c>
      <c r="C965" t="s">
        <v>103</v>
      </c>
      <c r="D965" t="s">
        <v>31</v>
      </c>
      <c r="E965" t="s">
        <v>74</v>
      </c>
      <c r="F965" s="1">
        <v>46059</v>
      </c>
      <c r="G965">
        <v>46089</v>
      </c>
      <c r="H965" t="s">
        <v>9</v>
      </c>
      <c r="I965">
        <v>1127003.8400000001</v>
      </c>
      <c r="J965" t="s">
        <v>75</v>
      </c>
      <c r="K965" t="s">
        <v>2019</v>
      </c>
      <c r="L965">
        <v>30</v>
      </c>
      <c r="M965" t="s">
        <v>30</v>
      </c>
      <c r="N965">
        <v>1.1794</v>
      </c>
      <c r="O965">
        <v>1.3589123170872219</v>
      </c>
      <c r="P965">
        <v>6.3658444432449935E-3</v>
      </c>
      <c r="Q965">
        <v>6.3658444432449935E-3</v>
      </c>
      <c r="R965">
        <v>7174.3311323797707</v>
      </c>
      <c r="S965" t="s">
        <v>16</v>
      </c>
      <c r="T965">
        <v>6.4599999999999996E-3</v>
      </c>
      <c r="U965">
        <v>7280.4448063999998</v>
      </c>
      <c r="V965">
        <v>-106.11367402022915</v>
      </c>
      <c r="W965">
        <v>-1.4575163584366179E-2</v>
      </c>
    </row>
    <row r="966" spans="1:23" x14ac:dyDescent="0.25">
      <c r="A966" t="s">
        <v>2020</v>
      </c>
      <c r="B966" t="s">
        <v>36</v>
      </c>
      <c r="C966" t="s">
        <v>116</v>
      </c>
      <c r="D966" t="s">
        <v>31</v>
      </c>
      <c r="E966" t="s">
        <v>74</v>
      </c>
      <c r="F966" s="1">
        <v>45841</v>
      </c>
      <c r="G966">
        <v>45886</v>
      </c>
      <c r="H966" t="s">
        <v>6</v>
      </c>
      <c r="I966">
        <v>19403.16</v>
      </c>
      <c r="J966" t="s">
        <v>75</v>
      </c>
      <c r="K966" t="s">
        <v>2021</v>
      </c>
      <c r="L966">
        <v>45</v>
      </c>
      <c r="M966" t="s">
        <v>36</v>
      </c>
      <c r="N966">
        <v>1.1781999999999999</v>
      </c>
      <c r="O966">
        <v>1.3653957584888168</v>
      </c>
      <c r="P966">
        <v>6.9477532727916019E-3</v>
      </c>
      <c r="Q966">
        <v>1.1781999999999999</v>
      </c>
      <c r="R966">
        <v>22860.803111999998</v>
      </c>
      <c r="S966" t="s">
        <v>13</v>
      </c>
      <c r="T966">
        <v>1.0880000000000001</v>
      </c>
      <c r="U966">
        <v>21110.638080000001</v>
      </c>
      <c r="V966">
        <v>1750.1650319999972</v>
      </c>
      <c r="W966">
        <v>8.290441176470574E-2</v>
      </c>
    </row>
    <row r="967" spans="1:23" x14ac:dyDescent="0.25">
      <c r="A967" t="s">
        <v>2022</v>
      </c>
      <c r="B967" t="s">
        <v>26</v>
      </c>
      <c r="C967" t="s">
        <v>94</v>
      </c>
      <c r="D967" t="s">
        <v>31</v>
      </c>
      <c r="E967" t="s">
        <v>74</v>
      </c>
      <c r="F967" s="1">
        <v>46011</v>
      </c>
      <c r="G967">
        <v>46041</v>
      </c>
      <c r="H967" t="s">
        <v>8</v>
      </c>
      <c r="I967">
        <v>22774.54</v>
      </c>
      <c r="J967" t="s">
        <v>75</v>
      </c>
      <c r="K967" t="s">
        <v>2023</v>
      </c>
      <c r="L967">
        <v>30</v>
      </c>
      <c r="M967" t="s">
        <v>26</v>
      </c>
      <c r="N967">
        <v>1.1555</v>
      </c>
      <c r="O967">
        <v>1.3367963164349013</v>
      </c>
      <c r="P967">
        <v>6.2983756677204832E-3</v>
      </c>
      <c r="Q967">
        <v>1.3367963164349013</v>
      </c>
      <c r="R967">
        <v>30444.921180499317</v>
      </c>
      <c r="S967" t="s">
        <v>14</v>
      </c>
      <c r="T967">
        <v>1.304</v>
      </c>
      <c r="U967">
        <v>29698.000160000003</v>
      </c>
      <c r="V967">
        <v>746.92102049931418</v>
      </c>
      <c r="W967">
        <v>2.5150549413267768E-2</v>
      </c>
    </row>
    <row r="968" spans="1:23" x14ac:dyDescent="0.25">
      <c r="A968" t="s">
        <v>2024</v>
      </c>
      <c r="B968" t="s">
        <v>28</v>
      </c>
      <c r="C968" t="s">
        <v>111</v>
      </c>
      <c r="D968" t="s">
        <v>31</v>
      </c>
      <c r="E968" t="s">
        <v>74</v>
      </c>
      <c r="F968" s="1">
        <v>45894</v>
      </c>
      <c r="G968">
        <v>45939</v>
      </c>
      <c r="H968" t="s">
        <v>9</v>
      </c>
      <c r="I968">
        <v>4398447.99</v>
      </c>
      <c r="J968" t="s">
        <v>75</v>
      </c>
      <c r="K968" t="s">
        <v>2025</v>
      </c>
      <c r="L968">
        <v>45</v>
      </c>
      <c r="M968" t="s">
        <v>28</v>
      </c>
      <c r="N968">
        <v>1.1697</v>
      </c>
      <c r="O968">
        <v>1.3508488278092159</v>
      </c>
      <c r="P968">
        <v>6.7863773497331163E-3</v>
      </c>
      <c r="Q968">
        <v>6.7863773497331163E-3</v>
      </c>
      <c r="R968">
        <v>29849.527813315155</v>
      </c>
      <c r="S968" t="s">
        <v>13</v>
      </c>
      <c r="T968">
        <v>6.8399999999999997E-3</v>
      </c>
      <c r="U968">
        <v>30085.3842516</v>
      </c>
      <c r="V968">
        <v>-235.85643828484535</v>
      </c>
      <c r="W968">
        <v>-7.8395687524683028E-3</v>
      </c>
    </row>
    <row r="969" spans="1:23" x14ac:dyDescent="0.25">
      <c r="A969" t="s">
        <v>2026</v>
      </c>
      <c r="B969" t="s">
        <v>24</v>
      </c>
      <c r="C969" t="s">
        <v>73</v>
      </c>
      <c r="D969" t="s">
        <v>31</v>
      </c>
      <c r="E969" t="s">
        <v>74</v>
      </c>
      <c r="F969" s="1">
        <v>45904</v>
      </c>
      <c r="G969">
        <v>45934</v>
      </c>
      <c r="H969" t="s">
        <v>6</v>
      </c>
      <c r="I969">
        <v>32549.49</v>
      </c>
      <c r="J969" t="s">
        <v>75</v>
      </c>
      <c r="K969" t="s">
        <v>2027</v>
      </c>
      <c r="L969">
        <v>30</v>
      </c>
      <c r="M969" t="s">
        <v>24</v>
      </c>
      <c r="N969">
        <v>1.1647000000000001</v>
      </c>
      <c r="O969">
        <v>1.3444534226018701</v>
      </c>
      <c r="P969">
        <v>6.7417226209770791E-3</v>
      </c>
      <c r="Q969">
        <v>1.1647000000000001</v>
      </c>
      <c r="R969">
        <v>37910.391003000004</v>
      </c>
      <c r="S969" t="s">
        <v>13</v>
      </c>
      <c r="T969">
        <v>1.0880000000000001</v>
      </c>
      <c r="U969">
        <v>35413.845120000005</v>
      </c>
      <c r="V969">
        <v>2496.5458829999989</v>
      </c>
      <c r="W969">
        <v>7.0496323529411722E-2</v>
      </c>
    </row>
    <row r="970" spans="1:23" x14ac:dyDescent="0.25">
      <c r="A970" t="s">
        <v>2028</v>
      </c>
      <c r="B970" t="s">
        <v>26</v>
      </c>
      <c r="C970" t="s">
        <v>94</v>
      </c>
      <c r="D970" t="s">
        <v>31</v>
      </c>
      <c r="E970" t="s">
        <v>74</v>
      </c>
      <c r="F970" s="1">
        <v>45706</v>
      </c>
      <c r="G970">
        <v>45736</v>
      </c>
      <c r="H970" t="s">
        <v>8</v>
      </c>
      <c r="I970">
        <v>5850.23</v>
      </c>
      <c r="J970" t="s">
        <v>75</v>
      </c>
      <c r="K970" t="s">
        <v>2029</v>
      </c>
      <c r="L970">
        <v>30</v>
      </c>
      <c r="M970" t="s">
        <v>26</v>
      </c>
      <c r="N970">
        <v>1.0447</v>
      </c>
      <c r="O970">
        <v>1.2582956940680516</v>
      </c>
      <c r="P970">
        <v>6.5890886155786808E-3</v>
      </c>
      <c r="Q970">
        <v>1.2582956940680516</v>
      </c>
      <c r="R970">
        <v>7361.3192183077372</v>
      </c>
      <c r="S970" t="s">
        <v>11</v>
      </c>
      <c r="T970">
        <v>1.238</v>
      </c>
      <c r="U970">
        <v>7242.5847399999993</v>
      </c>
      <c r="V970">
        <v>118.73447830773785</v>
      </c>
      <c r="W970">
        <v>1.6393937050122504E-2</v>
      </c>
    </row>
    <row r="971" spans="1:23" x14ac:dyDescent="0.25">
      <c r="A971" t="s">
        <v>2030</v>
      </c>
      <c r="B971" t="s">
        <v>41</v>
      </c>
      <c r="C971" t="s">
        <v>172</v>
      </c>
      <c r="D971" t="s">
        <v>33</v>
      </c>
      <c r="E971" t="s">
        <v>83</v>
      </c>
      <c r="F971" s="1">
        <v>46378</v>
      </c>
      <c r="G971">
        <v>46408</v>
      </c>
      <c r="H971" t="s">
        <v>9</v>
      </c>
      <c r="I971">
        <v>2591849.5699999998</v>
      </c>
      <c r="J971" t="s">
        <v>84</v>
      </c>
      <c r="K971" t="s">
        <v>2031</v>
      </c>
      <c r="L971">
        <v>30</v>
      </c>
      <c r="M971" t="s">
        <v>41</v>
      </c>
      <c r="N971">
        <v>1.1176999999999999</v>
      </c>
      <c r="O971">
        <v>1.320456022210408</v>
      </c>
      <c r="P971">
        <v>6.3200452360757699E-3</v>
      </c>
      <c r="Q971">
        <v>6.3200452360757699E-3</v>
      </c>
      <c r="R971">
        <v>16380.606527503531</v>
      </c>
      <c r="S971" t="s">
        <v>23</v>
      </c>
      <c r="T971">
        <v>6.8799999999999998E-3</v>
      </c>
      <c r="U971">
        <v>17831.9250416</v>
      </c>
      <c r="V971">
        <v>-1451.3185140964688</v>
      </c>
      <c r="W971">
        <v>-8.1388773826196317E-2</v>
      </c>
    </row>
    <row r="972" spans="1:23" x14ac:dyDescent="0.25">
      <c r="A972" t="s">
        <v>2032</v>
      </c>
      <c r="B972" t="s">
        <v>28</v>
      </c>
      <c r="C972" t="s">
        <v>111</v>
      </c>
      <c r="D972" t="s">
        <v>31</v>
      </c>
      <c r="E972" t="s">
        <v>74</v>
      </c>
      <c r="F972" s="1">
        <v>45680</v>
      </c>
      <c r="G972">
        <v>45725</v>
      </c>
      <c r="H972" t="s">
        <v>9</v>
      </c>
      <c r="I972">
        <v>2148575.77</v>
      </c>
      <c r="J972" t="s">
        <v>75</v>
      </c>
      <c r="K972" t="s">
        <v>2033</v>
      </c>
      <c r="L972">
        <v>45</v>
      </c>
      <c r="M972" t="s">
        <v>28</v>
      </c>
      <c r="N972">
        <v>1.0404</v>
      </c>
      <c r="O972">
        <v>1.2317090495809064</v>
      </c>
      <c r="P972">
        <v>6.3993111083774134E-3</v>
      </c>
      <c r="Q972">
        <v>6.3993111083774134E-3</v>
      </c>
      <c r="R972">
        <v>13749.404792151554</v>
      </c>
      <c r="S972" t="s">
        <v>11</v>
      </c>
      <c r="T972">
        <v>6.5599999999999999E-3</v>
      </c>
      <c r="U972">
        <v>14094.6570512</v>
      </c>
      <c r="V972">
        <v>-345.25225904844592</v>
      </c>
      <c r="W972">
        <v>-2.4495257869296762E-2</v>
      </c>
    </row>
    <row r="973" spans="1:23" x14ac:dyDescent="0.25">
      <c r="A973" t="s">
        <v>2034</v>
      </c>
      <c r="B973" t="s">
        <v>36</v>
      </c>
      <c r="C973" t="s">
        <v>116</v>
      </c>
      <c r="D973" t="s">
        <v>31</v>
      </c>
      <c r="E973" t="s">
        <v>74</v>
      </c>
      <c r="F973" s="1">
        <v>45837</v>
      </c>
      <c r="G973">
        <v>45882</v>
      </c>
      <c r="H973" t="s">
        <v>6</v>
      </c>
      <c r="I973">
        <v>17441.47</v>
      </c>
      <c r="J973" t="s">
        <v>75</v>
      </c>
      <c r="K973" t="s">
        <v>2035</v>
      </c>
      <c r="L973">
        <v>45</v>
      </c>
      <c r="M973" t="s">
        <v>36</v>
      </c>
      <c r="N973">
        <v>1.1780999999999999</v>
      </c>
      <c r="O973">
        <v>1.3496391339214113</v>
      </c>
      <c r="P973">
        <v>6.7640810702187517E-3</v>
      </c>
      <c r="Q973">
        <v>1.1780999999999999</v>
      </c>
      <c r="R973">
        <v>20547.795806999999</v>
      </c>
      <c r="S973" t="s">
        <v>12</v>
      </c>
      <c r="T973">
        <v>1.07</v>
      </c>
      <c r="U973">
        <v>18662.372900000002</v>
      </c>
      <c r="V973">
        <v>1885.4229069999965</v>
      </c>
      <c r="W973">
        <v>0.10102803738317737</v>
      </c>
    </row>
    <row r="974" spans="1:23" x14ac:dyDescent="0.25">
      <c r="A974" t="s">
        <v>2036</v>
      </c>
      <c r="B974" t="s">
        <v>24</v>
      </c>
      <c r="C974" t="s">
        <v>73</v>
      </c>
      <c r="D974" t="s">
        <v>31</v>
      </c>
      <c r="E974" t="s">
        <v>74</v>
      </c>
      <c r="F974" s="1">
        <v>45667</v>
      </c>
      <c r="G974">
        <v>45697</v>
      </c>
      <c r="H974" t="s">
        <v>6</v>
      </c>
      <c r="I974">
        <v>27183.9</v>
      </c>
      <c r="J974" t="s">
        <v>75</v>
      </c>
      <c r="K974" t="s">
        <v>2037</v>
      </c>
      <c r="L974">
        <v>30</v>
      </c>
      <c r="M974" t="s">
        <v>24</v>
      </c>
      <c r="N974">
        <v>1.0304</v>
      </c>
      <c r="O974">
        <v>1.2311662863082935</v>
      </c>
      <c r="P974">
        <v>6.3269065454992016E-3</v>
      </c>
      <c r="Q974">
        <v>1.0304</v>
      </c>
      <c r="R974">
        <v>28010.290560000001</v>
      </c>
      <c r="S974" t="s">
        <v>11</v>
      </c>
      <c r="T974">
        <v>1.052</v>
      </c>
      <c r="U974">
        <v>28597.462800000001</v>
      </c>
      <c r="V974">
        <v>-587.17223999999987</v>
      </c>
      <c r="W974">
        <v>-2.0532319391634975E-2</v>
      </c>
    </row>
    <row r="975" spans="1:23" x14ac:dyDescent="0.25">
      <c r="A975" t="s">
        <v>2038</v>
      </c>
      <c r="B975" t="s">
        <v>24</v>
      </c>
      <c r="C975" t="s">
        <v>73</v>
      </c>
      <c r="D975" t="s">
        <v>31</v>
      </c>
      <c r="E975" t="s">
        <v>74</v>
      </c>
      <c r="F975" s="1">
        <v>45687</v>
      </c>
      <c r="G975">
        <v>45717</v>
      </c>
      <c r="H975" t="s">
        <v>6</v>
      </c>
      <c r="I975">
        <v>27051.24</v>
      </c>
      <c r="J975" t="s">
        <v>75</v>
      </c>
      <c r="K975" t="s">
        <v>2039</v>
      </c>
      <c r="L975">
        <v>30</v>
      </c>
      <c r="M975" t="s">
        <v>24</v>
      </c>
      <c r="N975">
        <v>1.0403</v>
      </c>
      <c r="O975">
        <v>1.2431140586724025</v>
      </c>
      <c r="P975">
        <v>6.4888972055888224E-3</v>
      </c>
      <c r="Q975">
        <v>1.0403</v>
      </c>
      <c r="R975">
        <v>28141.404972</v>
      </c>
      <c r="S975" t="s">
        <v>11</v>
      </c>
      <c r="T975">
        <v>1.052</v>
      </c>
      <c r="U975">
        <v>28457.904480000005</v>
      </c>
      <c r="V975">
        <v>-316.49950800000443</v>
      </c>
      <c r="W975">
        <v>-1.1121673003802434E-2</v>
      </c>
    </row>
    <row r="976" spans="1:23" x14ac:dyDescent="0.25">
      <c r="A976" t="s">
        <v>2040</v>
      </c>
      <c r="B976" t="s">
        <v>39</v>
      </c>
      <c r="C976" t="s">
        <v>82</v>
      </c>
      <c r="D976" t="s">
        <v>33</v>
      </c>
      <c r="E976" t="s">
        <v>83</v>
      </c>
      <c r="F976" s="1">
        <v>45659</v>
      </c>
      <c r="G976">
        <v>45704</v>
      </c>
      <c r="H976" t="s">
        <v>8</v>
      </c>
      <c r="I976">
        <v>9258.86</v>
      </c>
      <c r="J976" t="s">
        <v>75</v>
      </c>
      <c r="K976" t="s">
        <v>2041</v>
      </c>
      <c r="L976">
        <v>45</v>
      </c>
      <c r="M976" t="s">
        <v>39</v>
      </c>
      <c r="N976">
        <v>1.0321</v>
      </c>
      <c r="O976">
        <v>1.2417286267715777</v>
      </c>
      <c r="P976">
        <v>6.3694149592693162E-3</v>
      </c>
      <c r="Q976">
        <v>1.2417286267715777</v>
      </c>
      <c r="R976">
        <v>11496.99151327029</v>
      </c>
      <c r="S976" t="s">
        <v>11</v>
      </c>
      <c r="T976">
        <v>1.238</v>
      </c>
      <c r="U976">
        <v>11462.46868</v>
      </c>
      <c r="V976">
        <v>34.522833270289993</v>
      </c>
      <c r="W976">
        <v>3.0118148397235136E-3</v>
      </c>
    </row>
    <row r="977" spans="1:23" x14ac:dyDescent="0.25">
      <c r="A977" t="s">
        <v>2042</v>
      </c>
      <c r="B977" t="s">
        <v>43</v>
      </c>
      <c r="C977" t="s">
        <v>215</v>
      </c>
      <c r="D977" t="s">
        <v>35</v>
      </c>
      <c r="E977" t="s">
        <v>152</v>
      </c>
      <c r="F977" s="1">
        <v>45945</v>
      </c>
      <c r="G977">
        <v>45975</v>
      </c>
      <c r="H977" t="s">
        <v>6</v>
      </c>
      <c r="I977">
        <v>5875.71</v>
      </c>
      <c r="J977" t="s">
        <v>75</v>
      </c>
      <c r="K977" t="s">
        <v>2043</v>
      </c>
      <c r="L977">
        <v>30</v>
      </c>
      <c r="M977" t="s">
        <v>43</v>
      </c>
      <c r="N977">
        <v>1.1621999999999999</v>
      </c>
      <c r="O977">
        <v>1.3350947731188969</v>
      </c>
      <c r="P977">
        <v>6.5985351728836648E-3</v>
      </c>
      <c r="Q977">
        <v>1.1621999999999999</v>
      </c>
      <c r="R977">
        <v>6828.7501619999994</v>
      </c>
      <c r="S977" t="s">
        <v>14</v>
      </c>
      <c r="T977">
        <v>1.1060000000000001</v>
      </c>
      <c r="U977">
        <v>6498.5352600000006</v>
      </c>
      <c r="V977">
        <v>330.2149019999988</v>
      </c>
      <c r="W977">
        <v>5.0813743218806322E-2</v>
      </c>
    </row>
    <row r="978" spans="1:23" x14ac:dyDescent="0.25">
      <c r="A978" t="s">
        <v>2044</v>
      </c>
      <c r="B978" t="s">
        <v>36</v>
      </c>
      <c r="C978" t="s">
        <v>116</v>
      </c>
      <c r="D978" t="s">
        <v>31</v>
      </c>
      <c r="E978" t="s">
        <v>74</v>
      </c>
      <c r="F978" s="1">
        <v>46279</v>
      </c>
      <c r="G978">
        <v>46324</v>
      </c>
      <c r="H978" t="s">
        <v>6</v>
      </c>
      <c r="I978">
        <v>10353.83</v>
      </c>
      <c r="J978" t="s">
        <v>75</v>
      </c>
      <c r="K978" t="s">
        <v>2045</v>
      </c>
      <c r="L978">
        <v>45</v>
      </c>
      <c r="M978" t="s">
        <v>36</v>
      </c>
      <c r="N978">
        <v>1.1551</v>
      </c>
      <c r="O978">
        <v>1.3494474169957242</v>
      </c>
      <c r="P978">
        <v>6.4704234819628051E-3</v>
      </c>
      <c r="Q978">
        <v>1.1551</v>
      </c>
      <c r="R978">
        <v>11959.709032999999</v>
      </c>
      <c r="S978" t="s">
        <v>21</v>
      </c>
      <c r="T978">
        <v>1.101</v>
      </c>
      <c r="U978">
        <v>11399.56683</v>
      </c>
      <c r="V978">
        <v>560.14220299999943</v>
      </c>
      <c r="W978">
        <v>4.913714804722974E-2</v>
      </c>
    </row>
    <row r="979" spans="1:23" x14ac:dyDescent="0.25">
      <c r="A979" t="s">
        <v>2046</v>
      </c>
      <c r="B979" t="s">
        <v>20</v>
      </c>
      <c r="C979" t="s">
        <v>123</v>
      </c>
      <c r="D979" t="s">
        <v>31</v>
      </c>
      <c r="E979" t="s">
        <v>124</v>
      </c>
      <c r="F979" s="1">
        <v>45754</v>
      </c>
      <c r="G979">
        <v>45799</v>
      </c>
      <c r="H979" t="s">
        <v>6</v>
      </c>
      <c r="I979">
        <v>51239.27</v>
      </c>
      <c r="J979" t="s">
        <v>75</v>
      </c>
      <c r="K979" t="s">
        <v>2047</v>
      </c>
      <c r="L979">
        <v>45</v>
      </c>
      <c r="M979" t="s">
        <v>20</v>
      </c>
      <c r="N979">
        <v>1.0967</v>
      </c>
      <c r="O979">
        <v>1.2813712202645231</v>
      </c>
      <c r="P979">
        <v>6.8296176360692481E-3</v>
      </c>
      <c r="Q979">
        <v>1.0967</v>
      </c>
      <c r="R979">
        <v>56194.107408999997</v>
      </c>
      <c r="S979" t="s">
        <v>12</v>
      </c>
      <c r="T979">
        <v>1.07</v>
      </c>
      <c r="U979">
        <v>54826.018900000003</v>
      </c>
      <c r="V979">
        <v>1368.0885089999938</v>
      </c>
      <c r="W979">
        <v>2.495327102803727E-2</v>
      </c>
    </row>
    <row r="980" spans="1:23" x14ac:dyDescent="0.25">
      <c r="A980" t="s">
        <v>2048</v>
      </c>
      <c r="B980" t="s">
        <v>38</v>
      </c>
      <c r="C980" t="s">
        <v>87</v>
      </c>
      <c r="D980" t="s">
        <v>33</v>
      </c>
      <c r="E980" t="s">
        <v>88</v>
      </c>
      <c r="F980" s="1">
        <v>46364</v>
      </c>
      <c r="G980">
        <v>46394</v>
      </c>
      <c r="H980" t="s">
        <v>6</v>
      </c>
      <c r="I980">
        <v>1876.46</v>
      </c>
      <c r="J980" t="s">
        <v>84</v>
      </c>
      <c r="K980" t="s">
        <v>2049</v>
      </c>
      <c r="L980">
        <v>30</v>
      </c>
      <c r="M980" t="s">
        <v>38</v>
      </c>
      <c r="N980">
        <v>1.1176999999999999</v>
      </c>
      <c r="O980">
        <v>1.320456022210408</v>
      </c>
      <c r="P980">
        <v>6.3200452360757699E-3</v>
      </c>
      <c r="Q980">
        <v>1.1176999999999999</v>
      </c>
      <c r="R980">
        <v>2097.3193419999998</v>
      </c>
      <c r="S980" t="s">
        <v>23</v>
      </c>
      <c r="T980">
        <v>1.119</v>
      </c>
      <c r="U980">
        <v>2099.7587400000002</v>
      </c>
      <c r="V980">
        <v>-2.4393980000004376</v>
      </c>
      <c r="W980">
        <v>-1.1617515638965444E-3</v>
      </c>
    </row>
    <row r="981" spans="1:23" x14ac:dyDescent="0.25">
      <c r="A981" t="s">
        <v>2050</v>
      </c>
      <c r="B981" t="s">
        <v>44</v>
      </c>
      <c r="C981" t="s">
        <v>138</v>
      </c>
      <c r="D981" t="s">
        <v>33</v>
      </c>
      <c r="E981" t="s">
        <v>88</v>
      </c>
      <c r="F981" s="1">
        <v>46234</v>
      </c>
      <c r="G981">
        <v>46279</v>
      </c>
      <c r="H981" t="s">
        <v>9</v>
      </c>
      <c r="I981">
        <v>1092206</v>
      </c>
      <c r="J981" t="s">
        <v>75</v>
      </c>
      <c r="K981" t="s">
        <v>2051</v>
      </c>
      <c r="L981">
        <v>45</v>
      </c>
      <c r="M981" t="s">
        <v>44</v>
      </c>
      <c r="N981">
        <v>1.1485000000000001</v>
      </c>
      <c r="O981">
        <v>1.3421289425402874</v>
      </c>
      <c r="P981">
        <v>6.2408302994077054E-3</v>
      </c>
      <c r="Q981">
        <v>6.2408302994077054E-3</v>
      </c>
      <c r="R981">
        <v>6816.2722979948921</v>
      </c>
      <c r="S981" t="s">
        <v>21</v>
      </c>
      <c r="T981">
        <v>6.7400000000000003E-3</v>
      </c>
      <c r="U981">
        <v>7361.4684400000006</v>
      </c>
      <c r="V981">
        <v>-545.19614200510841</v>
      </c>
      <c r="W981">
        <v>-7.4060786438025994E-2</v>
      </c>
    </row>
    <row r="982" spans="1:23" x14ac:dyDescent="0.25">
      <c r="A982" t="s">
        <v>2052</v>
      </c>
      <c r="B982" t="s">
        <v>42</v>
      </c>
      <c r="C982" t="s">
        <v>151</v>
      </c>
      <c r="D982" t="s">
        <v>35</v>
      </c>
      <c r="E982" t="s">
        <v>152</v>
      </c>
      <c r="F982" s="1">
        <v>46019</v>
      </c>
      <c r="G982">
        <v>46049</v>
      </c>
      <c r="H982" t="s">
        <v>8</v>
      </c>
      <c r="I982">
        <v>5366.91</v>
      </c>
      <c r="J982" t="s">
        <v>75</v>
      </c>
      <c r="K982" t="s">
        <v>2053</v>
      </c>
      <c r="L982">
        <v>30</v>
      </c>
      <c r="M982" t="s">
        <v>42</v>
      </c>
      <c r="N982">
        <v>1.1555</v>
      </c>
      <c r="O982">
        <v>1.3367963164349013</v>
      </c>
      <c r="P982">
        <v>6.2983756677204832E-3</v>
      </c>
      <c r="Q982">
        <v>1.3367963164349013</v>
      </c>
      <c r="R982">
        <v>7174.4655186376358</v>
      </c>
      <c r="S982" t="s">
        <v>14</v>
      </c>
      <c r="T982">
        <v>1.304</v>
      </c>
      <c r="U982">
        <v>6998.45064</v>
      </c>
      <c r="V982">
        <v>176.01487863763577</v>
      </c>
      <c r="W982">
        <v>2.5150549413267817E-2</v>
      </c>
    </row>
    <row r="983" spans="1:23" x14ac:dyDescent="0.25">
      <c r="A983" t="s">
        <v>2054</v>
      </c>
      <c r="B983" t="s">
        <v>24</v>
      </c>
      <c r="C983" t="s">
        <v>73</v>
      </c>
      <c r="D983" t="s">
        <v>31</v>
      </c>
      <c r="E983" t="s">
        <v>74</v>
      </c>
      <c r="F983" s="1">
        <v>45844</v>
      </c>
      <c r="G983">
        <v>45874</v>
      </c>
      <c r="H983" t="s">
        <v>6</v>
      </c>
      <c r="I983">
        <v>22351.11</v>
      </c>
      <c r="J983" t="s">
        <v>75</v>
      </c>
      <c r="K983" t="s">
        <v>2055</v>
      </c>
      <c r="L983">
        <v>30</v>
      </c>
      <c r="M983" t="s">
        <v>24</v>
      </c>
      <c r="N983">
        <v>1.1724000000000001</v>
      </c>
      <c r="O983">
        <v>1.3469669117647061</v>
      </c>
      <c r="P983">
        <v>6.7977039485127852E-3</v>
      </c>
      <c r="Q983">
        <v>1.1724000000000001</v>
      </c>
      <c r="R983">
        <v>26204.441364000002</v>
      </c>
      <c r="S983" t="s">
        <v>13</v>
      </c>
      <c r="T983">
        <v>1.0880000000000001</v>
      </c>
      <c r="U983">
        <v>24318.007680000002</v>
      </c>
      <c r="V983">
        <v>1886.4336839999996</v>
      </c>
      <c r="W983">
        <v>7.757352941176468E-2</v>
      </c>
    </row>
    <row r="984" spans="1:23" x14ac:dyDescent="0.25">
      <c r="A984" t="s">
        <v>2056</v>
      </c>
      <c r="B984" t="s">
        <v>41</v>
      </c>
      <c r="C984" t="s">
        <v>172</v>
      </c>
      <c r="D984" t="s">
        <v>33</v>
      </c>
      <c r="E984" t="s">
        <v>83</v>
      </c>
      <c r="F984" s="1">
        <v>45887</v>
      </c>
      <c r="G984">
        <v>45917</v>
      </c>
      <c r="H984" t="s">
        <v>9</v>
      </c>
      <c r="I984">
        <v>702928.38</v>
      </c>
      <c r="J984" t="s">
        <v>75</v>
      </c>
      <c r="K984" t="s">
        <v>2057</v>
      </c>
      <c r="L984">
        <v>30</v>
      </c>
      <c r="M984" t="s">
        <v>41</v>
      </c>
      <c r="N984">
        <v>1.1673</v>
      </c>
      <c r="O984">
        <v>1.3540192553068089</v>
      </c>
      <c r="P984">
        <v>6.7759911766413182E-3</v>
      </c>
      <c r="Q984">
        <v>6.7759911766413182E-3</v>
      </c>
      <c r="R984">
        <v>4763.0365006907759</v>
      </c>
      <c r="S984" t="s">
        <v>13</v>
      </c>
      <c r="T984">
        <v>6.8399999999999997E-3</v>
      </c>
      <c r="U984">
        <v>4808.0301191999997</v>
      </c>
      <c r="V984">
        <v>-44.993618509223779</v>
      </c>
      <c r="W984">
        <v>-9.3580151109182719E-3</v>
      </c>
    </row>
    <row r="985" spans="1:23" x14ac:dyDescent="0.25">
      <c r="A985" t="s">
        <v>2058</v>
      </c>
      <c r="B985" t="s">
        <v>34</v>
      </c>
      <c r="C985" t="s">
        <v>177</v>
      </c>
      <c r="D985" t="s">
        <v>31</v>
      </c>
      <c r="E985" t="s">
        <v>74</v>
      </c>
      <c r="F985" s="1">
        <v>45743</v>
      </c>
      <c r="G985">
        <v>45803</v>
      </c>
      <c r="H985" t="s">
        <v>8</v>
      </c>
      <c r="I985">
        <v>5409.48</v>
      </c>
      <c r="J985" t="s">
        <v>75</v>
      </c>
      <c r="K985" t="s">
        <v>2059</v>
      </c>
      <c r="L985">
        <v>60</v>
      </c>
      <c r="M985" t="s">
        <v>34</v>
      </c>
      <c r="N985">
        <v>1.0785</v>
      </c>
      <c r="O985">
        <v>1.2944381766244988</v>
      </c>
      <c r="P985">
        <v>6.63488157490003E-3</v>
      </c>
      <c r="Q985">
        <v>1.2944381766244988</v>
      </c>
      <c r="R985">
        <v>7002.2374276866931</v>
      </c>
      <c r="S985" t="s">
        <v>11</v>
      </c>
      <c r="T985">
        <v>1.238</v>
      </c>
      <c r="U985">
        <v>6696.9362399999991</v>
      </c>
      <c r="V985">
        <v>305.30118768669399</v>
      </c>
      <c r="W985">
        <v>4.5588187903472417E-2</v>
      </c>
    </row>
    <row r="986" spans="1:23" x14ac:dyDescent="0.25">
      <c r="A986" t="s">
        <v>2060</v>
      </c>
      <c r="B986" t="s">
        <v>36</v>
      </c>
      <c r="C986" t="s">
        <v>116</v>
      </c>
      <c r="D986" t="s">
        <v>31</v>
      </c>
      <c r="E986" t="s">
        <v>74</v>
      </c>
      <c r="F986" s="1">
        <v>46164</v>
      </c>
      <c r="G986">
        <v>46209</v>
      </c>
      <c r="H986" t="s">
        <v>6</v>
      </c>
      <c r="I986">
        <v>17516.47</v>
      </c>
      <c r="J986" t="s">
        <v>75</v>
      </c>
      <c r="K986" t="s">
        <v>2061</v>
      </c>
      <c r="L986">
        <v>45</v>
      </c>
      <c r="M986" t="s">
        <v>36</v>
      </c>
      <c r="N986">
        <v>1.1595</v>
      </c>
      <c r="O986">
        <v>1.3417343608970353</v>
      </c>
      <c r="P986">
        <v>6.2835311331490814E-3</v>
      </c>
      <c r="Q986">
        <v>1.1595</v>
      </c>
      <c r="R986">
        <v>20310.346965000001</v>
      </c>
      <c r="S986" t="s">
        <v>19</v>
      </c>
      <c r="T986">
        <v>1.083</v>
      </c>
      <c r="U986">
        <v>18970.337009999999</v>
      </c>
      <c r="V986">
        <v>1340.0099550000014</v>
      </c>
      <c r="W986">
        <v>7.0637119113573482E-2</v>
      </c>
    </row>
    <row r="987" spans="1:23" x14ac:dyDescent="0.25">
      <c r="A987" t="s">
        <v>2062</v>
      </c>
      <c r="B987" t="s">
        <v>38</v>
      </c>
      <c r="C987" t="s">
        <v>87</v>
      </c>
      <c r="D987" t="s">
        <v>33</v>
      </c>
      <c r="E987" t="s">
        <v>88</v>
      </c>
      <c r="F987" s="1">
        <v>46045</v>
      </c>
      <c r="G987">
        <v>46075</v>
      </c>
      <c r="H987" t="s">
        <v>6</v>
      </c>
      <c r="I987">
        <v>8663.42</v>
      </c>
      <c r="J987" t="s">
        <v>75</v>
      </c>
      <c r="K987" t="s">
        <v>2063</v>
      </c>
      <c r="L987">
        <v>30</v>
      </c>
      <c r="M987" t="s">
        <v>38</v>
      </c>
      <c r="N987">
        <v>1.1741999999999999</v>
      </c>
      <c r="O987">
        <v>1.3526091464117036</v>
      </c>
      <c r="P987">
        <v>6.322761294491411E-3</v>
      </c>
      <c r="Q987">
        <v>1.1741999999999999</v>
      </c>
      <c r="R987">
        <v>10172.587764</v>
      </c>
      <c r="S987" t="s">
        <v>16</v>
      </c>
      <c r="T987">
        <v>1.0649999999999999</v>
      </c>
      <c r="U987">
        <v>9226.5422999999992</v>
      </c>
      <c r="V987">
        <v>946.04546400000072</v>
      </c>
      <c r="W987">
        <v>0.10253521126760572</v>
      </c>
    </row>
    <row r="988" spans="1:23" x14ac:dyDescent="0.25">
      <c r="A988" t="s">
        <v>2064</v>
      </c>
      <c r="B988" t="s">
        <v>32</v>
      </c>
      <c r="C988" t="s">
        <v>106</v>
      </c>
      <c r="D988" t="s">
        <v>31</v>
      </c>
      <c r="E988" t="s">
        <v>74</v>
      </c>
      <c r="F988" s="1">
        <v>45945</v>
      </c>
      <c r="G988">
        <v>45975</v>
      </c>
      <c r="H988" t="s">
        <v>6</v>
      </c>
      <c r="I988">
        <v>7345.55</v>
      </c>
      <c r="J988" t="s">
        <v>75</v>
      </c>
      <c r="K988" t="s">
        <v>2065</v>
      </c>
      <c r="L988">
        <v>30</v>
      </c>
      <c r="M988" t="s">
        <v>32</v>
      </c>
      <c r="N988">
        <v>1.1621999999999999</v>
      </c>
      <c r="O988">
        <v>1.3350947731188969</v>
      </c>
      <c r="P988">
        <v>6.5985351728836648E-3</v>
      </c>
      <c r="Q988">
        <v>1.1621999999999999</v>
      </c>
      <c r="R988">
        <v>8536.9982099999997</v>
      </c>
      <c r="S988" t="s">
        <v>14</v>
      </c>
      <c r="T988">
        <v>1.1060000000000001</v>
      </c>
      <c r="U988">
        <v>8124.1783000000005</v>
      </c>
      <c r="V988">
        <v>412.81990999999925</v>
      </c>
      <c r="W988">
        <v>5.0813743218806412E-2</v>
      </c>
    </row>
    <row r="989" spans="1:23" x14ac:dyDescent="0.25">
      <c r="A989" t="s">
        <v>2066</v>
      </c>
      <c r="B989" t="s">
        <v>28</v>
      </c>
      <c r="C989" t="s">
        <v>111</v>
      </c>
      <c r="D989" t="s">
        <v>31</v>
      </c>
      <c r="E989" t="s">
        <v>74</v>
      </c>
      <c r="F989" s="1">
        <v>46032</v>
      </c>
      <c r="G989">
        <v>46077</v>
      </c>
      <c r="H989" t="s">
        <v>9</v>
      </c>
      <c r="I989">
        <v>866710.42</v>
      </c>
      <c r="J989" t="s">
        <v>75</v>
      </c>
      <c r="K989" t="s">
        <v>2067</v>
      </c>
      <c r="L989">
        <v>45</v>
      </c>
      <c r="M989" t="s">
        <v>28</v>
      </c>
      <c r="N989">
        <v>1.1555</v>
      </c>
      <c r="O989">
        <v>1.3367963164349013</v>
      </c>
      <c r="P989">
        <v>6.2983756677204832E-3</v>
      </c>
      <c r="Q989">
        <v>6.2983756677204832E-3</v>
      </c>
      <c r="R989">
        <v>5458.8678202878009</v>
      </c>
      <c r="S989" t="s">
        <v>16</v>
      </c>
      <c r="T989">
        <v>6.4599999999999996E-3</v>
      </c>
      <c r="U989">
        <v>5598.9493131999998</v>
      </c>
      <c r="V989">
        <v>-140.08149291219888</v>
      </c>
      <c r="W989">
        <v>-2.5019246482897217E-2</v>
      </c>
    </row>
    <row r="990" spans="1:23" x14ac:dyDescent="0.25">
      <c r="A990" t="s">
        <v>2068</v>
      </c>
      <c r="B990" t="s">
        <v>25</v>
      </c>
      <c r="C990" t="s">
        <v>169</v>
      </c>
      <c r="D990" t="s">
        <v>31</v>
      </c>
      <c r="E990" t="s">
        <v>124</v>
      </c>
      <c r="F990" s="1">
        <v>46062</v>
      </c>
      <c r="G990">
        <v>46122</v>
      </c>
      <c r="H990" t="s">
        <v>6</v>
      </c>
      <c r="I990">
        <v>44003.07</v>
      </c>
      <c r="J990" t="s">
        <v>75</v>
      </c>
      <c r="K990" t="s">
        <v>2069</v>
      </c>
      <c r="L990">
        <v>60</v>
      </c>
      <c r="M990" t="s">
        <v>25</v>
      </c>
      <c r="N990">
        <v>1.1886000000000001</v>
      </c>
      <c r="O990">
        <v>1.3660498793242157</v>
      </c>
      <c r="P990">
        <v>6.4023700511715602E-3</v>
      </c>
      <c r="Q990">
        <v>1.1886000000000001</v>
      </c>
      <c r="R990">
        <v>52302.049002000007</v>
      </c>
      <c r="S990" t="s">
        <v>16</v>
      </c>
      <c r="T990">
        <v>1.0649999999999999</v>
      </c>
      <c r="U990">
        <v>46863.269549999997</v>
      </c>
      <c r="V990">
        <v>5438.7794520000098</v>
      </c>
      <c r="W990">
        <v>0.11605633802816923</v>
      </c>
    </row>
    <row r="991" spans="1:23" x14ac:dyDescent="0.25">
      <c r="A991" t="s">
        <v>2070</v>
      </c>
      <c r="B991" t="s">
        <v>30</v>
      </c>
      <c r="C991" t="s">
        <v>103</v>
      </c>
      <c r="D991" t="s">
        <v>31</v>
      </c>
      <c r="E991" t="s">
        <v>74</v>
      </c>
      <c r="F991" s="1">
        <v>46025</v>
      </c>
      <c r="G991">
        <v>46055</v>
      </c>
      <c r="H991" t="s">
        <v>9</v>
      </c>
      <c r="I991">
        <v>2309969.98</v>
      </c>
      <c r="J991" t="s">
        <v>75</v>
      </c>
      <c r="K991" t="s">
        <v>2071</v>
      </c>
      <c r="L991">
        <v>30</v>
      </c>
      <c r="M991" t="s">
        <v>30</v>
      </c>
      <c r="N991">
        <v>1.1555</v>
      </c>
      <c r="O991">
        <v>1.3367963164349013</v>
      </c>
      <c r="P991">
        <v>6.2983756677204832E-3</v>
      </c>
      <c r="Q991">
        <v>6.2983756677204832E-3</v>
      </c>
      <c r="R991">
        <v>14549.058715196772</v>
      </c>
      <c r="S991" t="s">
        <v>16</v>
      </c>
      <c r="T991">
        <v>6.4599999999999996E-3</v>
      </c>
      <c r="U991">
        <v>14922.4060708</v>
      </c>
      <c r="V991">
        <v>-373.3473556032277</v>
      </c>
      <c r="W991">
        <v>-2.5019246482897266E-2</v>
      </c>
    </row>
    <row r="992" spans="1:23" x14ac:dyDescent="0.25">
      <c r="A992" t="s">
        <v>2072</v>
      </c>
      <c r="B992" t="s">
        <v>34</v>
      </c>
      <c r="C992" t="s">
        <v>177</v>
      </c>
      <c r="D992" t="s">
        <v>31</v>
      </c>
      <c r="E992" t="s">
        <v>74</v>
      </c>
      <c r="F992" s="1">
        <v>46185</v>
      </c>
      <c r="G992">
        <v>46245</v>
      </c>
      <c r="H992" t="s">
        <v>8</v>
      </c>
      <c r="I992">
        <v>14225.49</v>
      </c>
      <c r="J992" t="s">
        <v>75</v>
      </c>
      <c r="K992" t="s">
        <v>2073</v>
      </c>
      <c r="L992">
        <v>60</v>
      </c>
      <c r="M992" t="s">
        <v>34</v>
      </c>
      <c r="N992">
        <v>1.1567000000000001</v>
      </c>
      <c r="O992">
        <v>1.3402467991425759</v>
      </c>
      <c r="P992">
        <v>6.2423097679438749E-3</v>
      </c>
      <c r="Q992">
        <v>1.3402467991425759</v>
      </c>
      <c r="R992">
        <v>19065.667438734723</v>
      </c>
      <c r="S992" t="s">
        <v>19</v>
      </c>
      <c r="T992">
        <v>1.2709999999999999</v>
      </c>
      <c r="U992">
        <v>18080.59779</v>
      </c>
      <c r="V992">
        <v>985.06964873472316</v>
      </c>
      <c r="W992">
        <v>5.4482139372601088E-2</v>
      </c>
    </row>
    <row r="993" spans="1:23" x14ac:dyDescent="0.25">
      <c r="A993" t="s">
        <v>2074</v>
      </c>
      <c r="B993" t="s">
        <v>24</v>
      </c>
      <c r="C993" t="s">
        <v>73</v>
      </c>
      <c r="D993" t="s">
        <v>31</v>
      </c>
      <c r="E993" t="s">
        <v>74</v>
      </c>
      <c r="F993" s="1">
        <v>46335</v>
      </c>
      <c r="G993">
        <v>46365</v>
      </c>
      <c r="H993" t="s">
        <v>6</v>
      </c>
      <c r="I993">
        <v>6794.8</v>
      </c>
      <c r="J993" t="s">
        <v>84</v>
      </c>
      <c r="K993" t="s">
        <v>2075</v>
      </c>
      <c r="L993">
        <v>30</v>
      </c>
      <c r="M993" t="s">
        <v>24</v>
      </c>
      <c r="N993">
        <v>1.1176999999999999</v>
      </c>
      <c r="O993">
        <v>1.320456022210408</v>
      </c>
      <c r="P993">
        <v>6.3200452360757699E-3</v>
      </c>
      <c r="Q993">
        <v>1.1176999999999999</v>
      </c>
      <c r="R993">
        <v>7594.5479599999999</v>
      </c>
      <c r="S993" t="s">
        <v>23</v>
      </c>
      <c r="T993">
        <v>1.119</v>
      </c>
      <c r="U993">
        <v>7603.3811999999998</v>
      </c>
      <c r="V993">
        <v>-8.8332399999999325</v>
      </c>
      <c r="W993">
        <v>-1.1617515638963271E-3</v>
      </c>
    </row>
    <row r="994" spans="1:23" x14ac:dyDescent="0.25">
      <c r="A994" t="s">
        <v>2076</v>
      </c>
      <c r="B994" t="s">
        <v>43</v>
      </c>
      <c r="C994" t="s">
        <v>215</v>
      </c>
      <c r="D994" t="s">
        <v>35</v>
      </c>
      <c r="E994" t="s">
        <v>152</v>
      </c>
      <c r="F994" s="1">
        <v>45695</v>
      </c>
      <c r="G994">
        <v>45725</v>
      </c>
      <c r="H994" t="s">
        <v>6</v>
      </c>
      <c r="I994">
        <v>4191.18</v>
      </c>
      <c r="J994" t="s">
        <v>75</v>
      </c>
      <c r="K994" t="s">
        <v>2077</v>
      </c>
      <c r="L994">
        <v>30</v>
      </c>
      <c r="M994" t="s">
        <v>43</v>
      </c>
      <c r="N994">
        <v>1.0377000000000001</v>
      </c>
      <c r="O994">
        <v>1.2449461926985232</v>
      </c>
      <c r="P994">
        <v>6.5772960638904735E-3</v>
      </c>
      <c r="Q994">
        <v>1.0377000000000001</v>
      </c>
      <c r="R994">
        <v>4349.1874860000007</v>
      </c>
      <c r="S994" t="s">
        <v>11</v>
      </c>
      <c r="T994">
        <v>1.052</v>
      </c>
      <c r="U994">
        <v>4409.1213600000001</v>
      </c>
      <c r="V994">
        <v>-59.933873999999378</v>
      </c>
      <c r="W994">
        <v>-1.359315589353598E-2</v>
      </c>
    </row>
    <row r="995" spans="1:23" x14ac:dyDescent="0.25">
      <c r="A995" t="s">
        <v>2078</v>
      </c>
      <c r="B995" t="s">
        <v>40</v>
      </c>
      <c r="C995" t="s">
        <v>78</v>
      </c>
      <c r="D995" t="s">
        <v>33</v>
      </c>
      <c r="E995" t="s">
        <v>79</v>
      </c>
      <c r="F995" s="1">
        <v>46106</v>
      </c>
      <c r="G995">
        <v>46136</v>
      </c>
      <c r="H995" t="s">
        <v>9</v>
      </c>
      <c r="I995">
        <v>1337394.0900000001</v>
      </c>
      <c r="J995" t="s">
        <v>75</v>
      </c>
      <c r="K995" t="s">
        <v>2079</v>
      </c>
      <c r="L995">
        <v>30</v>
      </c>
      <c r="M995" t="s">
        <v>40</v>
      </c>
      <c r="N995">
        <v>1.1592</v>
      </c>
      <c r="O995">
        <v>1.3392176344185402</v>
      </c>
      <c r="P995">
        <v>6.2907689803006457E-3</v>
      </c>
      <c r="Q995">
        <v>6.2907689803006457E-3</v>
      </c>
      <c r="R995">
        <v>8413.2372558094103</v>
      </c>
      <c r="S995" t="s">
        <v>16</v>
      </c>
      <c r="T995">
        <v>6.4599999999999996E-3</v>
      </c>
      <c r="U995">
        <v>8639.5658213999995</v>
      </c>
      <c r="V995">
        <v>-226.32856559058928</v>
      </c>
      <c r="W995">
        <v>-2.6196752275441756E-2</v>
      </c>
    </row>
    <row r="996" spans="1:23" x14ac:dyDescent="0.25">
      <c r="A996" t="s">
        <v>2080</v>
      </c>
      <c r="B996" t="s">
        <v>28</v>
      </c>
      <c r="C996" t="s">
        <v>111</v>
      </c>
      <c r="D996" t="s">
        <v>31</v>
      </c>
      <c r="E996" t="s">
        <v>74</v>
      </c>
      <c r="F996" s="1">
        <v>46214</v>
      </c>
      <c r="G996">
        <v>46259</v>
      </c>
      <c r="H996" t="s">
        <v>9</v>
      </c>
      <c r="I996">
        <v>5491929.2300000004</v>
      </c>
      <c r="J996" t="s">
        <v>75</v>
      </c>
      <c r="K996" t="s">
        <v>2081</v>
      </c>
      <c r="L996">
        <v>45</v>
      </c>
      <c r="M996" t="s">
        <v>28</v>
      </c>
      <c r="N996">
        <v>1.143</v>
      </c>
      <c r="O996">
        <v>1.3422582349832657</v>
      </c>
      <c r="P996">
        <v>6.1777105177818611E-3</v>
      </c>
      <c r="Q996">
        <v>6.1777105177818611E-3</v>
      </c>
      <c r="R996">
        <v>33927.548967084644</v>
      </c>
      <c r="S996" t="s">
        <v>21</v>
      </c>
      <c r="T996">
        <v>6.7400000000000003E-3</v>
      </c>
      <c r="U996">
        <v>37015.603010200008</v>
      </c>
      <c r="V996">
        <v>-3088.054043115364</v>
      </c>
      <c r="W996">
        <v>-8.3425739201504312E-2</v>
      </c>
    </row>
    <row r="997" spans="1:23" x14ac:dyDescent="0.25">
      <c r="A997" t="s">
        <v>2082</v>
      </c>
      <c r="B997" t="s">
        <v>20</v>
      </c>
      <c r="C997" t="s">
        <v>123</v>
      </c>
      <c r="D997" t="s">
        <v>31</v>
      </c>
      <c r="E997" t="s">
        <v>124</v>
      </c>
      <c r="F997" s="1">
        <v>45767</v>
      </c>
      <c r="G997">
        <v>45812</v>
      </c>
      <c r="H997" t="s">
        <v>6</v>
      </c>
      <c r="I997">
        <v>21099.040000000001</v>
      </c>
      <c r="J997" t="s">
        <v>75</v>
      </c>
      <c r="K997" t="s">
        <v>2083</v>
      </c>
      <c r="L997">
        <v>45</v>
      </c>
      <c r="M997" t="s">
        <v>20</v>
      </c>
      <c r="N997">
        <v>1.1574</v>
      </c>
      <c r="O997">
        <v>1.357972544878564</v>
      </c>
      <c r="P997">
        <v>6.9351069566780518E-3</v>
      </c>
      <c r="Q997">
        <v>1.1574</v>
      </c>
      <c r="R997">
        <v>24420.028896</v>
      </c>
      <c r="S997" t="s">
        <v>12</v>
      </c>
      <c r="T997">
        <v>1.07</v>
      </c>
      <c r="U997">
        <v>22575.972800000003</v>
      </c>
      <c r="V997">
        <v>1844.0560959999966</v>
      </c>
      <c r="W997">
        <v>8.1682242990654047E-2</v>
      </c>
    </row>
    <row r="998" spans="1:23" x14ac:dyDescent="0.25">
      <c r="A998" t="s">
        <v>2084</v>
      </c>
      <c r="B998" t="s">
        <v>30</v>
      </c>
      <c r="C998" t="s">
        <v>103</v>
      </c>
      <c r="D998" t="s">
        <v>31</v>
      </c>
      <c r="E998" t="s">
        <v>74</v>
      </c>
      <c r="F998" s="1">
        <v>46340</v>
      </c>
      <c r="G998">
        <v>46370</v>
      </c>
      <c r="H998" t="s">
        <v>9</v>
      </c>
      <c r="I998">
        <v>2351377.4300000002</v>
      </c>
      <c r="J998" t="s">
        <v>84</v>
      </c>
      <c r="K998" t="s">
        <v>2085</v>
      </c>
      <c r="L998">
        <v>30</v>
      </c>
      <c r="M998" t="s">
        <v>30</v>
      </c>
      <c r="N998">
        <v>1.1176999999999999</v>
      </c>
      <c r="O998">
        <v>1.320456022210408</v>
      </c>
      <c r="P998">
        <v>6.3200452360757699E-3</v>
      </c>
      <c r="Q998">
        <v>6.3200452360757699E-3</v>
      </c>
      <c r="R998">
        <v>14860.811724687588</v>
      </c>
      <c r="S998" t="s">
        <v>23</v>
      </c>
      <c r="T998">
        <v>6.8799999999999998E-3</v>
      </c>
      <c r="U998">
        <v>16177.476718400001</v>
      </c>
      <c r="V998">
        <v>-1316.664993712413</v>
      </c>
      <c r="W998">
        <v>-8.1388773826196234E-2</v>
      </c>
    </row>
    <row r="999" spans="1:23" x14ac:dyDescent="0.25">
      <c r="A999" t="s">
        <v>2086</v>
      </c>
      <c r="B999" t="s">
        <v>32</v>
      </c>
      <c r="C999" t="s">
        <v>106</v>
      </c>
      <c r="D999" t="s">
        <v>31</v>
      </c>
      <c r="E999" t="s">
        <v>74</v>
      </c>
      <c r="F999" s="1">
        <v>45857</v>
      </c>
      <c r="G999">
        <v>45887</v>
      </c>
      <c r="H999" t="s">
        <v>6</v>
      </c>
      <c r="I999">
        <v>20461.45</v>
      </c>
      <c r="J999" t="s">
        <v>75</v>
      </c>
      <c r="K999" t="s">
        <v>2087</v>
      </c>
      <c r="L999">
        <v>30</v>
      </c>
      <c r="M999" t="s">
        <v>32</v>
      </c>
      <c r="N999">
        <v>1.1655</v>
      </c>
      <c r="O999">
        <v>1.3410424577148774</v>
      </c>
      <c r="P999">
        <v>6.6330886119173637E-3</v>
      </c>
      <c r="Q999">
        <v>1.1655</v>
      </c>
      <c r="R999">
        <v>23847.819975000002</v>
      </c>
      <c r="S999" t="s">
        <v>13</v>
      </c>
      <c r="T999">
        <v>1.0880000000000001</v>
      </c>
      <c r="U999">
        <v>22262.057600000004</v>
      </c>
      <c r="V999">
        <v>1585.7623749999984</v>
      </c>
      <c r="W999">
        <v>7.1231617647058737E-2</v>
      </c>
    </row>
    <row r="1000" spans="1:23" x14ac:dyDescent="0.25">
      <c r="A1000" t="s">
        <v>2088</v>
      </c>
      <c r="B1000" t="s">
        <v>30</v>
      </c>
      <c r="C1000" t="s">
        <v>103</v>
      </c>
      <c r="D1000" t="s">
        <v>31</v>
      </c>
      <c r="E1000" t="s">
        <v>74</v>
      </c>
      <c r="F1000" s="1">
        <v>46033</v>
      </c>
      <c r="G1000">
        <v>46063</v>
      </c>
      <c r="H1000" t="s">
        <v>9</v>
      </c>
      <c r="I1000">
        <v>3972309.54</v>
      </c>
      <c r="J1000" t="s">
        <v>75</v>
      </c>
      <c r="K1000" t="s">
        <v>2089</v>
      </c>
      <c r="L1000">
        <v>30</v>
      </c>
      <c r="M1000" t="s">
        <v>30</v>
      </c>
      <c r="N1000">
        <v>1.1555</v>
      </c>
      <c r="O1000">
        <v>1.3367963164349013</v>
      </c>
      <c r="P1000">
        <v>6.2983756677204832E-3</v>
      </c>
      <c r="Q1000">
        <v>6.2983756677204832E-3</v>
      </c>
      <c r="R1000">
        <v>25019.097751389945</v>
      </c>
      <c r="S1000" t="s">
        <v>16</v>
      </c>
      <c r="T1000">
        <v>6.4599999999999996E-3</v>
      </c>
      <c r="U1000">
        <v>25661.1196284</v>
      </c>
      <c r="V1000">
        <v>-642.0218770100546</v>
      </c>
      <c r="W1000">
        <v>-2.5019246482897339E-2</v>
      </c>
    </row>
    <row r="1001" spans="1:23" x14ac:dyDescent="0.25">
      <c r="A1001" t="s">
        <v>2090</v>
      </c>
      <c r="B1001" t="s">
        <v>39</v>
      </c>
      <c r="C1001" t="s">
        <v>82</v>
      </c>
      <c r="D1001" t="s">
        <v>33</v>
      </c>
      <c r="E1001" t="s">
        <v>83</v>
      </c>
      <c r="F1001" s="1">
        <v>46108</v>
      </c>
      <c r="G1001">
        <v>46153</v>
      </c>
      <c r="H1001" t="s">
        <v>8</v>
      </c>
      <c r="I1001">
        <v>2620.63</v>
      </c>
      <c r="J1001" t="s">
        <v>75</v>
      </c>
      <c r="K1001" t="s">
        <v>2091</v>
      </c>
      <c r="L1001">
        <v>45</v>
      </c>
      <c r="M1001" t="s">
        <v>39</v>
      </c>
      <c r="N1001">
        <v>1.1516999999999999</v>
      </c>
      <c r="O1001">
        <v>1.3280673431734318</v>
      </c>
      <c r="P1001">
        <v>6.2538010425716769E-3</v>
      </c>
      <c r="Q1001">
        <v>1.3280673431734318</v>
      </c>
      <c r="R1001">
        <v>3480.3731215405905</v>
      </c>
      <c r="S1001" t="s">
        <v>16</v>
      </c>
      <c r="T1001">
        <v>1.2490000000000001</v>
      </c>
      <c r="U1001">
        <v>3273.1668700000005</v>
      </c>
      <c r="V1001">
        <v>207.20625154059007</v>
      </c>
      <c r="W1001">
        <v>6.3304518153267889E-2</v>
      </c>
    </row>
    <row r="1002" spans="1:23" x14ac:dyDescent="0.25">
      <c r="A1002" t="s">
        <v>2092</v>
      </c>
      <c r="B1002" t="s">
        <v>43</v>
      </c>
      <c r="C1002" t="s">
        <v>215</v>
      </c>
      <c r="D1002" t="s">
        <v>35</v>
      </c>
      <c r="E1002" t="s">
        <v>152</v>
      </c>
      <c r="F1002" s="1">
        <v>46165</v>
      </c>
      <c r="G1002">
        <v>46195</v>
      </c>
      <c r="H1002" t="s">
        <v>6</v>
      </c>
      <c r="I1002">
        <v>15206.13</v>
      </c>
      <c r="J1002" t="s">
        <v>75</v>
      </c>
      <c r="K1002" t="s">
        <v>2093</v>
      </c>
      <c r="L1002">
        <v>30</v>
      </c>
      <c r="M1002" t="s">
        <v>43</v>
      </c>
      <c r="N1002">
        <v>1.1595</v>
      </c>
      <c r="O1002">
        <v>1.3417343608970353</v>
      </c>
      <c r="P1002">
        <v>6.2835311331490814E-3</v>
      </c>
      <c r="Q1002">
        <v>1.1595</v>
      </c>
      <c r="R1002">
        <v>17631.507734999999</v>
      </c>
      <c r="S1002" t="s">
        <v>19</v>
      </c>
      <c r="T1002">
        <v>1.083</v>
      </c>
      <c r="U1002">
        <v>16468.238789999999</v>
      </c>
      <c r="V1002">
        <v>1163.2689449999998</v>
      </c>
      <c r="W1002">
        <v>7.0637119113573399E-2</v>
      </c>
    </row>
    <row r="1003" spans="1:23" x14ac:dyDescent="0.25">
      <c r="A1003" t="s">
        <v>2094</v>
      </c>
      <c r="B1003" t="s">
        <v>44</v>
      </c>
      <c r="C1003" t="s">
        <v>138</v>
      </c>
      <c r="D1003" t="s">
        <v>33</v>
      </c>
      <c r="E1003" t="s">
        <v>88</v>
      </c>
      <c r="F1003" s="1">
        <v>45833</v>
      </c>
      <c r="G1003">
        <v>45878</v>
      </c>
      <c r="H1003" t="s">
        <v>9</v>
      </c>
      <c r="I1003">
        <v>1593324.94</v>
      </c>
      <c r="J1003" t="s">
        <v>75</v>
      </c>
      <c r="K1003" t="s">
        <v>2095</v>
      </c>
      <c r="L1003">
        <v>45</v>
      </c>
      <c r="M1003" t="s">
        <v>44</v>
      </c>
      <c r="N1003">
        <v>1.1597999999999999</v>
      </c>
      <c r="O1003">
        <v>1.3603096410978184</v>
      </c>
      <c r="P1003">
        <v>6.8598805228603536E-3</v>
      </c>
      <c r="Q1003">
        <v>6.8598805228603536E-3</v>
      </c>
      <c r="R1003">
        <v>10930.018722493642</v>
      </c>
      <c r="S1003" t="s">
        <v>12</v>
      </c>
      <c r="T1003">
        <v>6.7000000000000002E-3</v>
      </c>
      <c r="U1003">
        <v>10675.277098</v>
      </c>
      <c r="V1003">
        <v>254.74162449364121</v>
      </c>
      <c r="W1003">
        <v>2.3862764606022893E-2</v>
      </c>
    </row>
    <row r="1004" spans="1:23" x14ac:dyDescent="0.25">
      <c r="A1004" t="s">
        <v>2096</v>
      </c>
      <c r="B1004" t="s">
        <v>25</v>
      </c>
      <c r="C1004" t="s">
        <v>169</v>
      </c>
      <c r="D1004" t="s">
        <v>31</v>
      </c>
      <c r="E1004" t="s">
        <v>124</v>
      </c>
      <c r="F1004" s="1">
        <v>45798</v>
      </c>
      <c r="G1004">
        <v>45858</v>
      </c>
      <c r="H1004" t="s">
        <v>6</v>
      </c>
      <c r="I1004">
        <v>95842.07</v>
      </c>
      <c r="J1004" t="s">
        <v>75</v>
      </c>
      <c r="K1004" t="s">
        <v>2097</v>
      </c>
      <c r="L1004">
        <v>60</v>
      </c>
      <c r="M1004" t="s">
        <v>25</v>
      </c>
      <c r="N1004">
        <v>1.1321000000000001</v>
      </c>
      <c r="O1004">
        <v>1.3403978214539427</v>
      </c>
      <c r="P1004">
        <v>6.9556402064389292E-3</v>
      </c>
      <c r="Q1004">
        <v>1.1321000000000001</v>
      </c>
      <c r="R1004">
        <v>108502.80744700001</v>
      </c>
      <c r="S1004" t="s">
        <v>12</v>
      </c>
      <c r="T1004">
        <v>1.07</v>
      </c>
      <c r="U1004">
        <v>102551.01490000001</v>
      </c>
      <c r="V1004">
        <v>5951.7925470000046</v>
      </c>
      <c r="W1004">
        <v>5.803738317757013E-2</v>
      </c>
    </row>
    <row r="1005" spans="1:23" x14ac:dyDescent="0.25">
      <c r="A1005" t="s">
        <v>2098</v>
      </c>
      <c r="B1005" t="s">
        <v>37</v>
      </c>
      <c r="C1005" t="s">
        <v>91</v>
      </c>
      <c r="D1005" t="s">
        <v>31</v>
      </c>
      <c r="E1005" t="s">
        <v>74</v>
      </c>
      <c r="F1005" s="1">
        <v>46156</v>
      </c>
      <c r="G1005">
        <v>46186</v>
      </c>
      <c r="H1005" t="s">
        <v>6</v>
      </c>
      <c r="I1005">
        <v>22943.87</v>
      </c>
      <c r="J1005" t="s">
        <v>75</v>
      </c>
      <c r="K1005" t="s">
        <v>2099</v>
      </c>
      <c r="L1005">
        <v>30</v>
      </c>
      <c r="M1005" t="s">
        <v>37</v>
      </c>
      <c r="N1005">
        <v>1.1701999999999999</v>
      </c>
      <c r="O1005">
        <v>1.3509894017409776</v>
      </c>
      <c r="P1005">
        <v>6.3312232862630519E-3</v>
      </c>
      <c r="Q1005">
        <v>1.1701999999999999</v>
      </c>
      <c r="R1005">
        <v>26848.916673999996</v>
      </c>
      <c r="S1005" t="s">
        <v>19</v>
      </c>
      <c r="T1005">
        <v>1.083</v>
      </c>
      <c r="U1005">
        <v>24848.211209999998</v>
      </c>
      <c r="V1005">
        <v>2000.7054639999988</v>
      </c>
      <c r="W1005">
        <v>8.0517082179132005E-2</v>
      </c>
    </row>
    <row r="1006" spans="1:23" x14ac:dyDescent="0.25">
      <c r="A1006" t="s">
        <v>2100</v>
      </c>
      <c r="B1006" t="s">
        <v>36</v>
      </c>
      <c r="C1006" t="s">
        <v>116</v>
      </c>
      <c r="D1006" t="s">
        <v>31</v>
      </c>
      <c r="E1006" t="s">
        <v>74</v>
      </c>
      <c r="F1006" s="1">
        <v>45826</v>
      </c>
      <c r="G1006">
        <v>45871</v>
      </c>
      <c r="H1006" t="s">
        <v>6</v>
      </c>
      <c r="I1006">
        <v>20851.900000000001</v>
      </c>
      <c r="J1006" t="s">
        <v>75</v>
      </c>
      <c r="K1006" t="s">
        <v>2101</v>
      </c>
      <c r="L1006">
        <v>45</v>
      </c>
      <c r="M1006" t="s">
        <v>36</v>
      </c>
      <c r="N1006">
        <v>1.1508</v>
      </c>
      <c r="O1006">
        <v>1.3456501403180543</v>
      </c>
      <c r="P1006">
        <v>6.9046619067618656E-3</v>
      </c>
      <c r="Q1006">
        <v>1.1508</v>
      </c>
      <c r="R1006">
        <v>23996.366520000003</v>
      </c>
      <c r="S1006" t="s">
        <v>12</v>
      </c>
      <c r="T1006">
        <v>1.07</v>
      </c>
      <c r="U1006">
        <v>22311.533000000003</v>
      </c>
      <c r="V1006">
        <v>1684.8335200000001</v>
      </c>
      <c r="W1006">
        <v>7.5514018691588775E-2</v>
      </c>
    </row>
    <row r="1007" spans="1:23" x14ac:dyDescent="0.25">
      <c r="A1007" t="s">
        <v>2102</v>
      </c>
      <c r="B1007" t="s">
        <v>36</v>
      </c>
      <c r="C1007" t="s">
        <v>116</v>
      </c>
      <c r="D1007" t="s">
        <v>31</v>
      </c>
      <c r="E1007" t="s">
        <v>74</v>
      </c>
      <c r="F1007" s="1">
        <v>46064</v>
      </c>
      <c r="G1007">
        <v>46109</v>
      </c>
      <c r="H1007" t="s">
        <v>6</v>
      </c>
      <c r="I1007">
        <v>5688.49</v>
      </c>
      <c r="J1007" t="s">
        <v>75</v>
      </c>
      <c r="K1007" t="s">
        <v>2103</v>
      </c>
      <c r="L1007">
        <v>45</v>
      </c>
      <c r="M1007" t="s">
        <v>36</v>
      </c>
      <c r="N1007">
        <v>1.19</v>
      </c>
      <c r="O1007">
        <v>1.3679733302678467</v>
      </c>
      <c r="P1007">
        <v>6.5102029651512667E-3</v>
      </c>
      <c r="Q1007">
        <v>1.19</v>
      </c>
      <c r="R1007">
        <v>6769.3030999999992</v>
      </c>
      <c r="S1007" t="s">
        <v>16</v>
      </c>
      <c r="T1007">
        <v>1.0649999999999999</v>
      </c>
      <c r="U1007">
        <v>6058.2418499999994</v>
      </c>
      <c r="V1007">
        <v>711.06124999999975</v>
      </c>
      <c r="W1007">
        <v>0.11737089201877932</v>
      </c>
    </row>
    <row r="1008" spans="1:23" x14ac:dyDescent="0.25">
      <c r="A1008" t="s">
        <v>2104</v>
      </c>
      <c r="B1008" t="s">
        <v>38</v>
      </c>
      <c r="C1008" t="s">
        <v>87</v>
      </c>
      <c r="D1008" t="s">
        <v>33</v>
      </c>
      <c r="E1008" t="s">
        <v>88</v>
      </c>
      <c r="F1008" s="1">
        <v>46085</v>
      </c>
      <c r="G1008">
        <v>46115</v>
      </c>
      <c r="H1008" t="s">
        <v>6</v>
      </c>
      <c r="I1008">
        <v>6451.26</v>
      </c>
      <c r="J1008" t="s">
        <v>75</v>
      </c>
      <c r="K1008" t="s">
        <v>2105</v>
      </c>
      <c r="L1008">
        <v>30</v>
      </c>
      <c r="M1008" t="s">
        <v>38</v>
      </c>
      <c r="N1008">
        <v>1.1649</v>
      </c>
      <c r="O1008">
        <v>1.3381964388282597</v>
      </c>
      <c r="P1008">
        <v>6.3648781553928531E-3</v>
      </c>
      <c r="Q1008">
        <v>1.1649</v>
      </c>
      <c r="R1008">
        <v>7515.0727740000002</v>
      </c>
      <c r="S1008" t="s">
        <v>16</v>
      </c>
      <c r="T1008">
        <v>1.0649999999999999</v>
      </c>
      <c r="U1008">
        <v>6870.5918999999994</v>
      </c>
      <c r="V1008">
        <v>644.48087400000077</v>
      </c>
      <c r="W1008">
        <v>9.380281690140857E-2</v>
      </c>
    </row>
    <row r="1009" spans="1:23" x14ac:dyDescent="0.25">
      <c r="A1009" t="s">
        <v>2106</v>
      </c>
      <c r="B1009" t="s">
        <v>37</v>
      </c>
      <c r="C1009" t="s">
        <v>91</v>
      </c>
      <c r="D1009" t="s">
        <v>31</v>
      </c>
      <c r="E1009" t="s">
        <v>74</v>
      </c>
      <c r="F1009" s="1">
        <v>45700</v>
      </c>
      <c r="G1009">
        <v>45730</v>
      </c>
      <c r="H1009" t="s">
        <v>6</v>
      </c>
      <c r="I1009">
        <v>5688.98</v>
      </c>
      <c r="J1009" t="s">
        <v>75</v>
      </c>
      <c r="K1009" t="s">
        <v>2107</v>
      </c>
      <c r="L1009">
        <v>30</v>
      </c>
      <c r="M1009" t="s">
        <v>37</v>
      </c>
      <c r="N1009">
        <v>1.0369999999999999</v>
      </c>
      <c r="O1009">
        <v>1.2443303175022198</v>
      </c>
      <c r="P1009">
        <v>6.5130008792865218E-3</v>
      </c>
      <c r="Q1009">
        <v>1.0369999999999999</v>
      </c>
      <c r="R1009">
        <v>5899.4722599999996</v>
      </c>
      <c r="S1009" t="s">
        <v>11</v>
      </c>
      <c r="T1009">
        <v>1.052</v>
      </c>
      <c r="U1009">
        <v>5984.8069599999999</v>
      </c>
      <c r="V1009">
        <v>-85.334700000000339</v>
      </c>
      <c r="W1009">
        <v>-1.4258555133079906E-2</v>
      </c>
    </row>
    <row r="1010" spans="1:23" x14ac:dyDescent="0.25">
      <c r="A1010" t="s">
        <v>2108</v>
      </c>
      <c r="B1010" t="s">
        <v>41</v>
      </c>
      <c r="C1010" t="s">
        <v>172</v>
      </c>
      <c r="D1010" t="s">
        <v>33</v>
      </c>
      <c r="E1010" t="s">
        <v>83</v>
      </c>
      <c r="F1010" s="1">
        <v>46386</v>
      </c>
      <c r="G1010">
        <v>46416</v>
      </c>
      <c r="H1010" t="s">
        <v>9</v>
      </c>
      <c r="I1010">
        <v>3151964.27</v>
      </c>
      <c r="J1010" t="s">
        <v>84</v>
      </c>
      <c r="K1010" t="s">
        <v>2109</v>
      </c>
      <c r="L1010">
        <v>30</v>
      </c>
      <c r="M1010" t="s">
        <v>41</v>
      </c>
      <c r="N1010">
        <v>1.1176999999999999</v>
      </c>
      <c r="O1010">
        <v>1.320456022210408</v>
      </c>
      <c r="P1010">
        <v>6.3200452360757699E-3</v>
      </c>
      <c r="Q1010">
        <v>6.3200452360757699E-3</v>
      </c>
      <c r="R1010">
        <v>19920.556768894541</v>
      </c>
      <c r="S1010" t="s">
        <v>23</v>
      </c>
      <c r="T1010">
        <v>6.8799999999999998E-3</v>
      </c>
      <c r="U1010">
        <v>21685.514177599998</v>
      </c>
      <c r="V1010">
        <v>-1764.9574087054571</v>
      </c>
      <c r="W1010">
        <v>-8.1388773826196192E-2</v>
      </c>
    </row>
    <row r="1011" spans="1:23" x14ac:dyDescent="0.25">
      <c r="A1011" t="s">
        <v>2110</v>
      </c>
      <c r="B1011" t="s">
        <v>37</v>
      </c>
      <c r="C1011" t="s">
        <v>91</v>
      </c>
      <c r="D1011" t="s">
        <v>31</v>
      </c>
      <c r="E1011" t="s">
        <v>74</v>
      </c>
      <c r="F1011" s="1">
        <v>46263</v>
      </c>
      <c r="G1011">
        <v>46293</v>
      </c>
      <c r="H1011" t="s">
        <v>6</v>
      </c>
      <c r="I1011">
        <v>18100.16</v>
      </c>
      <c r="J1011" t="s">
        <v>75</v>
      </c>
      <c r="K1011" t="s">
        <v>2111</v>
      </c>
      <c r="L1011">
        <v>30</v>
      </c>
      <c r="M1011" t="s">
        <v>37</v>
      </c>
      <c r="N1011">
        <v>1.1642999999999999</v>
      </c>
      <c r="O1011">
        <v>1.3582594493700419</v>
      </c>
      <c r="P1011">
        <v>6.2623709122203094E-3</v>
      </c>
      <c r="Q1011">
        <v>1.1642999999999999</v>
      </c>
      <c r="R1011">
        <v>21074.016287999999</v>
      </c>
      <c r="S1011" t="s">
        <v>21</v>
      </c>
      <c r="T1011">
        <v>1.101</v>
      </c>
      <c r="U1011">
        <v>19928.276160000001</v>
      </c>
      <c r="V1011">
        <v>1145.7401279999976</v>
      </c>
      <c r="W1011">
        <v>5.749318801089906E-2</v>
      </c>
    </row>
    <row r="1012" spans="1:23" x14ac:dyDescent="0.25">
      <c r="A1012" t="s">
        <v>2112</v>
      </c>
      <c r="B1012" t="s">
        <v>25</v>
      </c>
      <c r="C1012" t="s">
        <v>169</v>
      </c>
      <c r="D1012" t="s">
        <v>31</v>
      </c>
      <c r="E1012" t="s">
        <v>124</v>
      </c>
      <c r="F1012" s="1">
        <v>46337</v>
      </c>
      <c r="G1012">
        <v>46397</v>
      </c>
      <c r="H1012" t="s">
        <v>6</v>
      </c>
      <c r="I1012">
        <v>76719.789999999994</v>
      </c>
      <c r="J1012" t="s">
        <v>84</v>
      </c>
      <c r="K1012" t="s">
        <v>2113</v>
      </c>
      <c r="L1012">
        <v>60</v>
      </c>
      <c r="M1012" t="s">
        <v>25</v>
      </c>
      <c r="N1012">
        <v>1.1176999999999999</v>
      </c>
      <c r="O1012">
        <v>1.320456022210408</v>
      </c>
      <c r="P1012">
        <v>6.3200452360757699E-3</v>
      </c>
      <c r="Q1012">
        <v>1.1176999999999999</v>
      </c>
      <c r="R1012">
        <v>85749.709282999989</v>
      </c>
      <c r="S1012" t="s">
        <v>23</v>
      </c>
      <c r="T1012">
        <v>1.119</v>
      </c>
      <c r="U1012">
        <v>85849.445009999996</v>
      </c>
      <c r="V1012">
        <v>-99.735727000006591</v>
      </c>
      <c r="W1012">
        <v>-1.1617515638964128E-3</v>
      </c>
    </row>
    <row r="1013" spans="1:23" x14ac:dyDescent="0.25">
      <c r="A1013" t="s">
        <v>2114</v>
      </c>
      <c r="B1013" t="s">
        <v>28</v>
      </c>
      <c r="C1013" t="s">
        <v>111</v>
      </c>
      <c r="D1013" t="s">
        <v>31</v>
      </c>
      <c r="E1013" t="s">
        <v>74</v>
      </c>
      <c r="F1013" s="1">
        <v>45820</v>
      </c>
      <c r="G1013">
        <v>45865</v>
      </c>
      <c r="H1013" t="s">
        <v>9</v>
      </c>
      <c r="I1013">
        <v>3294609.66</v>
      </c>
      <c r="J1013" t="s">
        <v>75</v>
      </c>
      <c r="K1013" t="s">
        <v>2115</v>
      </c>
      <c r="L1013">
        <v>45</v>
      </c>
      <c r="M1013" t="s">
        <v>28</v>
      </c>
      <c r="N1013">
        <v>1.1594</v>
      </c>
      <c r="O1013">
        <v>1.3579292574373389</v>
      </c>
      <c r="P1013">
        <v>6.9575132021123384E-3</v>
      </c>
      <c r="Q1013">
        <v>6.9575132021123384E-3</v>
      </c>
      <c r="R1013">
        <v>22922.290205256842</v>
      </c>
      <c r="S1013" t="s">
        <v>12</v>
      </c>
      <c r="T1013">
        <v>6.7000000000000002E-3</v>
      </c>
      <c r="U1013">
        <v>22073.884722000003</v>
      </c>
      <c r="V1013">
        <v>848.40548325683994</v>
      </c>
      <c r="W1013">
        <v>3.843480628542352E-2</v>
      </c>
    </row>
    <row r="1014" spans="1:23" x14ac:dyDescent="0.25">
      <c r="A1014" t="s">
        <v>2116</v>
      </c>
      <c r="B1014" t="s">
        <v>44</v>
      </c>
      <c r="C1014" t="s">
        <v>138</v>
      </c>
      <c r="D1014" t="s">
        <v>33</v>
      </c>
      <c r="E1014" t="s">
        <v>88</v>
      </c>
      <c r="F1014" s="1">
        <v>46382</v>
      </c>
      <c r="G1014">
        <v>46427</v>
      </c>
      <c r="H1014" t="s">
        <v>9</v>
      </c>
      <c r="I1014">
        <v>1360620.52</v>
      </c>
      <c r="J1014" t="s">
        <v>84</v>
      </c>
      <c r="K1014" t="s">
        <v>2117</v>
      </c>
      <c r="L1014">
        <v>45</v>
      </c>
      <c r="M1014" t="s">
        <v>44</v>
      </c>
      <c r="N1014">
        <v>1.1176999999999999</v>
      </c>
      <c r="O1014">
        <v>1.320456022210408</v>
      </c>
      <c r="P1014">
        <v>6.3200452360757699E-3</v>
      </c>
      <c r="Q1014">
        <v>6.3200452360757699E-3</v>
      </c>
      <c r="R1014">
        <v>8599.183235532937</v>
      </c>
      <c r="S1014" t="s">
        <v>23</v>
      </c>
      <c r="T1014">
        <v>6.8799999999999998E-3</v>
      </c>
      <c r="U1014">
        <v>9361.0691776000003</v>
      </c>
      <c r="V1014">
        <v>-761.8859420670633</v>
      </c>
      <c r="W1014">
        <v>-8.1388773826196248E-2</v>
      </c>
    </row>
    <row r="1015" spans="1:23" x14ac:dyDescent="0.25">
      <c r="A1015" t="s">
        <v>2118</v>
      </c>
      <c r="B1015" t="s">
        <v>43</v>
      </c>
      <c r="C1015" t="s">
        <v>215</v>
      </c>
      <c r="D1015" t="s">
        <v>35</v>
      </c>
      <c r="E1015" t="s">
        <v>152</v>
      </c>
      <c r="F1015" s="1">
        <v>46186</v>
      </c>
      <c r="G1015">
        <v>46216</v>
      </c>
      <c r="H1015" t="s">
        <v>6</v>
      </c>
      <c r="I1015">
        <v>3320.98</v>
      </c>
      <c r="J1015" t="s">
        <v>75</v>
      </c>
      <c r="K1015" t="s">
        <v>2119</v>
      </c>
      <c r="L1015">
        <v>30</v>
      </c>
      <c r="M1015" t="s">
        <v>43</v>
      </c>
      <c r="N1015">
        <v>1.1567000000000001</v>
      </c>
      <c r="O1015">
        <v>1.3402467991425759</v>
      </c>
      <c r="P1015">
        <v>6.2423097679438749E-3</v>
      </c>
      <c r="Q1015">
        <v>1.1567000000000001</v>
      </c>
      <c r="R1015">
        <v>3841.3775660000001</v>
      </c>
      <c r="S1015" t="s">
        <v>19</v>
      </c>
      <c r="T1015">
        <v>1.083</v>
      </c>
      <c r="U1015">
        <v>3596.6213399999997</v>
      </c>
      <c r="V1015">
        <v>244.75622600000042</v>
      </c>
      <c r="W1015">
        <v>6.8051708217913329E-2</v>
      </c>
    </row>
    <row r="1016" spans="1:23" x14ac:dyDescent="0.25">
      <c r="A1016" t="s">
        <v>2120</v>
      </c>
      <c r="B1016" t="s">
        <v>43</v>
      </c>
      <c r="C1016" t="s">
        <v>215</v>
      </c>
      <c r="D1016" t="s">
        <v>35</v>
      </c>
      <c r="E1016" t="s">
        <v>152</v>
      </c>
      <c r="F1016" s="1">
        <v>45864</v>
      </c>
      <c r="G1016">
        <v>45894</v>
      </c>
      <c r="H1016" t="s">
        <v>6</v>
      </c>
      <c r="I1016">
        <v>10085.700000000001</v>
      </c>
      <c r="J1016" t="s">
        <v>75</v>
      </c>
      <c r="K1016" t="s">
        <v>2121</v>
      </c>
      <c r="L1016">
        <v>30</v>
      </c>
      <c r="M1016" t="s">
        <v>43</v>
      </c>
      <c r="N1016">
        <v>1.1636</v>
      </c>
      <c r="O1016">
        <v>1.3212217554218235</v>
      </c>
      <c r="P1016">
        <v>6.5714124357598687E-3</v>
      </c>
      <c r="Q1016">
        <v>1.1636</v>
      </c>
      <c r="R1016">
        <v>11735.720520000001</v>
      </c>
      <c r="S1016" t="s">
        <v>13</v>
      </c>
      <c r="T1016">
        <v>1.0880000000000001</v>
      </c>
      <c r="U1016">
        <v>10973.241600000001</v>
      </c>
      <c r="V1016">
        <v>762.47891999999956</v>
      </c>
      <c r="W1016">
        <v>6.9485294117647006E-2</v>
      </c>
    </row>
    <row r="1017" spans="1:23" x14ac:dyDescent="0.25">
      <c r="A1017" t="s">
        <v>2122</v>
      </c>
      <c r="B1017" t="s">
        <v>37</v>
      </c>
      <c r="C1017" t="s">
        <v>91</v>
      </c>
      <c r="D1017" t="s">
        <v>31</v>
      </c>
      <c r="E1017" t="s">
        <v>74</v>
      </c>
      <c r="F1017" s="1">
        <v>46117</v>
      </c>
      <c r="G1017">
        <v>46147</v>
      </c>
      <c r="H1017" t="s">
        <v>6</v>
      </c>
      <c r="I1017">
        <v>5960.07</v>
      </c>
      <c r="J1017" t="s">
        <v>75</v>
      </c>
      <c r="K1017" t="s">
        <v>2123</v>
      </c>
      <c r="L1017">
        <v>30</v>
      </c>
      <c r="M1017" t="s">
        <v>37</v>
      </c>
      <c r="N1017">
        <v>1.1525000000000001</v>
      </c>
      <c r="O1017">
        <v>1.3208714886594157</v>
      </c>
      <c r="P1017">
        <v>6.2656300967706864E-3</v>
      </c>
      <c r="Q1017">
        <v>1.1525000000000001</v>
      </c>
      <c r="R1017">
        <v>6868.9806749999998</v>
      </c>
      <c r="S1017" t="s">
        <v>19</v>
      </c>
      <c r="T1017">
        <v>1.083</v>
      </c>
      <c r="U1017">
        <v>6454.7558099999997</v>
      </c>
      <c r="V1017">
        <v>414.22486500000014</v>
      </c>
      <c r="W1017">
        <v>6.4173591874422925E-2</v>
      </c>
    </row>
    <row r="1018" spans="1:23" x14ac:dyDescent="0.25">
      <c r="A1018" t="s">
        <v>2124</v>
      </c>
      <c r="B1018" t="s">
        <v>28</v>
      </c>
      <c r="C1018" t="s">
        <v>111</v>
      </c>
      <c r="D1018" t="s">
        <v>31</v>
      </c>
      <c r="E1018" t="s">
        <v>74</v>
      </c>
      <c r="F1018" s="1">
        <v>46308</v>
      </c>
      <c r="G1018">
        <v>46353</v>
      </c>
      <c r="H1018" t="s">
        <v>9</v>
      </c>
      <c r="I1018">
        <v>838823.99</v>
      </c>
      <c r="J1018" t="s">
        <v>84</v>
      </c>
      <c r="K1018" t="s">
        <v>2125</v>
      </c>
      <c r="L1018">
        <v>45</v>
      </c>
      <c r="M1018" t="s">
        <v>28</v>
      </c>
      <c r="N1018">
        <v>1.1176999999999999</v>
      </c>
      <c r="O1018">
        <v>1.320456022210408</v>
      </c>
      <c r="P1018">
        <v>6.3200452360757699E-3</v>
      </c>
      <c r="Q1018">
        <v>6.3200452360757699E-3</v>
      </c>
      <c r="R1018">
        <v>5301.4055619055689</v>
      </c>
      <c r="S1018" t="s">
        <v>23</v>
      </c>
      <c r="T1018">
        <v>6.8799999999999998E-3</v>
      </c>
      <c r="U1018">
        <v>5771.1090512000001</v>
      </c>
      <c r="V1018">
        <v>-469.70348929443117</v>
      </c>
      <c r="W1018">
        <v>-8.1388773826196303E-2</v>
      </c>
    </row>
    <row r="1019" spans="1:23" x14ac:dyDescent="0.25">
      <c r="A1019" t="s">
        <v>2126</v>
      </c>
      <c r="B1019" t="s">
        <v>37</v>
      </c>
      <c r="C1019" t="s">
        <v>91</v>
      </c>
      <c r="D1019" t="s">
        <v>31</v>
      </c>
      <c r="E1019" t="s">
        <v>74</v>
      </c>
      <c r="F1019" s="1">
        <v>46095</v>
      </c>
      <c r="G1019">
        <v>46125</v>
      </c>
      <c r="H1019" t="s">
        <v>6</v>
      </c>
      <c r="I1019">
        <v>14321.34</v>
      </c>
      <c r="J1019" t="s">
        <v>75</v>
      </c>
      <c r="K1019" t="s">
        <v>2127</v>
      </c>
      <c r="L1019">
        <v>30</v>
      </c>
      <c r="M1019" t="s">
        <v>37</v>
      </c>
      <c r="N1019">
        <v>1.1555</v>
      </c>
      <c r="O1019">
        <v>1.3367963164349013</v>
      </c>
      <c r="P1019">
        <v>6.2983756677204832E-3</v>
      </c>
      <c r="Q1019">
        <v>1.1555</v>
      </c>
      <c r="R1019">
        <v>16548.308369999999</v>
      </c>
      <c r="S1019" t="s">
        <v>16</v>
      </c>
      <c r="T1019">
        <v>1.0649999999999999</v>
      </c>
      <c r="U1019">
        <v>15252.2271</v>
      </c>
      <c r="V1019">
        <v>1296.0812699999988</v>
      </c>
      <c r="W1019">
        <v>8.4976525821596163E-2</v>
      </c>
    </row>
    <row r="1020" spans="1:23" x14ac:dyDescent="0.25">
      <c r="A1020" t="s">
        <v>2128</v>
      </c>
      <c r="B1020" t="s">
        <v>42</v>
      </c>
      <c r="C1020" t="s">
        <v>151</v>
      </c>
      <c r="D1020" t="s">
        <v>35</v>
      </c>
      <c r="E1020" t="s">
        <v>152</v>
      </c>
      <c r="F1020" s="1">
        <v>45785</v>
      </c>
      <c r="G1020">
        <v>45815</v>
      </c>
      <c r="H1020" t="s">
        <v>8</v>
      </c>
      <c r="I1020">
        <v>4169.49</v>
      </c>
      <c r="J1020" t="s">
        <v>75</v>
      </c>
      <c r="K1020" t="s">
        <v>2129</v>
      </c>
      <c r="L1020">
        <v>30</v>
      </c>
      <c r="M1020" t="s">
        <v>42</v>
      </c>
      <c r="N1020">
        <v>1.1296999999999999</v>
      </c>
      <c r="O1020">
        <v>1.3328220858895705</v>
      </c>
      <c r="P1020">
        <v>6.9115937595594984E-3</v>
      </c>
      <c r="Q1020">
        <v>1.3328220858895705</v>
      </c>
      <c r="R1020">
        <v>5557.1883588957053</v>
      </c>
      <c r="S1020" t="s">
        <v>12</v>
      </c>
      <c r="T1020">
        <v>1.26</v>
      </c>
      <c r="U1020">
        <v>5253.5573999999997</v>
      </c>
      <c r="V1020">
        <v>303.63095889570559</v>
      </c>
      <c r="W1020">
        <v>5.7795306261563949E-2</v>
      </c>
    </row>
    <row r="1021" spans="1:23" x14ac:dyDescent="0.25">
      <c r="A1021" t="s">
        <v>2130</v>
      </c>
      <c r="B1021" t="s">
        <v>26</v>
      </c>
      <c r="C1021" t="s">
        <v>94</v>
      </c>
      <c r="D1021" t="s">
        <v>31</v>
      </c>
      <c r="E1021" t="s">
        <v>74</v>
      </c>
      <c r="F1021" s="1">
        <v>46058</v>
      </c>
      <c r="G1021">
        <v>46088</v>
      </c>
      <c r="H1021" t="s">
        <v>8</v>
      </c>
      <c r="I1021">
        <v>17750.43</v>
      </c>
      <c r="J1021" t="s">
        <v>75</v>
      </c>
      <c r="K1021" t="s">
        <v>2131</v>
      </c>
      <c r="L1021">
        <v>30</v>
      </c>
      <c r="M1021" t="s">
        <v>26</v>
      </c>
      <c r="N1021">
        <v>1.1798</v>
      </c>
      <c r="O1021">
        <v>1.3574962604993672</v>
      </c>
      <c r="P1021">
        <v>6.3735076441035054E-3</v>
      </c>
      <c r="Q1021">
        <v>1.3574962604993672</v>
      </c>
      <c r="R1021">
        <v>24096.142347255784</v>
      </c>
      <c r="S1021" t="s">
        <v>16</v>
      </c>
      <c r="T1021">
        <v>1.2490000000000001</v>
      </c>
      <c r="U1021">
        <v>22170.287070000002</v>
      </c>
      <c r="V1021">
        <v>1925.8552772557814</v>
      </c>
      <c r="W1021">
        <v>8.6866501600774318E-2</v>
      </c>
    </row>
    <row r="1022" spans="1:23" x14ac:dyDescent="0.25">
      <c r="A1022" t="s">
        <v>2132</v>
      </c>
      <c r="B1022" t="s">
        <v>30</v>
      </c>
      <c r="C1022" t="s">
        <v>103</v>
      </c>
      <c r="D1022" t="s">
        <v>31</v>
      </c>
      <c r="E1022" t="s">
        <v>74</v>
      </c>
      <c r="F1022" s="1">
        <v>45719</v>
      </c>
      <c r="G1022">
        <v>45749</v>
      </c>
      <c r="H1022" t="s">
        <v>9</v>
      </c>
      <c r="I1022">
        <v>1841110.25</v>
      </c>
      <c r="J1022" t="s">
        <v>75</v>
      </c>
      <c r="K1022" t="s">
        <v>2133</v>
      </c>
      <c r="L1022">
        <v>30</v>
      </c>
      <c r="M1022" t="s">
        <v>30</v>
      </c>
      <c r="N1022">
        <v>1.0465</v>
      </c>
      <c r="O1022">
        <v>1.2680237489397794</v>
      </c>
      <c r="P1022">
        <v>6.6096128339543985E-3</v>
      </c>
      <c r="Q1022">
        <v>6.6096128339543985E-3</v>
      </c>
      <c r="R1022">
        <v>12169.02593712499</v>
      </c>
      <c r="S1022" t="s">
        <v>11</v>
      </c>
      <c r="T1022">
        <v>6.5599999999999999E-3</v>
      </c>
      <c r="U1022">
        <v>12077.68324</v>
      </c>
      <c r="V1022">
        <v>91.342697124990082</v>
      </c>
      <c r="W1022">
        <v>7.5629320052435882E-3</v>
      </c>
    </row>
    <row r="1023" spans="1:23" x14ac:dyDescent="0.25">
      <c r="A1023" t="s">
        <v>2134</v>
      </c>
      <c r="B1023" t="s">
        <v>22</v>
      </c>
      <c r="C1023" t="s">
        <v>127</v>
      </c>
      <c r="D1023" t="s">
        <v>31</v>
      </c>
      <c r="E1023" t="s">
        <v>124</v>
      </c>
      <c r="F1023" s="1">
        <v>46173</v>
      </c>
      <c r="G1023">
        <v>46233</v>
      </c>
      <c r="H1023" t="s">
        <v>9</v>
      </c>
      <c r="I1023">
        <v>3180319.72</v>
      </c>
      <c r="J1023" t="s">
        <v>75</v>
      </c>
      <c r="K1023" t="s">
        <v>2135</v>
      </c>
      <c r="L1023">
        <v>60</v>
      </c>
      <c r="M1023" t="s">
        <v>22</v>
      </c>
      <c r="N1023">
        <v>1.1644000000000001</v>
      </c>
      <c r="O1023">
        <v>1.3426657288147321</v>
      </c>
      <c r="P1023">
        <v>6.2787813426799684E-3</v>
      </c>
      <c r="Q1023">
        <v>6.2787813426799684E-3</v>
      </c>
      <c r="R1023">
        <v>19968.532121693181</v>
      </c>
      <c r="S1023" t="s">
        <v>19</v>
      </c>
      <c r="T1023">
        <v>6.6E-3</v>
      </c>
      <c r="U1023">
        <v>20990.110152000001</v>
      </c>
      <c r="V1023">
        <v>-1021.5780303068204</v>
      </c>
      <c r="W1023">
        <v>-4.8669493533338194E-2</v>
      </c>
    </row>
    <row r="1024" spans="1:23" x14ac:dyDescent="0.25">
      <c r="A1024" t="s">
        <v>2136</v>
      </c>
      <c r="B1024" t="s">
        <v>20</v>
      </c>
      <c r="C1024" t="s">
        <v>123</v>
      </c>
      <c r="D1024" t="s">
        <v>31</v>
      </c>
      <c r="E1024" t="s">
        <v>124</v>
      </c>
      <c r="F1024" s="1">
        <v>45777</v>
      </c>
      <c r="G1024">
        <v>45822</v>
      </c>
      <c r="H1024" t="s">
        <v>6</v>
      </c>
      <c r="I1024">
        <v>79876.87</v>
      </c>
      <c r="J1024" t="s">
        <v>75</v>
      </c>
      <c r="K1024" t="s">
        <v>2137</v>
      </c>
      <c r="L1024">
        <v>45</v>
      </c>
      <c r="M1024" t="s">
        <v>20</v>
      </c>
      <c r="N1024">
        <v>1.1373</v>
      </c>
      <c r="O1024">
        <v>1.3351725757220005</v>
      </c>
      <c r="P1024">
        <v>6.9910253257929669E-3</v>
      </c>
      <c r="Q1024">
        <v>1.1373</v>
      </c>
      <c r="R1024">
        <v>90843.964250999998</v>
      </c>
      <c r="S1024" t="s">
        <v>12</v>
      </c>
      <c r="T1024">
        <v>1.07</v>
      </c>
      <c r="U1024">
        <v>85468.250899999999</v>
      </c>
      <c r="V1024">
        <v>5375.7133509999985</v>
      </c>
      <c r="W1024">
        <v>6.289719626168222E-2</v>
      </c>
    </row>
    <row r="1025" spans="1:23" x14ac:dyDescent="0.25">
      <c r="A1025" t="s">
        <v>2138</v>
      </c>
      <c r="B1025" t="s">
        <v>28</v>
      </c>
      <c r="C1025" t="s">
        <v>111</v>
      </c>
      <c r="D1025" t="s">
        <v>31</v>
      </c>
      <c r="E1025" t="s">
        <v>74</v>
      </c>
      <c r="F1025" s="1">
        <v>45780</v>
      </c>
      <c r="G1025">
        <v>45825</v>
      </c>
      <c r="H1025" t="s">
        <v>9</v>
      </c>
      <c r="I1025">
        <v>2961354.36</v>
      </c>
      <c r="J1025" t="s">
        <v>75</v>
      </c>
      <c r="K1025" t="s">
        <v>2139</v>
      </c>
      <c r="L1025">
        <v>45</v>
      </c>
      <c r="M1025" t="s">
        <v>28</v>
      </c>
      <c r="N1025">
        <v>1.1781999999999999</v>
      </c>
      <c r="O1025">
        <v>1.3653957584888168</v>
      </c>
      <c r="P1025">
        <v>6.9477532727916019E-3</v>
      </c>
      <c r="Q1025">
        <v>6.9477532727916019E-3</v>
      </c>
      <c r="R1025">
        <v>20574.759446585678</v>
      </c>
      <c r="S1025" t="s">
        <v>12</v>
      </c>
      <c r="T1025">
        <v>6.7000000000000002E-3</v>
      </c>
      <c r="U1025">
        <v>19841.074212</v>
      </c>
      <c r="V1025">
        <v>733.6852345856787</v>
      </c>
      <c r="W1025">
        <v>3.6978100416656952E-2</v>
      </c>
    </row>
    <row r="1026" spans="1:23" x14ac:dyDescent="0.25">
      <c r="A1026" t="s">
        <v>2140</v>
      </c>
      <c r="B1026" t="s">
        <v>37</v>
      </c>
      <c r="C1026" t="s">
        <v>91</v>
      </c>
      <c r="D1026" t="s">
        <v>31</v>
      </c>
      <c r="E1026" t="s">
        <v>74</v>
      </c>
      <c r="F1026" s="1">
        <v>45728</v>
      </c>
      <c r="G1026">
        <v>45758</v>
      </c>
      <c r="H1026" t="s">
        <v>6</v>
      </c>
      <c r="I1026">
        <v>5662.03</v>
      </c>
      <c r="J1026" t="s">
        <v>75</v>
      </c>
      <c r="K1026" t="s">
        <v>2141</v>
      </c>
      <c r="L1026">
        <v>30</v>
      </c>
      <c r="M1026" t="s">
        <v>37</v>
      </c>
      <c r="N1026">
        <v>1.0886</v>
      </c>
      <c r="O1026">
        <v>1.2947501129903185</v>
      </c>
      <c r="P1026">
        <v>6.710226222030451E-3</v>
      </c>
      <c r="Q1026">
        <v>1.0886</v>
      </c>
      <c r="R1026">
        <v>6163.6858579999998</v>
      </c>
      <c r="S1026" t="s">
        <v>11</v>
      </c>
      <c r="T1026">
        <v>1.052</v>
      </c>
      <c r="U1026">
        <v>5956.4555600000003</v>
      </c>
      <c r="V1026">
        <v>207.23029799999949</v>
      </c>
      <c r="W1026">
        <v>3.4790874524714743E-2</v>
      </c>
    </row>
    <row r="1027" spans="1:23" x14ac:dyDescent="0.25">
      <c r="A1027" t="s">
        <v>2142</v>
      </c>
      <c r="B1027" t="s">
        <v>20</v>
      </c>
      <c r="C1027" t="s">
        <v>123</v>
      </c>
      <c r="D1027" t="s">
        <v>31</v>
      </c>
      <c r="E1027" t="s">
        <v>124</v>
      </c>
      <c r="F1027" s="1">
        <v>46082</v>
      </c>
      <c r="G1027">
        <v>46127</v>
      </c>
      <c r="H1027" t="s">
        <v>6</v>
      </c>
      <c r="I1027">
        <v>26326.7</v>
      </c>
      <c r="J1027" t="s">
        <v>75</v>
      </c>
      <c r="K1027" t="s">
        <v>2143</v>
      </c>
      <c r="L1027">
        <v>45</v>
      </c>
      <c r="M1027" t="s">
        <v>20</v>
      </c>
      <c r="N1027">
        <v>1.1555</v>
      </c>
      <c r="O1027">
        <v>1.3367963164349013</v>
      </c>
      <c r="P1027">
        <v>6.2983756677204832E-3</v>
      </c>
      <c r="Q1027">
        <v>1.1555</v>
      </c>
      <c r="R1027">
        <v>30420.501850000001</v>
      </c>
      <c r="S1027" t="s">
        <v>16</v>
      </c>
      <c r="T1027">
        <v>1.0649999999999999</v>
      </c>
      <c r="U1027">
        <v>28037.9355</v>
      </c>
      <c r="V1027">
        <v>2382.566350000001</v>
      </c>
      <c r="W1027">
        <v>8.4976525821596274E-2</v>
      </c>
    </row>
    <row r="1028" spans="1:23" x14ac:dyDescent="0.25">
      <c r="A1028" t="s">
        <v>2144</v>
      </c>
      <c r="B1028" t="s">
        <v>30</v>
      </c>
      <c r="C1028" t="s">
        <v>103</v>
      </c>
      <c r="D1028" t="s">
        <v>31</v>
      </c>
      <c r="E1028" t="s">
        <v>74</v>
      </c>
      <c r="F1028" s="1">
        <v>46386</v>
      </c>
      <c r="G1028">
        <v>46416</v>
      </c>
      <c r="H1028" t="s">
        <v>9</v>
      </c>
      <c r="I1028">
        <v>725978.39</v>
      </c>
      <c r="J1028" t="s">
        <v>84</v>
      </c>
      <c r="K1028" t="s">
        <v>2145</v>
      </c>
      <c r="L1028">
        <v>30</v>
      </c>
      <c r="M1028" t="s">
        <v>30</v>
      </c>
      <c r="N1028">
        <v>1.1176999999999999</v>
      </c>
      <c r="O1028">
        <v>1.320456022210408</v>
      </c>
      <c r="P1028">
        <v>6.3200452360757699E-3</v>
      </c>
      <c r="Q1028">
        <v>6.3200452360757699E-3</v>
      </c>
      <c r="R1028">
        <v>4588.2162652134575</v>
      </c>
      <c r="S1028" t="s">
        <v>23</v>
      </c>
      <c r="T1028">
        <v>6.8799999999999998E-3</v>
      </c>
      <c r="U1028">
        <v>4994.7313231999997</v>
      </c>
      <c r="V1028">
        <v>-406.51505798654216</v>
      </c>
      <c r="W1028">
        <v>-8.1388773826196137E-2</v>
      </c>
    </row>
    <row r="1029" spans="1:23" x14ac:dyDescent="0.25">
      <c r="A1029" t="s">
        <v>2146</v>
      </c>
      <c r="B1029" t="s">
        <v>34</v>
      </c>
      <c r="C1029" t="s">
        <v>177</v>
      </c>
      <c r="D1029" t="s">
        <v>31</v>
      </c>
      <c r="E1029" t="s">
        <v>74</v>
      </c>
      <c r="F1029" s="1">
        <v>46004</v>
      </c>
      <c r="G1029">
        <v>46064</v>
      </c>
      <c r="H1029" t="s">
        <v>8</v>
      </c>
      <c r="I1029">
        <v>22501.1</v>
      </c>
      <c r="J1029" t="s">
        <v>75</v>
      </c>
      <c r="K1029" t="s">
        <v>2147</v>
      </c>
      <c r="L1029">
        <v>60</v>
      </c>
      <c r="M1029" t="s">
        <v>34</v>
      </c>
      <c r="N1029">
        <v>1.1555</v>
      </c>
      <c r="O1029">
        <v>1.3367963164349013</v>
      </c>
      <c r="P1029">
        <v>6.2983756677204832E-3</v>
      </c>
      <c r="Q1029">
        <v>1.3367963164349013</v>
      </c>
      <c r="R1029">
        <v>30079.387595733355</v>
      </c>
      <c r="S1029" t="s">
        <v>14</v>
      </c>
      <c r="T1029">
        <v>1.304</v>
      </c>
      <c r="U1029">
        <v>29341.434399999998</v>
      </c>
      <c r="V1029">
        <v>737.95319573335655</v>
      </c>
      <c r="W1029">
        <v>2.5150549413267831E-2</v>
      </c>
    </row>
    <row r="1030" spans="1:23" x14ac:dyDescent="0.25">
      <c r="A1030" t="s">
        <v>2148</v>
      </c>
      <c r="B1030" t="s">
        <v>20</v>
      </c>
      <c r="C1030" t="s">
        <v>123</v>
      </c>
      <c r="D1030" t="s">
        <v>31</v>
      </c>
      <c r="E1030" t="s">
        <v>124</v>
      </c>
      <c r="F1030" s="1">
        <v>46068</v>
      </c>
      <c r="G1030">
        <v>46113</v>
      </c>
      <c r="H1030" t="s">
        <v>6</v>
      </c>
      <c r="I1030">
        <v>73192.66</v>
      </c>
      <c r="J1030" t="s">
        <v>75</v>
      </c>
      <c r="K1030" t="s">
        <v>2149</v>
      </c>
      <c r="L1030">
        <v>45</v>
      </c>
      <c r="M1030" t="s">
        <v>20</v>
      </c>
      <c r="N1030">
        <v>1.1555</v>
      </c>
      <c r="O1030">
        <v>1.3367963164349013</v>
      </c>
      <c r="P1030">
        <v>6.2983756677204832E-3</v>
      </c>
      <c r="Q1030">
        <v>1.1555</v>
      </c>
      <c r="R1030">
        <v>84574.118629999997</v>
      </c>
      <c r="S1030" t="s">
        <v>16</v>
      </c>
      <c r="T1030">
        <v>1.0649999999999999</v>
      </c>
      <c r="U1030">
        <v>77950.1829</v>
      </c>
      <c r="V1030">
        <v>6623.9357299999974</v>
      </c>
      <c r="W1030">
        <v>8.4976525821596205E-2</v>
      </c>
    </row>
    <row r="1031" spans="1:23" x14ac:dyDescent="0.25">
      <c r="A1031" t="s">
        <v>2150</v>
      </c>
      <c r="B1031" t="s">
        <v>22</v>
      </c>
      <c r="C1031" t="s">
        <v>127</v>
      </c>
      <c r="D1031" t="s">
        <v>31</v>
      </c>
      <c r="E1031" t="s">
        <v>124</v>
      </c>
      <c r="F1031" s="1">
        <v>45960</v>
      </c>
      <c r="G1031">
        <v>46020</v>
      </c>
      <c r="H1031" t="s">
        <v>9</v>
      </c>
      <c r="I1031">
        <v>10975365.109999999</v>
      </c>
      <c r="J1031" t="s">
        <v>75</v>
      </c>
      <c r="K1031" t="s">
        <v>2151</v>
      </c>
      <c r="L1031">
        <v>60</v>
      </c>
      <c r="M1031" t="s">
        <v>22</v>
      </c>
      <c r="N1031">
        <v>1.155</v>
      </c>
      <c r="O1031">
        <v>1.312350869219407</v>
      </c>
      <c r="P1031">
        <v>6.4753041430733868E-3</v>
      </c>
      <c r="Q1031">
        <v>6.4753041430733868E-3</v>
      </c>
      <c r="R1031">
        <v>71068.827168526099</v>
      </c>
      <c r="S1031" t="s">
        <v>14</v>
      </c>
      <c r="T1031">
        <v>6.9800000000000001E-3</v>
      </c>
      <c r="U1031">
        <v>76608.048467799992</v>
      </c>
      <c r="V1031">
        <v>-5539.2212992738932</v>
      </c>
      <c r="W1031">
        <v>-7.2305996694357083E-2</v>
      </c>
    </row>
    <row r="1032" spans="1:23" x14ac:dyDescent="0.25">
      <c r="A1032" t="s">
        <v>2152</v>
      </c>
      <c r="B1032" t="s">
        <v>36</v>
      </c>
      <c r="C1032" t="s">
        <v>116</v>
      </c>
      <c r="D1032" t="s">
        <v>31</v>
      </c>
      <c r="E1032" t="s">
        <v>74</v>
      </c>
      <c r="F1032" s="1">
        <v>46175</v>
      </c>
      <c r="G1032">
        <v>46220</v>
      </c>
      <c r="H1032" t="s">
        <v>6</v>
      </c>
      <c r="I1032">
        <v>27067.74</v>
      </c>
      <c r="J1032" t="s">
        <v>75</v>
      </c>
      <c r="K1032" t="s">
        <v>2153</v>
      </c>
      <c r="L1032">
        <v>45</v>
      </c>
      <c r="M1032" t="s">
        <v>36</v>
      </c>
      <c r="N1032">
        <v>1.1649</v>
      </c>
      <c r="O1032">
        <v>1.3472503325044816</v>
      </c>
      <c r="P1032">
        <v>6.2598742543930356E-3</v>
      </c>
      <c r="Q1032">
        <v>1.1649</v>
      </c>
      <c r="R1032">
        <v>31531.210326000004</v>
      </c>
      <c r="S1032" t="s">
        <v>19</v>
      </c>
      <c r="T1032">
        <v>1.083</v>
      </c>
      <c r="U1032">
        <v>29314.362420000001</v>
      </c>
      <c r="V1032">
        <v>2216.8479060000027</v>
      </c>
      <c r="W1032">
        <v>7.5623268698061033E-2</v>
      </c>
    </row>
    <row r="1033" spans="1:23" x14ac:dyDescent="0.25">
      <c r="A1033" t="s">
        <v>2154</v>
      </c>
      <c r="B1033" t="s">
        <v>39</v>
      </c>
      <c r="C1033" t="s">
        <v>82</v>
      </c>
      <c r="D1033" t="s">
        <v>33</v>
      </c>
      <c r="E1033" t="s">
        <v>83</v>
      </c>
      <c r="F1033" s="1">
        <v>45993</v>
      </c>
      <c r="G1033">
        <v>46038</v>
      </c>
      <c r="H1033" t="s">
        <v>8</v>
      </c>
      <c r="I1033">
        <v>13529.42</v>
      </c>
      <c r="J1033" t="s">
        <v>75</v>
      </c>
      <c r="K1033" t="s">
        <v>2155</v>
      </c>
      <c r="L1033">
        <v>45</v>
      </c>
      <c r="M1033" t="s">
        <v>39</v>
      </c>
      <c r="N1033">
        <v>1.1614</v>
      </c>
      <c r="O1033">
        <v>1.3203728967712596</v>
      </c>
      <c r="P1033">
        <v>6.4073706278274306E-3</v>
      </c>
      <c r="Q1033">
        <v>1.3203728967712596</v>
      </c>
      <c r="R1033">
        <v>17863.879477035014</v>
      </c>
      <c r="S1033" t="s">
        <v>14</v>
      </c>
      <c r="T1033">
        <v>1.304</v>
      </c>
      <c r="U1033">
        <v>17642.363680000002</v>
      </c>
      <c r="V1033">
        <v>221.51579703501193</v>
      </c>
      <c r="W1033">
        <v>1.2555902431947367E-2</v>
      </c>
    </row>
    <row r="1034" spans="1:23" x14ac:dyDescent="0.25">
      <c r="A1034" t="s">
        <v>2156</v>
      </c>
      <c r="B1034" t="s">
        <v>32</v>
      </c>
      <c r="C1034" t="s">
        <v>106</v>
      </c>
      <c r="D1034" t="s">
        <v>31</v>
      </c>
      <c r="E1034" t="s">
        <v>74</v>
      </c>
      <c r="F1034" s="1">
        <v>45813</v>
      </c>
      <c r="G1034">
        <v>45843</v>
      </c>
      <c r="H1034" t="s">
        <v>6</v>
      </c>
      <c r="I1034">
        <v>7602.69</v>
      </c>
      <c r="J1034" t="s">
        <v>75</v>
      </c>
      <c r="K1034" t="s">
        <v>2157</v>
      </c>
      <c r="L1034">
        <v>30</v>
      </c>
      <c r="M1034" t="s">
        <v>32</v>
      </c>
      <c r="N1034">
        <v>1.1423000000000001</v>
      </c>
      <c r="O1034">
        <v>1.3568119729183989</v>
      </c>
      <c r="P1034">
        <v>6.9797140413051456E-3</v>
      </c>
      <c r="Q1034">
        <v>1.1423000000000001</v>
      </c>
      <c r="R1034">
        <v>8684.5527870000005</v>
      </c>
      <c r="S1034" t="s">
        <v>12</v>
      </c>
      <c r="T1034">
        <v>1.07</v>
      </c>
      <c r="U1034">
        <v>8134.8783000000003</v>
      </c>
      <c r="V1034">
        <v>549.67448700000023</v>
      </c>
      <c r="W1034">
        <v>6.7570093457943944E-2</v>
      </c>
    </row>
    <row r="1035" spans="1:23" x14ac:dyDescent="0.25">
      <c r="A1035" t="s">
        <v>2158</v>
      </c>
      <c r="B1035" t="s">
        <v>30</v>
      </c>
      <c r="C1035" t="s">
        <v>103</v>
      </c>
      <c r="D1035" t="s">
        <v>31</v>
      </c>
      <c r="E1035" t="s">
        <v>74</v>
      </c>
      <c r="F1035" s="1">
        <v>46008</v>
      </c>
      <c r="G1035">
        <v>46038</v>
      </c>
      <c r="H1035" t="s">
        <v>9</v>
      </c>
      <c r="I1035">
        <v>1460263.29</v>
      </c>
      <c r="J1035" t="s">
        <v>75</v>
      </c>
      <c r="K1035" t="s">
        <v>2159</v>
      </c>
      <c r="L1035">
        <v>30</v>
      </c>
      <c r="M1035" t="s">
        <v>30</v>
      </c>
      <c r="N1035">
        <v>1.1721999999999999</v>
      </c>
      <c r="O1035">
        <v>1.3343198634035287</v>
      </c>
      <c r="P1035">
        <v>6.4272398289286102E-3</v>
      </c>
      <c r="Q1035">
        <v>6.4272398289286102E-3</v>
      </c>
      <c r="R1035">
        <v>9385.4623782103299</v>
      </c>
      <c r="S1035" t="s">
        <v>14</v>
      </c>
      <c r="T1035">
        <v>6.9800000000000001E-3</v>
      </c>
      <c r="U1035">
        <v>10192.637764200001</v>
      </c>
      <c r="V1035">
        <v>-807.17538598967076</v>
      </c>
      <c r="W1035">
        <v>-7.9192001586159022E-2</v>
      </c>
    </row>
    <row r="1036" spans="1:23" x14ac:dyDescent="0.25">
      <c r="A1036" t="s">
        <v>2160</v>
      </c>
      <c r="B1036" t="s">
        <v>41</v>
      </c>
      <c r="C1036" t="s">
        <v>172</v>
      </c>
      <c r="D1036" t="s">
        <v>33</v>
      </c>
      <c r="E1036" t="s">
        <v>83</v>
      </c>
      <c r="F1036" s="1">
        <v>46284</v>
      </c>
      <c r="G1036">
        <v>46314</v>
      </c>
      <c r="H1036" t="s">
        <v>9</v>
      </c>
      <c r="I1036">
        <v>732412.82</v>
      </c>
      <c r="J1036" t="s">
        <v>75</v>
      </c>
      <c r="K1036" t="s">
        <v>2161</v>
      </c>
      <c r="L1036">
        <v>30</v>
      </c>
      <c r="M1036" t="s">
        <v>41</v>
      </c>
      <c r="N1036">
        <v>1.1459999999999999</v>
      </c>
      <c r="O1036">
        <v>1.3344201210992082</v>
      </c>
      <c r="P1036">
        <v>6.3335912457168119E-3</v>
      </c>
      <c r="Q1036">
        <v>6.3335912457168119E-3</v>
      </c>
      <c r="R1036">
        <v>4638.8034250027631</v>
      </c>
      <c r="S1036" t="s">
        <v>21</v>
      </c>
      <c r="T1036">
        <v>6.7400000000000003E-3</v>
      </c>
      <c r="U1036">
        <v>4936.4624068000003</v>
      </c>
      <c r="V1036">
        <v>-297.65898179723717</v>
      </c>
      <c r="W1036">
        <v>-6.0298034760116984E-2</v>
      </c>
    </row>
    <row r="1037" spans="1:23" x14ac:dyDescent="0.25">
      <c r="A1037" t="s">
        <v>2162</v>
      </c>
      <c r="B1037" t="s">
        <v>34</v>
      </c>
      <c r="C1037" t="s">
        <v>177</v>
      </c>
      <c r="D1037" t="s">
        <v>31</v>
      </c>
      <c r="E1037" t="s">
        <v>74</v>
      </c>
      <c r="F1037" s="1">
        <v>45853</v>
      </c>
      <c r="G1037">
        <v>45913</v>
      </c>
      <c r="H1037" t="s">
        <v>8</v>
      </c>
      <c r="I1037">
        <v>21324.92</v>
      </c>
      <c r="J1037" t="s">
        <v>75</v>
      </c>
      <c r="K1037" t="s">
        <v>2163</v>
      </c>
      <c r="L1037">
        <v>60</v>
      </c>
      <c r="M1037" t="s">
        <v>34</v>
      </c>
      <c r="N1037">
        <v>1.1665000000000001</v>
      </c>
      <c r="O1037">
        <v>1.3440488535545572</v>
      </c>
      <c r="P1037">
        <v>6.7591841464827909E-3</v>
      </c>
      <c r="Q1037">
        <v>1.3440488535545572</v>
      </c>
      <c r="R1037">
        <v>28661.734278142645</v>
      </c>
      <c r="S1037" t="s">
        <v>13</v>
      </c>
      <c r="T1037">
        <v>1.282</v>
      </c>
      <c r="U1037">
        <v>27338.547439999998</v>
      </c>
      <c r="V1037">
        <v>1323.1868381426466</v>
      </c>
      <c r="W1037">
        <v>4.8400041774225536E-2</v>
      </c>
    </row>
    <row r="1038" spans="1:23" x14ac:dyDescent="0.25">
      <c r="A1038" t="s">
        <v>2164</v>
      </c>
      <c r="B1038" t="s">
        <v>26</v>
      </c>
      <c r="C1038" t="s">
        <v>94</v>
      </c>
      <c r="D1038" t="s">
        <v>31</v>
      </c>
      <c r="E1038" t="s">
        <v>74</v>
      </c>
      <c r="F1038" s="1">
        <v>45703</v>
      </c>
      <c r="G1038">
        <v>45733</v>
      </c>
      <c r="H1038" t="s">
        <v>8</v>
      </c>
      <c r="I1038">
        <v>6892.21</v>
      </c>
      <c r="J1038" t="s">
        <v>75</v>
      </c>
      <c r="K1038" t="s">
        <v>2165</v>
      </c>
      <c r="L1038">
        <v>30</v>
      </c>
      <c r="M1038" t="s">
        <v>26</v>
      </c>
      <c r="N1038">
        <v>1.083</v>
      </c>
      <c r="O1038">
        <v>1.2927021413736304</v>
      </c>
      <c r="P1038">
        <v>6.741782868525897E-3</v>
      </c>
      <c r="Q1038">
        <v>1.2927021413736304</v>
      </c>
      <c r="R1038">
        <v>8909.5746257967494</v>
      </c>
      <c r="S1038" t="s">
        <v>11</v>
      </c>
      <c r="T1038">
        <v>1.238</v>
      </c>
      <c r="U1038">
        <v>8532.5559799999992</v>
      </c>
      <c r="V1038">
        <v>377.01864579675021</v>
      </c>
      <c r="W1038">
        <v>4.4185897716987527E-2</v>
      </c>
    </row>
    <row r="1039" spans="1:23" x14ac:dyDescent="0.25">
      <c r="A1039" t="s">
        <v>2166</v>
      </c>
      <c r="B1039" t="s">
        <v>26</v>
      </c>
      <c r="C1039" t="s">
        <v>94</v>
      </c>
      <c r="D1039" t="s">
        <v>31</v>
      </c>
      <c r="E1039" t="s">
        <v>74</v>
      </c>
      <c r="F1039" s="1">
        <v>46113</v>
      </c>
      <c r="G1039">
        <v>46143</v>
      </c>
      <c r="H1039" t="s">
        <v>8</v>
      </c>
      <c r="I1039">
        <v>23077.21</v>
      </c>
      <c r="J1039" t="s">
        <v>75</v>
      </c>
      <c r="K1039" t="s">
        <v>2167</v>
      </c>
      <c r="L1039">
        <v>30</v>
      </c>
      <c r="M1039" t="s">
        <v>26</v>
      </c>
      <c r="N1039">
        <v>1.1605000000000001</v>
      </c>
      <c r="O1039">
        <v>1.3321777461458109</v>
      </c>
      <c r="P1039">
        <v>6.3163337506123123E-3</v>
      </c>
      <c r="Q1039">
        <v>1.3321777461458109</v>
      </c>
      <c r="R1039">
        <v>30742.945605133566</v>
      </c>
      <c r="S1039" t="s">
        <v>19</v>
      </c>
      <c r="T1039">
        <v>1.2709999999999999</v>
      </c>
      <c r="U1039">
        <v>29331.133909999997</v>
      </c>
      <c r="V1039">
        <v>1411.8116951335687</v>
      </c>
      <c r="W1039">
        <v>4.8133553222510547E-2</v>
      </c>
    </row>
    <row r="1040" spans="1:23" x14ac:dyDescent="0.25">
      <c r="A1040" t="s">
        <v>2168</v>
      </c>
      <c r="B1040" t="s">
        <v>34</v>
      </c>
      <c r="C1040" t="s">
        <v>177</v>
      </c>
      <c r="D1040" t="s">
        <v>31</v>
      </c>
      <c r="E1040" t="s">
        <v>74</v>
      </c>
      <c r="F1040" s="1">
        <v>46333</v>
      </c>
      <c r="G1040">
        <v>46393</v>
      </c>
      <c r="H1040" t="s">
        <v>8</v>
      </c>
      <c r="I1040">
        <v>5445.21</v>
      </c>
      <c r="J1040" t="s">
        <v>84</v>
      </c>
      <c r="K1040" t="s">
        <v>2169</v>
      </c>
      <c r="L1040">
        <v>60</v>
      </c>
      <c r="M1040" t="s">
        <v>34</v>
      </c>
      <c r="N1040">
        <v>1.1176999999999999</v>
      </c>
      <c r="O1040">
        <v>1.320456022210408</v>
      </c>
      <c r="P1040">
        <v>6.3200452360757699E-3</v>
      </c>
      <c r="Q1040">
        <v>1.320456022210408</v>
      </c>
      <c r="R1040">
        <v>7190.1603367003363</v>
      </c>
      <c r="S1040" t="s">
        <v>23</v>
      </c>
      <c r="T1040">
        <v>1.3149999999999999</v>
      </c>
      <c r="U1040">
        <v>7160.4511499999999</v>
      </c>
      <c r="V1040">
        <v>29.709186700336431</v>
      </c>
      <c r="W1040">
        <v>4.1490663197019974E-3</v>
      </c>
    </row>
    <row r="1041" spans="1:23" x14ac:dyDescent="0.25">
      <c r="A1041" t="s">
        <v>2170</v>
      </c>
      <c r="B1041" t="s">
        <v>32</v>
      </c>
      <c r="C1041" t="s">
        <v>106</v>
      </c>
      <c r="D1041" t="s">
        <v>31</v>
      </c>
      <c r="E1041" t="s">
        <v>74</v>
      </c>
      <c r="F1041" s="1">
        <v>45761</v>
      </c>
      <c r="G1041">
        <v>45791</v>
      </c>
      <c r="H1041" t="s">
        <v>6</v>
      </c>
      <c r="I1041">
        <v>5681.2</v>
      </c>
      <c r="J1041" t="s">
        <v>75</v>
      </c>
      <c r="K1041" t="s">
        <v>2171</v>
      </c>
      <c r="L1041">
        <v>30</v>
      </c>
      <c r="M1041" t="s">
        <v>32</v>
      </c>
      <c r="N1041">
        <v>1.1376999999999999</v>
      </c>
      <c r="O1041">
        <v>1.3170415475267123</v>
      </c>
      <c r="P1041">
        <v>6.981039455114438E-3</v>
      </c>
      <c r="Q1041">
        <v>1.1376999999999999</v>
      </c>
      <c r="R1041">
        <v>6463.5012399999996</v>
      </c>
      <c r="S1041" t="s">
        <v>12</v>
      </c>
      <c r="T1041">
        <v>1.07</v>
      </c>
      <c r="U1041">
        <v>6078.884</v>
      </c>
      <c r="V1041">
        <v>384.61723999999958</v>
      </c>
      <c r="W1041">
        <v>6.3271028037383104E-2</v>
      </c>
    </row>
    <row r="1042" spans="1:23" x14ac:dyDescent="0.25">
      <c r="A1042" t="s">
        <v>2172</v>
      </c>
      <c r="B1042" t="s">
        <v>26</v>
      </c>
      <c r="C1042" t="s">
        <v>94</v>
      </c>
      <c r="D1042" t="s">
        <v>31</v>
      </c>
      <c r="E1042" t="s">
        <v>74</v>
      </c>
      <c r="F1042" s="1">
        <v>46337</v>
      </c>
      <c r="G1042">
        <v>46367</v>
      </c>
      <c r="H1042" t="s">
        <v>8</v>
      </c>
      <c r="I1042">
        <v>36306.82</v>
      </c>
      <c r="J1042" t="s">
        <v>84</v>
      </c>
      <c r="K1042" t="s">
        <v>2173</v>
      </c>
      <c r="L1042">
        <v>30</v>
      </c>
      <c r="M1042" t="s">
        <v>26</v>
      </c>
      <c r="N1042">
        <v>1.1176999999999999</v>
      </c>
      <c r="O1042">
        <v>1.320456022210408</v>
      </c>
      <c r="P1042">
        <v>6.3200452360757699E-3</v>
      </c>
      <c r="Q1042">
        <v>1.320456022210408</v>
      </c>
      <c r="R1042">
        <v>47941.559116309283</v>
      </c>
      <c r="S1042" t="s">
        <v>23</v>
      </c>
      <c r="T1042">
        <v>1.3149999999999999</v>
      </c>
      <c r="U1042">
        <v>47743.4683</v>
      </c>
      <c r="V1042">
        <v>198.09081630928267</v>
      </c>
      <c r="W1042">
        <v>4.1490663197018447E-3</v>
      </c>
    </row>
    <row r="1043" spans="1:23" x14ac:dyDescent="0.25">
      <c r="A1043" t="s">
        <v>2174</v>
      </c>
      <c r="B1043" t="s">
        <v>43</v>
      </c>
      <c r="C1043" t="s">
        <v>215</v>
      </c>
      <c r="D1043" t="s">
        <v>35</v>
      </c>
      <c r="E1043" t="s">
        <v>152</v>
      </c>
      <c r="F1043" s="1">
        <v>46273</v>
      </c>
      <c r="G1043">
        <v>46303</v>
      </c>
      <c r="H1043" t="s">
        <v>6</v>
      </c>
      <c r="I1043">
        <v>9646.1299999999992</v>
      </c>
      <c r="J1043" t="s">
        <v>75</v>
      </c>
      <c r="K1043" t="s">
        <v>2175</v>
      </c>
      <c r="L1043">
        <v>30</v>
      </c>
      <c r="M1043" t="s">
        <v>43</v>
      </c>
      <c r="N1043">
        <v>1.1614</v>
      </c>
      <c r="O1043">
        <v>1.3545602985770935</v>
      </c>
      <c r="P1043">
        <v>6.4810267857142861E-3</v>
      </c>
      <c r="Q1043">
        <v>1.1614</v>
      </c>
      <c r="R1043">
        <v>11203.015382</v>
      </c>
      <c r="S1043" t="s">
        <v>21</v>
      </c>
      <c r="T1043">
        <v>1.101</v>
      </c>
      <c r="U1043">
        <v>10620.38913</v>
      </c>
      <c r="V1043">
        <v>582.62625200000002</v>
      </c>
      <c r="W1043">
        <v>5.4859218891916445E-2</v>
      </c>
    </row>
    <row r="1044" spans="1:23" x14ac:dyDescent="0.25">
      <c r="A1044" t="s">
        <v>2176</v>
      </c>
      <c r="B1044" t="s">
        <v>24</v>
      </c>
      <c r="C1044" t="s">
        <v>73</v>
      </c>
      <c r="D1044" t="s">
        <v>31</v>
      </c>
      <c r="E1044" t="s">
        <v>74</v>
      </c>
      <c r="F1044" s="1">
        <v>46214</v>
      </c>
      <c r="G1044">
        <v>46244</v>
      </c>
      <c r="H1044" t="s">
        <v>6</v>
      </c>
      <c r="I1044">
        <v>37538.07</v>
      </c>
      <c r="J1044" t="s">
        <v>75</v>
      </c>
      <c r="K1044" t="s">
        <v>2177</v>
      </c>
      <c r="L1044">
        <v>30</v>
      </c>
      <c r="M1044" t="s">
        <v>24</v>
      </c>
      <c r="N1044">
        <v>1.143</v>
      </c>
      <c r="O1044">
        <v>1.3422582349832657</v>
      </c>
      <c r="P1044">
        <v>6.1777105177818611E-3</v>
      </c>
      <c r="Q1044">
        <v>1.143</v>
      </c>
      <c r="R1044">
        <v>42906.014009999999</v>
      </c>
      <c r="S1044" t="s">
        <v>21</v>
      </c>
      <c r="T1044">
        <v>1.101</v>
      </c>
      <c r="U1044">
        <v>41329.415069999995</v>
      </c>
      <c r="V1044">
        <v>1576.5989400000035</v>
      </c>
      <c r="W1044">
        <v>3.8147138964577748E-2</v>
      </c>
    </row>
    <row r="1045" spans="1:23" x14ac:dyDescent="0.25">
      <c r="A1045" t="s">
        <v>2178</v>
      </c>
      <c r="B1045" t="s">
        <v>30</v>
      </c>
      <c r="C1045" t="s">
        <v>103</v>
      </c>
      <c r="D1045" t="s">
        <v>31</v>
      </c>
      <c r="E1045" t="s">
        <v>74</v>
      </c>
      <c r="F1045" s="1">
        <v>46111</v>
      </c>
      <c r="G1045">
        <v>46141</v>
      </c>
      <c r="H1045" t="s">
        <v>9</v>
      </c>
      <c r="I1045">
        <v>488494.56</v>
      </c>
      <c r="J1045" t="s">
        <v>75</v>
      </c>
      <c r="K1045" t="s">
        <v>2179</v>
      </c>
      <c r="L1045">
        <v>30</v>
      </c>
      <c r="M1045" t="s">
        <v>30</v>
      </c>
      <c r="N1045">
        <v>1.1484000000000001</v>
      </c>
      <c r="O1045">
        <v>1.3229957489948505</v>
      </c>
      <c r="P1045">
        <v>6.2712975098296198E-3</v>
      </c>
      <c r="Q1045">
        <v>6.2712975098296198E-3</v>
      </c>
      <c r="R1045">
        <v>3063.4947176933156</v>
      </c>
      <c r="S1045" t="s">
        <v>16</v>
      </c>
      <c r="T1045">
        <v>6.4599999999999996E-3</v>
      </c>
      <c r="U1045">
        <v>3155.6748576</v>
      </c>
      <c r="V1045">
        <v>-92.180139906684417</v>
      </c>
      <c r="W1045">
        <v>-2.9210911791080596E-2</v>
      </c>
    </row>
    <row r="1046" spans="1:23" x14ac:dyDescent="0.25">
      <c r="A1046" t="s">
        <v>2180</v>
      </c>
      <c r="B1046" t="s">
        <v>42</v>
      </c>
      <c r="C1046" t="s">
        <v>151</v>
      </c>
      <c r="D1046" t="s">
        <v>35</v>
      </c>
      <c r="E1046" t="s">
        <v>152</v>
      </c>
      <c r="F1046" s="1">
        <v>45754</v>
      </c>
      <c r="G1046">
        <v>45784</v>
      </c>
      <c r="H1046" t="s">
        <v>8</v>
      </c>
      <c r="I1046">
        <v>5287.14</v>
      </c>
      <c r="J1046" t="s">
        <v>75</v>
      </c>
      <c r="K1046" t="s">
        <v>2181</v>
      </c>
      <c r="L1046">
        <v>30</v>
      </c>
      <c r="M1046" t="s">
        <v>42</v>
      </c>
      <c r="N1046">
        <v>1.0967</v>
      </c>
      <c r="O1046">
        <v>1.2813712202645231</v>
      </c>
      <c r="P1046">
        <v>6.8296176360692481E-3</v>
      </c>
      <c r="Q1046">
        <v>1.2813712202645231</v>
      </c>
      <c r="R1046">
        <v>6774.7890335093707</v>
      </c>
      <c r="S1046" t="s">
        <v>12</v>
      </c>
      <c r="T1046">
        <v>1.26</v>
      </c>
      <c r="U1046">
        <v>6661.7964000000002</v>
      </c>
      <c r="V1046">
        <v>112.99263350937053</v>
      </c>
      <c r="W1046">
        <v>1.6961285924224662E-2</v>
      </c>
    </row>
    <row r="1047" spans="1:23" x14ac:dyDescent="0.25">
      <c r="A1047" t="s">
        <v>2182</v>
      </c>
      <c r="B1047" t="s">
        <v>36</v>
      </c>
      <c r="C1047" t="s">
        <v>116</v>
      </c>
      <c r="D1047" t="s">
        <v>31</v>
      </c>
      <c r="E1047" t="s">
        <v>74</v>
      </c>
      <c r="F1047" s="1">
        <v>46110</v>
      </c>
      <c r="G1047">
        <v>46155</v>
      </c>
      <c r="H1047" t="s">
        <v>6</v>
      </c>
      <c r="I1047">
        <v>21994.37</v>
      </c>
      <c r="J1047" t="s">
        <v>75</v>
      </c>
      <c r="K1047" t="s">
        <v>2183</v>
      </c>
      <c r="L1047">
        <v>45</v>
      </c>
      <c r="M1047" t="s">
        <v>36</v>
      </c>
      <c r="N1047">
        <v>1.1516999999999999</v>
      </c>
      <c r="O1047">
        <v>1.3280673431734318</v>
      </c>
      <c r="P1047">
        <v>6.2538010425716769E-3</v>
      </c>
      <c r="Q1047">
        <v>1.1516999999999999</v>
      </c>
      <c r="R1047">
        <v>25330.915928999999</v>
      </c>
      <c r="S1047" t="s">
        <v>16</v>
      </c>
      <c r="T1047">
        <v>1.0649999999999999</v>
      </c>
      <c r="U1047">
        <v>23424.00405</v>
      </c>
      <c r="V1047">
        <v>1906.9118789999993</v>
      </c>
      <c r="W1047">
        <v>8.1408450704225324E-2</v>
      </c>
    </row>
    <row r="1048" spans="1:23" x14ac:dyDescent="0.25">
      <c r="A1048" t="s">
        <v>2184</v>
      </c>
      <c r="B1048" t="s">
        <v>28</v>
      </c>
      <c r="C1048" t="s">
        <v>111</v>
      </c>
      <c r="D1048" t="s">
        <v>31</v>
      </c>
      <c r="E1048" t="s">
        <v>74</v>
      </c>
      <c r="F1048" s="1">
        <v>46179</v>
      </c>
      <c r="G1048">
        <v>46224</v>
      </c>
      <c r="H1048" t="s">
        <v>9</v>
      </c>
      <c r="I1048">
        <v>3782364.89</v>
      </c>
      <c r="J1048" t="s">
        <v>75</v>
      </c>
      <c r="K1048" t="s">
        <v>2185</v>
      </c>
      <c r="L1048">
        <v>45</v>
      </c>
      <c r="M1048" t="s">
        <v>28</v>
      </c>
      <c r="N1048">
        <v>1.1639999999999999</v>
      </c>
      <c r="O1048">
        <v>1.3467078546388531</v>
      </c>
      <c r="P1048">
        <v>6.2553740326741179E-3</v>
      </c>
      <c r="Q1048">
        <v>6.2553740326741179E-3</v>
      </c>
      <c r="R1048">
        <v>23660.107115004299</v>
      </c>
      <c r="S1048" t="s">
        <v>19</v>
      </c>
      <c r="T1048">
        <v>6.6E-3</v>
      </c>
      <c r="U1048">
        <v>24963.608274000002</v>
      </c>
      <c r="V1048">
        <v>-1303.501158995703</v>
      </c>
      <c r="W1048">
        <v>-5.2216055655436654E-2</v>
      </c>
    </row>
    <row r="1049" spans="1:23" x14ac:dyDescent="0.25">
      <c r="A1049" t="s">
        <v>2186</v>
      </c>
      <c r="B1049" t="s">
        <v>37</v>
      </c>
      <c r="C1049" t="s">
        <v>91</v>
      </c>
      <c r="D1049" t="s">
        <v>31</v>
      </c>
      <c r="E1049" t="s">
        <v>74</v>
      </c>
      <c r="F1049" s="1">
        <v>45905</v>
      </c>
      <c r="G1049">
        <v>45935</v>
      </c>
      <c r="H1049" t="s">
        <v>6</v>
      </c>
      <c r="I1049">
        <v>21243.5</v>
      </c>
      <c r="J1049" t="s">
        <v>75</v>
      </c>
      <c r="K1049" t="s">
        <v>2187</v>
      </c>
      <c r="L1049">
        <v>30</v>
      </c>
      <c r="M1049" t="s">
        <v>37</v>
      </c>
      <c r="N1049">
        <v>1.1697</v>
      </c>
      <c r="O1049">
        <v>1.347891219174925</v>
      </c>
      <c r="P1049">
        <v>6.7577560806516834E-3</v>
      </c>
      <c r="Q1049">
        <v>1.1697</v>
      </c>
      <c r="R1049">
        <v>24848.521949999998</v>
      </c>
      <c r="S1049" t="s">
        <v>13</v>
      </c>
      <c r="T1049">
        <v>1.0880000000000001</v>
      </c>
      <c r="U1049">
        <v>23112.928</v>
      </c>
      <c r="V1049">
        <v>1735.5939499999986</v>
      </c>
      <c r="W1049">
        <v>7.5091911764705824E-2</v>
      </c>
    </row>
    <row r="1050" spans="1:23" x14ac:dyDescent="0.25">
      <c r="A1050" t="s">
        <v>2188</v>
      </c>
      <c r="B1050" t="s">
        <v>26</v>
      </c>
      <c r="C1050" t="s">
        <v>94</v>
      </c>
      <c r="D1050" t="s">
        <v>31</v>
      </c>
      <c r="E1050" t="s">
        <v>74</v>
      </c>
      <c r="F1050" s="1">
        <v>45753</v>
      </c>
      <c r="G1050">
        <v>45783</v>
      </c>
      <c r="H1050" t="s">
        <v>8</v>
      </c>
      <c r="I1050">
        <v>6669.31</v>
      </c>
      <c r="J1050" t="s">
        <v>75</v>
      </c>
      <c r="K1050" t="s">
        <v>2189</v>
      </c>
      <c r="L1050">
        <v>30</v>
      </c>
      <c r="M1050" t="s">
        <v>26</v>
      </c>
      <c r="N1050">
        <v>1.1355999999999999</v>
      </c>
      <c r="O1050">
        <v>1.3549695740365111</v>
      </c>
      <c r="P1050">
        <v>6.9362325922306374E-3</v>
      </c>
      <c r="Q1050">
        <v>1.3549695740365111</v>
      </c>
      <c r="R1050">
        <v>9036.7121298174443</v>
      </c>
      <c r="S1050" t="s">
        <v>12</v>
      </c>
      <c r="T1050">
        <v>1.26</v>
      </c>
      <c r="U1050">
        <v>8403.3306000000011</v>
      </c>
      <c r="V1050">
        <v>633.38152981744315</v>
      </c>
      <c r="W1050">
        <v>7.5372677806754745E-2</v>
      </c>
    </row>
    <row r="1051" spans="1:23" x14ac:dyDescent="0.25">
      <c r="A1051" t="s">
        <v>2190</v>
      </c>
      <c r="B1051" t="s">
        <v>36</v>
      </c>
      <c r="C1051" t="s">
        <v>116</v>
      </c>
      <c r="D1051" t="s">
        <v>31</v>
      </c>
      <c r="E1051" t="s">
        <v>74</v>
      </c>
      <c r="F1051" s="1">
        <v>46302</v>
      </c>
      <c r="G1051">
        <v>46347</v>
      </c>
      <c r="H1051" t="s">
        <v>6</v>
      </c>
      <c r="I1051">
        <v>15784.72</v>
      </c>
      <c r="J1051" t="s">
        <v>84</v>
      </c>
      <c r="K1051" t="s">
        <v>2191</v>
      </c>
      <c r="L1051">
        <v>45</v>
      </c>
      <c r="M1051" t="s">
        <v>36</v>
      </c>
      <c r="N1051">
        <v>1.1176999999999999</v>
      </c>
      <c r="O1051">
        <v>1.320456022210408</v>
      </c>
      <c r="P1051">
        <v>6.3200452360757699E-3</v>
      </c>
      <c r="Q1051">
        <v>1.1176999999999999</v>
      </c>
      <c r="R1051">
        <v>17642.581543999997</v>
      </c>
      <c r="S1051" t="s">
        <v>23</v>
      </c>
      <c r="T1051">
        <v>1.119</v>
      </c>
      <c r="U1051">
        <v>17663.10168</v>
      </c>
      <c r="V1051">
        <v>-20.520136000002822</v>
      </c>
      <c r="W1051">
        <v>-1.1617515638964958E-3</v>
      </c>
    </row>
    <row r="1052" spans="1:23" x14ac:dyDescent="0.25">
      <c r="A1052" t="s">
        <v>2192</v>
      </c>
      <c r="B1052" t="s">
        <v>42</v>
      </c>
      <c r="C1052" t="s">
        <v>151</v>
      </c>
      <c r="D1052" t="s">
        <v>35</v>
      </c>
      <c r="E1052" t="s">
        <v>152</v>
      </c>
      <c r="F1052" s="1">
        <v>45961</v>
      </c>
      <c r="G1052">
        <v>45991</v>
      </c>
      <c r="H1052" t="s">
        <v>8</v>
      </c>
      <c r="I1052">
        <v>5987.04</v>
      </c>
      <c r="J1052" t="s">
        <v>75</v>
      </c>
      <c r="K1052" t="s">
        <v>2193</v>
      </c>
      <c r="L1052">
        <v>30</v>
      </c>
      <c r="M1052" t="s">
        <v>42</v>
      </c>
      <c r="N1052">
        <v>1.1554</v>
      </c>
      <c r="O1052">
        <v>1.3105716878402902</v>
      </c>
      <c r="P1052">
        <v>6.4859099584596387E-3</v>
      </c>
      <c r="Q1052">
        <v>1.3105716878402902</v>
      </c>
      <c r="R1052">
        <v>7846.4451179673315</v>
      </c>
      <c r="S1052" t="s">
        <v>14</v>
      </c>
      <c r="T1052">
        <v>1.304</v>
      </c>
      <c r="U1052">
        <v>7807.10016</v>
      </c>
      <c r="V1052">
        <v>39.344957967331538</v>
      </c>
      <c r="W1052">
        <v>5.0396379143330394E-3</v>
      </c>
    </row>
    <row r="1053" spans="1:23" x14ac:dyDescent="0.25">
      <c r="A1053" t="s">
        <v>2194</v>
      </c>
      <c r="B1053" t="s">
        <v>28</v>
      </c>
      <c r="C1053" t="s">
        <v>111</v>
      </c>
      <c r="D1053" t="s">
        <v>31</v>
      </c>
      <c r="E1053" t="s">
        <v>74</v>
      </c>
      <c r="F1053" s="1">
        <v>45965</v>
      </c>
      <c r="G1053">
        <v>46010</v>
      </c>
      <c r="H1053" t="s">
        <v>9</v>
      </c>
      <c r="I1053">
        <v>2661181.08</v>
      </c>
      <c r="J1053" t="s">
        <v>75</v>
      </c>
      <c r="K1053" t="s">
        <v>2195</v>
      </c>
      <c r="L1053">
        <v>45</v>
      </c>
      <c r="M1053" t="s">
        <v>28</v>
      </c>
      <c r="N1053">
        <v>1.1491</v>
      </c>
      <c r="O1053">
        <v>1.3065378055713475</v>
      </c>
      <c r="P1053">
        <v>6.5145416406825786E-3</v>
      </c>
      <c r="Q1053">
        <v>6.5145416406825786E-3</v>
      </c>
      <c r="R1053">
        <v>17336.374959056637</v>
      </c>
      <c r="S1053" t="s">
        <v>14</v>
      </c>
      <c r="T1053">
        <v>6.9800000000000001E-3</v>
      </c>
      <c r="U1053">
        <v>18575.043938400002</v>
      </c>
      <c r="V1053">
        <v>-1238.6689793433652</v>
      </c>
      <c r="W1053">
        <v>-6.6684578698771063E-2</v>
      </c>
    </row>
    <row r="1054" spans="1:23" x14ac:dyDescent="0.25">
      <c r="A1054" t="s">
        <v>2196</v>
      </c>
      <c r="B1054" t="s">
        <v>40</v>
      </c>
      <c r="C1054" t="s">
        <v>78</v>
      </c>
      <c r="D1054" t="s">
        <v>33</v>
      </c>
      <c r="E1054" t="s">
        <v>79</v>
      </c>
      <c r="F1054" s="1">
        <v>46207</v>
      </c>
      <c r="G1054">
        <v>46237</v>
      </c>
      <c r="H1054" t="s">
        <v>9</v>
      </c>
      <c r="I1054">
        <v>235455.1</v>
      </c>
      <c r="J1054" t="s">
        <v>75</v>
      </c>
      <c r="K1054" t="s">
        <v>2197</v>
      </c>
      <c r="L1054">
        <v>30</v>
      </c>
      <c r="M1054" t="s">
        <v>40</v>
      </c>
      <c r="N1054">
        <v>1.1448</v>
      </c>
      <c r="O1054">
        <v>1.3355109659356044</v>
      </c>
      <c r="P1054">
        <v>6.2055507372072863E-3</v>
      </c>
      <c r="Q1054">
        <v>6.2055507372072863E-3</v>
      </c>
      <c r="R1054">
        <v>1461.1285693842153</v>
      </c>
      <c r="S1054" t="s">
        <v>21</v>
      </c>
      <c r="T1054">
        <v>6.7400000000000003E-3</v>
      </c>
      <c r="U1054">
        <v>1586.9673740000001</v>
      </c>
      <c r="V1054">
        <v>-125.83880461578474</v>
      </c>
      <c r="W1054">
        <v>-7.9295142847583669E-2</v>
      </c>
    </row>
    <row r="1055" spans="1:23" x14ac:dyDescent="0.25">
      <c r="A1055" t="s">
        <v>2198</v>
      </c>
      <c r="B1055" t="s">
        <v>26</v>
      </c>
      <c r="C1055" t="s">
        <v>94</v>
      </c>
      <c r="D1055" t="s">
        <v>31</v>
      </c>
      <c r="E1055" t="s">
        <v>74</v>
      </c>
      <c r="F1055" s="1">
        <v>46228</v>
      </c>
      <c r="G1055">
        <v>46258</v>
      </c>
      <c r="H1055" t="s">
        <v>8</v>
      </c>
      <c r="I1055">
        <v>17541.259999999998</v>
      </c>
      <c r="J1055" t="s">
        <v>75</v>
      </c>
      <c r="K1055" t="s">
        <v>2199</v>
      </c>
      <c r="L1055">
        <v>30</v>
      </c>
      <c r="M1055" t="s">
        <v>26</v>
      </c>
      <c r="N1055">
        <v>1.1376999999999999</v>
      </c>
      <c r="O1055">
        <v>1.3323886260364455</v>
      </c>
      <c r="P1055">
        <v>6.1041957291554884E-3</v>
      </c>
      <c r="Q1055">
        <v>1.3323886260364455</v>
      </c>
      <c r="R1055">
        <v>23371.775310348057</v>
      </c>
      <c r="S1055" t="s">
        <v>21</v>
      </c>
      <c r="T1055">
        <v>1.2929999999999999</v>
      </c>
      <c r="U1055">
        <v>22680.849179999997</v>
      </c>
      <c r="V1055">
        <v>690.92613034805981</v>
      </c>
      <c r="W1055">
        <v>3.0462974506145008E-2</v>
      </c>
    </row>
    <row r="1056" spans="1:23" x14ac:dyDescent="0.25">
      <c r="A1056" t="s">
        <v>2200</v>
      </c>
      <c r="B1056" t="s">
        <v>25</v>
      </c>
      <c r="C1056" t="s">
        <v>169</v>
      </c>
      <c r="D1056" t="s">
        <v>31</v>
      </c>
      <c r="E1056" t="s">
        <v>124</v>
      </c>
      <c r="F1056" s="1">
        <v>46068</v>
      </c>
      <c r="G1056">
        <v>46128</v>
      </c>
      <c r="H1056" t="s">
        <v>6</v>
      </c>
      <c r="I1056">
        <v>64984.79</v>
      </c>
      <c r="J1056" t="s">
        <v>75</v>
      </c>
      <c r="K1056" t="s">
        <v>2201</v>
      </c>
      <c r="L1056">
        <v>60</v>
      </c>
      <c r="M1056" t="s">
        <v>25</v>
      </c>
      <c r="N1056">
        <v>1.1555</v>
      </c>
      <c r="O1056">
        <v>1.3367963164349013</v>
      </c>
      <c r="P1056">
        <v>6.2983756677204832E-3</v>
      </c>
      <c r="Q1056">
        <v>1.1555</v>
      </c>
      <c r="R1056">
        <v>75089.924845000001</v>
      </c>
      <c r="S1056" t="s">
        <v>16</v>
      </c>
      <c r="T1056">
        <v>1.0649999999999999</v>
      </c>
      <c r="U1056">
        <v>69208.801349999994</v>
      </c>
      <c r="V1056">
        <v>5881.1234950000071</v>
      </c>
      <c r="W1056">
        <v>8.4976525821596358E-2</v>
      </c>
    </row>
    <row r="1057" spans="1:23" x14ac:dyDescent="0.25">
      <c r="A1057" t="s">
        <v>2202</v>
      </c>
      <c r="B1057" t="s">
        <v>34</v>
      </c>
      <c r="C1057" t="s">
        <v>177</v>
      </c>
      <c r="D1057" t="s">
        <v>31</v>
      </c>
      <c r="E1057" t="s">
        <v>74</v>
      </c>
      <c r="F1057" s="1">
        <v>45702</v>
      </c>
      <c r="G1057">
        <v>45762</v>
      </c>
      <c r="H1057" t="s">
        <v>8</v>
      </c>
      <c r="I1057">
        <v>15213.98</v>
      </c>
      <c r="J1057" t="s">
        <v>75</v>
      </c>
      <c r="K1057" t="s">
        <v>2203</v>
      </c>
      <c r="L1057">
        <v>60</v>
      </c>
      <c r="M1057" t="s">
        <v>34</v>
      </c>
      <c r="N1057">
        <v>1.0478000000000001</v>
      </c>
      <c r="O1057">
        <v>1.2591479901460074</v>
      </c>
      <c r="P1057">
        <v>6.5450683990255481E-3</v>
      </c>
      <c r="Q1057">
        <v>1.2591479901460074</v>
      </c>
      <c r="R1057">
        <v>19156.652339121552</v>
      </c>
      <c r="S1057" t="s">
        <v>11</v>
      </c>
      <c r="T1057">
        <v>1.238</v>
      </c>
      <c r="U1057">
        <v>18834.90724</v>
      </c>
      <c r="V1057">
        <v>321.7450991215519</v>
      </c>
      <c r="W1057">
        <v>1.7082382993543848E-2</v>
      </c>
    </row>
    <row r="1058" spans="1:23" x14ac:dyDescent="0.25">
      <c r="A1058" t="s">
        <v>2204</v>
      </c>
      <c r="B1058" t="s">
        <v>28</v>
      </c>
      <c r="C1058" t="s">
        <v>111</v>
      </c>
      <c r="D1058" t="s">
        <v>31</v>
      </c>
      <c r="E1058" t="s">
        <v>74</v>
      </c>
      <c r="F1058" s="1">
        <v>45809</v>
      </c>
      <c r="G1058">
        <v>45854</v>
      </c>
      <c r="H1058" t="s">
        <v>9</v>
      </c>
      <c r="I1058">
        <v>3950421.68</v>
      </c>
      <c r="J1058" t="s">
        <v>75</v>
      </c>
      <c r="K1058" t="s">
        <v>2205</v>
      </c>
      <c r="L1058">
        <v>45</v>
      </c>
      <c r="M1058" t="s">
        <v>28</v>
      </c>
      <c r="N1058">
        <v>1.1711</v>
      </c>
      <c r="O1058">
        <v>1.3568532035685321</v>
      </c>
      <c r="P1058">
        <v>6.790166405751725E-3</v>
      </c>
      <c r="Q1058">
        <v>6.790166405751725E-3</v>
      </c>
      <c r="R1058">
        <v>26824.020580089291</v>
      </c>
      <c r="S1058" t="s">
        <v>12</v>
      </c>
      <c r="T1058">
        <v>6.7000000000000002E-3</v>
      </c>
      <c r="U1058">
        <v>26467.825256000004</v>
      </c>
      <c r="V1058">
        <v>356.19532408928717</v>
      </c>
      <c r="W1058">
        <v>1.3457672500257312E-2</v>
      </c>
    </row>
    <row r="1059" spans="1:23" x14ac:dyDescent="0.25">
      <c r="A1059" t="s">
        <v>2206</v>
      </c>
      <c r="B1059" t="s">
        <v>34</v>
      </c>
      <c r="C1059" t="s">
        <v>177</v>
      </c>
      <c r="D1059" t="s">
        <v>31</v>
      </c>
      <c r="E1059" t="s">
        <v>74</v>
      </c>
      <c r="F1059" s="1">
        <v>46072</v>
      </c>
      <c r="G1059">
        <v>46132</v>
      </c>
      <c r="H1059" t="s">
        <v>8</v>
      </c>
      <c r="I1059">
        <v>7983.46</v>
      </c>
      <c r="J1059" t="s">
        <v>75</v>
      </c>
      <c r="K1059" t="s">
        <v>2207</v>
      </c>
      <c r="L1059">
        <v>60</v>
      </c>
      <c r="M1059" t="s">
        <v>34</v>
      </c>
      <c r="N1059">
        <v>1.1753</v>
      </c>
      <c r="O1059">
        <v>1.3450446326390477</v>
      </c>
      <c r="P1059">
        <v>6.4559187036528423E-3</v>
      </c>
      <c r="Q1059">
        <v>1.3450446326390477</v>
      </c>
      <c r="R1059">
        <v>10738.110022888532</v>
      </c>
      <c r="S1059" t="s">
        <v>16</v>
      </c>
      <c r="T1059">
        <v>1.2490000000000001</v>
      </c>
      <c r="U1059">
        <v>9971.3415400000013</v>
      </c>
      <c r="V1059">
        <v>766.76848288853034</v>
      </c>
      <c r="W1059">
        <v>7.6897223890350294E-2</v>
      </c>
    </row>
    <row r="1060" spans="1:23" x14ac:dyDescent="0.25">
      <c r="A1060" t="s">
        <v>2208</v>
      </c>
      <c r="B1060" t="s">
        <v>37</v>
      </c>
      <c r="C1060" t="s">
        <v>91</v>
      </c>
      <c r="D1060" t="s">
        <v>31</v>
      </c>
      <c r="E1060" t="s">
        <v>74</v>
      </c>
      <c r="F1060" s="1">
        <v>46020</v>
      </c>
      <c r="G1060">
        <v>46050</v>
      </c>
      <c r="H1060" t="s">
        <v>6</v>
      </c>
      <c r="I1060">
        <v>6732.16</v>
      </c>
      <c r="J1060" t="s">
        <v>75</v>
      </c>
      <c r="K1060" t="s">
        <v>2209</v>
      </c>
      <c r="L1060">
        <v>30</v>
      </c>
      <c r="M1060" t="s">
        <v>37</v>
      </c>
      <c r="N1060">
        <v>1.1766000000000001</v>
      </c>
      <c r="O1060">
        <v>1.3483841393536558</v>
      </c>
      <c r="P1060">
        <v>6.3956079795618858E-3</v>
      </c>
      <c r="Q1060">
        <v>1.1766000000000001</v>
      </c>
      <c r="R1060">
        <v>7921.0594560000009</v>
      </c>
      <c r="S1060" t="s">
        <v>14</v>
      </c>
      <c r="T1060">
        <v>1.1060000000000001</v>
      </c>
      <c r="U1060">
        <v>7445.7689600000003</v>
      </c>
      <c r="V1060">
        <v>475.29049600000053</v>
      </c>
      <c r="W1060">
        <v>6.3833634719710736E-2</v>
      </c>
    </row>
    <row r="1061" spans="1:23" x14ac:dyDescent="0.25">
      <c r="A1061" t="s">
        <v>2210</v>
      </c>
      <c r="B1061" t="s">
        <v>25</v>
      </c>
      <c r="C1061" t="s">
        <v>169</v>
      </c>
      <c r="D1061" t="s">
        <v>31</v>
      </c>
      <c r="E1061" t="s">
        <v>124</v>
      </c>
      <c r="F1061" s="1">
        <v>46180</v>
      </c>
      <c r="G1061">
        <v>46240</v>
      </c>
      <c r="H1061" t="s">
        <v>6</v>
      </c>
      <c r="I1061">
        <v>58027.65</v>
      </c>
      <c r="J1061" t="s">
        <v>75</v>
      </c>
      <c r="K1061" t="s">
        <v>2211</v>
      </c>
      <c r="L1061">
        <v>60</v>
      </c>
      <c r="M1061" t="s">
        <v>25</v>
      </c>
      <c r="N1061">
        <v>1.1639999999999999</v>
      </c>
      <c r="O1061">
        <v>1.3467078546388531</v>
      </c>
      <c r="P1061">
        <v>6.2553740326741179E-3</v>
      </c>
      <c r="Q1061">
        <v>1.1639999999999999</v>
      </c>
      <c r="R1061">
        <v>67544.184599999993</v>
      </c>
      <c r="S1061" t="s">
        <v>19</v>
      </c>
      <c r="T1061">
        <v>1.083</v>
      </c>
      <c r="U1061">
        <v>62843.944949999997</v>
      </c>
      <c r="V1061">
        <v>4700.2396499999959</v>
      </c>
      <c r="W1061">
        <v>7.4792243767312958E-2</v>
      </c>
    </row>
    <row r="1062" spans="1:23" x14ac:dyDescent="0.25">
      <c r="A1062" t="s">
        <v>2212</v>
      </c>
      <c r="B1062" t="s">
        <v>38</v>
      </c>
      <c r="C1062" t="s">
        <v>87</v>
      </c>
      <c r="D1062" t="s">
        <v>33</v>
      </c>
      <c r="E1062" t="s">
        <v>88</v>
      </c>
      <c r="F1062" s="1">
        <v>45804</v>
      </c>
      <c r="G1062">
        <v>45834</v>
      </c>
      <c r="H1062" t="s">
        <v>6</v>
      </c>
      <c r="I1062">
        <v>13503.76</v>
      </c>
      <c r="J1062" t="s">
        <v>75</v>
      </c>
      <c r="K1062" t="s">
        <v>2213</v>
      </c>
      <c r="L1062">
        <v>30</v>
      </c>
      <c r="M1062" t="s">
        <v>38</v>
      </c>
      <c r="N1062">
        <v>1.1355999999999999</v>
      </c>
      <c r="O1062">
        <v>1.3549695740365111</v>
      </c>
      <c r="P1062">
        <v>6.9362325922306374E-3</v>
      </c>
      <c r="Q1062">
        <v>1.1355999999999999</v>
      </c>
      <c r="R1062">
        <v>15334.869855999999</v>
      </c>
      <c r="S1062" t="s">
        <v>12</v>
      </c>
      <c r="T1062">
        <v>1.07</v>
      </c>
      <c r="U1062">
        <v>14449.023200000001</v>
      </c>
      <c r="V1062">
        <v>885.84665599999789</v>
      </c>
      <c r="W1062">
        <v>6.1308411214953118E-2</v>
      </c>
    </row>
    <row r="1063" spans="1:23" x14ac:dyDescent="0.25">
      <c r="A1063" t="s">
        <v>2214</v>
      </c>
      <c r="B1063" t="s">
        <v>38</v>
      </c>
      <c r="C1063" t="s">
        <v>87</v>
      </c>
      <c r="D1063" t="s">
        <v>33</v>
      </c>
      <c r="E1063" t="s">
        <v>88</v>
      </c>
      <c r="F1063" s="1">
        <v>46237</v>
      </c>
      <c r="G1063">
        <v>46267</v>
      </c>
      <c r="H1063" t="s">
        <v>6</v>
      </c>
      <c r="I1063">
        <v>1886.89</v>
      </c>
      <c r="J1063" t="s">
        <v>75</v>
      </c>
      <c r="K1063" t="s">
        <v>2215</v>
      </c>
      <c r="L1063">
        <v>30</v>
      </c>
      <c r="M1063" t="s">
        <v>38</v>
      </c>
      <c r="N1063">
        <v>1.1535</v>
      </c>
      <c r="O1063">
        <v>1.3470274310137447</v>
      </c>
      <c r="P1063">
        <v>6.3824489570076916E-3</v>
      </c>
      <c r="Q1063">
        <v>1.1535</v>
      </c>
      <c r="R1063">
        <v>2176.527615</v>
      </c>
      <c r="S1063" t="s">
        <v>21</v>
      </c>
      <c r="T1063">
        <v>1.101</v>
      </c>
      <c r="U1063">
        <v>2077.4658899999999</v>
      </c>
      <c r="V1063">
        <v>99.061725000000024</v>
      </c>
      <c r="W1063">
        <v>4.7683923705722081E-2</v>
      </c>
    </row>
    <row r="1064" spans="1:23" x14ac:dyDescent="0.25">
      <c r="A1064" t="s">
        <v>2216</v>
      </c>
      <c r="B1064" t="s">
        <v>37</v>
      </c>
      <c r="C1064" t="s">
        <v>91</v>
      </c>
      <c r="D1064" t="s">
        <v>31</v>
      </c>
      <c r="E1064" t="s">
        <v>74</v>
      </c>
      <c r="F1064" s="1">
        <v>45701</v>
      </c>
      <c r="G1064">
        <v>45731</v>
      </c>
      <c r="H1064" t="s">
        <v>6</v>
      </c>
      <c r="I1064">
        <v>23564.89</v>
      </c>
      <c r="J1064" t="s">
        <v>75</v>
      </c>
      <c r="K1064" t="s">
        <v>2217</v>
      </c>
      <c r="L1064">
        <v>30</v>
      </c>
      <c r="M1064" t="s">
        <v>37</v>
      </c>
      <c r="N1064">
        <v>1.0389999999999999</v>
      </c>
      <c r="O1064">
        <v>1.2471042934476011</v>
      </c>
      <c r="P1064">
        <v>6.5022842480755988E-3</v>
      </c>
      <c r="Q1064">
        <v>1.0389999999999999</v>
      </c>
      <c r="R1064">
        <v>24483.920709999999</v>
      </c>
      <c r="S1064" t="s">
        <v>11</v>
      </c>
      <c r="T1064">
        <v>1.052</v>
      </c>
      <c r="U1064">
        <v>24790.264279999999</v>
      </c>
      <c r="V1064">
        <v>-306.34357000000091</v>
      </c>
      <c r="W1064">
        <v>-1.2357414448669238E-2</v>
      </c>
    </row>
    <row r="1065" spans="1:23" x14ac:dyDescent="0.25">
      <c r="A1065" t="s">
        <v>2218</v>
      </c>
      <c r="B1065" t="s">
        <v>20</v>
      </c>
      <c r="C1065" t="s">
        <v>123</v>
      </c>
      <c r="D1065" t="s">
        <v>31</v>
      </c>
      <c r="E1065" t="s">
        <v>124</v>
      </c>
      <c r="F1065" s="1">
        <v>46256</v>
      </c>
      <c r="G1065">
        <v>46301</v>
      </c>
      <c r="H1065" t="s">
        <v>6</v>
      </c>
      <c r="I1065">
        <v>33229.08</v>
      </c>
      <c r="J1065" t="s">
        <v>75</v>
      </c>
      <c r="K1065" t="s">
        <v>2219</v>
      </c>
      <c r="L1065">
        <v>45</v>
      </c>
      <c r="M1065" t="s">
        <v>20</v>
      </c>
      <c r="N1065">
        <v>1.1698999999999999</v>
      </c>
      <c r="O1065">
        <v>1.3655888875919224</v>
      </c>
      <c r="P1065">
        <v>6.3013034579338578E-3</v>
      </c>
      <c r="Q1065">
        <v>1.1698999999999999</v>
      </c>
      <c r="R1065">
        <v>38874.700691999999</v>
      </c>
      <c r="S1065" t="s">
        <v>21</v>
      </c>
      <c r="T1065">
        <v>1.101</v>
      </c>
      <c r="U1065">
        <v>36585.217080000002</v>
      </c>
      <c r="V1065">
        <v>2289.4836119999964</v>
      </c>
      <c r="W1065">
        <v>6.2579473206176101E-2</v>
      </c>
    </row>
    <row r="1066" spans="1:23" x14ac:dyDescent="0.25">
      <c r="A1066" t="s">
        <v>2220</v>
      </c>
      <c r="B1066" t="s">
        <v>34</v>
      </c>
      <c r="C1066" t="s">
        <v>177</v>
      </c>
      <c r="D1066" t="s">
        <v>31</v>
      </c>
      <c r="E1066" t="s">
        <v>74</v>
      </c>
      <c r="F1066" s="1">
        <v>46313</v>
      </c>
      <c r="G1066">
        <v>46373</v>
      </c>
      <c r="H1066" t="s">
        <v>8</v>
      </c>
      <c r="I1066">
        <v>27150.92</v>
      </c>
      <c r="J1066" t="s">
        <v>84</v>
      </c>
      <c r="K1066" t="s">
        <v>2221</v>
      </c>
      <c r="L1066">
        <v>60</v>
      </c>
      <c r="M1066" t="s">
        <v>34</v>
      </c>
      <c r="N1066">
        <v>1.1176999999999999</v>
      </c>
      <c r="O1066">
        <v>1.320456022210408</v>
      </c>
      <c r="P1066">
        <v>6.3200452360757699E-3</v>
      </c>
      <c r="Q1066">
        <v>1.320456022210408</v>
      </c>
      <c r="R1066">
        <v>35851.595822553012</v>
      </c>
      <c r="S1066" t="s">
        <v>23</v>
      </c>
      <c r="T1066">
        <v>1.3149999999999999</v>
      </c>
      <c r="U1066">
        <v>35703.459799999997</v>
      </c>
      <c r="V1066">
        <v>148.13602255301521</v>
      </c>
      <c r="W1066">
        <v>4.149066319702026E-3</v>
      </c>
    </row>
    <row r="1067" spans="1:23" x14ac:dyDescent="0.25">
      <c r="A1067" t="s">
        <v>2222</v>
      </c>
      <c r="B1067" t="s">
        <v>32</v>
      </c>
      <c r="C1067" t="s">
        <v>106</v>
      </c>
      <c r="D1067" t="s">
        <v>31</v>
      </c>
      <c r="E1067" t="s">
        <v>74</v>
      </c>
      <c r="F1067" s="1">
        <v>46097</v>
      </c>
      <c r="G1067">
        <v>46127</v>
      </c>
      <c r="H1067" t="s">
        <v>6</v>
      </c>
      <c r="I1067">
        <v>20716.900000000001</v>
      </c>
      <c r="J1067" t="s">
        <v>75</v>
      </c>
      <c r="K1067" t="s">
        <v>2223</v>
      </c>
      <c r="L1067">
        <v>30</v>
      </c>
      <c r="M1067" t="s">
        <v>32</v>
      </c>
      <c r="N1067">
        <v>1.1477999999999999</v>
      </c>
      <c r="O1067">
        <v>1.3283492269234329</v>
      </c>
      <c r="P1067">
        <v>6.283805978320376E-3</v>
      </c>
      <c r="Q1067">
        <v>1.1477999999999999</v>
      </c>
      <c r="R1067">
        <v>23778.857820000001</v>
      </c>
      <c r="S1067" t="s">
        <v>16</v>
      </c>
      <c r="T1067">
        <v>1.0649999999999999</v>
      </c>
      <c r="U1067">
        <v>22063.498500000002</v>
      </c>
      <c r="V1067">
        <v>1715.3593199999996</v>
      </c>
      <c r="W1067">
        <v>7.7746478873239405E-2</v>
      </c>
    </row>
    <row r="1068" spans="1:23" x14ac:dyDescent="0.25">
      <c r="A1068" t="s">
        <v>2224</v>
      </c>
      <c r="B1068" t="s">
        <v>34</v>
      </c>
      <c r="C1068" t="s">
        <v>177</v>
      </c>
      <c r="D1068" t="s">
        <v>31</v>
      </c>
      <c r="E1068" t="s">
        <v>74</v>
      </c>
      <c r="F1068" s="1">
        <v>45971</v>
      </c>
      <c r="G1068">
        <v>46031</v>
      </c>
      <c r="H1068" t="s">
        <v>8</v>
      </c>
      <c r="I1068">
        <v>22443.56</v>
      </c>
      <c r="J1068" t="s">
        <v>75</v>
      </c>
      <c r="K1068" t="s">
        <v>2225</v>
      </c>
      <c r="L1068">
        <v>60</v>
      </c>
      <c r="M1068" t="s">
        <v>34</v>
      </c>
      <c r="N1068">
        <v>1.1571</v>
      </c>
      <c r="O1068">
        <v>1.3181818181818181</v>
      </c>
      <c r="P1068">
        <v>6.489260277045595E-3</v>
      </c>
      <c r="Q1068">
        <v>1.3181818181818181</v>
      </c>
      <c r="R1068">
        <v>29584.692727272726</v>
      </c>
      <c r="S1068" t="s">
        <v>14</v>
      </c>
      <c r="T1068">
        <v>1.304</v>
      </c>
      <c r="U1068">
        <v>29266.402240000003</v>
      </c>
      <c r="V1068">
        <v>318.29048727272311</v>
      </c>
      <c r="W1068">
        <v>1.0875627440044475E-2</v>
      </c>
    </row>
    <row r="1069" spans="1:23" x14ac:dyDescent="0.25">
      <c r="A1069" t="s">
        <v>2226</v>
      </c>
      <c r="B1069" t="s">
        <v>32</v>
      </c>
      <c r="C1069" t="s">
        <v>106</v>
      </c>
      <c r="D1069" t="s">
        <v>31</v>
      </c>
      <c r="E1069" t="s">
        <v>74</v>
      </c>
      <c r="F1069" s="1">
        <v>46120</v>
      </c>
      <c r="G1069">
        <v>46150</v>
      </c>
      <c r="H1069" t="s">
        <v>6</v>
      </c>
      <c r="I1069">
        <v>20285.560000000001</v>
      </c>
      <c r="J1069" t="s">
        <v>75</v>
      </c>
      <c r="K1069" t="s">
        <v>2227</v>
      </c>
      <c r="L1069">
        <v>30</v>
      </c>
      <c r="M1069" t="s">
        <v>32</v>
      </c>
      <c r="N1069">
        <v>1.1706000000000001</v>
      </c>
      <c r="O1069">
        <v>1.3471741106878576</v>
      </c>
      <c r="P1069">
        <v>6.3231242910387299E-3</v>
      </c>
      <c r="Q1069">
        <v>1.1706000000000001</v>
      </c>
      <c r="R1069">
        <v>23746.276536000005</v>
      </c>
      <c r="S1069" t="s">
        <v>19</v>
      </c>
      <c r="T1069">
        <v>1.083</v>
      </c>
      <c r="U1069">
        <v>21969.261480000001</v>
      </c>
      <c r="V1069">
        <v>1777.0150560000038</v>
      </c>
      <c r="W1069">
        <v>8.0886426592797961E-2</v>
      </c>
    </row>
    <row r="1070" spans="1:23" x14ac:dyDescent="0.25">
      <c r="A1070" t="s">
        <v>2228</v>
      </c>
      <c r="B1070" t="s">
        <v>28</v>
      </c>
      <c r="C1070" t="s">
        <v>111</v>
      </c>
      <c r="D1070" t="s">
        <v>31</v>
      </c>
      <c r="E1070" t="s">
        <v>74</v>
      </c>
      <c r="F1070" s="1">
        <v>46133</v>
      </c>
      <c r="G1070">
        <v>46178</v>
      </c>
      <c r="H1070" t="s">
        <v>9</v>
      </c>
      <c r="I1070">
        <v>2576348.5</v>
      </c>
      <c r="J1070" t="s">
        <v>75</v>
      </c>
      <c r="K1070" t="s">
        <v>2229</v>
      </c>
      <c r="L1070">
        <v>45</v>
      </c>
      <c r="M1070" t="s">
        <v>28</v>
      </c>
      <c r="N1070">
        <v>1.1767000000000001</v>
      </c>
      <c r="O1070">
        <v>1.351984833687597</v>
      </c>
      <c r="P1070">
        <v>6.2878059207010801E-3</v>
      </c>
      <c r="Q1070">
        <v>6.2878059207010801E-3</v>
      </c>
      <c r="R1070">
        <v>16199.579352089346</v>
      </c>
      <c r="S1070" t="s">
        <v>19</v>
      </c>
      <c r="T1070">
        <v>6.6E-3</v>
      </c>
      <c r="U1070">
        <v>17003.900099999999</v>
      </c>
      <c r="V1070">
        <v>-804.32074791065315</v>
      </c>
      <c r="W1070">
        <v>-4.7302133227109071E-2</v>
      </c>
    </row>
    <row r="1071" spans="1:23" x14ac:dyDescent="0.25">
      <c r="A1071" t="s">
        <v>2230</v>
      </c>
      <c r="B1071" t="s">
        <v>37</v>
      </c>
      <c r="C1071" t="s">
        <v>91</v>
      </c>
      <c r="D1071" t="s">
        <v>31</v>
      </c>
      <c r="E1071" t="s">
        <v>74</v>
      </c>
      <c r="F1071" s="1">
        <v>46246</v>
      </c>
      <c r="G1071">
        <v>46276</v>
      </c>
      <c r="H1071" t="s">
        <v>6</v>
      </c>
      <c r="I1071">
        <v>14024.34</v>
      </c>
      <c r="J1071" t="s">
        <v>75</v>
      </c>
      <c r="K1071" t="s">
        <v>2231</v>
      </c>
      <c r="L1071">
        <v>30</v>
      </c>
      <c r="M1071" t="s">
        <v>37</v>
      </c>
      <c r="N1071">
        <v>1.1545000000000001</v>
      </c>
      <c r="O1071">
        <v>1.3525387192764593</v>
      </c>
      <c r="P1071">
        <v>6.285729841563675E-3</v>
      </c>
      <c r="Q1071">
        <v>1.1545000000000001</v>
      </c>
      <c r="R1071">
        <v>16191.100530000002</v>
      </c>
      <c r="S1071" t="s">
        <v>21</v>
      </c>
      <c r="T1071">
        <v>1.101</v>
      </c>
      <c r="U1071">
        <v>15440.798339999999</v>
      </c>
      <c r="V1071">
        <v>750.30219000000216</v>
      </c>
      <c r="W1071">
        <v>4.8592188919164538E-2</v>
      </c>
    </row>
    <row r="1072" spans="1:23" x14ac:dyDescent="0.25">
      <c r="A1072" t="s">
        <v>2232</v>
      </c>
      <c r="B1072" t="s">
        <v>26</v>
      </c>
      <c r="C1072" t="s">
        <v>94</v>
      </c>
      <c r="D1072" t="s">
        <v>31</v>
      </c>
      <c r="E1072" t="s">
        <v>74</v>
      </c>
      <c r="F1072" s="1">
        <v>46313</v>
      </c>
      <c r="G1072">
        <v>46343</v>
      </c>
      <c r="H1072" t="s">
        <v>8</v>
      </c>
      <c r="I1072">
        <v>6542.23</v>
      </c>
      <c r="J1072" t="s">
        <v>84</v>
      </c>
      <c r="K1072" t="s">
        <v>2233</v>
      </c>
      <c r="L1072">
        <v>30</v>
      </c>
      <c r="M1072" t="s">
        <v>26</v>
      </c>
      <c r="N1072">
        <v>1.1176999999999999</v>
      </c>
      <c r="O1072">
        <v>1.320456022210408</v>
      </c>
      <c r="P1072">
        <v>6.3200452360757699E-3</v>
      </c>
      <c r="Q1072">
        <v>1.320456022210408</v>
      </c>
      <c r="R1072">
        <v>8638.7270021855966</v>
      </c>
      <c r="S1072" t="s">
        <v>23</v>
      </c>
      <c r="T1072">
        <v>1.3149999999999999</v>
      </c>
      <c r="U1072">
        <v>8603.0324499999988</v>
      </c>
      <c r="V1072">
        <v>35.694552185597786</v>
      </c>
      <c r="W1072">
        <v>4.1490663197019315E-3</v>
      </c>
    </row>
    <row r="1073" spans="1:23" x14ac:dyDescent="0.25">
      <c r="A1073" t="s">
        <v>2234</v>
      </c>
      <c r="B1073" t="s">
        <v>20</v>
      </c>
      <c r="C1073" t="s">
        <v>123</v>
      </c>
      <c r="D1073" t="s">
        <v>31</v>
      </c>
      <c r="E1073" t="s">
        <v>124</v>
      </c>
      <c r="F1073" s="1">
        <v>46159</v>
      </c>
      <c r="G1073">
        <v>46204</v>
      </c>
      <c r="H1073" t="s">
        <v>6</v>
      </c>
      <c r="I1073">
        <v>32036.29</v>
      </c>
      <c r="J1073" t="s">
        <v>75</v>
      </c>
      <c r="K1073" t="s">
        <v>2235</v>
      </c>
      <c r="L1073">
        <v>45</v>
      </c>
      <c r="M1073" t="s">
        <v>20</v>
      </c>
      <c r="N1073">
        <v>1.1628000000000001</v>
      </c>
      <c r="O1073">
        <v>1.3357840321654222</v>
      </c>
      <c r="P1073">
        <v>6.3072249945758298E-3</v>
      </c>
      <c r="Q1073">
        <v>1.1628000000000001</v>
      </c>
      <c r="R1073">
        <v>37251.798011999999</v>
      </c>
      <c r="S1073" t="s">
        <v>19</v>
      </c>
      <c r="T1073">
        <v>1.083</v>
      </c>
      <c r="U1073">
        <v>34695.302069999998</v>
      </c>
      <c r="V1073">
        <v>2556.4959420000014</v>
      </c>
      <c r="W1073">
        <v>7.3684210526315838E-2</v>
      </c>
    </row>
    <row r="1074" spans="1:23" x14ac:dyDescent="0.25">
      <c r="A1074" t="s">
        <v>2236</v>
      </c>
      <c r="B1074" t="s">
        <v>30</v>
      </c>
      <c r="C1074" t="s">
        <v>103</v>
      </c>
      <c r="D1074" t="s">
        <v>31</v>
      </c>
      <c r="E1074" t="s">
        <v>74</v>
      </c>
      <c r="F1074" s="1">
        <v>45871</v>
      </c>
      <c r="G1074">
        <v>45901</v>
      </c>
      <c r="H1074" t="s">
        <v>9</v>
      </c>
      <c r="I1074">
        <v>3625865.57</v>
      </c>
      <c r="J1074" t="s">
        <v>75</v>
      </c>
      <c r="K1074" t="s">
        <v>2237</v>
      </c>
      <c r="L1074">
        <v>30</v>
      </c>
      <c r="M1074" t="s">
        <v>30</v>
      </c>
      <c r="N1074">
        <v>1.1560999999999999</v>
      </c>
      <c r="O1074">
        <v>1.3121098626716603</v>
      </c>
      <c r="P1074">
        <v>6.5320074580484761E-3</v>
      </c>
      <c r="Q1074">
        <v>6.5320074580484761E-3</v>
      </c>
      <c r="R1074">
        <v>23684.180945121188</v>
      </c>
      <c r="S1074" t="s">
        <v>13</v>
      </c>
      <c r="T1074">
        <v>6.8399999999999997E-3</v>
      </c>
      <c r="U1074">
        <v>24800.920498799998</v>
      </c>
      <c r="V1074">
        <v>-1116.7395536788099</v>
      </c>
      <c r="W1074">
        <v>-4.5028149408117481E-2</v>
      </c>
    </row>
    <row r="1075" spans="1:23" x14ac:dyDescent="0.25">
      <c r="A1075" t="s">
        <v>2238</v>
      </c>
      <c r="B1075" t="s">
        <v>37</v>
      </c>
      <c r="C1075" t="s">
        <v>91</v>
      </c>
      <c r="D1075" t="s">
        <v>31</v>
      </c>
      <c r="E1075" t="s">
        <v>74</v>
      </c>
      <c r="F1075" s="1">
        <v>46177</v>
      </c>
      <c r="G1075">
        <v>46207</v>
      </c>
      <c r="H1075" t="s">
        <v>6</v>
      </c>
      <c r="I1075">
        <v>3732.56</v>
      </c>
      <c r="J1075" t="s">
        <v>75</v>
      </c>
      <c r="K1075" t="s">
        <v>2239</v>
      </c>
      <c r="L1075">
        <v>30</v>
      </c>
      <c r="M1075" t="s">
        <v>37</v>
      </c>
      <c r="N1075">
        <v>1.1639999999999999</v>
      </c>
      <c r="O1075">
        <v>1.3458203260492541</v>
      </c>
      <c r="P1075">
        <v>6.2577280791355303E-3</v>
      </c>
      <c r="Q1075">
        <v>1.1639999999999999</v>
      </c>
      <c r="R1075">
        <v>4344.6998399999993</v>
      </c>
      <c r="S1075" t="s">
        <v>19</v>
      </c>
      <c r="T1075">
        <v>1.083</v>
      </c>
      <c r="U1075">
        <v>4042.3624799999998</v>
      </c>
      <c r="V1075">
        <v>302.33735999999953</v>
      </c>
      <c r="W1075">
        <v>7.4792243767312902E-2</v>
      </c>
    </row>
    <row r="1076" spans="1:23" x14ac:dyDescent="0.25">
      <c r="A1076" t="s">
        <v>2240</v>
      </c>
      <c r="B1076" t="s">
        <v>34</v>
      </c>
      <c r="C1076" t="s">
        <v>177</v>
      </c>
      <c r="D1076" t="s">
        <v>31</v>
      </c>
      <c r="E1076" t="s">
        <v>74</v>
      </c>
      <c r="F1076" s="1">
        <v>45964</v>
      </c>
      <c r="G1076">
        <v>46024</v>
      </c>
      <c r="H1076" t="s">
        <v>8</v>
      </c>
      <c r="I1076">
        <v>9514.85</v>
      </c>
      <c r="J1076" t="s">
        <v>75</v>
      </c>
      <c r="K1076" t="s">
        <v>2241</v>
      </c>
      <c r="L1076">
        <v>60</v>
      </c>
      <c r="M1076" t="s">
        <v>34</v>
      </c>
      <c r="N1076">
        <v>1.1514</v>
      </c>
      <c r="O1076">
        <v>1.3136337706788364</v>
      </c>
      <c r="P1076">
        <v>6.4842034127386384E-3</v>
      </c>
      <c r="Q1076">
        <v>1.3136337706788364</v>
      </c>
      <c r="R1076">
        <v>12499.028282943527</v>
      </c>
      <c r="S1076" t="s">
        <v>14</v>
      </c>
      <c r="T1076">
        <v>1.304</v>
      </c>
      <c r="U1076">
        <v>12407.3644</v>
      </c>
      <c r="V1076">
        <v>91.663882943526914</v>
      </c>
      <c r="W1076">
        <v>7.3878609500279456E-3</v>
      </c>
    </row>
    <row r="1077" spans="1:23" x14ac:dyDescent="0.25">
      <c r="A1077" t="s">
        <v>2242</v>
      </c>
      <c r="B1077" t="s">
        <v>38</v>
      </c>
      <c r="C1077" t="s">
        <v>87</v>
      </c>
      <c r="D1077" t="s">
        <v>33</v>
      </c>
      <c r="E1077" t="s">
        <v>88</v>
      </c>
      <c r="F1077" s="1">
        <v>45735</v>
      </c>
      <c r="G1077">
        <v>45765</v>
      </c>
      <c r="H1077" t="s">
        <v>6</v>
      </c>
      <c r="I1077">
        <v>7626.36</v>
      </c>
      <c r="J1077" t="s">
        <v>75</v>
      </c>
      <c r="K1077" t="s">
        <v>2243</v>
      </c>
      <c r="L1077">
        <v>30</v>
      </c>
      <c r="M1077" t="s">
        <v>38</v>
      </c>
      <c r="N1077">
        <v>1.0896999999999999</v>
      </c>
      <c r="O1077">
        <v>1.2960584219415303</v>
      </c>
      <c r="P1077">
        <v>6.6742206161572847E-3</v>
      </c>
      <c r="Q1077">
        <v>1.0896999999999999</v>
      </c>
      <c r="R1077">
        <v>8310.4444919999987</v>
      </c>
      <c r="S1077" t="s">
        <v>11</v>
      </c>
      <c r="T1077">
        <v>1.052</v>
      </c>
      <c r="U1077">
        <v>8022.9307200000003</v>
      </c>
      <c r="V1077">
        <v>287.51377199999843</v>
      </c>
      <c r="W1077">
        <v>3.5836501901140488E-2</v>
      </c>
    </row>
    <row r="1078" spans="1:23" x14ac:dyDescent="0.25">
      <c r="A1078" t="s">
        <v>2244</v>
      </c>
      <c r="B1078" t="s">
        <v>28</v>
      </c>
      <c r="C1078" t="s">
        <v>111</v>
      </c>
      <c r="D1078" t="s">
        <v>31</v>
      </c>
      <c r="E1078" t="s">
        <v>74</v>
      </c>
      <c r="F1078" s="1">
        <v>45956</v>
      </c>
      <c r="G1078">
        <v>46001</v>
      </c>
      <c r="H1078" t="s">
        <v>9</v>
      </c>
      <c r="I1078">
        <v>880251.36</v>
      </c>
      <c r="J1078" t="s">
        <v>75</v>
      </c>
      <c r="K1078" t="s">
        <v>2245</v>
      </c>
      <c r="L1078">
        <v>45</v>
      </c>
      <c r="M1078" t="s">
        <v>28</v>
      </c>
      <c r="N1078">
        <v>1.1580999999999999</v>
      </c>
      <c r="O1078">
        <v>1.3409677755520302</v>
      </c>
      <c r="P1078">
        <v>6.3067036976528889E-3</v>
      </c>
      <c r="Q1078">
        <v>6.3067036976528889E-3</v>
      </c>
      <c r="R1078">
        <v>5551.484506975984</v>
      </c>
      <c r="S1078" t="s">
        <v>14</v>
      </c>
      <c r="T1078">
        <v>6.9800000000000001E-3</v>
      </c>
      <c r="U1078">
        <v>6144.1544928000003</v>
      </c>
      <c r="V1078">
        <v>-592.66998582401629</v>
      </c>
      <c r="W1078">
        <v>-9.6460788301878472E-2</v>
      </c>
    </row>
    <row r="1079" spans="1:23" x14ac:dyDescent="0.25">
      <c r="A1079" t="s">
        <v>2246</v>
      </c>
      <c r="B1079" t="s">
        <v>37</v>
      </c>
      <c r="C1079" t="s">
        <v>91</v>
      </c>
      <c r="D1079" t="s">
        <v>31</v>
      </c>
      <c r="E1079" t="s">
        <v>74</v>
      </c>
      <c r="F1079" s="1">
        <v>45730</v>
      </c>
      <c r="G1079">
        <v>45760</v>
      </c>
      <c r="H1079" t="s">
        <v>6</v>
      </c>
      <c r="I1079">
        <v>4659.43</v>
      </c>
      <c r="J1079" t="s">
        <v>75</v>
      </c>
      <c r="K1079" t="s">
        <v>2247</v>
      </c>
      <c r="L1079">
        <v>30</v>
      </c>
      <c r="M1079" t="s">
        <v>37</v>
      </c>
      <c r="N1079">
        <v>1.0889</v>
      </c>
      <c r="O1079">
        <v>1.2934915600536925</v>
      </c>
      <c r="P1079">
        <v>6.7265875957499381E-3</v>
      </c>
      <c r="Q1079">
        <v>1.0889</v>
      </c>
      <c r="R1079">
        <v>5073.653327</v>
      </c>
      <c r="S1079" t="s">
        <v>11</v>
      </c>
      <c r="T1079">
        <v>1.052</v>
      </c>
      <c r="U1079">
        <v>4901.7203600000003</v>
      </c>
      <c r="V1079">
        <v>171.93296699999973</v>
      </c>
      <c r="W1079">
        <v>3.5076045627376373E-2</v>
      </c>
    </row>
    <row r="1080" spans="1:23" x14ac:dyDescent="0.25">
      <c r="A1080" t="s">
        <v>2248</v>
      </c>
      <c r="B1080" t="s">
        <v>42</v>
      </c>
      <c r="C1080" t="s">
        <v>151</v>
      </c>
      <c r="D1080" t="s">
        <v>35</v>
      </c>
      <c r="E1080" t="s">
        <v>152</v>
      </c>
      <c r="F1080" s="1">
        <v>45745</v>
      </c>
      <c r="G1080">
        <v>45775</v>
      </c>
      <c r="H1080" t="s">
        <v>8</v>
      </c>
      <c r="I1080">
        <v>4370.6099999999997</v>
      </c>
      <c r="J1080" t="s">
        <v>75</v>
      </c>
      <c r="K1080" t="s">
        <v>2249</v>
      </c>
      <c r="L1080">
        <v>30</v>
      </c>
      <c r="M1080" t="s">
        <v>42</v>
      </c>
      <c r="N1080">
        <v>1.1185</v>
      </c>
      <c r="O1080">
        <v>1.3277540360873694</v>
      </c>
      <c r="P1080">
        <v>6.8493570116350275E-3</v>
      </c>
      <c r="Q1080">
        <v>1.3277540360873694</v>
      </c>
      <c r="R1080">
        <v>5803.0950676638176</v>
      </c>
      <c r="S1080" t="s">
        <v>11</v>
      </c>
      <c r="T1080">
        <v>1.238</v>
      </c>
      <c r="U1080">
        <v>5410.8151799999996</v>
      </c>
      <c r="V1080">
        <v>392.27988766381804</v>
      </c>
      <c r="W1080">
        <v>7.24992213952904E-2</v>
      </c>
    </row>
    <row r="1081" spans="1:23" x14ac:dyDescent="0.25">
      <c r="A1081" t="s">
        <v>2250</v>
      </c>
      <c r="B1081" t="s">
        <v>34</v>
      </c>
      <c r="C1081" t="s">
        <v>177</v>
      </c>
      <c r="D1081" t="s">
        <v>31</v>
      </c>
      <c r="E1081" t="s">
        <v>74</v>
      </c>
      <c r="F1081" s="1">
        <v>45819</v>
      </c>
      <c r="G1081">
        <v>45879</v>
      </c>
      <c r="H1081" t="s">
        <v>8</v>
      </c>
      <c r="I1081">
        <v>7986.13</v>
      </c>
      <c r="J1081" t="s">
        <v>75</v>
      </c>
      <c r="K1081" t="s">
        <v>2251</v>
      </c>
      <c r="L1081">
        <v>60</v>
      </c>
      <c r="M1081" t="s">
        <v>34</v>
      </c>
      <c r="N1081">
        <v>1.1433</v>
      </c>
      <c r="O1081">
        <v>1.3488673902784332</v>
      </c>
      <c r="P1081">
        <v>6.88030330384546E-3</v>
      </c>
      <c r="Q1081">
        <v>1.3488673902784332</v>
      </c>
      <c r="R1081">
        <v>10772.230331524304</v>
      </c>
      <c r="S1081" t="s">
        <v>12</v>
      </c>
      <c r="T1081">
        <v>1.26</v>
      </c>
      <c r="U1081">
        <v>10062.523800000001</v>
      </c>
      <c r="V1081">
        <v>709.7065315243035</v>
      </c>
      <c r="W1081">
        <v>7.0529674824153302E-2</v>
      </c>
    </row>
    <row r="1082" spans="1:23" x14ac:dyDescent="0.25">
      <c r="A1082" t="s">
        <v>2252</v>
      </c>
      <c r="B1082" t="s">
        <v>39</v>
      </c>
      <c r="C1082" t="s">
        <v>82</v>
      </c>
      <c r="D1082" t="s">
        <v>33</v>
      </c>
      <c r="E1082" t="s">
        <v>83</v>
      </c>
      <c r="F1082" s="1">
        <v>46031</v>
      </c>
      <c r="G1082">
        <v>46076</v>
      </c>
      <c r="H1082" t="s">
        <v>8</v>
      </c>
      <c r="I1082">
        <v>3909.68</v>
      </c>
      <c r="J1082" t="s">
        <v>75</v>
      </c>
      <c r="K1082" t="s">
        <v>2253</v>
      </c>
      <c r="L1082">
        <v>45</v>
      </c>
      <c r="M1082" t="s">
        <v>39</v>
      </c>
      <c r="N1082">
        <v>1.1641999999999999</v>
      </c>
      <c r="O1082">
        <v>1.3417079635818829</v>
      </c>
      <c r="P1082">
        <v>6.3437227550130768E-3</v>
      </c>
      <c r="Q1082">
        <v>1.3417079635818829</v>
      </c>
      <c r="R1082">
        <v>5245.6487910568158</v>
      </c>
      <c r="S1082" t="s">
        <v>16</v>
      </c>
      <c r="T1082">
        <v>1.2490000000000001</v>
      </c>
      <c r="U1082">
        <v>4883.1903200000006</v>
      </c>
      <c r="V1082">
        <v>362.45847105681514</v>
      </c>
      <c r="W1082">
        <v>7.4225751466679493E-2</v>
      </c>
    </row>
    <row r="1083" spans="1:23" x14ac:dyDescent="0.25">
      <c r="A1083" t="s">
        <v>2254</v>
      </c>
      <c r="B1083" t="s">
        <v>22</v>
      </c>
      <c r="C1083" t="s">
        <v>127</v>
      </c>
      <c r="D1083" t="s">
        <v>31</v>
      </c>
      <c r="E1083" t="s">
        <v>124</v>
      </c>
      <c r="F1083" s="1">
        <v>45674</v>
      </c>
      <c r="G1083">
        <v>45734</v>
      </c>
      <c r="H1083" t="s">
        <v>9</v>
      </c>
      <c r="I1083">
        <v>3626850.02</v>
      </c>
      <c r="J1083" t="s">
        <v>75</v>
      </c>
      <c r="K1083" t="s">
        <v>2255</v>
      </c>
      <c r="L1083">
        <v>60</v>
      </c>
      <c r="M1083" t="s">
        <v>22</v>
      </c>
      <c r="N1083">
        <v>1.0298</v>
      </c>
      <c r="O1083">
        <v>1.2193764579115012</v>
      </c>
      <c r="P1083">
        <v>6.4270111714410539E-3</v>
      </c>
      <c r="Q1083">
        <v>6.4270111714410539E-3</v>
      </c>
      <c r="R1083">
        <v>23309.80559568121</v>
      </c>
      <c r="S1083" t="s">
        <v>11</v>
      </c>
      <c r="T1083">
        <v>6.5599999999999999E-3</v>
      </c>
      <c r="U1083">
        <v>23792.136131200001</v>
      </c>
      <c r="V1083">
        <v>-482.33053551879129</v>
      </c>
      <c r="W1083">
        <v>-2.0272687280327193E-2</v>
      </c>
    </row>
    <row r="1084" spans="1:23" x14ac:dyDescent="0.25">
      <c r="A1084" t="s">
        <v>2256</v>
      </c>
      <c r="B1084" t="s">
        <v>30</v>
      </c>
      <c r="C1084" t="s">
        <v>103</v>
      </c>
      <c r="D1084" t="s">
        <v>31</v>
      </c>
      <c r="E1084" t="s">
        <v>74</v>
      </c>
      <c r="F1084" s="1">
        <v>45801</v>
      </c>
      <c r="G1084">
        <v>45831</v>
      </c>
      <c r="H1084" t="s">
        <v>9</v>
      </c>
      <c r="I1084">
        <v>1812550.81</v>
      </c>
      <c r="J1084" t="s">
        <v>75</v>
      </c>
      <c r="K1084" t="s">
        <v>2257</v>
      </c>
      <c r="L1084">
        <v>30</v>
      </c>
      <c r="M1084" t="s">
        <v>30</v>
      </c>
      <c r="N1084">
        <v>1.1404000000000001</v>
      </c>
      <c r="O1084">
        <v>1.3160992498557416</v>
      </c>
      <c r="P1084">
        <v>6.6453003904201387E-3</v>
      </c>
      <c r="Q1084">
        <v>6.6453003904201387E-3</v>
      </c>
      <c r="R1084">
        <v>12044.944605349339</v>
      </c>
      <c r="S1084" t="s">
        <v>12</v>
      </c>
      <c r="T1084">
        <v>6.7000000000000002E-3</v>
      </c>
      <c r="U1084">
        <v>12144.090427000001</v>
      </c>
      <c r="V1084">
        <v>-99.145821650661674</v>
      </c>
      <c r="W1084">
        <v>-8.1641208328151454E-3</v>
      </c>
    </row>
    <row r="1085" spans="1:23" x14ac:dyDescent="0.25">
      <c r="A1085" t="s">
        <v>2258</v>
      </c>
      <c r="B1085" t="s">
        <v>42</v>
      </c>
      <c r="C1085" t="s">
        <v>151</v>
      </c>
      <c r="D1085" t="s">
        <v>35</v>
      </c>
      <c r="E1085" t="s">
        <v>152</v>
      </c>
      <c r="F1085" s="1">
        <v>45763</v>
      </c>
      <c r="G1085">
        <v>45793</v>
      </c>
      <c r="H1085" t="s">
        <v>8</v>
      </c>
      <c r="I1085">
        <v>7330.95</v>
      </c>
      <c r="J1085" t="s">
        <v>75</v>
      </c>
      <c r="K1085" t="s">
        <v>2259</v>
      </c>
      <c r="L1085">
        <v>30</v>
      </c>
      <c r="M1085" t="s">
        <v>42</v>
      </c>
      <c r="N1085">
        <v>1.1355</v>
      </c>
      <c r="O1085">
        <v>1.3262398093858767</v>
      </c>
      <c r="P1085">
        <v>7.0053673884878766E-3</v>
      </c>
      <c r="Q1085">
        <v>1.3262398093858767</v>
      </c>
      <c r="R1085">
        <v>9722.5977306173918</v>
      </c>
      <c r="S1085" t="s">
        <v>12</v>
      </c>
      <c r="T1085">
        <v>1.26</v>
      </c>
      <c r="U1085">
        <v>9236.9969999999994</v>
      </c>
      <c r="V1085">
        <v>485.6007306173924</v>
      </c>
      <c r="W1085">
        <v>5.2571277290378297E-2</v>
      </c>
    </row>
    <row r="1086" spans="1:23" x14ac:dyDescent="0.25">
      <c r="A1086" t="s">
        <v>2260</v>
      </c>
      <c r="B1086" t="s">
        <v>30</v>
      </c>
      <c r="C1086" t="s">
        <v>103</v>
      </c>
      <c r="D1086" t="s">
        <v>31</v>
      </c>
      <c r="E1086" t="s">
        <v>74</v>
      </c>
      <c r="F1086" s="1">
        <v>45855</v>
      </c>
      <c r="G1086">
        <v>45885</v>
      </c>
      <c r="H1086" t="s">
        <v>9</v>
      </c>
      <c r="I1086">
        <v>1120398.8600000001</v>
      </c>
      <c r="J1086" t="s">
        <v>75</v>
      </c>
      <c r="K1086" t="s">
        <v>2261</v>
      </c>
      <c r="L1086">
        <v>30</v>
      </c>
      <c r="M1086" t="s">
        <v>30</v>
      </c>
      <c r="N1086">
        <v>1.1578999999999999</v>
      </c>
      <c r="O1086">
        <v>1.3395418787598334</v>
      </c>
      <c r="P1086">
        <v>6.7210355235662869E-3</v>
      </c>
      <c r="Q1086">
        <v>6.7210355235662869E-3</v>
      </c>
      <c r="R1086">
        <v>7530.2405386231712</v>
      </c>
      <c r="S1086" t="s">
        <v>13</v>
      </c>
      <c r="T1086">
        <v>6.8399999999999997E-3</v>
      </c>
      <c r="U1086">
        <v>7663.5282024000007</v>
      </c>
      <c r="V1086">
        <v>-133.2876637768295</v>
      </c>
      <c r="W1086">
        <v>-1.7392467314870399E-2</v>
      </c>
    </row>
    <row r="1087" spans="1:23" x14ac:dyDescent="0.25">
      <c r="A1087" t="s">
        <v>2262</v>
      </c>
      <c r="B1087" t="s">
        <v>41</v>
      </c>
      <c r="C1087" t="s">
        <v>172</v>
      </c>
      <c r="D1087" t="s">
        <v>33</v>
      </c>
      <c r="E1087" t="s">
        <v>83</v>
      </c>
      <c r="F1087" s="1">
        <v>46012</v>
      </c>
      <c r="G1087">
        <v>46042</v>
      </c>
      <c r="H1087" t="s">
        <v>9</v>
      </c>
      <c r="I1087">
        <v>835685.46</v>
      </c>
      <c r="J1087" t="s">
        <v>75</v>
      </c>
      <c r="K1087" t="s">
        <v>2263</v>
      </c>
      <c r="L1087">
        <v>30</v>
      </c>
      <c r="M1087" t="s">
        <v>41</v>
      </c>
      <c r="N1087">
        <v>1.1555</v>
      </c>
      <c r="O1087">
        <v>1.3367963164349013</v>
      </c>
      <c r="P1087">
        <v>6.2983756677204832E-3</v>
      </c>
      <c r="Q1087">
        <v>6.2983756677204832E-3</v>
      </c>
      <c r="R1087">
        <v>5263.4609671317985</v>
      </c>
      <c r="S1087" t="s">
        <v>14</v>
      </c>
      <c r="T1087">
        <v>6.9800000000000001E-3</v>
      </c>
      <c r="U1087">
        <v>5833.0845107999994</v>
      </c>
      <c r="V1087">
        <v>-569.62354366820091</v>
      </c>
      <c r="W1087">
        <v>-9.7653915799357727E-2</v>
      </c>
    </row>
    <row r="1088" spans="1:23" x14ac:dyDescent="0.25">
      <c r="A1088" t="s">
        <v>2264</v>
      </c>
      <c r="B1088" t="s">
        <v>32</v>
      </c>
      <c r="C1088" t="s">
        <v>106</v>
      </c>
      <c r="D1088" t="s">
        <v>31</v>
      </c>
      <c r="E1088" t="s">
        <v>74</v>
      </c>
      <c r="F1088" s="1">
        <v>45793</v>
      </c>
      <c r="G1088">
        <v>45823</v>
      </c>
      <c r="H1088" t="s">
        <v>6</v>
      </c>
      <c r="I1088">
        <v>21094.5</v>
      </c>
      <c r="J1088" t="s">
        <v>75</v>
      </c>
      <c r="K1088" t="s">
        <v>2265</v>
      </c>
      <c r="L1088">
        <v>30</v>
      </c>
      <c r="M1088" t="s">
        <v>32</v>
      </c>
      <c r="N1088">
        <v>1.1194</v>
      </c>
      <c r="O1088">
        <v>1.3283493532692536</v>
      </c>
      <c r="P1088">
        <v>6.8653787181846048E-3</v>
      </c>
      <c r="Q1088">
        <v>1.1194</v>
      </c>
      <c r="R1088">
        <v>23613.183300000001</v>
      </c>
      <c r="S1088" t="s">
        <v>12</v>
      </c>
      <c r="T1088">
        <v>1.07</v>
      </c>
      <c r="U1088">
        <v>22571.115000000002</v>
      </c>
      <c r="V1088">
        <v>1042.068299999999</v>
      </c>
      <c r="W1088">
        <v>4.616822429906537E-2</v>
      </c>
    </row>
    <row r="1089" spans="1:23" x14ac:dyDescent="0.25">
      <c r="A1089" t="s">
        <v>2266</v>
      </c>
      <c r="B1089" t="s">
        <v>37</v>
      </c>
      <c r="C1089" t="s">
        <v>91</v>
      </c>
      <c r="D1089" t="s">
        <v>31</v>
      </c>
      <c r="E1089" t="s">
        <v>74</v>
      </c>
      <c r="F1089" s="1">
        <v>45943</v>
      </c>
      <c r="G1089">
        <v>45973</v>
      </c>
      <c r="H1089" t="s">
        <v>6</v>
      </c>
      <c r="I1089">
        <v>22494.14</v>
      </c>
      <c r="J1089" t="s">
        <v>75</v>
      </c>
      <c r="K1089" t="s">
        <v>2267</v>
      </c>
      <c r="L1089">
        <v>30</v>
      </c>
      <c r="M1089" t="s">
        <v>37</v>
      </c>
      <c r="N1089">
        <v>1.1569</v>
      </c>
      <c r="O1089">
        <v>1.3332949175982483</v>
      </c>
      <c r="P1089">
        <v>6.5740425048300948E-3</v>
      </c>
      <c r="Q1089">
        <v>1.1569</v>
      </c>
      <c r="R1089">
        <v>26023.470566</v>
      </c>
      <c r="S1089" t="s">
        <v>14</v>
      </c>
      <c r="T1089">
        <v>1.1060000000000001</v>
      </c>
      <c r="U1089">
        <v>24878.518840000001</v>
      </c>
      <c r="V1089">
        <v>1144.9517259999993</v>
      </c>
      <c r="W1089">
        <v>4.6021699819168142E-2</v>
      </c>
    </row>
    <row r="1090" spans="1:23" x14ac:dyDescent="0.25">
      <c r="A1090" t="s">
        <v>2268</v>
      </c>
      <c r="B1090" t="s">
        <v>20</v>
      </c>
      <c r="C1090" t="s">
        <v>123</v>
      </c>
      <c r="D1090" t="s">
        <v>31</v>
      </c>
      <c r="E1090" t="s">
        <v>124</v>
      </c>
      <c r="F1090" s="1">
        <v>45758</v>
      </c>
      <c r="G1090">
        <v>45803</v>
      </c>
      <c r="H1090" t="s">
        <v>6</v>
      </c>
      <c r="I1090">
        <v>20824.330000000002</v>
      </c>
      <c r="J1090" t="s">
        <v>75</v>
      </c>
      <c r="K1090" t="s">
        <v>2269</v>
      </c>
      <c r="L1090">
        <v>45</v>
      </c>
      <c r="M1090" t="s">
        <v>20</v>
      </c>
      <c r="N1090">
        <v>1.1346000000000001</v>
      </c>
      <c r="O1090">
        <v>1.3089826714968043</v>
      </c>
      <c r="P1090">
        <v>7.0006787190720066E-3</v>
      </c>
      <c r="Q1090">
        <v>1.1346000000000001</v>
      </c>
      <c r="R1090">
        <v>23627.284818000004</v>
      </c>
      <c r="S1090" t="s">
        <v>12</v>
      </c>
      <c r="T1090">
        <v>1.07</v>
      </c>
      <c r="U1090">
        <v>22282.033100000004</v>
      </c>
      <c r="V1090">
        <v>1345.2517179999995</v>
      </c>
      <c r="W1090">
        <v>6.0373831775700902E-2</v>
      </c>
    </row>
    <row r="1091" spans="1:23" x14ac:dyDescent="0.25">
      <c r="A1091" t="s">
        <v>2268</v>
      </c>
      <c r="B1091" t="s">
        <v>24</v>
      </c>
      <c r="C1091" t="s">
        <v>73</v>
      </c>
      <c r="D1091" t="s">
        <v>31</v>
      </c>
      <c r="E1091" t="s">
        <v>74</v>
      </c>
      <c r="F1091" s="1">
        <v>45978</v>
      </c>
      <c r="G1091">
        <v>46008</v>
      </c>
      <c r="H1091" t="s">
        <v>6</v>
      </c>
      <c r="I1091">
        <v>14297.29</v>
      </c>
      <c r="J1091" t="s">
        <v>75</v>
      </c>
      <c r="K1091" t="s">
        <v>2270</v>
      </c>
      <c r="L1091">
        <v>30</v>
      </c>
      <c r="M1091" t="s">
        <v>24</v>
      </c>
      <c r="N1091">
        <v>1.1593</v>
      </c>
      <c r="O1091">
        <v>1.3181353041500854</v>
      </c>
      <c r="P1091">
        <v>6.4559781700729525E-3</v>
      </c>
      <c r="Q1091">
        <v>1.1593</v>
      </c>
      <c r="R1091">
        <v>16574.848297</v>
      </c>
      <c r="S1091" t="s">
        <v>14</v>
      </c>
      <c r="T1091">
        <v>1.1060000000000001</v>
      </c>
      <c r="U1091">
        <v>15812.802740000003</v>
      </c>
      <c r="V1091">
        <v>762.04555699999764</v>
      </c>
      <c r="W1091">
        <v>4.8191681735985377E-2</v>
      </c>
    </row>
    <row r="1092" spans="1:23" x14ac:dyDescent="0.25">
      <c r="A1092" t="s">
        <v>2271</v>
      </c>
      <c r="B1092" t="s">
        <v>39</v>
      </c>
      <c r="C1092" t="s">
        <v>82</v>
      </c>
      <c r="D1092" t="s">
        <v>33</v>
      </c>
      <c r="E1092" t="s">
        <v>83</v>
      </c>
      <c r="F1092" s="1">
        <v>46341</v>
      </c>
      <c r="G1092">
        <v>46386</v>
      </c>
      <c r="H1092" t="s">
        <v>8</v>
      </c>
      <c r="I1092">
        <v>11941.22</v>
      </c>
      <c r="J1092" t="s">
        <v>84</v>
      </c>
      <c r="K1092" t="s">
        <v>2272</v>
      </c>
      <c r="L1092">
        <v>45</v>
      </c>
      <c r="M1092" t="s">
        <v>39</v>
      </c>
      <c r="N1092">
        <v>1.1176999999999999</v>
      </c>
      <c r="O1092">
        <v>1.320456022210408</v>
      </c>
      <c r="P1092">
        <v>6.3200452360757699E-3</v>
      </c>
      <c r="Q1092">
        <v>1.320456022210408</v>
      </c>
      <c r="R1092">
        <v>15767.855861539369</v>
      </c>
      <c r="S1092" t="s">
        <v>23</v>
      </c>
      <c r="T1092">
        <v>1.3149999999999999</v>
      </c>
      <c r="U1092">
        <v>15702.704299999998</v>
      </c>
      <c r="V1092">
        <v>65.15156153937096</v>
      </c>
      <c r="W1092">
        <v>4.1490663197020763E-3</v>
      </c>
    </row>
    <row r="1093" spans="1:23" x14ac:dyDescent="0.25">
      <c r="A1093" t="s">
        <v>2273</v>
      </c>
      <c r="B1093" t="s">
        <v>32</v>
      </c>
      <c r="C1093" t="s">
        <v>106</v>
      </c>
      <c r="D1093" t="s">
        <v>31</v>
      </c>
      <c r="E1093" t="s">
        <v>74</v>
      </c>
      <c r="F1093" s="1">
        <v>46329</v>
      </c>
      <c r="G1093">
        <v>46359</v>
      </c>
      <c r="H1093" t="s">
        <v>6</v>
      </c>
      <c r="I1093">
        <v>9813.94</v>
      </c>
      <c r="J1093" t="s">
        <v>84</v>
      </c>
      <c r="K1093" t="s">
        <v>2274</v>
      </c>
      <c r="L1093">
        <v>30</v>
      </c>
      <c r="M1093" t="s">
        <v>32</v>
      </c>
      <c r="N1093">
        <v>1.1176999999999999</v>
      </c>
      <c r="O1093">
        <v>1.320456022210408</v>
      </c>
      <c r="P1093">
        <v>6.3200452360757699E-3</v>
      </c>
      <c r="Q1093">
        <v>1.1176999999999999</v>
      </c>
      <c r="R1093">
        <v>10969.040738</v>
      </c>
      <c r="S1093" t="s">
        <v>23</v>
      </c>
      <c r="T1093">
        <v>1.119</v>
      </c>
      <c r="U1093">
        <v>10981.798860000001</v>
      </c>
      <c r="V1093">
        <v>-12.758122000001094</v>
      </c>
      <c r="W1093">
        <v>-1.1617515638964356E-3</v>
      </c>
    </row>
    <row r="1094" spans="1:23" x14ac:dyDescent="0.25">
      <c r="A1094" t="s">
        <v>2275</v>
      </c>
      <c r="B1094" t="s">
        <v>30</v>
      </c>
      <c r="C1094" t="s">
        <v>103</v>
      </c>
      <c r="D1094" t="s">
        <v>31</v>
      </c>
      <c r="E1094" t="s">
        <v>74</v>
      </c>
      <c r="F1094" s="1">
        <v>46231</v>
      </c>
      <c r="G1094">
        <v>46261</v>
      </c>
      <c r="H1094" t="s">
        <v>9</v>
      </c>
      <c r="I1094">
        <v>1041240.67</v>
      </c>
      <c r="J1094" t="s">
        <v>75</v>
      </c>
      <c r="K1094" t="s">
        <v>2276</v>
      </c>
      <c r="L1094">
        <v>30</v>
      </c>
      <c r="M1094" t="s">
        <v>30</v>
      </c>
      <c r="N1094">
        <v>1.1367</v>
      </c>
      <c r="O1094">
        <v>1.3286966686148451</v>
      </c>
      <c r="P1094">
        <v>6.1007943323314728E-3</v>
      </c>
      <c r="Q1094">
        <v>6.1007943323314728E-3</v>
      </c>
      <c r="R1094">
        <v>6352.3951781290252</v>
      </c>
      <c r="S1094" t="s">
        <v>21</v>
      </c>
      <c r="T1094">
        <v>6.7400000000000003E-3</v>
      </c>
      <c r="U1094">
        <v>7017.9621158000009</v>
      </c>
      <c r="V1094">
        <v>-665.56693767097568</v>
      </c>
      <c r="W1094">
        <v>-9.4837636152600616E-2</v>
      </c>
    </row>
    <row r="1095" spans="1:23" x14ac:dyDescent="0.25">
      <c r="A1095" t="s">
        <v>2277</v>
      </c>
      <c r="B1095" t="s">
        <v>36</v>
      </c>
      <c r="C1095" t="s">
        <v>116</v>
      </c>
      <c r="D1095" t="s">
        <v>31</v>
      </c>
      <c r="E1095" t="s">
        <v>74</v>
      </c>
      <c r="F1095" s="1">
        <v>46189</v>
      </c>
      <c r="G1095">
        <v>46234</v>
      </c>
      <c r="H1095" t="s">
        <v>6</v>
      </c>
      <c r="I1095">
        <v>21181.98</v>
      </c>
      <c r="J1095" t="s">
        <v>75</v>
      </c>
      <c r="K1095" t="s">
        <v>2278</v>
      </c>
      <c r="L1095">
        <v>45</v>
      </c>
      <c r="M1095" t="s">
        <v>36</v>
      </c>
      <c r="N1095">
        <v>1.1594</v>
      </c>
      <c r="O1095">
        <v>1.3407963363439765</v>
      </c>
      <c r="P1095">
        <v>6.2353447348607082E-3</v>
      </c>
      <c r="Q1095">
        <v>1.1594</v>
      </c>
      <c r="R1095">
        <v>24558.387611999999</v>
      </c>
      <c r="S1095" t="s">
        <v>19</v>
      </c>
      <c r="T1095">
        <v>1.083</v>
      </c>
      <c r="U1095">
        <v>22940.084339999998</v>
      </c>
      <c r="V1095">
        <v>1618.303272000001</v>
      </c>
      <c r="W1095">
        <v>7.0544783010157028E-2</v>
      </c>
    </row>
    <row r="1096" spans="1:23" x14ac:dyDescent="0.25">
      <c r="A1096" t="s">
        <v>2279</v>
      </c>
      <c r="B1096" t="s">
        <v>34</v>
      </c>
      <c r="C1096" t="s">
        <v>177</v>
      </c>
      <c r="D1096" t="s">
        <v>31</v>
      </c>
      <c r="E1096" t="s">
        <v>74</v>
      </c>
      <c r="F1096" s="1">
        <v>45659</v>
      </c>
      <c r="G1096">
        <v>45719</v>
      </c>
      <c r="H1096" t="s">
        <v>8</v>
      </c>
      <c r="I1096">
        <v>18898.54</v>
      </c>
      <c r="J1096" t="s">
        <v>75</v>
      </c>
      <c r="K1096" t="s">
        <v>2280</v>
      </c>
      <c r="L1096">
        <v>60</v>
      </c>
      <c r="M1096" t="s">
        <v>34</v>
      </c>
      <c r="N1096">
        <v>1.0321</v>
      </c>
      <c r="O1096">
        <v>1.2417286267715777</v>
      </c>
      <c r="P1096">
        <v>6.3694149592693162E-3</v>
      </c>
      <c r="Q1096">
        <v>1.2417286267715777</v>
      </c>
      <c r="R1096">
        <v>23466.858122187732</v>
      </c>
      <c r="S1096" t="s">
        <v>11</v>
      </c>
      <c r="T1096">
        <v>1.238</v>
      </c>
      <c r="U1096">
        <v>23396.392520000001</v>
      </c>
      <c r="V1096">
        <v>70.465602187730838</v>
      </c>
      <c r="W1096">
        <v>3.0118148397234546E-3</v>
      </c>
    </row>
    <row r="1097" spans="1:23" x14ac:dyDescent="0.25">
      <c r="A1097" t="s">
        <v>2281</v>
      </c>
      <c r="B1097" t="s">
        <v>20</v>
      </c>
      <c r="C1097" t="s">
        <v>123</v>
      </c>
      <c r="D1097" t="s">
        <v>31</v>
      </c>
      <c r="E1097" t="s">
        <v>124</v>
      </c>
      <c r="F1097" s="1">
        <v>46368</v>
      </c>
      <c r="G1097">
        <v>46413</v>
      </c>
      <c r="H1097" t="s">
        <v>6</v>
      </c>
      <c r="I1097">
        <v>56163.08</v>
      </c>
      <c r="J1097" t="s">
        <v>84</v>
      </c>
      <c r="K1097" t="s">
        <v>2282</v>
      </c>
      <c r="L1097">
        <v>45</v>
      </c>
      <c r="M1097" t="s">
        <v>20</v>
      </c>
      <c r="N1097">
        <v>1.1176999999999999</v>
      </c>
      <c r="O1097">
        <v>1.320456022210408</v>
      </c>
      <c r="P1097">
        <v>6.3200452360757699E-3</v>
      </c>
      <c r="Q1097">
        <v>1.1176999999999999</v>
      </c>
      <c r="R1097">
        <v>62773.474515999995</v>
      </c>
      <c r="S1097" t="s">
        <v>23</v>
      </c>
      <c r="T1097">
        <v>1.119</v>
      </c>
      <c r="U1097">
        <v>62846.486519999999</v>
      </c>
      <c r="V1097">
        <v>-73.012004000003799</v>
      </c>
      <c r="W1097">
        <v>-1.1617515638963965E-3</v>
      </c>
    </row>
    <row r="1098" spans="1:23" x14ac:dyDescent="0.25">
      <c r="A1098" t="s">
        <v>2283</v>
      </c>
      <c r="B1098" t="s">
        <v>40</v>
      </c>
      <c r="C1098" t="s">
        <v>78</v>
      </c>
      <c r="D1098" t="s">
        <v>33</v>
      </c>
      <c r="E1098" t="s">
        <v>79</v>
      </c>
      <c r="F1098" s="1">
        <v>45954</v>
      </c>
      <c r="G1098">
        <v>45984</v>
      </c>
      <c r="H1098" t="s">
        <v>9</v>
      </c>
      <c r="I1098">
        <v>1048407.21</v>
      </c>
      <c r="J1098" t="s">
        <v>75</v>
      </c>
      <c r="K1098" t="s">
        <v>2284</v>
      </c>
      <c r="L1098">
        <v>30</v>
      </c>
      <c r="M1098" t="s">
        <v>40</v>
      </c>
      <c r="N1098">
        <v>1.1612</v>
      </c>
      <c r="O1098">
        <v>1.3307357322942928</v>
      </c>
      <c r="P1098">
        <v>6.5401295409743734E-3</v>
      </c>
      <c r="Q1098">
        <v>6.5401295409743734E-3</v>
      </c>
      <c r="R1098">
        <v>6856.7189650915234</v>
      </c>
      <c r="S1098" t="s">
        <v>14</v>
      </c>
      <c r="T1098">
        <v>6.9800000000000001E-3</v>
      </c>
      <c r="U1098">
        <v>7317.8823258000002</v>
      </c>
      <c r="V1098">
        <v>-461.16336070847683</v>
      </c>
      <c r="W1098">
        <v>-6.3018690404817612E-2</v>
      </c>
    </row>
    <row r="1099" spans="1:23" x14ac:dyDescent="0.25">
      <c r="A1099" t="s">
        <v>2285</v>
      </c>
      <c r="B1099" t="s">
        <v>38</v>
      </c>
      <c r="C1099" t="s">
        <v>87</v>
      </c>
      <c r="D1099" t="s">
        <v>33</v>
      </c>
      <c r="E1099" t="s">
        <v>88</v>
      </c>
      <c r="F1099" s="1">
        <v>45857</v>
      </c>
      <c r="G1099">
        <v>45887</v>
      </c>
      <c r="H1099" t="s">
        <v>6</v>
      </c>
      <c r="I1099">
        <v>2611.42</v>
      </c>
      <c r="J1099" t="s">
        <v>75</v>
      </c>
      <c r="K1099" t="s">
        <v>2286</v>
      </c>
      <c r="L1099">
        <v>30</v>
      </c>
      <c r="M1099" t="s">
        <v>38</v>
      </c>
      <c r="N1099">
        <v>1.1655</v>
      </c>
      <c r="O1099">
        <v>1.3410424577148774</v>
      </c>
      <c r="P1099">
        <v>6.6330886119173637E-3</v>
      </c>
      <c r="Q1099">
        <v>1.1655</v>
      </c>
      <c r="R1099">
        <v>3043.6100099999999</v>
      </c>
      <c r="S1099" t="s">
        <v>13</v>
      </c>
      <c r="T1099">
        <v>1.0880000000000001</v>
      </c>
      <c r="U1099">
        <v>2841.2249600000005</v>
      </c>
      <c r="V1099">
        <v>202.38504999999941</v>
      </c>
      <c r="W1099">
        <v>7.1231617647058598E-2</v>
      </c>
    </row>
    <row r="1100" spans="1:23" x14ac:dyDescent="0.25">
      <c r="A1100" t="s">
        <v>2287</v>
      </c>
      <c r="B1100" t="s">
        <v>28</v>
      </c>
      <c r="C1100" t="s">
        <v>111</v>
      </c>
      <c r="D1100" t="s">
        <v>31</v>
      </c>
      <c r="E1100" t="s">
        <v>74</v>
      </c>
      <c r="F1100" s="1">
        <v>45961</v>
      </c>
      <c r="G1100">
        <v>46006</v>
      </c>
      <c r="H1100" t="s">
        <v>9</v>
      </c>
      <c r="I1100">
        <v>2474526.75</v>
      </c>
      <c r="J1100" t="s">
        <v>75</v>
      </c>
      <c r="K1100" t="s">
        <v>2288</v>
      </c>
      <c r="L1100">
        <v>45</v>
      </c>
      <c r="M1100" t="s">
        <v>28</v>
      </c>
      <c r="N1100">
        <v>1.1554</v>
      </c>
      <c r="O1100">
        <v>1.3105716878402902</v>
      </c>
      <c r="P1100">
        <v>6.4859099584596387E-3</v>
      </c>
      <c r="Q1100">
        <v>6.4859099584596387E-3</v>
      </c>
      <c r="R1100">
        <v>16049.557690299765</v>
      </c>
      <c r="S1100" t="s">
        <v>14</v>
      </c>
      <c r="T1100">
        <v>6.9800000000000001E-3</v>
      </c>
      <c r="U1100">
        <v>17272.196715000002</v>
      </c>
      <c r="V1100">
        <v>-1222.6390247002364</v>
      </c>
      <c r="W1100">
        <v>-7.0786538902630619E-2</v>
      </c>
    </row>
    <row r="1101" spans="1:23" x14ac:dyDescent="0.25">
      <c r="A1101" t="s">
        <v>2289</v>
      </c>
      <c r="B1101" t="s">
        <v>32</v>
      </c>
      <c r="C1101" t="s">
        <v>106</v>
      </c>
      <c r="D1101" t="s">
        <v>31</v>
      </c>
      <c r="E1101" t="s">
        <v>74</v>
      </c>
      <c r="F1101" s="1">
        <v>46143</v>
      </c>
      <c r="G1101">
        <v>46173</v>
      </c>
      <c r="H1101" t="s">
        <v>6</v>
      </c>
      <c r="I1101">
        <v>9059.7000000000007</v>
      </c>
      <c r="J1101" t="s">
        <v>75</v>
      </c>
      <c r="K1101" t="s">
        <v>2290</v>
      </c>
      <c r="L1101">
        <v>30</v>
      </c>
      <c r="M1101" t="s">
        <v>32</v>
      </c>
      <c r="N1101">
        <v>1.1701999999999999</v>
      </c>
      <c r="O1101">
        <v>1.3508802308802308</v>
      </c>
      <c r="P1101">
        <v>6.3872059385404719E-3</v>
      </c>
      <c r="Q1101">
        <v>1.1701999999999999</v>
      </c>
      <c r="R1101">
        <v>10601.66094</v>
      </c>
      <c r="S1101" t="s">
        <v>19</v>
      </c>
      <c r="T1101">
        <v>1.083</v>
      </c>
      <c r="U1101">
        <v>9811.6550999999999</v>
      </c>
      <c r="V1101">
        <v>790.00583999999981</v>
      </c>
      <c r="W1101">
        <v>8.0517082179132018E-2</v>
      </c>
    </row>
    <row r="1102" spans="1:23" x14ac:dyDescent="0.25">
      <c r="A1102" t="s">
        <v>2291</v>
      </c>
      <c r="B1102" t="s">
        <v>28</v>
      </c>
      <c r="C1102" t="s">
        <v>111</v>
      </c>
      <c r="D1102" t="s">
        <v>31</v>
      </c>
      <c r="E1102" t="s">
        <v>74</v>
      </c>
      <c r="F1102" s="1">
        <v>46095</v>
      </c>
      <c r="G1102">
        <v>46140</v>
      </c>
      <c r="H1102" t="s">
        <v>9</v>
      </c>
      <c r="I1102">
        <v>1131783.54</v>
      </c>
      <c r="J1102" t="s">
        <v>75</v>
      </c>
      <c r="K1102" t="s">
        <v>2292</v>
      </c>
      <c r="L1102">
        <v>45</v>
      </c>
      <c r="M1102" t="s">
        <v>28</v>
      </c>
      <c r="N1102">
        <v>1.1555</v>
      </c>
      <c r="O1102">
        <v>1.3367963164349013</v>
      </c>
      <c r="P1102">
        <v>6.2983756677204832E-3</v>
      </c>
      <c r="Q1102">
        <v>6.2983756677204832E-3</v>
      </c>
      <c r="R1102">
        <v>7128.3979094625529</v>
      </c>
      <c r="S1102" t="s">
        <v>16</v>
      </c>
      <c r="T1102">
        <v>6.4599999999999996E-3</v>
      </c>
      <c r="U1102">
        <v>7311.3216683999999</v>
      </c>
      <c r="V1102">
        <v>-182.92375893744702</v>
      </c>
      <c r="W1102">
        <v>-2.5019246482897231E-2</v>
      </c>
    </row>
    <row r="1103" spans="1:23" x14ac:dyDescent="0.25">
      <c r="A1103" t="s">
        <v>2293</v>
      </c>
      <c r="B1103" t="s">
        <v>20</v>
      </c>
      <c r="C1103" t="s">
        <v>123</v>
      </c>
      <c r="D1103" t="s">
        <v>31</v>
      </c>
      <c r="E1103" t="s">
        <v>124</v>
      </c>
      <c r="F1103" s="1">
        <v>46379</v>
      </c>
      <c r="G1103">
        <v>46424</v>
      </c>
      <c r="H1103" t="s">
        <v>6</v>
      </c>
      <c r="I1103">
        <v>81758.789999999994</v>
      </c>
      <c r="J1103" t="s">
        <v>84</v>
      </c>
      <c r="K1103" t="s">
        <v>2294</v>
      </c>
      <c r="L1103">
        <v>45</v>
      </c>
      <c r="M1103" t="s">
        <v>20</v>
      </c>
      <c r="N1103">
        <v>1.1176999999999999</v>
      </c>
      <c r="O1103">
        <v>1.320456022210408</v>
      </c>
      <c r="P1103">
        <v>6.3200452360757699E-3</v>
      </c>
      <c r="Q1103">
        <v>1.1176999999999999</v>
      </c>
      <c r="R1103">
        <v>91381.799582999985</v>
      </c>
      <c r="S1103" t="s">
        <v>23</v>
      </c>
      <c r="T1103">
        <v>1.119</v>
      </c>
      <c r="U1103">
        <v>91488.086009999999</v>
      </c>
      <c r="V1103">
        <v>-106.28642700001365</v>
      </c>
      <c r="W1103">
        <v>-1.1617515638964852E-3</v>
      </c>
    </row>
    <row r="1104" spans="1:23" x14ac:dyDescent="0.25">
      <c r="A1104" t="s">
        <v>2295</v>
      </c>
      <c r="B1104" t="s">
        <v>25</v>
      </c>
      <c r="C1104" t="s">
        <v>169</v>
      </c>
      <c r="D1104" t="s">
        <v>31</v>
      </c>
      <c r="E1104" t="s">
        <v>124</v>
      </c>
      <c r="F1104" s="1">
        <v>45983</v>
      </c>
      <c r="G1104">
        <v>46043</v>
      </c>
      <c r="H1104" t="s">
        <v>6</v>
      </c>
      <c r="I1104">
        <v>28656.45</v>
      </c>
      <c r="J1104" t="s">
        <v>75</v>
      </c>
      <c r="K1104" t="s">
        <v>2296</v>
      </c>
      <c r="L1104">
        <v>60</v>
      </c>
      <c r="M1104" t="s">
        <v>25</v>
      </c>
      <c r="N1104">
        <v>1.1555</v>
      </c>
      <c r="O1104">
        <v>1.3367963164349013</v>
      </c>
      <c r="P1104">
        <v>6.2983756677204832E-3</v>
      </c>
      <c r="Q1104">
        <v>1.1555</v>
      </c>
      <c r="R1104">
        <v>33112.527974999997</v>
      </c>
      <c r="S1104" t="s">
        <v>14</v>
      </c>
      <c r="T1104">
        <v>1.1060000000000001</v>
      </c>
      <c r="U1104">
        <v>31694.033700000004</v>
      </c>
      <c r="V1104">
        <v>1418.4942749999936</v>
      </c>
      <c r="W1104">
        <v>4.4755877034357842E-2</v>
      </c>
    </row>
    <row r="1105" spans="1:23" x14ac:dyDescent="0.25">
      <c r="A1105" t="s">
        <v>2297</v>
      </c>
      <c r="B1105" t="s">
        <v>20</v>
      </c>
      <c r="C1105" t="s">
        <v>123</v>
      </c>
      <c r="D1105" t="s">
        <v>31</v>
      </c>
      <c r="E1105" t="s">
        <v>124</v>
      </c>
      <c r="F1105" s="1">
        <v>46292</v>
      </c>
      <c r="G1105">
        <v>46337</v>
      </c>
      <c r="H1105" t="s">
        <v>6</v>
      </c>
      <c r="I1105">
        <v>30660.400000000001</v>
      </c>
      <c r="J1105" t="s">
        <v>75</v>
      </c>
      <c r="K1105" t="s">
        <v>2298</v>
      </c>
      <c r="L1105">
        <v>45</v>
      </c>
      <c r="M1105" t="s">
        <v>20</v>
      </c>
      <c r="N1105">
        <v>1.1403000000000001</v>
      </c>
      <c r="O1105">
        <v>1.3252367947004475</v>
      </c>
      <c r="P1105">
        <v>6.3455759599332232E-3</v>
      </c>
      <c r="Q1105">
        <v>1.1403000000000001</v>
      </c>
      <c r="R1105">
        <v>34962.054120000008</v>
      </c>
      <c r="S1105" t="s">
        <v>21</v>
      </c>
      <c r="T1105">
        <v>1.101</v>
      </c>
      <c r="U1105">
        <v>33757.100400000003</v>
      </c>
      <c r="V1105">
        <v>1204.953720000005</v>
      </c>
      <c r="W1105">
        <v>3.5694822888283524E-2</v>
      </c>
    </row>
    <row r="1106" spans="1:23" x14ac:dyDescent="0.25">
      <c r="A1106" t="s">
        <v>2299</v>
      </c>
      <c r="B1106" t="s">
        <v>24</v>
      </c>
      <c r="C1106" t="s">
        <v>73</v>
      </c>
      <c r="D1106" t="s">
        <v>31</v>
      </c>
      <c r="E1106" t="s">
        <v>74</v>
      </c>
      <c r="F1106" s="1">
        <v>45986</v>
      </c>
      <c r="G1106">
        <v>46016</v>
      </c>
      <c r="H1106" t="s">
        <v>6</v>
      </c>
      <c r="I1106">
        <v>19596.22</v>
      </c>
      <c r="J1106" t="s">
        <v>75</v>
      </c>
      <c r="K1106" t="s">
        <v>2300</v>
      </c>
      <c r="L1106">
        <v>30</v>
      </c>
      <c r="M1106" t="s">
        <v>24</v>
      </c>
      <c r="N1106">
        <v>1.1551</v>
      </c>
      <c r="O1106">
        <v>1.3144060081929905</v>
      </c>
      <c r="P1106">
        <v>6.4022835605808672E-3</v>
      </c>
      <c r="Q1106">
        <v>1.1551</v>
      </c>
      <c r="R1106">
        <v>22635.593722000001</v>
      </c>
      <c r="S1106" t="s">
        <v>14</v>
      </c>
      <c r="T1106">
        <v>1.1060000000000001</v>
      </c>
      <c r="U1106">
        <v>21673.419320000005</v>
      </c>
      <c r="V1106">
        <v>962.17440199999692</v>
      </c>
      <c r="W1106">
        <v>4.4394213381555005E-2</v>
      </c>
    </row>
    <row r="1107" spans="1:23" x14ac:dyDescent="0.25">
      <c r="A1107" t="s">
        <v>2301</v>
      </c>
      <c r="B1107" t="s">
        <v>41</v>
      </c>
      <c r="C1107" t="s">
        <v>172</v>
      </c>
      <c r="D1107" t="s">
        <v>33</v>
      </c>
      <c r="E1107" t="s">
        <v>83</v>
      </c>
      <c r="F1107" s="1">
        <v>45844</v>
      </c>
      <c r="G1107">
        <v>45874</v>
      </c>
      <c r="H1107" t="s">
        <v>9</v>
      </c>
      <c r="I1107">
        <v>3090945.32</v>
      </c>
      <c r="J1107" t="s">
        <v>75</v>
      </c>
      <c r="K1107" t="s">
        <v>2302</v>
      </c>
      <c r="L1107">
        <v>30</v>
      </c>
      <c r="M1107" t="s">
        <v>41</v>
      </c>
      <c r="N1107">
        <v>1.1724000000000001</v>
      </c>
      <c r="O1107">
        <v>1.3469669117647061</v>
      </c>
      <c r="P1107">
        <v>6.7977039485127852E-3</v>
      </c>
      <c r="Q1107">
        <v>6.7977039485127852E-3</v>
      </c>
      <c r="R1107">
        <v>21011.331206401112</v>
      </c>
      <c r="S1107" t="s">
        <v>13</v>
      </c>
      <c r="T1107">
        <v>6.8399999999999997E-3</v>
      </c>
      <c r="U1107">
        <v>21142.065988799997</v>
      </c>
      <c r="V1107">
        <v>-130.73478239888573</v>
      </c>
      <c r="W1107">
        <v>-6.1836332583647428E-3</v>
      </c>
    </row>
    <row r="1108" spans="1:23" x14ac:dyDescent="0.25">
      <c r="A1108" t="s">
        <v>2303</v>
      </c>
      <c r="B1108" t="s">
        <v>22</v>
      </c>
      <c r="C1108" t="s">
        <v>127</v>
      </c>
      <c r="D1108" t="s">
        <v>31</v>
      </c>
      <c r="E1108" t="s">
        <v>124</v>
      </c>
      <c r="F1108" s="1">
        <v>45954</v>
      </c>
      <c r="G1108">
        <v>46014</v>
      </c>
      <c r="H1108" t="s">
        <v>9</v>
      </c>
      <c r="I1108">
        <v>1645560.08</v>
      </c>
      <c r="J1108" t="s">
        <v>75</v>
      </c>
      <c r="K1108" t="s">
        <v>2304</v>
      </c>
      <c r="L1108">
        <v>60</v>
      </c>
      <c r="M1108" t="s">
        <v>22</v>
      </c>
      <c r="N1108">
        <v>1.1612</v>
      </c>
      <c r="O1108">
        <v>1.3307357322942928</v>
      </c>
      <c r="P1108">
        <v>6.5401295409743734E-3</v>
      </c>
      <c r="Q1108">
        <v>6.5401295409743734E-3</v>
      </c>
      <c r="R1108">
        <v>10762.176090656154</v>
      </c>
      <c r="S1108" t="s">
        <v>14</v>
      </c>
      <c r="T1108">
        <v>6.9800000000000001E-3</v>
      </c>
      <c r="U1108">
        <v>11486.009358400001</v>
      </c>
      <c r="V1108">
        <v>-723.83326774384659</v>
      </c>
      <c r="W1108">
        <v>-6.3018690404817543E-2</v>
      </c>
    </row>
    <row r="1109" spans="1:23" x14ac:dyDescent="0.25">
      <c r="A1109" t="s">
        <v>2305</v>
      </c>
      <c r="B1109" t="s">
        <v>41</v>
      </c>
      <c r="C1109" t="s">
        <v>172</v>
      </c>
      <c r="D1109" t="s">
        <v>33</v>
      </c>
      <c r="E1109" t="s">
        <v>83</v>
      </c>
      <c r="F1109" s="1">
        <v>46245</v>
      </c>
      <c r="G1109">
        <v>46275</v>
      </c>
      <c r="H1109" t="s">
        <v>9</v>
      </c>
      <c r="I1109">
        <v>312794.33</v>
      </c>
      <c r="J1109" t="s">
        <v>75</v>
      </c>
      <c r="K1109" t="s">
        <v>2306</v>
      </c>
      <c r="L1109">
        <v>30</v>
      </c>
      <c r="M1109" t="s">
        <v>41</v>
      </c>
      <c r="N1109">
        <v>1.1539999999999999</v>
      </c>
      <c r="O1109">
        <v>1.3499760186235858</v>
      </c>
      <c r="P1109">
        <v>6.2812976268234264E-3</v>
      </c>
      <c r="Q1109">
        <v>6.2812976268234264E-3</v>
      </c>
      <c r="R1109">
        <v>1964.7542827128239</v>
      </c>
      <c r="S1109" t="s">
        <v>21</v>
      </c>
      <c r="T1109">
        <v>6.7400000000000003E-3</v>
      </c>
      <c r="U1109">
        <v>2108.2337842000002</v>
      </c>
      <c r="V1109">
        <v>-143.47950148717632</v>
      </c>
      <c r="W1109">
        <v>-6.8056731925307659E-2</v>
      </c>
    </row>
    <row r="1110" spans="1:23" x14ac:dyDescent="0.25">
      <c r="A1110" t="s">
        <v>2307</v>
      </c>
      <c r="B1110" t="s">
        <v>44</v>
      </c>
      <c r="C1110" t="s">
        <v>138</v>
      </c>
      <c r="D1110" t="s">
        <v>33</v>
      </c>
      <c r="E1110" t="s">
        <v>88</v>
      </c>
      <c r="F1110" s="1">
        <v>45925</v>
      </c>
      <c r="G1110">
        <v>45970</v>
      </c>
      <c r="H1110" t="s">
        <v>9</v>
      </c>
      <c r="I1110">
        <v>459687.84</v>
      </c>
      <c r="J1110" t="s">
        <v>75</v>
      </c>
      <c r="K1110" t="s">
        <v>2308</v>
      </c>
      <c r="L1110">
        <v>45</v>
      </c>
      <c r="M1110" t="s">
        <v>44</v>
      </c>
      <c r="N1110">
        <v>1.1738999999999999</v>
      </c>
      <c r="O1110">
        <v>1.3419067215363512</v>
      </c>
      <c r="P1110">
        <v>6.7195191757298224E-3</v>
      </c>
      <c r="Q1110">
        <v>6.7195191757298224E-3</v>
      </c>
      <c r="R1110">
        <v>3088.8812557298224</v>
      </c>
      <c r="S1110" t="s">
        <v>13</v>
      </c>
      <c r="T1110">
        <v>6.8399999999999997E-3</v>
      </c>
      <c r="U1110">
        <v>3144.2648256000002</v>
      </c>
      <c r="V1110">
        <v>-55.38356987017778</v>
      </c>
      <c r="W1110">
        <v>-1.7614155595055286E-2</v>
      </c>
    </row>
    <row r="1111" spans="1:23" x14ac:dyDescent="0.25">
      <c r="A1111" t="s">
        <v>2309</v>
      </c>
      <c r="B1111" t="s">
        <v>25</v>
      </c>
      <c r="C1111" t="s">
        <v>169</v>
      </c>
      <c r="D1111" t="s">
        <v>31</v>
      </c>
      <c r="E1111" t="s">
        <v>124</v>
      </c>
      <c r="F1111" s="1">
        <v>45989</v>
      </c>
      <c r="G1111">
        <v>46049</v>
      </c>
      <c r="H1111" t="s">
        <v>6</v>
      </c>
      <c r="I1111">
        <v>35268.660000000003</v>
      </c>
      <c r="J1111" t="s">
        <v>75</v>
      </c>
      <c r="K1111" t="s">
        <v>2310</v>
      </c>
      <c r="L1111">
        <v>60</v>
      </c>
      <c r="M1111" t="s">
        <v>25</v>
      </c>
      <c r="N1111">
        <v>1.1566000000000001</v>
      </c>
      <c r="O1111">
        <v>1.3215265082266912</v>
      </c>
      <c r="P1111">
        <v>6.405272193609127E-3</v>
      </c>
      <c r="Q1111">
        <v>1.1566000000000001</v>
      </c>
      <c r="R1111">
        <v>40791.732156000005</v>
      </c>
      <c r="S1111" t="s">
        <v>14</v>
      </c>
      <c r="T1111">
        <v>1.1060000000000001</v>
      </c>
      <c r="U1111">
        <v>39007.137960000007</v>
      </c>
      <c r="V1111">
        <v>1784.5941959999982</v>
      </c>
      <c r="W1111">
        <v>4.5750452079565948E-2</v>
      </c>
    </row>
    <row r="1112" spans="1:23" x14ac:dyDescent="0.25">
      <c r="A1112" t="s">
        <v>2311</v>
      </c>
      <c r="B1112" t="s">
        <v>32</v>
      </c>
      <c r="C1112" t="s">
        <v>106</v>
      </c>
      <c r="D1112" t="s">
        <v>31</v>
      </c>
      <c r="E1112" t="s">
        <v>74</v>
      </c>
      <c r="F1112" s="1">
        <v>46290</v>
      </c>
      <c r="G1112">
        <v>46320</v>
      </c>
      <c r="H1112" t="s">
        <v>6</v>
      </c>
      <c r="I1112">
        <v>6178.78</v>
      </c>
      <c r="J1112" t="s">
        <v>75</v>
      </c>
      <c r="K1112" t="s">
        <v>2312</v>
      </c>
      <c r="L1112">
        <v>30</v>
      </c>
      <c r="M1112" t="s">
        <v>32</v>
      </c>
      <c r="N1112">
        <v>1.1403000000000001</v>
      </c>
      <c r="O1112">
        <v>1.3252367947004475</v>
      </c>
      <c r="P1112">
        <v>6.3455759599332232E-3</v>
      </c>
      <c r="Q1112">
        <v>1.1403000000000001</v>
      </c>
      <c r="R1112">
        <v>7045.6628340000007</v>
      </c>
      <c r="S1112" t="s">
        <v>21</v>
      </c>
      <c r="T1112">
        <v>1.101</v>
      </c>
      <c r="U1112">
        <v>6802.8367799999996</v>
      </c>
      <c r="V1112">
        <v>242.82605400000102</v>
      </c>
      <c r="W1112">
        <v>3.5694822888283531E-2</v>
      </c>
    </row>
    <row r="1113" spans="1:23" x14ac:dyDescent="0.25">
      <c r="A1113" t="s">
        <v>2313</v>
      </c>
      <c r="B1113" t="s">
        <v>34</v>
      </c>
      <c r="C1113" t="s">
        <v>177</v>
      </c>
      <c r="D1113" t="s">
        <v>31</v>
      </c>
      <c r="E1113" t="s">
        <v>74</v>
      </c>
      <c r="F1113" s="1">
        <v>45889</v>
      </c>
      <c r="G1113">
        <v>45949</v>
      </c>
      <c r="H1113" t="s">
        <v>8</v>
      </c>
      <c r="I1113">
        <v>21259.56</v>
      </c>
      <c r="J1113" t="s">
        <v>75</v>
      </c>
      <c r="K1113" t="s">
        <v>2314</v>
      </c>
      <c r="L1113">
        <v>60</v>
      </c>
      <c r="M1113" t="s">
        <v>34</v>
      </c>
      <c r="N1113">
        <v>1.1651</v>
      </c>
      <c r="O1113">
        <v>1.3477154424522846</v>
      </c>
      <c r="P1113">
        <v>6.7829073761425159E-3</v>
      </c>
      <c r="Q1113">
        <v>1.3477154424522846</v>
      </c>
      <c r="R1113">
        <v>28651.837311740892</v>
      </c>
      <c r="S1113" t="s">
        <v>13</v>
      </c>
      <c r="T1113">
        <v>1.282</v>
      </c>
      <c r="U1113">
        <v>27254.755920000003</v>
      </c>
      <c r="V1113">
        <v>1397.0813917408886</v>
      </c>
      <c r="W1113">
        <v>5.1260095516602537E-2</v>
      </c>
    </row>
    <row r="1114" spans="1:23" x14ac:dyDescent="0.25">
      <c r="A1114" t="s">
        <v>2315</v>
      </c>
      <c r="B1114" t="s">
        <v>42</v>
      </c>
      <c r="C1114" t="s">
        <v>151</v>
      </c>
      <c r="D1114" t="s">
        <v>35</v>
      </c>
      <c r="E1114" t="s">
        <v>152</v>
      </c>
      <c r="F1114" s="1">
        <v>46370</v>
      </c>
      <c r="G1114">
        <v>46400</v>
      </c>
      <c r="H1114" t="s">
        <v>8</v>
      </c>
      <c r="I1114">
        <v>4409.18</v>
      </c>
      <c r="J1114" t="s">
        <v>84</v>
      </c>
      <c r="K1114" t="s">
        <v>2316</v>
      </c>
      <c r="L1114">
        <v>30</v>
      </c>
      <c r="M1114" t="s">
        <v>42</v>
      </c>
      <c r="N1114">
        <v>1.1176999999999999</v>
      </c>
      <c r="O1114">
        <v>1.320456022210408</v>
      </c>
      <c r="P1114">
        <v>6.3200452360757699E-3</v>
      </c>
      <c r="Q1114">
        <v>1.320456022210408</v>
      </c>
      <c r="R1114">
        <v>5822.1282840096874</v>
      </c>
      <c r="S1114" t="s">
        <v>23</v>
      </c>
      <c r="T1114">
        <v>1.3149999999999999</v>
      </c>
      <c r="U1114">
        <v>5798.0717000000004</v>
      </c>
      <c r="V1114">
        <v>24.056584009686958</v>
      </c>
      <c r="W1114">
        <v>4.1490663197019375E-3</v>
      </c>
    </row>
    <row r="1115" spans="1:23" x14ac:dyDescent="0.25">
      <c r="A1115" t="s">
        <v>2317</v>
      </c>
      <c r="B1115" t="s">
        <v>36</v>
      </c>
      <c r="C1115" t="s">
        <v>116</v>
      </c>
      <c r="D1115" t="s">
        <v>31</v>
      </c>
      <c r="E1115" t="s">
        <v>74</v>
      </c>
      <c r="F1115" s="1">
        <v>45748</v>
      </c>
      <c r="G1115">
        <v>45793</v>
      </c>
      <c r="H1115" t="s">
        <v>6</v>
      </c>
      <c r="I1115">
        <v>19757.57</v>
      </c>
      <c r="J1115" t="s">
        <v>75</v>
      </c>
      <c r="K1115" t="s">
        <v>2318</v>
      </c>
      <c r="L1115">
        <v>45</v>
      </c>
      <c r="M1115" t="s">
        <v>36</v>
      </c>
      <c r="N1115">
        <v>1.0788</v>
      </c>
      <c r="O1115">
        <v>1.2894280762564991</v>
      </c>
      <c r="P1115">
        <v>6.7035356987510094E-3</v>
      </c>
      <c r="Q1115">
        <v>1.0788</v>
      </c>
      <c r="R1115">
        <v>21314.466516</v>
      </c>
      <c r="S1115" t="s">
        <v>12</v>
      </c>
      <c r="T1115">
        <v>1.07</v>
      </c>
      <c r="U1115">
        <v>21140.599900000001</v>
      </c>
      <c r="V1115">
        <v>173.86661599999934</v>
      </c>
      <c r="W1115">
        <v>8.2242990654205293E-3</v>
      </c>
    </row>
    <row r="1116" spans="1:23" x14ac:dyDescent="0.25">
      <c r="A1116" t="s">
        <v>2319</v>
      </c>
      <c r="B1116" t="s">
        <v>30</v>
      </c>
      <c r="C1116" t="s">
        <v>103</v>
      </c>
      <c r="D1116" t="s">
        <v>31</v>
      </c>
      <c r="E1116" t="s">
        <v>74</v>
      </c>
      <c r="F1116" s="1">
        <v>45836</v>
      </c>
      <c r="G1116">
        <v>45866</v>
      </c>
      <c r="H1116" t="s">
        <v>9</v>
      </c>
      <c r="I1116">
        <v>893675.39</v>
      </c>
      <c r="J1116" t="s">
        <v>75</v>
      </c>
      <c r="K1116" t="s">
        <v>2320</v>
      </c>
      <c r="L1116">
        <v>30</v>
      </c>
      <c r="M1116" t="s">
        <v>30</v>
      </c>
      <c r="N1116">
        <v>1.1736</v>
      </c>
      <c r="O1116">
        <v>1.3477262287551677</v>
      </c>
      <c r="P1116">
        <v>6.7529777317452098E-3</v>
      </c>
      <c r="Q1116">
        <v>6.7529777317452098E-3</v>
      </c>
      <c r="R1116">
        <v>6034.9700080787161</v>
      </c>
      <c r="S1116" t="s">
        <v>12</v>
      </c>
      <c r="T1116">
        <v>6.7000000000000002E-3</v>
      </c>
      <c r="U1116">
        <v>5987.6251130000001</v>
      </c>
      <c r="V1116">
        <v>47.344895078716036</v>
      </c>
      <c r="W1116">
        <v>7.9071241410761366E-3</v>
      </c>
    </row>
    <row r="1117" spans="1:23" x14ac:dyDescent="0.25">
      <c r="A1117" t="s">
        <v>2321</v>
      </c>
      <c r="B1117" t="s">
        <v>38</v>
      </c>
      <c r="C1117" t="s">
        <v>87</v>
      </c>
      <c r="D1117" t="s">
        <v>33</v>
      </c>
      <c r="E1117" t="s">
        <v>88</v>
      </c>
      <c r="F1117" s="1">
        <v>45884</v>
      </c>
      <c r="G1117">
        <v>45914</v>
      </c>
      <c r="H1117" t="s">
        <v>6</v>
      </c>
      <c r="I1117">
        <v>6436.26</v>
      </c>
      <c r="J1117" t="s">
        <v>75</v>
      </c>
      <c r="K1117" t="s">
        <v>2322</v>
      </c>
      <c r="L1117">
        <v>30</v>
      </c>
      <c r="M1117" t="s">
        <v>38</v>
      </c>
      <c r="N1117">
        <v>1.1688000000000001</v>
      </c>
      <c r="O1117">
        <v>1.3556019485038275</v>
      </c>
      <c r="P1117">
        <v>6.8028636284267509E-3</v>
      </c>
      <c r="Q1117">
        <v>1.1688000000000001</v>
      </c>
      <c r="R1117">
        <v>7522.7006880000008</v>
      </c>
      <c r="S1117" t="s">
        <v>13</v>
      </c>
      <c r="T1117">
        <v>1.0880000000000001</v>
      </c>
      <c r="U1117">
        <v>7002.6508800000011</v>
      </c>
      <c r="V1117">
        <v>520.04980799999976</v>
      </c>
      <c r="W1117">
        <v>7.4264705882352899E-2</v>
      </c>
    </row>
    <row r="1118" spans="1:23" x14ac:dyDescent="0.25">
      <c r="A1118" t="s">
        <v>2323</v>
      </c>
      <c r="B1118" t="s">
        <v>32</v>
      </c>
      <c r="C1118" t="s">
        <v>106</v>
      </c>
      <c r="D1118" t="s">
        <v>31</v>
      </c>
      <c r="E1118" t="s">
        <v>74</v>
      </c>
      <c r="F1118" s="1">
        <v>45670</v>
      </c>
      <c r="G1118">
        <v>45700</v>
      </c>
      <c r="H1118" t="s">
        <v>6</v>
      </c>
      <c r="I1118">
        <v>23070.03</v>
      </c>
      <c r="J1118" t="s">
        <v>75</v>
      </c>
      <c r="K1118" t="s">
        <v>2324</v>
      </c>
      <c r="L1118">
        <v>30</v>
      </c>
      <c r="M1118" t="s">
        <v>32</v>
      </c>
      <c r="N1118">
        <v>1.0198</v>
      </c>
      <c r="O1118">
        <v>1.2117395437262357</v>
      </c>
      <c r="P1118">
        <v>6.3649981275745856E-3</v>
      </c>
      <c r="Q1118">
        <v>1.0198</v>
      </c>
      <c r="R1118">
        <v>23526.816594</v>
      </c>
      <c r="S1118" t="s">
        <v>11</v>
      </c>
      <c r="T1118">
        <v>1.052</v>
      </c>
      <c r="U1118">
        <v>24269.671559999999</v>
      </c>
      <c r="V1118">
        <v>-742.85496599999897</v>
      </c>
      <c r="W1118">
        <v>-3.0608365019011367E-2</v>
      </c>
    </row>
    <row r="1119" spans="1:23" x14ac:dyDescent="0.25">
      <c r="A1119" t="s">
        <v>2325</v>
      </c>
      <c r="B1119" t="s">
        <v>41</v>
      </c>
      <c r="C1119" t="s">
        <v>172</v>
      </c>
      <c r="D1119" t="s">
        <v>33</v>
      </c>
      <c r="E1119" t="s">
        <v>83</v>
      </c>
      <c r="F1119" s="1">
        <v>46181</v>
      </c>
      <c r="G1119">
        <v>46211</v>
      </c>
      <c r="H1119" t="s">
        <v>9</v>
      </c>
      <c r="I1119">
        <v>1184154.79</v>
      </c>
      <c r="J1119" t="s">
        <v>75</v>
      </c>
      <c r="K1119" t="s">
        <v>2326</v>
      </c>
      <c r="L1119">
        <v>30</v>
      </c>
      <c r="M1119" t="s">
        <v>41</v>
      </c>
      <c r="N1119">
        <v>1.1539999999999999</v>
      </c>
      <c r="O1119">
        <v>1.3362667901806391</v>
      </c>
      <c r="P1119">
        <v>6.2513542795232932E-3</v>
      </c>
      <c r="Q1119">
        <v>6.2513542795232932E-3</v>
      </c>
      <c r="R1119">
        <v>7402.5711140845069</v>
      </c>
      <c r="S1119" t="s">
        <v>19</v>
      </c>
      <c r="T1119">
        <v>6.6E-3</v>
      </c>
      <c r="U1119">
        <v>7815.4216139999999</v>
      </c>
      <c r="V1119">
        <v>-412.85049991549295</v>
      </c>
      <c r="W1119">
        <v>-5.2825109163137332E-2</v>
      </c>
    </row>
    <row r="1120" spans="1:23" x14ac:dyDescent="0.25">
      <c r="A1120" t="s">
        <v>2327</v>
      </c>
      <c r="B1120" t="s">
        <v>40</v>
      </c>
      <c r="C1120" t="s">
        <v>78</v>
      </c>
      <c r="D1120" t="s">
        <v>33</v>
      </c>
      <c r="E1120" t="s">
        <v>79</v>
      </c>
      <c r="F1120" s="1">
        <v>45815</v>
      </c>
      <c r="G1120">
        <v>45845</v>
      </c>
      <c r="H1120" t="s">
        <v>9</v>
      </c>
      <c r="I1120">
        <v>1137613.81</v>
      </c>
      <c r="J1120" t="s">
        <v>75</v>
      </c>
      <c r="K1120" t="s">
        <v>2328</v>
      </c>
      <c r="L1120">
        <v>30</v>
      </c>
      <c r="M1120" t="s">
        <v>40</v>
      </c>
      <c r="N1120">
        <v>1.1638999999999999</v>
      </c>
      <c r="O1120">
        <v>1.3449272012941993</v>
      </c>
      <c r="P1120">
        <v>6.7633215178104474E-3</v>
      </c>
      <c r="Q1120">
        <v>6.7633215178104474E-3</v>
      </c>
      <c r="R1120">
        <v>7694.0479601313264</v>
      </c>
      <c r="S1120" t="s">
        <v>12</v>
      </c>
      <c r="T1120">
        <v>6.7000000000000002E-3</v>
      </c>
      <c r="U1120">
        <v>7622.0125270000008</v>
      </c>
      <c r="V1120">
        <v>72.03543313132559</v>
      </c>
      <c r="W1120">
        <v>9.4509728075294185E-3</v>
      </c>
    </row>
    <row r="1121" spans="1:23" x14ac:dyDescent="0.25">
      <c r="A1121" t="s">
        <v>2329</v>
      </c>
      <c r="B1121" t="s">
        <v>28</v>
      </c>
      <c r="C1121" t="s">
        <v>111</v>
      </c>
      <c r="D1121" t="s">
        <v>31</v>
      </c>
      <c r="E1121" t="s">
        <v>74</v>
      </c>
      <c r="F1121" s="1">
        <v>46281</v>
      </c>
      <c r="G1121">
        <v>46326</v>
      </c>
      <c r="H1121" t="s">
        <v>9</v>
      </c>
      <c r="I1121">
        <v>4180541.17</v>
      </c>
      <c r="J1121" t="s">
        <v>75</v>
      </c>
      <c r="K1121" t="s">
        <v>2330</v>
      </c>
      <c r="L1121">
        <v>45</v>
      </c>
      <c r="M1121" t="s">
        <v>28</v>
      </c>
      <c r="N1121">
        <v>1.1536999999999999</v>
      </c>
      <c r="O1121">
        <v>1.3455796594355025</v>
      </c>
      <c r="P1121">
        <v>6.4495751341681574E-3</v>
      </c>
      <c r="Q1121">
        <v>6.4495751341681574E-3</v>
      </c>
      <c r="R1121">
        <v>26962.714377398257</v>
      </c>
      <c r="S1121" t="s">
        <v>21</v>
      </c>
      <c r="T1121">
        <v>6.7400000000000003E-3</v>
      </c>
      <c r="U1121">
        <v>28176.847485800001</v>
      </c>
      <c r="V1121">
        <v>-1214.1331084017438</v>
      </c>
      <c r="W1121">
        <v>-4.3089742705021139E-2</v>
      </c>
    </row>
    <row r="1122" spans="1:23" x14ac:dyDescent="0.25">
      <c r="A1122" t="s">
        <v>2331</v>
      </c>
      <c r="B1122" t="s">
        <v>38</v>
      </c>
      <c r="C1122" t="s">
        <v>87</v>
      </c>
      <c r="D1122" t="s">
        <v>33</v>
      </c>
      <c r="E1122" t="s">
        <v>88</v>
      </c>
      <c r="F1122" s="1">
        <v>46191</v>
      </c>
      <c r="G1122">
        <v>46221</v>
      </c>
      <c r="H1122" t="s">
        <v>6</v>
      </c>
      <c r="I1122">
        <v>2865.3</v>
      </c>
      <c r="J1122" t="s">
        <v>75</v>
      </c>
      <c r="K1122" t="s">
        <v>2332</v>
      </c>
      <c r="L1122">
        <v>30</v>
      </c>
      <c r="M1122" t="s">
        <v>38</v>
      </c>
      <c r="N1122">
        <v>1.1460999999999999</v>
      </c>
      <c r="O1122">
        <v>1.3228606385188946</v>
      </c>
      <c r="P1122">
        <v>6.2139449143352845E-3</v>
      </c>
      <c r="Q1122">
        <v>1.1460999999999999</v>
      </c>
      <c r="R1122">
        <v>3283.9203299999999</v>
      </c>
      <c r="S1122" t="s">
        <v>19</v>
      </c>
      <c r="T1122">
        <v>1.083</v>
      </c>
      <c r="U1122">
        <v>3103.1199000000001</v>
      </c>
      <c r="V1122">
        <v>180.80042999999978</v>
      </c>
      <c r="W1122">
        <v>5.8264081255770934E-2</v>
      </c>
    </row>
    <row r="1123" spans="1:23" x14ac:dyDescent="0.25">
      <c r="A1123" t="s">
        <v>2333</v>
      </c>
      <c r="B1123" t="s">
        <v>36</v>
      </c>
      <c r="C1123" t="s">
        <v>116</v>
      </c>
      <c r="D1123" t="s">
        <v>31</v>
      </c>
      <c r="E1123" t="s">
        <v>74</v>
      </c>
      <c r="F1123" s="1">
        <v>45658</v>
      </c>
      <c r="G1123">
        <v>45703</v>
      </c>
      <c r="H1123" t="s">
        <v>6</v>
      </c>
      <c r="I1123">
        <v>7531.09</v>
      </c>
      <c r="J1123" t="s">
        <v>75</v>
      </c>
      <c r="K1123" t="s">
        <v>2334</v>
      </c>
      <c r="L1123">
        <v>45</v>
      </c>
      <c r="M1123" t="s">
        <v>36</v>
      </c>
      <c r="N1123">
        <v>1.0305</v>
      </c>
      <c r="O1123">
        <v>1.2295962199312713</v>
      </c>
      <c r="P1123">
        <v>6.339197834645669E-3</v>
      </c>
      <c r="Q1123">
        <v>1.0305</v>
      </c>
      <c r="R1123">
        <v>7760.7882449999997</v>
      </c>
      <c r="S1123" t="s">
        <v>11</v>
      </c>
      <c r="T1123">
        <v>1.052</v>
      </c>
      <c r="U1123">
        <v>7922.7066800000002</v>
      </c>
      <c r="V1123">
        <v>-161.9184350000005</v>
      </c>
      <c r="W1123">
        <v>-2.0437262357414512E-2</v>
      </c>
    </row>
    <row r="1124" spans="1:23" x14ac:dyDescent="0.25">
      <c r="A1124" t="s">
        <v>2335</v>
      </c>
      <c r="B1124" t="s">
        <v>36</v>
      </c>
      <c r="C1124" t="s">
        <v>116</v>
      </c>
      <c r="D1124" t="s">
        <v>31</v>
      </c>
      <c r="E1124" t="s">
        <v>74</v>
      </c>
      <c r="F1124" s="1">
        <v>46074</v>
      </c>
      <c r="G1124">
        <v>46119</v>
      </c>
      <c r="H1124" t="s">
        <v>6</v>
      </c>
      <c r="I1124">
        <v>20317.27</v>
      </c>
      <c r="J1124" t="s">
        <v>75</v>
      </c>
      <c r="K1124" t="s">
        <v>2336</v>
      </c>
      <c r="L1124">
        <v>45</v>
      </c>
      <c r="M1124" t="s">
        <v>36</v>
      </c>
      <c r="N1124">
        <v>1.1555</v>
      </c>
      <c r="O1124">
        <v>1.3367963164349013</v>
      </c>
      <c r="P1124">
        <v>6.2983756677204832E-3</v>
      </c>
      <c r="Q1124">
        <v>1.1555</v>
      </c>
      <c r="R1124">
        <v>23476.605485</v>
      </c>
      <c r="S1124" t="s">
        <v>16</v>
      </c>
      <c r="T1124">
        <v>1.0649999999999999</v>
      </c>
      <c r="U1124">
        <v>21637.89255</v>
      </c>
      <c r="V1124">
        <v>1838.7129349999996</v>
      </c>
      <c r="W1124">
        <v>8.4976525821596219E-2</v>
      </c>
    </row>
    <row r="1125" spans="1:23" x14ac:dyDescent="0.25">
      <c r="A1125" t="s">
        <v>2337</v>
      </c>
      <c r="B1125" t="s">
        <v>25</v>
      </c>
      <c r="C1125" t="s">
        <v>169</v>
      </c>
      <c r="D1125" t="s">
        <v>31</v>
      </c>
      <c r="E1125" t="s">
        <v>124</v>
      </c>
      <c r="F1125" s="1">
        <v>45720</v>
      </c>
      <c r="G1125">
        <v>45780</v>
      </c>
      <c r="H1125" t="s">
        <v>6</v>
      </c>
      <c r="I1125">
        <v>72076.11</v>
      </c>
      <c r="J1125" t="s">
        <v>75</v>
      </c>
      <c r="K1125" t="s">
        <v>2338</v>
      </c>
      <c r="L1125">
        <v>60</v>
      </c>
      <c r="M1125" t="s">
        <v>25</v>
      </c>
      <c r="N1125">
        <v>1.0557000000000001</v>
      </c>
      <c r="O1125">
        <v>1.2751848093926659</v>
      </c>
      <c r="P1125">
        <v>6.7456869009584666E-3</v>
      </c>
      <c r="Q1125">
        <v>1.0557000000000001</v>
      </c>
      <c r="R1125">
        <v>76090.749327000012</v>
      </c>
      <c r="S1125" t="s">
        <v>11</v>
      </c>
      <c r="T1125">
        <v>1.052</v>
      </c>
      <c r="U1125">
        <v>75824.067720000006</v>
      </c>
      <c r="V1125">
        <v>266.6816070000059</v>
      </c>
      <c r="W1125">
        <v>3.5171102661597734E-3</v>
      </c>
    </row>
    <row r="1126" spans="1:23" x14ac:dyDescent="0.25">
      <c r="A1126" t="s">
        <v>2339</v>
      </c>
      <c r="B1126" t="s">
        <v>20</v>
      </c>
      <c r="C1126" t="s">
        <v>123</v>
      </c>
      <c r="D1126" t="s">
        <v>31</v>
      </c>
      <c r="E1126" t="s">
        <v>124</v>
      </c>
      <c r="F1126" s="1">
        <v>45897</v>
      </c>
      <c r="G1126">
        <v>45942</v>
      </c>
      <c r="H1126" t="s">
        <v>6</v>
      </c>
      <c r="I1126">
        <v>48469.599999999999</v>
      </c>
      <c r="J1126" t="s">
        <v>75</v>
      </c>
      <c r="K1126" t="s">
        <v>2340</v>
      </c>
      <c r="L1126">
        <v>45</v>
      </c>
      <c r="M1126" t="s">
        <v>20</v>
      </c>
      <c r="N1126">
        <v>1.1676</v>
      </c>
      <c r="O1126">
        <v>1.3518582841264328</v>
      </c>
      <c r="P1126">
        <v>6.8089573128061586E-3</v>
      </c>
      <c r="Q1126">
        <v>1.1676</v>
      </c>
      <c r="R1126">
        <v>56593.104959999997</v>
      </c>
      <c r="S1126" t="s">
        <v>13</v>
      </c>
      <c r="T1126">
        <v>1.0880000000000001</v>
      </c>
      <c r="U1126">
        <v>52734.924800000001</v>
      </c>
      <c r="V1126">
        <v>3858.1801599999962</v>
      </c>
      <c r="W1126">
        <v>7.3161764705882287E-2</v>
      </c>
    </row>
    <row r="1127" spans="1:23" x14ac:dyDescent="0.25">
      <c r="A1127" t="s">
        <v>2341</v>
      </c>
      <c r="B1127" t="s">
        <v>28</v>
      </c>
      <c r="C1127" t="s">
        <v>111</v>
      </c>
      <c r="D1127" t="s">
        <v>31</v>
      </c>
      <c r="E1127" t="s">
        <v>74</v>
      </c>
      <c r="F1127" s="1">
        <v>46189</v>
      </c>
      <c r="G1127">
        <v>46234</v>
      </c>
      <c r="H1127" t="s">
        <v>9</v>
      </c>
      <c r="I1127">
        <v>3311704.8</v>
      </c>
      <c r="J1127" t="s">
        <v>75</v>
      </c>
      <c r="K1127" t="s">
        <v>2342</v>
      </c>
      <c r="L1127">
        <v>45</v>
      </c>
      <c r="M1127" t="s">
        <v>28</v>
      </c>
      <c r="N1127">
        <v>1.1594</v>
      </c>
      <c r="O1127">
        <v>1.3407963363439765</v>
      </c>
      <c r="P1127">
        <v>6.2353447348607082E-3</v>
      </c>
      <c r="Q1127">
        <v>6.2353447348607082E-3</v>
      </c>
      <c r="R1127">
        <v>20649.621088092932</v>
      </c>
      <c r="S1127" t="s">
        <v>19</v>
      </c>
      <c r="T1127">
        <v>6.6E-3</v>
      </c>
      <c r="U1127">
        <v>21857.251679999998</v>
      </c>
      <c r="V1127">
        <v>-1207.6305919070655</v>
      </c>
      <c r="W1127">
        <v>-5.5250797748377559E-2</v>
      </c>
    </row>
    <row r="1128" spans="1:23" x14ac:dyDescent="0.25">
      <c r="A1128" t="s">
        <v>2343</v>
      </c>
      <c r="B1128" t="s">
        <v>34</v>
      </c>
      <c r="C1128" t="s">
        <v>177</v>
      </c>
      <c r="D1128" t="s">
        <v>31</v>
      </c>
      <c r="E1128" t="s">
        <v>74</v>
      </c>
      <c r="F1128" s="1">
        <v>45697</v>
      </c>
      <c r="G1128">
        <v>45757</v>
      </c>
      <c r="H1128" t="s">
        <v>8</v>
      </c>
      <c r="I1128">
        <v>26366.71</v>
      </c>
      <c r="J1128" t="s">
        <v>75</v>
      </c>
      <c r="K1128" t="s">
        <v>2344</v>
      </c>
      <c r="L1128">
        <v>60</v>
      </c>
      <c r="M1128" t="s">
        <v>34</v>
      </c>
      <c r="N1128">
        <v>1.0693999999999999</v>
      </c>
      <c r="O1128">
        <v>1.2807185628742515</v>
      </c>
      <c r="P1128">
        <v>6.6799925042163779E-3</v>
      </c>
      <c r="Q1128">
        <v>1.2807185628742515</v>
      </c>
      <c r="R1128">
        <v>33768.334938922155</v>
      </c>
      <c r="S1128" t="s">
        <v>11</v>
      </c>
      <c r="T1128">
        <v>1.238</v>
      </c>
      <c r="U1128">
        <v>32641.986979999998</v>
      </c>
      <c r="V1128">
        <v>1126.347958922157</v>
      </c>
      <c r="W1128">
        <v>3.4506108945275886E-2</v>
      </c>
    </row>
    <row r="1129" spans="1:23" x14ac:dyDescent="0.25">
      <c r="A1129" t="s">
        <v>2345</v>
      </c>
      <c r="B1129" t="s">
        <v>30</v>
      </c>
      <c r="C1129" t="s">
        <v>103</v>
      </c>
      <c r="D1129" t="s">
        <v>31</v>
      </c>
      <c r="E1129" t="s">
        <v>74</v>
      </c>
      <c r="F1129" s="1">
        <v>45728</v>
      </c>
      <c r="G1129">
        <v>45758</v>
      </c>
      <c r="H1129" t="s">
        <v>9</v>
      </c>
      <c r="I1129">
        <v>2979634.87</v>
      </c>
      <c r="J1129" t="s">
        <v>75</v>
      </c>
      <c r="K1129" t="s">
        <v>2346</v>
      </c>
      <c r="L1129">
        <v>30</v>
      </c>
      <c r="M1129" t="s">
        <v>30</v>
      </c>
      <c r="N1129">
        <v>1.0886</v>
      </c>
      <c r="O1129">
        <v>1.2947501129903185</v>
      </c>
      <c r="P1129">
        <v>6.710226222030451E-3</v>
      </c>
      <c r="Q1129">
        <v>6.710226222030451E-3</v>
      </c>
      <c r="R1129">
        <v>19994.024036750296</v>
      </c>
      <c r="S1129" t="s">
        <v>11</v>
      </c>
      <c r="T1129">
        <v>6.5599999999999999E-3</v>
      </c>
      <c r="U1129">
        <v>19546.404747200002</v>
      </c>
      <c r="V1129">
        <v>447.61928955029362</v>
      </c>
      <c r="W1129">
        <v>2.2900338724154094E-2</v>
      </c>
    </row>
    <row r="1130" spans="1:23" x14ac:dyDescent="0.25">
      <c r="A1130" t="s">
        <v>2347</v>
      </c>
      <c r="B1130" t="s">
        <v>28</v>
      </c>
      <c r="C1130" t="s">
        <v>111</v>
      </c>
      <c r="D1130" t="s">
        <v>31</v>
      </c>
      <c r="E1130" t="s">
        <v>74</v>
      </c>
      <c r="F1130" s="1">
        <v>46060</v>
      </c>
      <c r="G1130">
        <v>46105</v>
      </c>
      <c r="H1130" t="s">
        <v>9</v>
      </c>
      <c r="I1130">
        <v>2579912.75</v>
      </c>
      <c r="J1130" t="s">
        <v>75</v>
      </c>
      <c r="K1130" t="s">
        <v>2348</v>
      </c>
      <c r="L1130">
        <v>45</v>
      </c>
      <c r="M1130" t="s">
        <v>28</v>
      </c>
      <c r="N1130">
        <v>1.1555</v>
      </c>
      <c r="O1130">
        <v>1.3367963164349013</v>
      </c>
      <c r="P1130">
        <v>6.2983756677204832E-3</v>
      </c>
      <c r="Q1130">
        <v>6.2983756677204832E-3</v>
      </c>
      <c r="R1130">
        <v>16249.259689441838</v>
      </c>
      <c r="S1130" t="s">
        <v>16</v>
      </c>
      <c r="T1130">
        <v>6.4599999999999996E-3</v>
      </c>
      <c r="U1130">
        <v>16666.236365000001</v>
      </c>
      <c r="V1130">
        <v>-416.97667555816224</v>
      </c>
      <c r="W1130">
        <v>-2.5019246482897353E-2</v>
      </c>
    </row>
    <row r="1131" spans="1:23" x14ac:dyDescent="0.25">
      <c r="A1131" t="s">
        <v>2349</v>
      </c>
      <c r="B1131" t="s">
        <v>30</v>
      </c>
      <c r="C1131" t="s">
        <v>103</v>
      </c>
      <c r="D1131" t="s">
        <v>31</v>
      </c>
      <c r="E1131" t="s">
        <v>74</v>
      </c>
      <c r="F1131" s="1">
        <v>46074</v>
      </c>
      <c r="G1131">
        <v>46104</v>
      </c>
      <c r="H1131" t="s">
        <v>9</v>
      </c>
      <c r="I1131">
        <v>4053787.73</v>
      </c>
      <c r="J1131" t="s">
        <v>75</v>
      </c>
      <c r="K1131" t="s">
        <v>2350</v>
      </c>
      <c r="L1131">
        <v>30</v>
      </c>
      <c r="M1131" t="s">
        <v>30</v>
      </c>
      <c r="N1131">
        <v>1.1555</v>
      </c>
      <c r="O1131">
        <v>1.3367963164349013</v>
      </c>
      <c r="P1131">
        <v>6.2983756677204832E-3</v>
      </c>
      <c r="Q1131">
        <v>6.2983756677204832E-3</v>
      </c>
      <c r="R1131">
        <v>25532.278000735852</v>
      </c>
      <c r="S1131" t="s">
        <v>16</v>
      </c>
      <c r="T1131">
        <v>6.4599999999999996E-3</v>
      </c>
      <c r="U1131">
        <v>26187.468735799997</v>
      </c>
      <c r="V1131">
        <v>-655.19073506414497</v>
      </c>
      <c r="W1131">
        <v>-2.5019246482897221E-2</v>
      </c>
    </row>
    <row r="1132" spans="1:23" x14ac:dyDescent="0.25">
      <c r="A1132" t="s">
        <v>2351</v>
      </c>
      <c r="B1132" t="s">
        <v>24</v>
      </c>
      <c r="C1132" t="s">
        <v>73</v>
      </c>
      <c r="D1132" t="s">
        <v>31</v>
      </c>
      <c r="E1132" t="s">
        <v>74</v>
      </c>
      <c r="F1132" s="1">
        <v>46245</v>
      </c>
      <c r="G1132">
        <v>46275</v>
      </c>
      <c r="H1132" t="s">
        <v>6</v>
      </c>
      <c r="I1132">
        <v>14355.98</v>
      </c>
      <c r="J1132" t="s">
        <v>75</v>
      </c>
      <c r="K1132" t="s">
        <v>2352</v>
      </c>
      <c r="L1132">
        <v>30</v>
      </c>
      <c r="M1132" t="s">
        <v>24</v>
      </c>
      <c r="N1132">
        <v>1.1539999999999999</v>
      </c>
      <c r="O1132">
        <v>1.3499760186235858</v>
      </c>
      <c r="P1132">
        <v>6.2812976268234264E-3</v>
      </c>
      <c r="Q1132">
        <v>1.1539999999999999</v>
      </c>
      <c r="R1132">
        <v>16566.800919999998</v>
      </c>
      <c r="S1132" t="s">
        <v>21</v>
      </c>
      <c r="T1132">
        <v>1.101</v>
      </c>
      <c r="U1132">
        <v>15805.93398</v>
      </c>
      <c r="V1132">
        <v>760.86693999999807</v>
      </c>
      <c r="W1132">
        <v>4.8138056312443112E-2</v>
      </c>
    </row>
    <row r="1133" spans="1:23" x14ac:dyDescent="0.25">
      <c r="A1133" t="s">
        <v>2353</v>
      </c>
      <c r="B1133" t="s">
        <v>25</v>
      </c>
      <c r="C1133" t="s">
        <v>169</v>
      </c>
      <c r="D1133" t="s">
        <v>31</v>
      </c>
      <c r="E1133" t="s">
        <v>124</v>
      </c>
      <c r="F1133" s="1">
        <v>45961</v>
      </c>
      <c r="G1133">
        <v>46021</v>
      </c>
      <c r="H1133" t="s">
        <v>6</v>
      </c>
      <c r="I1133">
        <v>56313.23</v>
      </c>
      <c r="J1133" t="s">
        <v>75</v>
      </c>
      <c r="K1133" t="s">
        <v>2354</v>
      </c>
      <c r="L1133">
        <v>60</v>
      </c>
      <c r="M1133" t="s">
        <v>25</v>
      </c>
      <c r="N1133">
        <v>1.1554</v>
      </c>
      <c r="O1133">
        <v>1.3105716878402902</v>
      </c>
      <c r="P1133">
        <v>6.4859099584596387E-3</v>
      </c>
      <c r="Q1133">
        <v>1.1554</v>
      </c>
      <c r="R1133">
        <v>65064.305942000006</v>
      </c>
      <c r="S1133" t="s">
        <v>14</v>
      </c>
      <c r="T1133">
        <v>1.1060000000000001</v>
      </c>
      <c r="U1133">
        <v>62282.432380000006</v>
      </c>
      <c r="V1133">
        <v>2781.8735620000007</v>
      </c>
      <c r="W1133">
        <v>4.4665461121157331E-2</v>
      </c>
    </row>
    <row r="1134" spans="1:23" x14ac:dyDescent="0.25">
      <c r="A1134" t="s">
        <v>2355</v>
      </c>
      <c r="B1134" t="s">
        <v>44</v>
      </c>
      <c r="C1134" t="s">
        <v>138</v>
      </c>
      <c r="D1134" t="s">
        <v>33</v>
      </c>
      <c r="E1134" t="s">
        <v>88</v>
      </c>
      <c r="F1134" s="1">
        <v>46118</v>
      </c>
      <c r="G1134">
        <v>46163</v>
      </c>
      <c r="H1134" t="s">
        <v>9</v>
      </c>
      <c r="I1134">
        <v>921320.04</v>
      </c>
      <c r="J1134" t="s">
        <v>75</v>
      </c>
      <c r="K1134" t="s">
        <v>2356</v>
      </c>
      <c r="L1134">
        <v>45</v>
      </c>
      <c r="M1134" t="s">
        <v>44</v>
      </c>
      <c r="N1134">
        <v>1.1525000000000001</v>
      </c>
      <c r="O1134">
        <v>1.3208714886594157</v>
      </c>
      <c r="P1134">
        <v>6.2656300967706864E-3</v>
      </c>
      <c r="Q1134">
        <v>6.2656300967706864E-3</v>
      </c>
      <c r="R1134">
        <v>5772.6505713819734</v>
      </c>
      <c r="S1134" t="s">
        <v>19</v>
      </c>
      <c r="T1134">
        <v>6.6E-3</v>
      </c>
      <c r="U1134">
        <v>6080.7122639999998</v>
      </c>
      <c r="V1134">
        <v>-308.06169261802643</v>
      </c>
      <c r="W1134">
        <v>-5.0662106549895849E-2</v>
      </c>
    </row>
    <row r="1135" spans="1:23" x14ac:dyDescent="0.25">
      <c r="A1135" t="s">
        <v>2357</v>
      </c>
      <c r="B1135" t="s">
        <v>24</v>
      </c>
      <c r="C1135" t="s">
        <v>73</v>
      </c>
      <c r="D1135" t="s">
        <v>31</v>
      </c>
      <c r="E1135" t="s">
        <v>74</v>
      </c>
      <c r="F1135" s="1">
        <v>46079</v>
      </c>
      <c r="G1135">
        <v>46109</v>
      </c>
      <c r="H1135" t="s">
        <v>6</v>
      </c>
      <c r="I1135">
        <v>20627.7</v>
      </c>
      <c r="J1135" t="s">
        <v>75</v>
      </c>
      <c r="K1135" t="s">
        <v>2358</v>
      </c>
      <c r="L1135">
        <v>30</v>
      </c>
      <c r="M1135" t="s">
        <v>24</v>
      </c>
      <c r="N1135">
        <v>1.1814</v>
      </c>
      <c r="O1135">
        <v>1.3549719004472991</v>
      </c>
      <c r="P1135">
        <v>6.4077669902912618E-3</v>
      </c>
      <c r="Q1135">
        <v>1.1814</v>
      </c>
      <c r="R1135">
        <v>24369.564780000001</v>
      </c>
      <c r="S1135" t="s">
        <v>16</v>
      </c>
      <c r="T1135">
        <v>1.0649999999999999</v>
      </c>
      <c r="U1135">
        <v>21968.500499999998</v>
      </c>
      <c r="V1135">
        <v>2401.0642800000023</v>
      </c>
      <c r="W1135">
        <v>0.10929577464788744</v>
      </c>
    </row>
    <row r="1136" spans="1:23" x14ac:dyDescent="0.25">
      <c r="A1136" t="s">
        <v>2359</v>
      </c>
      <c r="B1136" t="s">
        <v>20</v>
      </c>
      <c r="C1136" t="s">
        <v>123</v>
      </c>
      <c r="D1136" t="s">
        <v>31</v>
      </c>
      <c r="E1136" t="s">
        <v>124</v>
      </c>
      <c r="F1136" s="1">
        <v>45760</v>
      </c>
      <c r="G1136">
        <v>45805</v>
      </c>
      <c r="H1136" t="s">
        <v>6</v>
      </c>
      <c r="I1136">
        <v>43019.43</v>
      </c>
      <c r="J1136" t="s">
        <v>75</v>
      </c>
      <c r="K1136" t="s">
        <v>2360</v>
      </c>
      <c r="L1136">
        <v>45</v>
      </c>
      <c r="M1136" t="s">
        <v>20</v>
      </c>
      <c r="N1136">
        <v>1.1423000000000001</v>
      </c>
      <c r="O1136">
        <v>1.3568119729183989</v>
      </c>
      <c r="P1136">
        <v>6.9797140413051456E-3</v>
      </c>
      <c r="Q1136">
        <v>1.1423000000000001</v>
      </c>
      <c r="R1136">
        <v>49141.094889000007</v>
      </c>
      <c r="S1136" t="s">
        <v>12</v>
      </c>
      <c r="T1136">
        <v>1.07</v>
      </c>
      <c r="U1136">
        <v>46030.790100000006</v>
      </c>
      <c r="V1136">
        <v>3110.3047890000016</v>
      </c>
      <c r="W1136">
        <v>6.7570093457943958E-2</v>
      </c>
    </row>
    <row r="1137" spans="1:23" x14ac:dyDescent="0.25">
      <c r="A1137" t="s">
        <v>2361</v>
      </c>
      <c r="B1137" t="s">
        <v>20</v>
      </c>
      <c r="C1137" t="s">
        <v>123</v>
      </c>
      <c r="D1137" t="s">
        <v>31</v>
      </c>
      <c r="E1137" t="s">
        <v>124</v>
      </c>
      <c r="F1137" s="1">
        <v>46202</v>
      </c>
      <c r="G1137">
        <v>46247</v>
      </c>
      <c r="H1137" t="s">
        <v>6</v>
      </c>
      <c r="I1137">
        <v>26373.24</v>
      </c>
      <c r="J1137" t="s">
        <v>75</v>
      </c>
      <c r="K1137" t="s">
        <v>2362</v>
      </c>
      <c r="L1137">
        <v>45</v>
      </c>
      <c r="M1137" t="s">
        <v>20</v>
      </c>
      <c r="N1137">
        <v>1.1406000000000001</v>
      </c>
      <c r="O1137">
        <v>1.3229716406657774</v>
      </c>
      <c r="P1137">
        <v>6.1780955476113102E-3</v>
      </c>
      <c r="Q1137">
        <v>1.1406000000000001</v>
      </c>
      <c r="R1137">
        <v>30081.317544000005</v>
      </c>
      <c r="S1137" t="s">
        <v>19</v>
      </c>
      <c r="T1137">
        <v>1.083</v>
      </c>
      <c r="U1137">
        <v>28562.218919999999</v>
      </c>
      <c r="V1137">
        <v>1519.0986240000057</v>
      </c>
      <c r="W1137">
        <v>5.3185595567867235E-2</v>
      </c>
    </row>
    <row r="1138" spans="1:23" x14ac:dyDescent="0.25">
      <c r="A1138" t="s">
        <v>2363</v>
      </c>
      <c r="B1138" t="s">
        <v>34</v>
      </c>
      <c r="C1138" t="s">
        <v>177</v>
      </c>
      <c r="D1138" t="s">
        <v>31</v>
      </c>
      <c r="E1138" t="s">
        <v>74</v>
      </c>
      <c r="F1138" s="1">
        <v>46217</v>
      </c>
      <c r="G1138">
        <v>46277</v>
      </c>
      <c r="H1138" t="s">
        <v>8</v>
      </c>
      <c r="I1138">
        <v>18764.419999999998</v>
      </c>
      <c r="J1138" t="s">
        <v>75</v>
      </c>
      <c r="K1138" t="s">
        <v>2364</v>
      </c>
      <c r="L1138">
        <v>60</v>
      </c>
      <c r="M1138" t="s">
        <v>34</v>
      </c>
      <c r="N1138">
        <v>1.1405000000000001</v>
      </c>
      <c r="O1138">
        <v>1.338379393299302</v>
      </c>
      <c r="P1138">
        <v>6.164531646938004E-3</v>
      </c>
      <c r="Q1138">
        <v>1.338379393299302</v>
      </c>
      <c r="R1138">
        <v>25113.913055213285</v>
      </c>
      <c r="S1138" t="s">
        <v>21</v>
      </c>
      <c r="T1138">
        <v>1.2929999999999999</v>
      </c>
      <c r="U1138">
        <v>24262.395059999995</v>
      </c>
      <c r="V1138">
        <v>851.5179952132894</v>
      </c>
      <c r="W1138">
        <v>3.5096205181208089E-2</v>
      </c>
    </row>
    <row r="1139" spans="1:23" x14ac:dyDescent="0.25">
      <c r="A1139" t="s">
        <v>2365</v>
      </c>
      <c r="B1139" t="s">
        <v>22</v>
      </c>
      <c r="C1139" t="s">
        <v>127</v>
      </c>
      <c r="D1139" t="s">
        <v>31</v>
      </c>
      <c r="E1139" t="s">
        <v>124</v>
      </c>
      <c r="F1139" s="1">
        <v>46105</v>
      </c>
      <c r="G1139">
        <v>46165</v>
      </c>
      <c r="H1139" t="s">
        <v>9</v>
      </c>
      <c r="I1139">
        <v>7606969.4699999997</v>
      </c>
      <c r="J1139" t="s">
        <v>75</v>
      </c>
      <c r="K1139" t="s">
        <v>2366</v>
      </c>
      <c r="L1139">
        <v>60</v>
      </c>
      <c r="M1139" t="s">
        <v>22</v>
      </c>
      <c r="N1139">
        <v>1.1572</v>
      </c>
      <c r="O1139">
        <v>1.3371696652453751</v>
      </c>
      <c r="P1139">
        <v>6.2922081452884563E-3</v>
      </c>
      <c r="Q1139">
        <v>6.2922081452884563E-3</v>
      </c>
      <c r="R1139">
        <v>47864.635260094612</v>
      </c>
      <c r="S1139" t="s">
        <v>16</v>
      </c>
      <c r="T1139">
        <v>6.4599999999999996E-3</v>
      </c>
      <c r="U1139">
        <v>49141.022776199992</v>
      </c>
      <c r="V1139">
        <v>-1276.3875161053802</v>
      </c>
      <c r="W1139">
        <v>-2.5973971317576259E-2</v>
      </c>
    </row>
    <row r="1140" spans="1:23" x14ac:dyDescent="0.25">
      <c r="A1140" t="s">
        <v>2367</v>
      </c>
      <c r="B1140" t="s">
        <v>38</v>
      </c>
      <c r="C1140" t="s">
        <v>87</v>
      </c>
      <c r="D1140" t="s">
        <v>33</v>
      </c>
      <c r="E1140" t="s">
        <v>88</v>
      </c>
      <c r="F1140" s="1">
        <v>45894</v>
      </c>
      <c r="G1140">
        <v>45924</v>
      </c>
      <c r="H1140" t="s">
        <v>6</v>
      </c>
      <c r="I1140">
        <v>8682.02</v>
      </c>
      <c r="J1140" t="s">
        <v>75</v>
      </c>
      <c r="K1140" t="s">
        <v>2368</v>
      </c>
      <c r="L1140">
        <v>30</v>
      </c>
      <c r="M1140" t="s">
        <v>38</v>
      </c>
      <c r="N1140">
        <v>1.1697</v>
      </c>
      <c r="O1140">
        <v>1.3508488278092159</v>
      </c>
      <c r="P1140">
        <v>6.7863773497331163E-3</v>
      </c>
      <c r="Q1140">
        <v>1.1697</v>
      </c>
      <c r="R1140">
        <v>10155.358794</v>
      </c>
      <c r="S1140" t="s">
        <v>13</v>
      </c>
      <c r="T1140">
        <v>1.0880000000000001</v>
      </c>
      <c r="U1140">
        <v>9446.0377600000011</v>
      </c>
      <c r="V1140">
        <v>709.32103399999869</v>
      </c>
      <c r="W1140">
        <v>7.509191176470574E-2</v>
      </c>
    </row>
    <row r="1141" spans="1:23" x14ac:dyDescent="0.25">
      <c r="A1141" t="s">
        <v>2369</v>
      </c>
      <c r="B1141" t="s">
        <v>34</v>
      </c>
      <c r="C1141" t="s">
        <v>177</v>
      </c>
      <c r="D1141" t="s">
        <v>31</v>
      </c>
      <c r="E1141" t="s">
        <v>74</v>
      </c>
      <c r="F1141" s="1">
        <v>45832</v>
      </c>
      <c r="G1141">
        <v>45892</v>
      </c>
      <c r="H1141" t="s">
        <v>8</v>
      </c>
      <c r="I1141">
        <v>19397.919999999998</v>
      </c>
      <c r="J1141" t="s">
        <v>75</v>
      </c>
      <c r="K1141" t="s">
        <v>2370</v>
      </c>
      <c r="L1141">
        <v>60</v>
      </c>
      <c r="M1141" t="s">
        <v>34</v>
      </c>
      <c r="N1141">
        <v>1.1607000000000001</v>
      </c>
      <c r="O1141">
        <v>1.3612055822680897</v>
      </c>
      <c r="P1141">
        <v>6.8978427527188451E-3</v>
      </c>
      <c r="Q1141">
        <v>1.3612055822680897</v>
      </c>
      <c r="R1141">
        <v>26404.556988389821</v>
      </c>
      <c r="S1141" t="s">
        <v>12</v>
      </c>
      <c r="T1141">
        <v>1.26</v>
      </c>
      <c r="U1141">
        <v>24441.379199999999</v>
      </c>
      <c r="V1141">
        <v>1963.1777883898212</v>
      </c>
      <c r="W1141">
        <v>8.0321890688960021E-2</v>
      </c>
    </row>
    <row r="1142" spans="1:23" x14ac:dyDescent="0.25">
      <c r="A1142" t="s">
        <v>2371</v>
      </c>
      <c r="B1142" t="s">
        <v>30</v>
      </c>
      <c r="C1142" t="s">
        <v>103</v>
      </c>
      <c r="D1142" t="s">
        <v>31</v>
      </c>
      <c r="E1142" t="s">
        <v>74</v>
      </c>
      <c r="F1142" s="1">
        <v>46061</v>
      </c>
      <c r="G1142">
        <v>46091</v>
      </c>
      <c r="H1142" t="s">
        <v>9</v>
      </c>
      <c r="I1142">
        <v>751819.9</v>
      </c>
      <c r="J1142" t="s">
        <v>75</v>
      </c>
      <c r="K1142" t="s">
        <v>2372</v>
      </c>
      <c r="L1142">
        <v>30</v>
      </c>
      <c r="M1142" t="s">
        <v>30</v>
      </c>
      <c r="N1142">
        <v>1.1555</v>
      </c>
      <c r="O1142">
        <v>1.3367963164349013</v>
      </c>
      <c r="P1142">
        <v>6.2983756677204832E-3</v>
      </c>
      <c r="Q1142">
        <v>6.2983756677204832E-3</v>
      </c>
      <c r="R1142">
        <v>4735.2441646680472</v>
      </c>
      <c r="S1142" t="s">
        <v>16</v>
      </c>
      <c r="T1142">
        <v>6.4599999999999996E-3</v>
      </c>
      <c r="U1142">
        <v>4856.7565539999996</v>
      </c>
      <c r="V1142">
        <v>-121.51238933195236</v>
      </c>
      <c r="W1142">
        <v>-2.5019246482897189E-2</v>
      </c>
    </row>
    <row r="1143" spans="1:23" x14ac:dyDescent="0.25">
      <c r="A1143" t="s">
        <v>2373</v>
      </c>
      <c r="B1143" t="s">
        <v>32</v>
      </c>
      <c r="C1143" t="s">
        <v>106</v>
      </c>
      <c r="D1143" t="s">
        <v>31</v>
      </c>
      <c r="E1143" t="s">
        <v>74</v>
      </c>
      <c r="F1143" s="1">
        <v>46088</v>
      </c>
      <c r="G1143">
        <v>46118</v>
      </c>
      <c r="H1143" t="s">
        <v>6</v>
      </c>
      <c r="I1143">
        <v>10353.65</v>
      </c>
      <c r="J1143" t="s">
        <v>75</v>
      </c>
      <c r="K1143" t="s">
        <v>2374</v>
      </c>
      <c r="L1143">
        <v>30</v>
      </c>
      <c r="M1143" t="s">
        <v>32</v>
      </c>
      <c r="N1143">
        <v>1.1555</v>
      </c>
      <c r="O1143">
        <v>1.3367963164349013</v>
      </c>
      <c r="P1143">
        <v>6.2983756677204832E-3</v>
      </c>
      <c r="Q1143">
        <v>1.1555</v>
      </c>
      <c r="R1143">
        <v>11963.642575</v>
      </c>
      <c r="S1143" t="s">
        <v>16</v>
      </c>
      <c r="T1143">
        <v>1.0649999999999999</v>
      </c>
      <c r="U1143">
        <v>11026.63725</v>
      </c>
      <c r="V1143">
        <v>937.00532500000008</v>
      </c>
      <c r="W1143">
        <v>8.497652582159626E-2</v>
      </c>
    </row>
    <row r="1144" spans="1:23" x14ac:dyDescent="0.25">
      <c r="A1144" t="s">
        <v>2375</v>
      </c>
      <c r="B1144" t="s">
        <v>37</v>
      </c>
      <c r="C1144" t="s">
        <v>91</v>
      </c>
      <c r="D1144" t="s">
        <v>31</v>
      </c>
      <c r="E1144" t="s">
        <v>74</v>
      </c>
      <c r="F1144" s="1">
        <v>46291</v>
      </c>
      <c r="G1144">
        <v>46321</v>
      </c>
      <c r="H1144" t="s">
        <v>6</v>
      </c>
      <c r="I1144">
        <v>23506.32</v>
      </c>
      <c r="J1144" t="s">
        <v>75</v>
      </c>
      <c r="K1144" t="s">
        <v>2376</v>
      </c>
      <c r="L1144">
        <v>30</v>
      </c>
      <c r="M1144" t="s">
        <v>37</v>
      </c>
      <c r="N1144">
        <v>1.1403000000000001</v>
      </c>
      <c r="O1144">
        <v>1.3252367947004475</v>
      </c>
      <c r="P1144">
        <v>6.3455759599332232E-3</v>
      </c>
      <c r="Q1144">
        <v>1.1403000000000001</v>
      </c>
      <c r="R1144">
        <v>26804.256696</v>
      </c>
      <c r="S1144" t="s">
        <v>21</v>
      </c>
      <c r="T1144">
        <v>1.101</v>
      </c>
      <c r="U1144">
        <v>25880.458319999998</v>
      </c>
      <c r="V1144">
        <v>923.79837600000246</v>
      </c>
      <c r="W1144">
        <v>3.5694822888283476E-2</v>
      </c>
    </row>
    <row r="1145" spans="1:23" x14ac:dyDescent="0.25">
      <c r="A1145" t="s">
        <v>2377</v>
      </c>
      <c r="B1145" t="s">
        <v>22</v>
      </c>
      <c r="C1145" t="s">
        <v>127</v>
      </c>
      <c r="D1145" t="s">
        <v>31</v>
      </c>
      <c r="E1145" t="s">
        <v>124</v>
      </c>
      <c r="F1145" s="1">
        <v>46159</v>
      </c>
      <c r="G1145">
        <v>46219</v>
      </c>
      <c r="H1145" t="s">
        <v>9</v>
      </c>
      <c r="I1145">
        <v>12134135.939999999</v>
      </c>
      <c r="J1145" t="s">
        <v>75</v>
      </c>
      <c r="K1145" t="s">
        <v>2378</v>
      </c>
      <c r="L1145">
        <v>60</v>
      </c>
      <c r="M1145" t="s">
        <v>22</v>
      </c>
      <c r="N1145">
        <v>1.1628000000000001</v>
      </c>
      <c r="O1145">
        <v>1.3357840321654222</v>
      </c>
      <c r="P1145">
        <v>6.3072249945758298E-3</v>
      </c>
      <c r="Q1145">
        <v>6.3072249945758298E-3</v>
      </c>
      <c r="R1145">
        <v>76532.725488348879</v>
      </c>
      <c r="S1145" t="s">
        <v>19</v>
      </c>
      <c r="T1145">
        <v>6.6E-3</v>
      </c>
      <c r="U1145">
        <v>80085.297204000002</v>
      </c>
      <c r="V1145">
        <v>-3552.5717156511237</v>
      </c>
      <c r="W1145">
        <v>-4.4359849306692518E-2</v>
      </c>
    </row>
    <row r="1146" spans="1:23" x14ac:dyDescent="0.25">
      <c r="A1146" t="s">
        <v>2379</v>
      </c>
      <c r="B1146" t="s">
        <v>41</v>
      </c>
      <c r="C1146" t="s">
        <v>172</v>
      </c>
      <c r="D1146" t="s">
        <v>33</v>
      </c>
      <c r="E1146" t="s">
        <v>83</v>
      </c>
      <c r="F1146" s="1">
        <v>45848</v>
      </c>
      <c r="G1146">
        <v>45878</v>
      </c>
      <c r="H1146" t="s">
        <v>9</v>
      </c>
      <c r="I1146">
        <v>1448377.2</v>
      </c>
      <c r="J1146" t="s">
        <v>75</v>
      </c>
      <c r="K1146" t="s">
        <v>2380</v>
      </c>
      <c r="L1146">
        <v>30</v>
      </c>
      <c r="M1146" t="s">
        <v>41</v>
      </c>
      <c r="N1146">
        <v>1.1709000000000001</v>
      </c>
      <c r="O1146">
        <v>1.357250492639388</v>
      </c>
      <c r="P1146">
        <v>6.8341796533006481E-3</v>
      </c>
      <c r="Q1146">
        <v>6.8341796533006481E-3</v>
      </c>
      <c r="R1146">
        <v>9898.4699905445632</v>
      </c>
      <c r="S1146" t="s">
        <v>13</v>
      </c>
      <c r="T1146">
        <v>6.8399999999999997E-3</v>
      </c>
      <c r="U1146">
        <v>9906.9000479999995</v>
      </c>
      <c r="V1146">
        <v>-8.4300574554363266</v>
      </c>
      <c r="W1146">
        <v>-8.5092788002218546E-4</v>
      </c>
    </row>
    <row r="1147" spans="1:23" x14ac:dyDescent="0.25">
      <c r="A1147" t="s">
        <v>2381</v>
      </c>
      <c r="B1147" t="s">
        <v>42</v>
      </c>
      <c r="C1147" t="s">
        <v>151</v>
      </c>
      <c r="D1147" t="s">
        <v>35</v>
      </c>
      <c r="E1147" t="s">
        <v>152</v>
      </c>
      <c r="F1147" s="1">
        <v>45750</v>
      </c>
      <c r="G1147">
        <v>45780</v>
      </c>
      <c r="H1147" t="s">
        <v>8</v>
      </c>
      <c r="I1147">
        <v>5999.69</v>
      </c>
      <c r="J1147" t="s">
        <v>75</v>
      </c>
      <c r="K1147" t="s">
        <v>2382</v>
      </c>
      <c r="L1147">
        <v>30</v>
      </c>
      <c r="M1147" t="s">
        <v>42</v>
      </c>
      <c r="N1147">
        <v>1.1096999999999999</v>
      </c>
      <c r="O1147">
        <v>1.3185128857098725</v>
      </c>
      <c r="P1147">
        <v>6.8428192637355863E-3</v>
      </c>
      <c r="Q1147">
        <v>1.3185128857098725</v>
      </c>
      <c r="R1147">
        <v>7910.6685752646645</v>
      </c>
      <c r="S1147" t="s">
        <v>12</v>
      </c>
      <c r="T1147">
        <v>1.26</v>
      </c>
      <c r="U1147">
        <v>7559.6093999999994</v>
      </c>
      <c r="V1147">
        <v>351.0591752646651</v>
      </c>
      <c r="W1147">
        <v>4.6438798182438519E-2</v>
      </c>
    </row>
    <row r="1148" spans="1:23" x14ac:dyDescent="0.25">
      <c r="A1148" t="s">
        <v>2383</v>
      </c>
      <c r="B1148" t="s">
        <v>26</v>
      </c>
      <c r="C1148" t="s">
        <v>94</v>
      </c>
      <c r="D1148" t="s">
        <v>31</v>
      </c>
      <c r="E1148" t="s">
        <v>74</v>
      </c>
      <c r="F1148" s="1">
        <v>45855</v>
      </c>
      <c r="G1148">
        <v>45885</v>
      </c>
      <c r="H1148" t="s">
        <v>8</v>
      </c>
      <c r="I1148">
        <v>27503.79</v>
      </c>
      <c r="J1148" t="s">
        <v>75</v>
      </c>
      <c r="K1148" t="s">
        <v>2384</v>
      </c>
      <c r="L1148">
        <v>30</v>
      </c>
      <c r="M1148" t="s">
        <v>26</v>
      </c>
      <c r="N1148">
        <v>1.1578999999999999</v>
      </c>
      <c r="O1148">
        <v>1.3395418787598334</v>
      </c>
      <c r="P1148">
        <v>6.7210355235662869E-3</v>
      </c>
      <c r="Q1148">
        <v>1.3395418787598334</v>
      </c>
      <c r="R1148">
        <v>36842.478529615917</v>
      </c>
      <c r="S1148" t="s">
        <v>13</v>
      </c>
      <c r="T1148">
        <v>1.282</v>
      </c>
      <c r="U1148">
        <v>35259.858780000002</v>
      </c>
      <c r="V1148">
        <v>1582.6197496159148</v>
      </c>
      <c r="W1148">
        <v>4.4884460811102395E-2</v>
      </c>
    </row>
    <row r="1149" spans="1:23" x14ac:dyDescent="0.25">
      <c r="A1149" t="s">
        <v>2385</v>
      </c>
      <c r="B1149" t="s">
        <v>26</v>
      </c>
      <c r="C1149" t="s">
        <v>94</v>
      </c>
      <c r="D1149" t="s">
        <v>31</v>
      </c>
      <c r="E1149" t="s">
        <v>74</v>
      </c>
      <c r="F1149" s="1">
        <v>45921</v>
      </c>
      <c r="G1149">
        <v>45951</v>
      </c>
      <c r="H1149" t="s">
        <v>8</v>
      </c>
      <c r="I1149">
        <v>24447.9</v>
      </c>
      <c r="J1149" t="s">
        <v>75</v>
      </c>
      <c r="K1149" t="s">
        <v>2386</v>
      </c>
      <c r="L1149">
        <v>30</v>
      </c>
      <c r="M1149" t="s">
        <v>26</v>
      </c>
      <c r="N1149">
        <v>1.1738999999999999</v>
      </c>
      <c r="O1149">
        <v>1.3425205855443734</v>
      </c>
      <c r="P1149">
        <v>6.3375263186308912E-3</v>
      </c>
      <c r="Q1149">
        <v>1.3425205855443734</v>
      </c>
      <c r="R1149">
        <v>32821.809023330286</v>
      </c>
      <c r="S1149" t="s">
        <v>13</v>
      </c>
      <c r="T1149">
        <v>1.282</v>
      </c>
      <c r="U1149">
        <v>31342.207800000004</v>
      </c>
      <c r="V1149">
        <v>1479.6012233302827</v>
      </c>
      <c r="W1149">
        <v>4.7207945042412824E-2</v>
      </c>
    </row>
    <row r="1150" spans="1:23" x14ac:dyDescent="0.25">
      <c r="A1150" t="s">
        <v>2387</v>
      </c>
      <c r="B1150" t="s">
        <v>20</v>
      </c>
      <c r="C1150" t="s">
        <v>123</v>
      </c>
      <c r="D1150" t="s">
        <v>31</v>
      </c>
      <c r="E1150" t="s">
        <v>124</v>
      </c>
      <c r="F1150" s="1">
        <v>46333</v>
      </c>
      <c r="G1150">
        <v>46378</v>
      </c>
      <c r="H1150" t="s">
        <v>6</v>
      </c>
      <c r="I1150">
        <v>75101.789999999994</v>
      </c>
      <c r="J1150" t="s">
        <v>84</v>
      </c>
      <c r="K1150" t="s">
        <v>2388</v>
      </c>
      <c r="L1150">
        <v>45</v>
      </c>
      <c r="M1150" t="s">
        <v>20</v>
      </c>
      <c r="N1150">
        <v>1.1176999999999999</v>
      </c>
      <c r="O1150">
        <v>1.320456022210408</v>
      </c>
      <c r="P1150">
        <v>6.3200452360757699E-3</v>
      </c>
      <c r="Q1150">
        <v>1.1176999999999999</v>
      </c>
      <c r="R1150">
        <v>83941.270682999981</v>
      </c>
      <c r="S1150" t="s">
        <v>23</v>
      </c>
      <c r="T1150">
        <v>1.119</v>
      </c>
      <c r="U1150">
        <v>84038.903009999995</v>
      </c>
      <c r="V1150">
        <v>-97.632327000013902</v>
      </c>
      <c r="W1150">
        <v>-1.1617515638965015E-3</v>
      </c>
    </row>
    <row r="1151" spans="1:23" x14ac:dyDescent="0.25">
      <c r="A1151" t="s">
        <v>2389</v>
      </c>
      <c r="B1151" t="s">
        <v>22</v>
      </c>
      <c r="C1151" t="s">
        <v>127</v>
      </c>
      <c r="D1151" t="s">
        <v>31</v>
      </c>
      <c r="E1151" t="s">
        <v>124</v>
      </c>
      <c r="F1151" s="1">
        <v>45866</v>
      </c>
      <c r="G1151">
        <v>45926</v>
      </c>
      <c r="H1151" t="s">
        <v>9</v>
      </c>
      <c r="I1151">
        <v>9533954.9499999993</v>
      </c>
      <c r="J1151" t="s">
        <v>75</v>
      </c>
      <c r="K1151" t="s">
        <v>2390</v>
      </c>
      <c r="L1151">
        <v>60</v>
      </c>
      <c r="M1151" t="s">
        <v>22</v>
      </c>
      <c r="N1151">
        <v>1.1654</v>
      </c>
      <c r="O1151">
        <v>1.3427814264316165</v>
      </c>
      <c r="P1151">
        <v>6.750072400810889E-3</v>
      </c>
      <c r="Q1151">
        <v>6.750072400810889E-3</v>
      </c>
      <c r="R1151">
        <v>64354.886178569352</v>
      </c>
      <c r="S1151" t="s">
        <v>13</v>
      </c>
      <c r="T1151">
        <v>6.8399999999999997E-3</v>
      </c>
      <c r="U1151">
        <v>65212.251857999989</v>
      </c>
      <c r="V1151">
        <v>-857.3656794306371</v>
      </c>
      <c r="W1151">
        <v>-1.314730982296939E-2</v>
      </c>
    </row>
    <row r="1152" spans="1:23" x14ac:dyDescent="0.25">
      <c r="A1152" t="s">
        <v>2391</v>
      </c>
      <c r="B1152" t="s">
        <v>39</v>
      </c>
      <c r="C1152" t="s">
        <v>82</v>
      </c>
      <c r="D1152" t="s">
        <v>33</v>
      </c>
      <c r="E1152" t="s">
        <v>83</v>
      </c>
      <c r="F1152" s="1">
        <v>46044</v>
      </c>
      <c r="G1152">
        <v>46089</v>
      </c>
      <c r="H1152" t="s">
        <v>8</v>
      </c>
      <c r="I1152">
        <v>3472.33</v>
      </c>
      <c r="J1152" t="s">
        <v>75</v>
      </c>
      <c r="K1152" t="s">
        <v>2392</v>
      </c>
      <c r="L1152">
        <v>45</v>
      </c>
      <c r="M1152" t="s">
        <v>39</v>
      </c>
      <c r="N1152">
        <v>1.1706000000000001</v>
      </c>
      <c r="O1152">
        <v>1.3421233662004128</v>
      </c>
      <c r="P1152">
        <v>6.2976113621691417E-3</v>
      </c>
      <c r="Q1152">
        <v>1.3421233662004128</v>
      </c>
      <c r="R1152">
        <v>4660.2952281586795</v>
      </c>
      <c r="S1152" t="s">
        <v>16</v>
      </c>
      <c r="T1152">
        <v>1.2490000000000001</v>
      </c>
      <c r="U1152">
        <v>4336.9401699999999</v>
      </c>
      <c r="V1152">
        <v>323.35505815867964</v>
      </c>
      <c r="W1152">
        <v>7.4558339632035925E-2</v>
      </c>
    </row>
    <row r="1153" spans="1:23" x14ac:dyDescent="0.25">
      <c r="A1153" t="s">
        <v>2393</v>
      </c>
      <c r="B1153" t="s">
        <v>32</v>
      </c>
      <c r="C1153" t="s">
        <v>106</v>
      </c>
      <c r="D1153" t="s">
        <v>31</v>
      </c>
      <c r="E1153" t="s">
        <v>74</v>
      </c>
      <c r="F1153" s="1">
        <v>45911</v>
      </c>
      <c r="G1153">
        <v>45941</v>
      </c>
      <c r="H1153" t="s">
        <v>6</v>
      </c>
      <c r="I1153">
        <v>20910.169999999998</v>
      </c>
      <c r="J1153" t="s">
        <v>75</v>
      </c>
      <c r="K1153" t="s">
        <v>2394</v>
      </c>
      <c r="L1153">
        <v>30</v>
      </c>
      <c r="M1153" t="s">
        <v>32</v>
      </c>
      <c r="N1153">
        <v>1.1685000000000001</v>
      </c>
      <c r="O1153">
        <v>1.3513357233722678</v>
      </c>
      <c r="P1153">
        <v>6.7590236001850998E-3</v>
      </c>
      <c r="Q1153">
        <v>1.1685000000000001</v>
      </c>
      <c r="R1153">
        <v>24433.533645</v>
      </c>
      <c r="S1153" t="s">
        <v>13</v>
      </c>
      <c r="T1153">
        <v>1.0880000000000001</v>
      </c>
      <c r="U1153">
        <v>22750.26496</v>
      </c>
      <c r="V1153">
        <v>1683.2686849999991</v>
      </c>
      <c r="W1153">
        <v>7.3988970588235253E-2</v>
      </c>
    </row>
    <row r="1154" spans="1:23" x14ac:dyDescent="0.25">
      <c r="A1154" t="s">
        <v>2395</v>
      </c>
      <c r="B1154" t="s">
        <v>38</v>
      </c>
      <c r="C1154" t="s">
        <v>87</v>
      </c>
      <c r="D1154" t="s">
        <v>33</v>
      </c>
      <c r="E1154" t="s">
        <v>88</v>
      </c>
      <c r="F1154" s="1">
        <v>46249</v>
      </c>
      <c r="G1154">
        <v>46279</v>
      </c>
      <c r="H1154" t="s">
        <v>6</v>
      </c>
      <c r="I1154">
        <v>9508.93</v>
      </c>
      <c r="J1154" t="s">
        <v>75</v>
      </c>
      <c r="K1154" t="s">
        <v>2396</v>
      </c>
      <c r="L1154">
        <v>30</v>
      </c>
      <c r="M1154" t="s">
        <v>38</v>
      </c>
      <c r="N1154">
        <v>1.1567000000000001</v>
      </c>
      <c r="O1154">
        <v>1.3536571094207139</v>
      </c>
      <c r="P1154">
        <v>6.2888055238405913E-3</v>
      </c>
      <c r="Q1154">
        <v>1.1567000000000001</v>
      </c>
      <c r="R1154">
        <v>10998.979331</v>
      </c>
      <c r="S1154" t="s">
        <v>21</v>
      </c>
      <c r="T1154">
        <v>1.101</v>
      </c>
      <c r="U1154">
        <v>10469.33193</v>
      </c>
      <c r="V1154">
        <v>529.64740100000017</v>
      </c>
      <c r="W1154">
        <v>5.059037238873753E-2</v>
      </c>
    </row>
    <row r="1155" spans="1:23" x14ac:dyDescent="0.25">
      <c r="A1155" t="s">
        <v>2397</v>
      </c>
      <c r="B1155" t="s">
        <v>20</v>
      </c>
      <c r="C1155" t="s">
        <v>123</v>
      </c>
      <c r="D1155" t="s">
        <v>31</v>
      </c>
      <c r="E1155" t="s">
        <v>124</v>
      </c>
      <c r="F1155" s="1">
        <v>45771</v>
      </c>
      <c r="G1155">
        <v>45816</v>
      </c>
      <c r="H1155" t="s">
        <v>6</v>
      </c>
      <c r="I1155">
        <v>44433.84</v>
      </c>
      <c r="J1155" t="s">
        <v>75</v>
      </c>
      <c r="K1155" t="s">
        <v>2398</v>
      </c>
      <c r="L1155">
        <v>45</v>
      </c>
      <c r="M1155" t="s">
        <v>20</v>
      </c>
      <c r="N1155">
        <v>1.1375999999999999</v>
      </c>
      <c r="O1155">
        <v>1.3305263157894736</v>
      </c>
      <c r="P1155">
        <v>7.0152935372471631E-3</v>
      </c>
      <c r="Q1155">
        <v>1.1375999999999999</v>
      </c>
      <c r="R1155">
        <v>50547.936383999993</v>
      </c>
      <c r="S1155" t="s">
        <v>12</v>
      </c>
      <c r="T1155">
        <v>1.07</v>
      </c>
      <c r="U1155">
        <v>47544.2088</v>
      </c>
      <c r="V1155">
        <v>3003.7275839999929</v>
      </c>
      <c r="W1155">
        <v>6.3177570093457799E-2</v>
      </c>
    </row>
    <row r="1156" spans="1:23" x14ac:dyDescent="0.25">
      <c r="A1156" t="s">
        <v>2399</v>
      </c>
      <c r="B1156" t="s">
        <v>25</v>
      </c>
      <c r="C1156" t="s">
        <v>169</v>
      </c>
      <c r="D1156" t="s">
        <v>31</v>
      </c>
      <c r="E1156" t="s">
        <v>124</v>
      </c>
      <c r="F1156" s="1">
        <v>46080</v>
      </c>
      <c r="G1156">
        <v>46140</v>
      </c>
      <c r="H1156" t="s">
        <v>6</v>
      </c>
      <c r="I1156">
        <v>18149.11</v>
      </c>
      <c r="J1156" t="s">
        <v>75</v>
      </c>
      <c r="K1156" t="s">
        <v>2400</v>
      </c>
      <c r="L1156">
        <v>60</v>
      </c>
      <c r="M1156" t="s">
        <v>25</v>
      </c>
      <c r="N1156">
        <v>1.1805000000000001</v>
      </c>
      <c r="O1156">
        <v>1.347141389934954</v>
      </c>
      <c r="P1156">
        <v>6.411231195351111E-3</v>
      </c>
      <c r="Q1156">
        <v>1.1805000000000001</v>
      </c>
      <c r="R1156">
        <v>21425.024355000001</v>
      </c>
      <c r="S1156" t="s">
        <v>16</v>
      </c>
      <c r="T1156">
        <v>1.0649999999999999</v>
      </c>
      <c r="U1156">
        <v>19328.80215</v>
      </c>
      <c r="V1156">
        <v>2096.2222050000018</v>
      </c>
      <c r="W1156">
        <v>0.1084507042253522</v>
      </c>
    </row>
    <row r="1157" spans="1:23" x14ac:dyDescent="0.25">
      <c r="A1157" t="s">
        <v>2401</v>
      </c>
      <c r="B1157" t="s">
        <v>40</v>
      </c>
      <c r="C1157" t="s">
        <v>78</v>
      </c>
      <c r="D1157" t="s">
        <v>33</v>
      </c>
      <c r="E1157" t="s">
        <v>79</v>
      </c>
      <c r="F1157" s="1">
        <v>46086</v>
      </c>
      <c r="G1157">
        <v>46116</v>
      </c>
      <c r="H1157" t="s">
        <v>9</v>
      </c>
      <c r="I1157">
        <v>1664414.71</v>
      </c>
      <c r="J1157" t="s">
        <v>75</v>
      </c>
      <c r="K1157" t="s">
        <v>2402</v>
      </c>
      <c r="L1157">
        <v>30</v>
      </c>
      <c r="M1157" t="s">
        <v>40</v>
      </c>
      <c r="N1157">
        <v>1.1617999999999999</v>
      </c>
      <c r="O1157">
        <v>1.3361702127659574</v>
      </c>
      <c r="P1157">
        <v>6.347593290717368E-3</v>
      </c>
      <c r="Q1157">
        <v>6.347593290717368E-3</v>
      </c>
      <c r="R1157">
        <v>10565.027646167293</v>
      </c>
      <c r="S1157" t="s">
        <v>16</v>
      </c>
      <c r="T1157">
        <v>6.4599999999999996E-3</v>
      </c>
      <c r="U1157">
        <v>10752.119026599999</v>
      </c>
      <c r="V1157">
        <v>-187.0913804327065</v>
      </c>
      <c r="W1157">
        <v>-1.7400419393596309E-2</v>
      </c>
    </row>
    <row r="1158" spans="1:23" x14ac:dyDescent="0.25">
      <c r="A1158" t="s">
        <v>2403</v>
      </c>
      <c r="B1158" t="s">
        <v>37</v>
      </c>
      <c r="C1158" t="s">
        <v>91</v>
      </c>
      <c r="D1158" t="s">
        <v>31</v>
      </c>
      <c r="E1158" t="s">
        <v>74</v>
      </c>
      <c r="F1158" s="1">
        <v>46322</v>
      </c>
      <c r="G1158">
        <v>46352</v>
      </c>
      <c r="H1158" t="s">
        <v>6</v>
      </c>
      <c r="I1158">
        <v>6093.57</v>
      </c>
      <c r="J1158" t="s">
        <v>84</v>
      </c>
      <c r="K1158" t="s">
        <v>2404</v>
      </c>
      <c r="L1158">
        <v>30</v>
      </c>
      <c r="M1158" t="s">
        <v>37</v>
      </c>
      <c r="N1158">
        <v>1.1176999999999999</v>
      </c>
      <c r="O1158">
        <v>1.320456022210408</v>
      </c>
      <c r="P1158">
        <v>6.3200452360757699E-3</v>
      </c>
      <c r="Q1158">
        <v>1.1176999999999999</v>
      </c>
      <c r="R1158">
        <v>6810.7831889999989</v>
      </c>
      <c r="S1158" t="s">
        <v>23</v>
      </c>
      <c r="T1158">
        <v>1.119</v>
      </c>
      <c r="U1158">
        <v>6818.7048299999997</v>
      </c>
      <c r="V1158">
        <v>-7.9216410000008182</v>
      </c>
      <c r="W1158">
        <v>-1.1617515638964562E-3</v>
      </c>
    </row>
    <row r="1159" spans="1:23" x14ac:dyDescent="0.25">
      <c r="A1159" t="s">
        <v>2405</v>
      </c>
      <c r="B1159" t="s">
        <v>30</v>
      </c>
      <c r="C1159" t="s">
        <v>103</v>
      </c>
      <c r="D1159" t="s">
        <v>31</v>
      </c>
      <c r="E1159" t="s">
        <v>74</v>
      </c>
      <c r="F1159" s="1">
        <v>45975</v>
      </c>
      <c r="G1159">
        <v>46005</v>
      </c>
      <c r="H1159" t="s">
        <v>9</v>
      </c>
      <c r="I1159">
        <v>966462.79</v>
      </c>
      <c r="J1159" t="s">
        <v>75</v>
      </c>
      <c r="K1159" t="s">
        <v>2406</v>
      </c>
      <c r="L1159">
        <v>30</v>
      </c>
      <c r="M1159" t="s">
        <v>30</v>
      </c>
      <c r="N1159">
        <v>1.1648000000000001</v>
      </c>
      <c r="O1159">
        <v>1.316753334840606</v>
      </c>
      <c r="P1159">
        <v>6.499274634527397E-3</v>
      </c>
      <c r="Q1159">
        <v>6.499274634527397E-3</v>
      </c>
      <c r="R1159">
        <v>6281.3070962615784</v>
      </c>
      <c r="S1159" t="s">
        <v>14</v>
      </c>
      <c r="T1159">
        <v>6.9800000000000001E-3</v>
      </c>
      <c r="U1159">
        <v>6745.9102742000005</v>
      </c>
      <c r="V1159">
        <v>-464.60317793842205</v>
      </c>
      <c r="W1159">
        <v>-6.8871828864269832E-2</v>
      </c>
    </row>
    <row r="1160" spans="1:23" x14ac:dyDescent="0.25">
      <c r="A1160" t="s">
        <v>2407</v>
      </c>
      <c r="B1160" t="s">
        <v>42</v>
      </c>
      <c r="C1160" t="s">
        <v>151</v>
      </c>
      <c r="D1160" t="s">
        <v>35</v>
      </c>
      <c r="E1160" t="s">
        <v>152</v>
      </c>
      <c r="F1160" s="1">
        <v>46104</v>
      </c>
      <c r="G1160">
        <v>46134</v>
      </c>
      <c r="H1160" t="s">
        <v>8</v>
      </c>
      <c r="I1160">
        <v>3720.69</v>
      </c>
      <c r="J1160" t="s">
        <v>75</v>
      </c>
      <c r="K1160" t="s">
        <v>2408</v>
      </c>
      <c r="L1160">
        <v>30</v>
      </c>
      <c r="M1160" t="s">
        <v>42</v>
      </c>
      <c r="N1160">
        <v>1.1596</v>
      </c>
      <c r="O1160">
        <v>1.3418190233742189</v>
      </c>
      <c r="P1160">
        <v>6.3069726966169908E-3</v>
      </c>
      <c r="Q1160">
        <v>1.3418190233742189</v>
      </c>
      <c r="R1160">
        <v>4992.4926220782227</v>
      </c>
      <c r="S1160" t="s">
        <v>16</v>
      </c>
      <c r="T1160">
        <v>1.2490000000000001</v>
      </c>
      <c r="U1160">
        <v>4647.1418100000001</v>
      </c>
      <c r="V1160">
        <v>345.35081207822259</v>
      </c>
      <c r="W1160">
        <v>7.4314670435723706E-2</v>
      </c>
    </row>
    <row r="1161" spans="1:23" x14ac:dyDescent="0.25">
      <c r="A1161" t="s">
        <v>2409</v>
      </c>
      <c r="B1161" t="s">
        <v>34</v>
      </c>
      <c r="C1161" t="s">
        <v>177</v>
      </c>
      <c r="D1161" t="s">
        <v>31</v>
      </c>
      <c r="E1161" t="s">
        <v>74</v>
      </c>
      <c r="F1161" s="1">
        <v>46049</v>
      </c>
      <c r="G1161">
        <v>46109</v>
      </c>
      <c r="H1161" t="s">
        <v>8</v>
      </c>
      <c r="I1161">
        <v>16820.310000000001</v>
      </c>
      <c r="J1161" t="s">
        <v>75</v>
      </c>
      <c r="K1161" t="s">
        <v>2410</v>
      </c>
      <c r="L1161">
        <v>60</v>
      </c>
      <c r="M1161" t="s">
        <v>34</v>
      </c>
      <c r="N1161">
        <v>1.1929000000000001</v>
      </c>
      <c r="O1161">
        <v>1.3738339283657723</v>
      </c>
      <c r="P1161">
        <v>6.5214301333916475E-3</v>
      </c>
      <c r="Q1161">
        <v>1.3738339283657723</v>
      </c>
      <c r="R1161">
        <v>23108.312563630087</v>
      </c>
      <c r="S1161" t="s">
        <v>16</v>
      </c>
      <c r="T1161">
        <v>1.2490000000000001</v>
      </c>
      <c r="U1161">
        <v>21008.567190000005</v>
      </c>
      <c r="V1161">
        <v>2099.7453736300813</v>
      </c>
      <c r="W1161">
        <v>9.9947100372916042E-2</v>
      </c>
    </row>
    <row r="1162" spans="1:23" x14ac:dyDescent="0.25">
      <c r="A1162" t="s">
        <v>2411</v>
      </c>
      <c r="B1162" t="s">
        <v>24</v>
      </c>
      <c r="C1162" t="s">
        <v>73</v>
      </c>
      <c r="D1162" t="s">
        <v>31</v>
      </c>
      <c r="E1162" t="s">
        <v>74</v>
      </c>
      <c r="F1162" s="1">
        <v>46189</v>
      </c>
      <c r="G1162">
        <v>46219</v>
      </c>
      <c r="H1162" t="s">
        <v>6</v>
      </c>
      <c r="I1162">
        <v>11309.4</v>
      </c>
      <c r="J1162" t="s">
        <v>75</v>
      </c>
      <c r="K1162" t="s">
        <v>2412</v>
      </c>
      <c r="L1162">
        <v>30</v>
      </c>
      <c r="M1162" t="s">
        <v>24</v>
      </c>
      <c r="N1162">
        <v>1.1594</v>
      </c>
      <c r="O1162">
        <v>1.3407963363439765</v>
      </c>
      <c r="P1162">
        <v>6.2353447348607082E-3</v>
      </c>
      <c r="Q1162">
        <v>1.1594</v>
      </c>
      <c r="R1162">
        <v>13112.118359999999</v>
      </c>
      <c r="S1162" t="s">
        <v>19</v>
      </c>
      <c r="T1162">
        <v>1.083</v>
      </c>
      <c r="U1162">
        <v>12248.080199999999</v>
      </c>
      <c r="V1162">
        <v>864.03816000000006</v>
      </c>
      <c r="W1162">
        <v>7.0544783010156986E-2</v>
      </c>
    </row>
    <row r="1163" spans="1:23" x14ac:dyDescent="0.25">
      <c r="A1163" t="s">
        <v>2413</v>
      </c>
      <c r="B1163" t="s">
        <v>36</v>
      </c>
      <c r="C1163" t="s">
        <v>116</v>
      </c>
      <c r="D1163" t="s">
        <v>31</v>
      </c>
      <c r="E1163" t="s">
        <v>74</v>
      </c>
      <c r="F1163" s="1">
        <v>45752</v>
      </c>
      <c r="G1163">
        <v>45797</v>
      </c>
      <c r="H1163" t="s">
        <v>6</v>
      </c>
      <c r="I1163">
        <v>28924.59</v>
      </c>
      <c r="J1163" t="s">
        <v>75</v>
      </c>
      <c r="K1163" t="s">
        <v>2414</v>
      </c>
      <c r="L1163">
        <v>45</v>
      </c>
      <c r="M1163" t="s">
        <v>36</v>
      </c>
      <c r="N1163">
        <v>1.1380999999999999</v>
      </c>
      <c r="O1163">
        <v>1.3561725452812201</v>
      </c>
      <c r="P1163">
        <v>6.9980938326262062E-3</v>
      </c>
      <c r="Q1163">
        <v>1.1380999999999999</v>
      </c>
      <c r="R1163">
        <v>32919.075878999996</v>
      </c>
      <c r="S1163" t="s">
        <v>12</v>
      </c>
      <c r="T1163">
        <v>1.07</v>
      </c>
      <c r="U1163">
        <v>30949.311300000001</v>
      </c>
      <c r="V1163">
        <v>1969.7645789999951</v>
      </c>
      <c r="W1163">
        <v>6.3644859813083959E-2</v>
      </c>
    </row>
    <row r="1164" spans="1:23" x14ac:dyDescent="0.25">
      <c r="A1164" t="s">
        <v>2415</v>
      </c>
      <c r="B1164" t="s">
        <v>22</v>
      </c>
      <c r="C1164" t="s">
        <v>127</v>
      </c>
      <c r="D1164" t="s">
        <v>31</v>
      </c>
      <c r="E1164" t="s">
        <v>124</v>
      </c>
      <c r="F1164" s="1">
        <v>45673</v>
      </c>
      <c r="G1164">
        <v>45733</v>
      </c>
      <c r="H1164" t="s">
        <v>9</v>
      </c>
      <c r="I1164">
        <v>3634421.46</v>
      </c>
      <c r="J1164" t="s">
        <v>75</v>
      </c>
      <c r="K1164" t="s">
        <v>2416</v>
      </c>
      <c r="L1164">
        <v>60</v>
      </c>
      <c r="M1164" t="s">
        <v>22</v>
      </c>
      <c r="N1164">
        <v>1.0271999999999999</v>
      </c>
      <c r="O1164">
        <v>1.2191127252011678</v>
      </c>
      <c r="P1164">
        <v>6.4015954131870865E-3</v>
      </c>
      <c r="Q1164">
        <v>6.4015954131870865E-3</v>
      </c>
      <c r="R1164">
        <v>23266.095747924715</v>
      </c>
      <c r="S1164" t="s">
        <v>11</v>
      </c>
      <c r="T1164">
        <v>6.5599999999999999E-3</v>
      </c>
      <c r="U1164">
        <v>23841.804777599998</v>
      </c>
      <c r="V1164">
        <v>-575.70902967528309</v>
      </c>
      <c r="W1164">
        <v>-2.4147040672700116E-2</v>
      </c>
    </row>
    <row r="1165" spans="1:23" x14ac:dyDescent="0.25">
      <c r="A1165" t="s">
        <v>2417</v>
      </c>
      <c r="B1165" t="s">
        <v>20</v>
      </c>
      <c r="C1165" t="s">
        <v>123</v>
      </c>
      <c r="D1165" t="s">
        <v>31</v>
      </c>
      <c r="E1165" t="s">
        <v>124</v>
      </c>
      <c r="F1165" s="1">
        <v>45948</v>
      </c>
      <c r="G1165">
        <v>45993</v>
      </c>
      <c r="H1165" t="s">
        <v>6</v>
      </c>
      <c r="I1165">
        <v>11724.19</v>
      </c>
      <c r="J1165" t="s">
        <v>75</v>
      </c>
      <c r="K1165" t="s">
        <v>2418</v>
      </c>
      <c r="L1165">
        <v>45</v>
      </c>
      <c r="M1165" t="s">
        <v>20</v>
      </c>
      <c r="N1165">
        <v>1.1805000000000001</v>
      </c>
      <c r="O1165">
        <v>1.347141389934954</v>
      </c>
      <c r="P1165">
        <v>6.411231195351111E-3</v>
      </c>
      <c r="Q1165">
        <v>1.1805000000000001</v>
      </c>
      <c r="R1165">
        <v>13840.406295000003</v>
      </c>
      <c r="S1165" t="s">
        <v>14</v>
      </c>
      <c r="T1165">
        <v>1.1060000000000001</v>
      </c>
      <c r="U1165">
        <v>12966.954140000002</v>
      </c>
      <c r="V1165">
        <v>873.45215500000086</v>
      </c>
      <c r="W1165">
        <v>6.7359855334538934E-2</v>
      </c>
    </row>
    <row r="1166" spans="1:23" x14ac:dyDescent="0.25">
      <c r="A1166" t="s">
        <v>2419</v>
      </c>
      <c r="B1166" t="s">
        <v>20</v>
      </c>
      <c r="C1166" t="s">
        <v>123</v>
      </c>
      <c r="D1166" t="s">
        <v>31</v>
      </c>
      <c r="E1166" t="s">
        <v>124</v>
      </c>
      <c r="F1166" s="1">
        <v>46220</v>
      </c>
      <c r="G1166">
        <v>46265</v>
      </c>
      <c r="H1166" t="s">
        <v>6</v>
      </c>
      <c r="I1166">
        <v>53901.16</v>
      </c>
      <c r="J1166" t="s">
        <v>75</v>
      </c>
      <c r="K1166" t="s">
        <v>2420</v>
      </c>
      <c r="L1166">
        <v>45</v>
      </c>
      <c r="M1166" t="s">
        <v>20</v>
      </c>
      <c r="N1166">
        <v>1.1435</v>
      </c>
      <c r="O1166">
        <v>1.3437448588685985</v>
      </c>
      <c r="P1166">
        <v>6.1594398060867217E-3</v>
      </c>
      <c r="Q1166">
        <v>1.1435</v>
      </c>
      <c r="R1166">
        <v>61635.976460000005</v>
      </c>
      <c r="S1166" t="s">
        <v>21</v>
      </c>
      <c r="T1166">
        <v>1.101</v>
      </c>
      <c r="U1166">
        <v>59345.177159999999</v>
      </c>
      <c r="V1166">
        <v>2290.799300000006</v>
      </c>
      <c r="W1166">
        <v>3.8601271571298924E-2</v>
      </c>
    </row>
    <row r="1167" spans="1:23" x14ac:dyDescent="0.25">
      <c r="A1167" t="s">
        <v>2421</v>
      </c>
      <c r="B1167" t="s">
        <v>38</v>
      </c>
      <c r="C1167" t="s">
        <v>87</v>
      </c>
      <c r="D1167" t="s">
        <v>33</v>
      </c>
      <c r="E1167" t="s">
        <v>88</v>
      </c>
      <c r="F1167" s="1">
        <v>46024</v>
      </c>
      <c r="G1167">
        <v>46054</v>
      </c>
      <c r="H1167" t="s">
        <v>6</v>
      </c>
      <c r="I1167">
        <v>3277.01</v>
      </c>
      <c r="J1167" t="s">
        <v>75</v>
      </c>
      <c r="K1167" t="s">
        <v>2422</v>
      </c>
      <c r="L1167">
        <v>30</v>
      </c>
      <c r="M1167" t="s">
        <v>38</v>
      </c>
      <c r="N1167">
        <v>1.1720999999999999</v>
      </c>
      <c r="O1167">
        <v>1.3443055396261039</v>
      </c>
      <c r="P1167">
        <v>6.3721865825812759E-3</v>
      </c>
      <c r="Q1167">
        <v>1.1720999999999999</v>
      </c>
      <c r="R1167">
        <v>3840.9834209999999</v>
      </c>
      <c r="S1167" t="s">
        <v>16</v>
      </c>
      <c r="T1167">
        <v>1.0649999999999999</v>
      </c>
      <c r="U1167">
        <v>3490.0156500000003</v>
      </c>
      <c r="V1167">
        <v>350.96777099999963</v>
      </c>
      <c r="W1167">
        <v>0.10056338028169003</v>
      </c>
    </row>
    <row r="1168" spans="1:23" x14ac:dyDescent="0.25">
      <c r="A1168" t="s">
        <v>2423</v>
      </c>
      <c r="B1168" t="s">
        <v>39</v>
      </c>
      <c r="C1168" t="s">
        <v>82</v>
      </c>
      <c r="D1168" t="s">
        <v>33</v>
      </c>
      <c r="E1168" t="s">
        <v>83</v>
      </c>
      <c r="F1168" s="1">
        <v>46087</v>
      </c>
      <c r="G1168">
        <v>46132</v>
      </c>
      <c r="H1168" t="s">
        <v>8</v>
      </c>
      <c r="I1168">
        <v>1800.78</v>
      </c>
      <c r="J1168" t="s">
        <v>75</v>
      </c>
      <c r="K1168" t="s">
        <v>2424</v>
      </c>
      <c r="L1168">
        <v>45</v>
      </c>
      <c r="M1168" t="s">
        <v>39</v>
      </c>
      <c r="N1168">
        <v>1.1560999999999999</v>
      </c>
      <c r="O1168">
        <v>1.3335563424959338</v>
      </c>
      <c r="P1168">
        <v>6.3323656679629726E-3</v>
      </c>
      <c r="Q1168">
        <v>1.3335563424959338</v>
      </c>
      <c r="R1168">
        <v>2401.4415904398275</v>
      </c>
      <c r="S1168" t="s">
        <v>16</v>
      </c>
      <c r="T1168">
        <v>1.2490000000000001</v>
      </c>
      <c r="U1168">
        <v>2249.1742200000003</v>
      </c>
      <c r="V1168">
        <v>152.26737043982712</v>
      </c>
      <c r="W1168">
        <v>6.7699233383453544E-2</v>
      </c>
    </row>
    <row r="1169" spans="1:23" x14ac:dyDescent="0.25">
      <c r="A1169" t="s">
        <v>2425</v>
      </c>
      <c r="B1169" t="s">
        <v>30</v>
      </c>
      <c r="C1169" t="s">
        <v>103</v>
      </c>
      <c r="D1169" t="s">
        <v>31</v>
      </c>
      <c r="E1169" t="s">
        <v>74</v>
      </c>
      <c r="F1169" s="1">
        <v>45695</v>
      </c>
      <c r="G1169">
        <v>45725</v>
      </c>
      <c r="H1169" t="s">
        <v>9</v>
      </c>
      <c r="I1169">
        <v>3727188.17</v>
      </c>
      <c r="J1169" t="s">
        <v>75</v>
      </c>
      <c r="K1169" t="s">
        <v>2426</v>
      </c>
      <c r="L1169">
        <v>30</v>
      </c>
      <c r="M1169" t="s">
        <v>30</v>
      </c>
      <c r="N1169">
        <v>1.0377000000000001</v>
      </c>
      <c r="O1169">
        <v>1.2449461926985232</v>
      </c>
      <c r="P1169">
        <v>6.5772960638904735E-3</v>
      </c>
      <c r="Q1169">
        <v>6.5772960638904735E-3</v>
      </c>
      <c r="R1169">
        <v>24514.820079920137</v>
      </c>
      <c r="S1169" t="s">
        <v>11</v>
      </c>
      <c r="T1169">
        <v>6.5599999999999999E-3</v>
      </c>
      <c r="U1169">
        <v>24450.3543952</v>
      </c>
      <c r="V1169">
        <v>64.465684720136778</v>
      </c>
      <c r="W1169">
        <v>2.6365951052550974E-3</v>
      </c>
    </row>
    <row r="1170" spans="1:23" x14ac:dyDescent="0.25">
      <c r="A1170" t="s">
        <v>2427</v>
      </c>
      <c r="B1170" t="s">
        <v>42</v>
      </c>
      <c r="C1170" t="s">
        <v>151</v>
      </c>
      <c r="D1170" t="s">
        <v>35</v>
      </c>
      <c r="E1170" t="s">
        <v>152</v>
      </c>
      <c r="F1170" s="1">
        <v>45722</v>
      </c>
      <c r="G1170">
        <v>45752</v>
      </c>
      <c r="H1170" t="s">
        <v>8</v>
      </c>
      <c r="I1170">
        <v>2742.43</v>
      </c>
      <c r="J1170" t="s">
        <v>75</v>
      </c>
      <c r="K1170" t="s">
        <v>2428</v>
      </c>
      <c r="L1170">
        <v>30</v>
      </c>
      <c r="M1170" t="s">
        <v>42</v>
      </c>
      <c r="N1170">
        <v>1.0795999999999999</v>
      </c>
      <c r="O1170">
        <v>1.2884592433464612</v>
      </c>
      <c r="P1170">
        <v>6.7797035920622948E-3</v>
      </c>
      <c r="Q1170">
        <v>1.2884592433464612</v>
      </c>
      <c r="R1170">
        <v>3533.5092827306353</v>
      </c>
      <c r="S1170" t="s">
        <v>11</v>
      </c>
      <c r="T1170">
        <v>1.238</v>
      </c>
      <c r="U1170">
        <v>3395.1283399999998</v>
      </c>
      <c r="V1170">
        <v>138.38094273063552</v>
      </c>
      <c r="W1170">
        <v>4.0758677985832943E-2</v>
      </c>
    </row>
    <row r="1171" spans="1:23" x14ac:dyDescent="0.25">
      <c r="A1171" t="s">
        <v>2429</v>
      </c>
      <c r="B1171" t="s">
        <v>20</v>
      </c>
      <c r="C1171" t="s">
        <v>123</v>
      </c>
      <c r="D1171" t="s">
        <v>31</v>
      </c>
      <c r="E1171" t="s">
        <v>124</v>
      </c>
      <c r="F1171" s="1">
        <v>46006</v>
      </c>
      <c r="G1171">
        <v>46051</v>
      </c>
      <c r="H1171" t="s">
        <v>6</v>
      </c>
      <c r="I1171">
        <v>13638.46</v>
      </c>
      <c r="J1171" t="s">
        <v>75</v>
      </c>
      <c r="K1171" t="s">
        <v>2430</v>
      </c>
      <c r="L1171">
        <v>45</v>
      </c>
      <c r="M1171" t="s">
        <v>20</v>
      </c>
      <c r="N1171">
        <v>1.1753</v>
      </c>
      <c r="O1171">
        <v>1.3387629570566124</v>
      </c>
      <c r="P1171">
        <v>6.4463580517770958E-3</v>
      </c>
      <c r="Q1171">
        <v>1.1753</v>
      </c>
      <c r="R1171">
        <v>16029.282037999999</v>
      </c>
      <c r="S1171" t="s">
        <v>14</v>
      </c>
      <c r="T1171">
        <v>1.1060000000000001</v>
      </c>
      <c r="U1171">
        <v>15084.136759999999</v>
      </c>
      <c r="V1171">
        <v>945.14527799999996</v>
      </c>
      <c r="W1171">
        <v>6.2658227848101267E-2</v>
      </c>
    </row>
    <row r="1172" spans="1:23" x14ac:dyDescent="0.25">
      <c r="A1172" t="s">
        <v>2431</v>
      </c>
      <c r="B1172" t="s">
        <v>26</v>
      </c>
      <c r="C1172" t="s">
        <v>94</v>
      </c>
      <c r="D1172" t="s">
        <v>31</v>
      </c>
      <c r="E1172" t="s">
        <v>74</v>
      </c>
      <c r="F1172" s="1">
        <v>46051</v>
      </c>
      <c r="G1172">
        <v>46081</v>
      </c>
      <c r="H1172" t="s">
        <v>8</v>
      </c>
      <c r="I1172">
        <v>16021.09</v>
      </c>
      <c r="J1172" t="s">
        <v>75</v>
      </c>
      <c r="K1172" t="s">
        <v>2432</v>
      </c>
      <c r="L1172">
        <v>30</v>
      </c>
      <c r="M1172" t="s">
        <v>26</v>
      </c>
      <c r="N1172">
        <v>1.1968000000000001</v>
      </c>
      <c r="O1172">
        <v>1.3816670514892635</v>
      </c>
      <c r="P1172">
        <v>6.5227817745803366E-3</v>
      </c>
      <c r="Q1172">
        <v>1.3816670514892635</v>
      </c>
      <c r="R1172">
        <v>22135.812181944126</v>
      </c>
      <c r="S1172" t="s">
        <v>16</v>
      </c>
      <c r="T1172">
        <v>1.2490000000000001</v>
      </c>
      <c r="U1172">
        <v>20010.341410000001</v>
      </c>
      <c r="V1172">
        <v>2125.4707719441249</v>
      </c>
      <c r="W1172">
        <v>0.10621861608427824</v>
      </c>
    </row>
    <row r="1173" spans="1:23" x14ac:dyDescent="0.25">
      <c r="A1173" t="s">
        <v>2433</v>
      </c>
      <c r="B1173" t="s">
        <v>34</v>
      </c>
      <c r="C1173" t="s">
        <v>177</v>
      </c>
      <c r="D1173" t="s">
        <v>31</v>
      </c>
      <c r="E1173" t="s">
        <v>74</v>
      </c>
      <c r="F1173" s="1">
        <v>45808</v>
      </c>
      <c r="G1173">
        <v>45868</v>
      </c>
      <c r="H1173" t="s">
        <v>8</v>
      </c>
      <c r="I1173">
        <v>2999.8</v>
      </c>
      <c r="J1173" t="s">
        <v>75</v>
      </c>
      <c r="K1173" t="s">
        <v>2434</v>
      </c>
      <c r="L1173">
        <v>60</v>
      </c>
      <c r="M1173" t="s">
        <v>34</v>
      </c>
      <c r="N1173">
        <v>1.1606000000000001</v>
      </c>
      <c r="O1173">
        <v>1.3462475350887368</v>
      </c>
      <c r="P1173">
        <v>6.7359257109692395E-3</v>
      </c>
      <c r="Q1173">
        <v>1.3462475350887368</v>
      </c>
      <c r="R1173">
        <v>4038.4733557591931</v>
      </c>
      <c r="S1173" t="s">
        <v>12</v>
      </c>
      <c r="T1173">
        <v>1.26</v>
      </c>
      <c r="U1173">
        <v>3779.748</v>
      </c>
      <c r="V1173">
        <v>258.72535575919301</v>
      </c>
      <c r="W1173">
        <v>6.8450424673600727E-2</v>
      </c>
    </row>
    <row r="1174" spans="1:23" x14ac:dyDescent="0.25">
      <c r="A1174" t="s">
        <v>2435</v>
      </c>
      <c r="B1174" t="s">
        <v>37</v>
      </c>
      <c r="C1174" t="s">
        <v>91</v>
      </c>
      <c r="D1174" t="s">
        <v>31</v>
      </c>
      <c r="E1174" t="s">
        <v>74</v>
      </c>
      <c r="F1174" s="1">
        <v>45815</v>
      </c>
      <c r="G1174">
        <v>45845</v>
      </c>
      <c r="H1174" t="s">
        <v>6</v>
      </c>
      <c r="I1174">
        <v>9056.26</v>
      </c>
      <c r="J1174" t="s">
        <v>75</v>
      </c>
      <c r="K1174" t="s">
        <v>2436</v>
      </c>
      <c r="L1174">
        <v>30</v>
      </c>
      <c r="M1174" t="s">
        <v>37</v>
      </c>
      <c r="N1174">
        <v>1.1638999999999999</v>
      </c>
      <c r="O1174">
        <v>1.3449272012941993</v>
      </c>
      <c r="P1174">
        <v>6.7633215178104474E-3</v>
      </c>
      <c r="Q1174">
        <v>1.1638999999999999</v>
      </c>
      <c r="R1174">
        <v>10540.581013999999</v>
      </c>
      <c r="S1174" t="s">
        <v>12</v>
      </c>
      <c r="T1174">
        <v>1.07</v>
      </c>
      <c r="U1174">
        <v>9690.1982000000007</v>
      </c>
      <c r="V1174">
        <v>850.38281399999869</v>
      </c>
      <c r="W1174">
        <v>8.7757009345794251E-2</v>
      </c>
    </row>
    <row r="1175" spans="1:23" x14ac:dyDescent="0.25">
      <c r="A1175" t="s">
        <v>2437</v>
      </c>
      <c r="B1175" t="s">
        <v>28</v>
      </c>
      <c r="C1175" t="s">
        <v>111</v>
      </c>
      <c r="D1175" t="s">
        <v>31</v>
      </c>
      <c r="E1175" t="s">
        <v>74</v>
      </c>
      <c r="F1175" s="1">
        <v>45825</v>
      </c>
      <c r="G1175">
        <v>45870</v>
      </c>
      <c r="H1175" t="s">
        <v>9</v>
      </c>
      <c r="I1175">
        <v>4133441.75</v>
      </c>
      <c r="J1175" t="s">
        <v>75</v>
      </c>
      <c r="K1175" t="s">
        <v>2438</v>
      </c>
      <c r="L1175">
        <v>45</v>
      </c>
      <c r="M1175" t="s">
        <v>28</v>
      </c>
      <c r="N1175">
        <v>1.1568000000000001</v>
      </c>
      <c r="O1175">
        <v>1.356950146627566</v>
      </c>
      <c r="P1175">
        <v>6.9124589184344195E-3</v>
      </c>
      <c r="Q1175">
        <v>6.9124589184344195E-3</v>
      </c>
      <c r="R1175">
        <v>28572.246288616672</v>
      </c>
      <c r="S1175" t="s">
        <v>12</v>
      </c>
      <c r="T1175">
        <v>6.7000000000000002E-3</v>
      </c>
      <c r="U1175">
        <v>27694.059724999999</v>
      </c>
      <c r="V1175">
        <v>878.18656361667308</v>
      </c>
      <c r="W1175">
        <v>3.1710286333495409E-2</v>
      </c>
    </row>
    <row r="1176" spans="1:23" x14ac:dyDescent="0.25">
      <c r="A1176" t="s">
        <v>2439</v>
      </c>
      <c r="B1176" t="s">
        <v>24</v>
      </c>
      <c r="C1176" t="s">
        <v>73</v>
      </c>
      <c r="D1176" t="s">
        <v>31</v>
      </c>
      <c r="E1176" t="s">
        <v>74</v>
      </c>
      <c r="F1176" s="1">
        <v>45867</v>
      </c>
      <c r="G1176">
        <v>45897</v>
      </c>
      <c r="H1176" t="s">
        <v>6</v>
      </c>
      <c r="I1176">
        <v>24791.78</v>
      </c>
      <c r="J1176" t="s">
        <v>75</v>
      </c>
      <c r="K1176" t="s">
        <v>2440</v>
      </c>
      <c r="L1176">
        <v>30</v>
      </c>
      <c r="M1176" t="s">
        <v>24</v>
      </c>
      <c r="N1176">
        <v>1.1533</v>
      </c>
      <c r="O1176">
        <v>1.3332947976878613</v>
      </c>
      <c r="P1176">
        <v>6.7216458794731315E-3</v>
      </c>
      <c r="Q1176">
        <v>1.1533</v>
      </c>
      <c r="R1176">
        <v>28592.359873999998</v>
      </c>
      <c r="S1176" t="s">
        <v>13</v>
      </c>
      <c r="T1176">
        <v>1.0880000000000001</v>
      </c>
      <c r="U1176">
        <v>26973.45664</v>
      </c>
      <c r="V1176">
        <v>1618.9032339999976</v>
      </c>
      <c r="W1176">
        <v>6.0018382352941088E-2</v>
      </c>
    </row>
    <row r="1177" spans="1:23" x14ac:dyDescent="0.25">
      <c r="A1177" t="s">
        <v>2441</v>
      </c>
      <c r="B1177" t="s">
        <v>24</v>
      </c>
      <c r="C1177" t="s">
        <v>73</v>
      </c>
      <c r="D1177" t="s">
        <v>31</v>
      </c>
      <c r="E1177" t="s">
        <v>74</v>
      </c>
      <c r="F1177" s="1">
        <v>45794</v>
      </c>
      <c r="G1177">
        <v>45824</v>
      </c>
      <c r="H1177" t="s">
        <v>6</v>
      </c>
      <c r="I1177">
        <v>24490.61</v>
      </c>
      <c r="J1177" t="s">
        <v>75</v>
      </c>
      <c r="K1177" t="s">
        <v>2442</v>
      </c>
      <c r="L1177">
        <v>30</v>
      </c>
      <c r="M1177" t="s">
        <v>24</v>
      </c>
      <c r="N1177">
        <v>1.1726000000000001</v>
      </c>
      <c r="O1177">
        <v>1.353260242354299</v>
      </c>
      <c r="P1177">
        <v>6.8361219611729734E-3</v>
      </c>
      <c r="Q1177">
        <v>1.1726000000000001</v>
      </c>
      <c r="R1177">
        <v>28717.689286000004</v>
      </c>
      <c r="S1177" t="s">
        <v>12</v>
      </c>
      <c r="T1177">
        <v>1.07</v>
      </c>
      <c r="U1177">
        <v>26204.952700000002</v>
      </c>
      <c r="V1177">
        <v>2512.7365860000027</v>
      </c>
      <c r="W1177">
        <v>9.5887850467289815E-2</v>
      </c>
    </row>
    <row r="1178" spans="1:23" x14ac:dyDescent="0.25">
      <c r="A1178" t="s">
        <v>2443</v>
      </c>
      <c r="B1178" t="s">
        <v>28</v>
      </c>
      <c r="C1178" t="s">
        <v>111</v>
      </c>
      <c r="D1178" t="s">
        <v>31</v>
      </c>
      <c r="E1178" t="s">
        <v>74</v>
      </c>
      <c r="F1178" s="1">
        <v>45888</v>
      </c>
      <c r="G1178">
        <v>45933</v>
      </c>
      <c r="H1178" t="s">
        <v>9</v>
      </c>
      <c r="I1178">
        <v>4071437.05</v>
      </c>
      <c r="J1178" t="s">
        <v>75</v>
      </c>
      <c r="K1178" t="s">
        <v>2444</v>
      </c>
      <c r="L1178">
        <v>45</v>
      </c>
      <c r="M1178" t="s">
        <v>28</v>
      </c>
      <c r="N1178">
        <v>1.1681999999999999</v>
      </c>
      <c r="O1178">
        <v>1.3520833333333333</v>
      </c>
      <c r="P1178">
        <v>6.7655064574042969E-3</v>
      </c>
      <c r="Q1178">
        <v>6.7655064574042969E-3</v>
      </c>
      <c r="R1178">
        <v>27545.3336526901</v>
      </c>
      <c r="S1178" t="s">
        <v>13</v>
      </c>
      <c r="T1178">
        <v>6.8399999999999997E-3</v>
      </c>
      <c r="U1178">
        <v>27848.629421999998</v>
      </c>
      <c r="V1178">
        <v>-303.29576930989788</v>
      </c>
      <c r="W1178">
        <v>-1.0890868800541357E-2</v>
      </c>
    </row>
    <row r="1179" spans="1:23" x14ac:dyDescent="0.25">
      <c r="A1179" t="s">
        <v>2445</v>
      </c>
      <c r="B1179" t="s">
        <v>26</v>
      </c>
      <c r="C1179" t="s">
        <v>94</v>
      </c>
      <c r="D1179" t="s">
        <v>31</v>
      </c>
      <c r="E1179" t="s">
        <v>74</v>
      </c>
      <c r="F1179" s="1">
        <v>45889</v>
      </c>
      <c r="G1179">
        <v>45919</v>
      </c>
      <c r="H1179" t="s">
        <v>8</v>
      </c>
      <c r="I1179">
        <v>12195.8</v>
      </c>
      <c r="J1179" t="s">
        <v>75</v>
      </c>
      <c r="K1179" t="s">
        <v>2446</v>
      </c>
      <c r="L1179">
        <v>30</v>
      </c>
      <c r="M1179" t="s">
        <v>26</v>
      </c>
      <c r="N1179">
        <v>1.1651</v>
      </c>
      <c r="O1179">
        <v>1.3477154424522846</v>
      </c>
      <c r="P1179">
        <v>6.7829073761425159E-3</v>
      </c>
      <c r="Q1179">
        <v>1.3477154424522846</v>
      </c>
      <c r="R1179">
        <v>16436.46799305957</v>
      </c>
      <c r="S1179" t="s">
        <v>13</v>
      </c>
      <c r="T1179">
        <v>1.282</v>
      </c>
      <c r="U1179">
        <v>15635.015599999999</v>
      </c>
      <c r="V1179">
        <v>801.45239305957148</v>
      </c>
      <c r="W1179">
        <v>5.1260095516602586E-2</v>
      </c>
    </row>
    <row r="1180" spans="1:23" x14ac:dyDescent="0.25">
      <c r="A1180" t="s">
        <v>2447</v>
      </c>
      <c r="B1180" t="s">
        <v>28</v>
      </c>
      <c r="C1180" t="s">
        <v>111</v>
      </c>
      <c r="D1180" t="s">
        <v>31</v>
      </c>
      <c r="E1180" t="s">
        <v>74</v>
      </c>
      <c r="F1180" s="1">
        <v>45747</v>
      </c>
      <c r="G1180">
        <v>45792</v>
      </c>
      <c r="H1180" t="s">
        <v>9</v>
      </c>
      <c r="I1180">
        <v>3185105.95</v>
      </c>
      <c r="J1180" t="s">
        <v>75</v>
      </c>
      <c r="K1180" t="s">
        <v>2448</v>
      </c>
      <c r="L1180">
        <v>45</v>
      </c>
      <c r="M1180" t="s">
        <v>28</v>
      </c>
      <c r="N1180">
        <v>1.0814999999999999</v>
      </c>
      <c r="O1180">
        <v>1.2946514077762881</v>
      </c>
      <c r="P1180">
        <v>6.6924504950495048E-3</v>
      </c>
      <c r="Q1180">
        <v>6.6924504950495048E-3</v>
      </c>
      <c r="R1180">
        <v>21316.163891862623</v>
      </c>
      <c r="S1180" t="s">
        <v>11</v>
      </c>
      <c r="T1180">
        <v>6.5599999999999999E-3</v>
      </c>
      <c r="U1180">
        <v>20894.295032000002</v>
      </c>
      <c r="V1180">
        <v>421.86885986262132</v>
      </c>
      <c r="W1180">
        <v>2.0190624245351247E-2</v>
      </c>
    </row>
    <row r="1181" spans="1:23" x14ac:dyDescent="0.25">
      <c r="A1181" t="s">
        <v>2449</v>
      </c>
      <c r="B1181" t="s">
        <v>34</v>
      </c>
      <c r="C1181" t="s">
        <v>177</v>
      </c>
      <c r="D1181" t="s">
        <v>31</v>
      </c>
      <c r="E1181" t="s">
        <v>74</v>
      </c>
      <c r="F1181" s="1">
        <v>46302</v>
      </c>
      <c r="G1181">
        <v>46362</v>
      </c>
      <c r="H1181" t="s">
        <v>8</v>
      </c>
      <c r="I1181">
        <v>14907.89</v>
      </c>
      <c r="J1181" t="s">
        <v>84</v>
      </c>
      <c r="K1181" t="s">
        <v>2450</v>
      </c>
      <c r="L1181">
        <v>60</v>
      </c>
      <c r="M1181" t="s">
        <v>34</v>
      </c>
      <c r="N1181">
        <v>1.1176999999999999</v>
      </c>
      <c r="O1181">
        <v>1.320456022210408</v>
      </c>
      <c r="P1181">
        <v>6.3200452360757699E-3</v>
      </c>
      <c r="Q1181">
        <v>1.320456022210408</v>
      </c>
      <c r="R1181">
        <v>19685.21312895032</v>
      </c>
      <c r="S1181" t="s">
        <v>23</v>
      </c>
      <c r="T1181">
        <v>1.3149999999999999</v>
      </c>
      <c r="U1181">
        <v>19603.875349999998</v>
      </c>
      <c r="V1181">
        <v>81.337778950321081</v>
      </c>
      <c r="W1181">
        <v>4.1490663197019913E-3</v>
      </c>
    </row>
    <row r="1182" spans="1:23" x14ac:dyDescent="0.25">
      <c r="A1182" t="s">
        <v>2451</v>
      </c>
      <c r="B1182" t="s">
        <v>28</v>
      </c>
      <c r="C1182" t="s">
        <v>111</v>
      </c>
      <c r="D1182" t="s">
        <v>31</v>
      </c>
      <c r="E1182" t="s">
        <v>74</v>
      </c>
      <c r="F1182" s="1">
        <v>46256</v>
      </c>
      <c r="G1182">
        <v>46301</v>
      </c>
      <c r="H1182" t="s">
        <v>9</v>
      </c>
      <c r="I1182">
        <v>2792984.63</v>
      </c>
      <c r="J1182" t="s">
        <v>75</v>
      </c>
      <c r="K1182" t="s">
        <v>2452</v>
      </c>
      <c r="L1182">
        <v>45</v>
      </c>
      <c r="M1182" t="s">
        <v>28</v>
      </c>
      <c r="N1182">
        <v>1.1698999999999999</v>
      </c>
      <c r="O1182">
        <v>1.3655888875919224</v>
      </c>
      <c r="P1182">
        <v>6.3013034579338578E-3</v>
      </c>
      <c r="Q1182">
        <v>6.3013034579338578E-3</v>
      </c>
      <c r="R1182">
        <v>17599.443706975115</v>
      </c>
      <c r="S1182" t="s">
        <v>21</v>
      </c>
      <c r="T1182">
        <v>6.7400000000000003E-3</v>
      </c>
      <c r="U1182">
        <v>18824.716406200001</v>
      </c>
      <c r="V1182">
        <v>-1225.2726992248863</v>
      </c>
      <c r="W1182">
        <v>-6.5088507724947051E-2</v>
      </c>
    </row>
    <row r="1183" spans="1:23" x14ac:dyDescent="0.25">
      <c r="A1183" t="s">
        <v>2453</v>
      </c>
      <c r="B1183" t="s">
        <v>22</v>
      </c>
      <c r="C1183" t="s">
        <v>127</v>
      </c>
      <c r="D1183" t="s">
        <v>31</v>
      </c>
      <c r="E1183" t="s">
        <v>124</v>
      </c>
      <c r="F1183" s="1">
        <v>46159</v>
      </c>
      <c r="G1183">
        <v>46219</v>
      </c>
      <c r="H1183" t="s">
        <v>9</v>
      </c>
      <c r="I1183">
        <v>4193510.33</v>
      </c>
      <c r="J1183" t="s">
        <v>75</v>
      </c>
      <c r="K1183" t="s">
        <v>2454</v>
      </c>
      <c r="L1183">
        <v>60</v>
      </c>
      <c r="M1183" t="s">
        <v>22</v>
      </c>
      <c r="N1183">
        <v>1.1628000000000001</v>
      </c>
      <c r="O1183">
        <v>1.3357840321654222</v>
      </c>
      <c r="P1183">
        <v>6.3072249945758298E-3</v>
      </c>
      <c r="Q1183">
        <v>6.3072249945758298E-3</v>
      </c>
      <c r="R1183">
        <v>26449.413168387939</v>
      </c>
      <c r="S1183" t="s">
        <v>19</v>
      </c>
      <c r="T1183">
        <v>6.6E-3</v>
      </c>
      <c r="U1183">
        <v>27677.168178</v>
      </c>
      <c r="V1183">
        <v>-1227.7550096120613</v>
      </c>
      <c r="W1183">
        <v>-4.4359849306692366E-2</v>
      </c>
    </row>
    <row r="1184" spans="1:23" x14ac:dyDescent="0.25">
      <c r="A1184" t="s">
        <v>2455</v>
      </c>
      <c r="B1184" t="s">
        <v>30</v>
      </c>
      <c r="C1184" t="s">
        <v>103</v>
      </c>
      <c r="D1184" t="s">
        <v>31</v>
      </c>
      <c r="E1184" t="s">
        <v>74</v>
      </c>
      <c r="F1184" s="1">
        <v>46380</v>
      </c>
      <c r="G1184">
        <v>46410</v>
      </c>
      <c r="H1184" t="s">
        <v>9</v>
      </c>
      <c r="I1184">
        <v>4878613.29</v>
      </c>
      <c r="J1184" t="s">
        <v>84</v>
      </c>
      <c r="K1184" t="s">
        <v>2456</v>
      </c>
      <c r="L1184">
        <v>30</v>
      </c>
      <c r="M1184" t="s">
        <v>30</v>
      </c>
      <c r="N1184">
        <v>1.1176999999999999</v>
      </c>
      <c r="O1184">
        <v>1.320456022210408</v>
      </c>
      <c r="P1184">
        <v>6.3200452360757699E-3</v>
      </c>
      <c r="Q1184">
        <v>6.3200452360757699E-3</v>
      </c>
      <c r="R1184">
        <v>30833.056682120437</v>
      </c>
      <c r="S1184" t="s">
        <v>23</v>
      </c>
      <c r="T1184">
        <v>6.8799999999999998E-3</v>
      </c>
      <c r="U1184">
        <v>33564.8594352</v>
      </c>
      <c r="V1184">
        <v>-2731.8027530795625</v>
      </c>
      <c r="W1184">
        <v>-8.1388773826196262E-2</v>
      </c>
    </row>
    <row r="1185" spans="1:23" x14ac:dyDescent="0.25">
      <c r="A1185" t="s">
        <v>2457</v>
      </c>
      <c r="B1185" t="s">
        <v>22</v>
      </c>
      <c r="C1185" t="s">
        <v>127</v>
      </c>
      <c r="D1185" t="s">
        <v>31</v>
      </c>
      <c r="E1185" t="s">
        <v>124</v>
      </c>
      <c r="F1185" s="1">
        <v>46097</v>
      </c>
      <c r="G1185">
        <v>46157</v>
      </c>
      <c r="H1185" t="s">
        <v>9</v>
      </c>
      <c r="I1185">
        <v>7219071.4299999997</v>
      </c>
      <c r="J1185" t="s">
        <v>75</v>
      </c>
      <c r="K1185" t="s">
        <v>2458</v>
      </c>
      <c r="L1185">
        <v>60</v>
      </c>
      <c r="M1185" t="s">
        <v>22</v>
      </c>
      <c r="N1185">
        <v>1.1477999999999999</v>
      </c>
      <c r="O1185">
        <v>1.3283492269234329</v>
      </c>
      <c r="P1185">
        <v>6.283805978320376E-3</v>
      </c>
      <c r="Q1185">
        <v>6.283805978320376E-3</v>
      </c>
      <c r="R1185">
        <v>45363.244209755823</v>
      </c>
      <c r="S1185" t="s">
        <v>16</v>
      </c>
      <c r="T1185">
        <v>6.4599999999999996E-3</v>
      </c>
      <c r="U1185">
        <v>46635.201437799995</v>
      </c>
      <c r="V1185">
        <v>-1271.9572280441716</v>
      </c>
      <c r="W1185">
        <v>-2.7274616359074869E-2</v>
      </c>
    </row>
    <row r="1186" spans="1:23" x14ac:dyDescent="0.25">
      <c r="A1186" t="s">
        <v>2459</v>
      </c>
      <c r="B1186" t="s">
        <v>34</v>
      </c>
      <c r="C1186" t="s">
        <v>177</v>
      </c>
      <c r="D1186" t="s">
        <v>31</v>
      </c>
      <c r="E1186" t="s">
        <v>74</v>
      </c>
      <c r="F1186" s="1">
        <v>45950</v>
      </c>
      <c r="G1186">
        <v>46010</v>
      </c>
      <c r="H1186" t="s">
        <v>8</v>
      </c>
      <c r="I1186">
        <v>11567.98</v>
      </c>
      <c r="J1186" t="s">
        <v>75</v>
      </c>
      <c r="K1186" t="s">
        <v>2460</v>
      </c>
      <c r="L1186">
        <v>60</v>
      </c>
      <c r="M1186" t="s">
        <v>34</v>
      </c>
      <c r="N1186">
        <v>1.1655</v>
      </c>
      <c r="O1186">
        <v>1.3410424577148774</v>
      </c>
      <c r="P1186">
        <v>6.6330886119173637E-3</v>
      </c>
      <c r="Q1186">
        <v>1.3410424577148774</v>
      </c>
      <c r="R1186">
        <v>15513.152329996547</v>
      </c>
      <c r="S1186" t="s">
        <v>14</v>
      </c>
      <c r="T1186">
        <v>1.304</v>
      </c>
      <c r="U1186">
        <v>15084.645920000001</v>
      </c>
      <c r="V1186">
        <v>428.5064099965457</v>
      </c>
      <c r="W1186">
        <v>2.8406792726132855E-2</v>
      </c>
    </row>
    <row r="1187" spans="1:23" x14ac:dyDescent="0.25">
      <c r="A1187" t="s">
        <v>2461</v>
      </c>
      <c r="B1187" t="s">
        <v>38</v>
      </c>
      <c r="C1187" t="s">
        <v>87</v>
      </c>
      <c r="D1187" t="s">
        <v>33</v>
      </c>
      <c r="E1187" t="s">
        <v>88</v>
      </c>
      <c r="F1187" s="1">
        <v>45967</v>
      </c>
      <c r="G1187">
        <v>45997</v>
      </c>
      <c r="H1187" t="s">
        <v>6</v>
      </c>
      <c r="I1187">
        <v>4541.83</v>
      </c>
      <c r="J1187" t="s">
        <v>75</v>
      </c>
      <c r="K1187" t="s">
        <v>2462</v>
      </c>
      <c r="L1187">
        <v>30</v>
      </c>
      <c r="M1187" t="s">
        <v>38</v>
      </c>
      <c r="N1187">
        <v>1.1533</v>
      </c>
      <c r="O1187">
        <v>1.3095265130010219</v>
      </c>
      <c r="P1187">
        <v>6.5103020039514537E-3</v>
      </c>
      <c r="Q1187">
        <v>1.1533</v>
      </c>
      <c r="R1187">
        <v>5238.0925390000002</v>
      </c>
      <c r="S1187" t="s">
        <v>14</v>
      </c>
      <c r="T1187">
        <v>1.1060000000000001</v>
      </c>
      <c r="U1187">
        <v>5023.2639800000006</v>
      </c>
      <c r="V1187">
        <v>214.82855899999959</v>
      </c>
      <c r="W1187">
        <v>4.2766726943942047E-2</v>
      </c>
    </row>
    <row r="1188" spans="1:23" x14ac:dyDescent="0.25">
      <c r="A1188" t="s">
        <v>2463</v>
      </c>
      <c r="B1188" t="s">
        <v>25</v>
      </c>
      <c r="C1188" t="s">
        <v>169</v>
      </c>
      <c r="D1188" t="s">
        <v>31</v>
      </c>
      <c r="E1188" t="s">
        <v>124</v>
      </c>
      <c r="F1188" s="1">
        <v>45920</v>
      </c>
      <c r="G1188">
        <v>45980</v>
      </c>
      <c r="H1188" t="s">
        <v>6</v>
      </c>
      <c r="I1188">
        <v>86265.54</v>
      </c>
      <c r="J1188" t="s">
        <v>75</v>
      </c>
      <c r="K1188" t="s">
        <v>2464</v>
      </c>
      <c r="L1188">
        <v>60</v>
      </c>
      <c r="M1188" t="s">
        <v>25</v>
      </c>
      <c r="N1188">
        <v>1.1728000000000001</v>
      </c>
      <c r="O1188">
        <v>1.3446457234579225</v>
      </c>
      <c r="P1188">
        <v>6.3332973323253052E-3</v>
      </c>
      <c r="Q1188">
        <v>1.1728000000000001</v>
      </c>
      <c r="R1188">
        <v>101172.225312</v>
      </c>
      <c r="S1188" t="s">
        <v>13</v>
      </c>
      <c r="T1188">
        <v>1.0880000000000001</v>
      </c>
      <c r="U1188">
        <v>93856.907519999993</v>
      </c>
      <c r="V1188">
        <v>7315.3177920000016</v>
      </c>
      <c r="W1188">
        <v>7.7941176470588264E-2</v>
      </c>
    </row>
    <row r="1189" spans="1:23" x14ac:dyDescent="0.25">
      <c r="A1189" t="s">
        <v>2465</v>
      </c>
      <c r="B1189" t="s">
        <v>36</v>
      </c>
      <c r="C1189" t="s">
        <v>116</v>
      </c>
      <c r="D1189" t="s">
        <v>31</v>
      </c>
      <c r="E1189" t="s">
        <v>806</v>
      </c>
      <c r="F1189" s="1">
        <v>46323</v>
      </c>
      <c r="G1189">
        <v>46368</v>
      </c>
      <c r="H1189" t="s">
        <v>6</v>
      </c>
      <c r="I1189">
        <v>18963.060000000001</v>
      </c>
      <c r="J1189" t="s">
        <v>84</v>
      </c>
      <c r="K1189" t="s">
        <v>2466</v>
      </c>
      <c r="L1189">
        <v>45</v>
      </c>
      <c r="M1189" t="s">
        <v>36</v>
      </c>
      <c r="N1189">
        <v>1.1176999999999999</v>
      </c>
      <c r="O1189">
        <v>1.320456022210408</v>
      </c>
      <c r="P1189">
        <v>6.3200452360757699E-3</v>
      </c>
      <c r="Q1189">
        <v>1.1176999999999999</v>
      </c>
      <c r="R1189">
        <v>21195.012161999999</v>
      </c>
      <c r="S1189" t="s">
        <v>23</v>
      </c>
      <c r="T1189">
        <v>1.119</v>
      </c>
      <c r="U1189">
        <v>21219.664140000001</v>
      </c>
      <c r="V1189">
        <v>-24.651978000001691</v>
      </c>
      <c r="W1189">
        <v>-1.1617515638964156E-3</v>
      </c>
    </row>
    <row r="1190" spans="1:23" x14ac:dyDescent="0.25">
      <c r="A1190" t="s">
        <v>2467</v>
      </c>
      <c r="B1190" t="s">
        <v>30</v>
      </c>
      <c r="C1190" t="s">
        <v>103</v>
      </c>
      <c r="D1190" t="s">
        <v>31</v>
      </c>
      <c r="E1190" t="s">
        <v>74</v>
      </c>
      <c r="F1190" s="1">
        <v>46192</v>
      </c>
      <c r="G1190">
        <v>46222</v>
      </c>
      <c r="H1190" t="s">
        <v>9</v>
      </c>
      <c r="I1190">
        <v>531527.34</v>
      </c>
      <c r="J1190" t="s">
        <v>75</v>
      </c>
      <c r="K1190" t="s">
        <v>2468</v>
      </c>
      <c r="L1190">
        <v>30</v>
      </c>
      <c r="M1190" t="s">
        <v>30</v>
      </c>
      <c r="N1190">
        <v>1.1467000000000001</v>
      </c>
      <c r="O1190">
        <v>1.3233240626406473</v>
      </c>
      <c r="P1190">
        <v>6.2024015577672011E-3</v>
      </c>
      <c r="Q1190">
        <v>6.2024015577672011E-3</v>
      </c>
      <c r="R1190">
        <v>3296.7460016118566</v>
      </c>
      <c r="S1190" t="s">
        <v>19</v>
      </c>
      <c r="T1190">
        <v>6.6E-3</v>
      </c>
      <c r="U1190">
        <v>3508.0804439999997</v>
      </c>
      <c r="V1190">
        <v>-211.33444238814309</v>
      </c>
      <c r="W1190">
        <v>-6.0242188217090702E-2</v>
      </c>
    </row>
    <row r="1191" spans="1:23" x14ac:dyDescent="0.25">
      <c r="A1191" t="s">
        <v>2469</v>
      </c>
      <c r="B1191" t="s">
        <v>39</v>
      </c>
      <c r="C1191" t="s">
        <v>82</v>
      </c>
      <c r="D1191" t="s">
        <v>33</v>
      </c>
      <c r="E1191" t="s">
        <v>83</v>
      </c>
      <c r="F1191" s="1">
        <v>45746</v>
      </c>
      <c r="G1191">
        <v>45791</v>
      </c>
      <c r="H1191" t="s">
        <v>8</v>
      </c>
      <c r="I1191">
        <v>4605.72</v>
      </c>
      <c r="J1191" t="s">
        <v>75</v>
      </c>
      <c r="K1191" t="s">
        <v>2470</v>
      </c>
      <c r="L1191">
        <v>45</v>
      </c>
      <c r="M1191" t="s">
        <v>39</v>
      </c>
      <c r="N1191">
        <v>1.1194</v>
      </c>
      <c r="O1191">
        <v>1.3283493532692536</v>
      </c>
      <c r="P1191">
        <v>6.8653787181846048E-3</v>
      </c>
      <c r="Q1191">
        <v>1.3283493532692536</v>
      </c>
      <c r="R1191">
        <v>6118.0051833392672</v>
      </c>
      <c r="S1191" t="s">
        <v>11</v>
      </c>
      <c r="T1191">
        <v>1.238</v>
      </c>
      <c r="U1191">
        <v>5701.8813600000003</v>
      </c>
      <c r="V1191">
        <v>416.12382333926689</v>
      </c>
      <c r="W1191">
        <v>7.2980091493742849E-2</v>
      </c>
    </row>
    <row r="1192" spans="1:23" x14ac:dyDescent="0.25">
      <c r="A1192" t="s">
        <v>2471</v>
      </c>
      <c r="B1192" t="s">
        <v>24</v>
      </c>
      <c r="C1192" t="s">
        <v>73</v>
      </c>
      <c r="D1192" t="s">
        <v>31</v>
      </c>
      <c r="E1192" t="s">
        <v>74</v>
      </c>
      <c r="F1192" s="1">
        <v>46330</v>
      </c>
      <c r="G1192">
        <v>46360</v>
      </c>
      <c r="H1192" t="s">
        <v>6</v>
      </c>
      <c r="I1192">
        <v>27180.41</v>
      </c>
      <c r="J1192" t="s">
        <v>84</v>
      </c>
      <c r="K1192" t="s">
        <v>2472</v>
      </c>
      <c r="L1192">
        <v>30</v>
      </c>
      <c r="M1192" t="s">
        <v>24</v>
      </c>
      <c r="N1192">
        <v>1.1176999999999999</v>
      </c>
      <c r="O1192">
        <v>1.320456022210408</v>
      </c>
      <c r="P1192">
        <v>6.3200452360757699E-3</v>
      </c>
      <c r="Q1192">
        <v>1.1176999999999999</v>
      </c>
      <c r="R1192">
        <v>30379.544256999998</v>
      </c>
      <c r="S1192" t="s">
        <v>23</v>
      </c>
      <c r="T1192">
        <v>1.119</v>
      </c>
      <c r="U1192">
        <v>30414.878789999999</v>
      </c>
      <c r="V1192">
        <v>-35.334533000001102</v>
      </c>
      <c r="W1192">
        <v>-1.1617515638963722E-3</v>
      </c>
    </row>
    <row r="1193" spans="1:23" x14ac:dyDescent="0.25">
      <c r="A1193" t="s">
        <v>2473</v>
      </c>
      <c r="B1193" t="s">
        <v>43</v>
      </c>
      <c r="C1193" t="s">
        <v>215</v>
      </c>
      <c r="D1193" t="s">
        <v>35</v>
      </c>
      <c r="E1193" t="s">
        <v>152</v>
      </c>
      <c r="F1193" s="1">
        <v>46000</v>
      </c>
      <c r="G1193">
        <v>46030</v>
      </c>
      <c r="H1193" t="s">
        <v>6</v>
      </c>
      <c r="I1193">
        <v>6184.87</v>
      </c>
      <c r="J1193" t="s">
        <v>75</v>
      </c>
      <c r="K1193" t="s">
        <v>2474</v>
      </c>
      <c r="L1193">
        <v>30</v>
      </c>
      <c r="M1193" t="s">
        <v>43</v>
      </c>
      <c r="N1193">
        <v>1.1637</v>
      </c>
      <c r="O1193">
        <v>1.3322266742987978</v>
      </c>
      <c r="P1193">
        <v>6.3953616179380076E-3</v>
      </c>
      <c r="Q1193">
        <v>1.1637</v>
      </c>
      <c r="R1193">
        <v>7197.3332189999992</v>
      </c>
      <c r="S1193" t="s">
        <v>14</v>
      </c>
      <c r="T1193">
        <v>1.1060000000000001</v>
      </c>
      <c r="U1193">
        <v>6840.4662200000002</v>
      </c>
      <c r="V1193">
        <v>356.86699899999894</v>
      </c>
      <c r="W1193">
        <v>5.2169981916817203E-2</v>
      </c>
    </row>
    <row r="1194" spans="1:23" x14ac:dyDescent="0.25">
      <c r="A1194" t="s">
        <v>2475</v>
      </c>
      <c r="B1194" t="s">
        <v>40</v>
      </c>
      <c r="C1194" t="s">
        <v>78</v>
      </c>
      <c r="D1194" t="s">
        <v>33</v>
      </c>
      <c r="E1194" t="s">
        <v>79</v>
      </c>
      <c r="F1194" s="1">
        <v>45957</v>
      </c>
      <c r="G1194">
        <v>45987</v>
      </c>
      <c r="H1194" t="s">
        <v>9</v>
      </c>
      <c r="I1194">
        <v>1178796.19</v>
      </c>
      <c r="J1194" t="s">
        <v>75</v>
      </c>
      <c r="K1194" t="s">
        <v>2476</v>
      </c>
      <c r="L1194">
        <v>30</v>
      </c>
      <c r="M1194" t="s">
        <v>40</v>
      </c>
      <c r="N1194">
        <v>1.1639999999999999</v>
      </c>
      <c r="O1194">
        <v>1.3347093223254214</v>
      </c>
      <c r="P1194">
        <v>6.5418984994098798E-3</v>
      </c>
      <c r="Q1194">
        <v>6.5418984994098798E-3</v>
      </c>
      <c r="R1194">
        <v>7711.565026471083</v>
      </c>
      <c r="S1194" t="s">
        <v>14</v>
      </c>
      <c r="T1194">
        <v>6.9800000000000001E-3</v>
      </c>
      <c r="U1194">
        <v>8227.9974062000001</v>
      </c>
      <c r="V1194">
        <v>-516.43237972891711</v>
      </c>
      <c r="W1194">
        <v>-6.2765257964200682E-2</v>
      </c>
    </row>
    <row r="1195" spans="1:23" x14ac:dyDescent="0.25">
      <c r="A1195" t="s">
        <v>2477</v>
      </c>
      <c r="B1195" t="s">
        <v>36</v>
      </c>
      <c r="C1195" t="s">
        <v>116</v>
      </c>
      <c r="D1195" t="s">
        <v>31</v>
      </c>
      <c r="E1195" t="s">
        <v>74</v>
      </c>
      <c r="F1195" s="1">
        <v>46072</v>
      </c>
      <c r="G1195">
        <v>46117</v>
      </c>
      <c r="H1195" t="s">
        <v>6</v>
      </c>
      <c r="I1195">
        <v>22422.19</v>
      </c>
      <c r="J1195" t="s">
        <v>75</v>
      </c>
      <c r="K1195" t="s">
        <v>2478</v>
      </c>
      <c r="L1195">
        <v>45</v>
      </c>
      <c r="M1195" t="s">
        <v>36</v>
      </c>
      <c r="N1195">
        <v>1.1753</v>
      </c>
      <c r="O1195">
        <v>1.3450446326390477</v>
      </c>
      <c r="P1195">
        <v>6.4559187036528423E-3</v>
      </c>
      <c r="Q1195">
        <v>1.1753</v>
      </c>
      <c r="R1195">
        <v>26352.799907000001</v>
      </c>
      <c r="S1195" t="s">
        <v>16</v>
      </c>
      <c r="T1195">
        <v>1.0649999999999999</v>
      </c>
      <c r="U1195">
        <v>23879.632349999996</v>
      </c>
      <c r="V1195">
        <v>2473.1675570000043</v>
      </c>
      <c r="W1195">
        <v>0.10356807511737109</v>
      </c>
    </row>
    <row r="1196" spans="1:23" x14ac:dyDescent="0.25">
      <c r="A1196" t="s">
        <v>2479</v>
      </c>
      <c r="B1196" t="s">
        <v>38</v>
      </c>
      <c r="C1196" t="s">
        <v>87</v>
      </c>
      <c r="D1196" t="s">
        <v>33</v>
      </c>
      <c r="E1196" t="s">
        <v>88</v>
      </c>
      <c r="F1196" s="1">
        <v>45896</v>
      </c>
      <c r="G1196">
        <v>45926</v>
      </c>
      <c r="H1196" t="s">
        <v>6</v>
      </c>
      <c r="I1196">
        <v>11015.57</v>
      </c>
      <c r="J1196" t="s">
        <v>75</v>
      </c>
      <c r="K1196" t="s">
        <v>2480</v>
      </c>
      <c r="L1196">
        <v>30</v>
      </c>
      <c r="M1196" t="s">
        <v>38</v>
      </c>
      <c r="N1196">
        <v>1.1593</v>
      </c>
      <c r="O1196">
        <v>1.3439601205657314</v>
      </c>
      <c r="P1196">
        <v>6.7546466235506612E-3</v>
      </c>
      <c r="Q1196">
        <v>1.1593</v>
      </c>
      <c r="R1196">
        <v>12770.350301</v>
      </c>
      <c r="S1196" t="s">
        <v>13</v>
      </c>
      <c r="T1196">
        <v>1.0880000000000001</v>
      </c>
      <c r="U1196">
        <v>11984.94016</v>
      </c>
      <c r="V1196">
        <v>785.41014100000029</v>
      </c>
      <c r="W1196">
        <v>6.5533088235294149E-2</v>
      </c>
    </row>
    <row r="1197" spans="1:23" x14ac:dyDescent="0.25">
      <c r="A1197" t="s">
        <v>2481</v>
      </c>
      <c r="B1197" t="s">
        <v>34</v>
      </c>
      <c r="C1197" t="s">
        <v>177</v>
      </c>
      <c r="D1197" t="s">
        <v>31</v>
      </c>
      <c r="E1197" t="s">
        <v>74</v>
      </c>
      <c r="F1197" s="1">
        <v>45983</v>
      </c>
      <c r="G1197">
        <v>46043</v>
      </c>
      <c r="H1197" t="s">
        <v>8</v>
      </c>
      <c r="I1197">
        <v>13995.21</v>
      </c>
      <c r="J1197" t="s">
        <v>75</v>
      </c>
      <c r="K1197" t="s">
        <v>2482</v>
      </c>
      <c r="L1197">
        <v>60</v>
      </c>
      <c r="M1197" t="s">
        <v>34</v>
      </c>
      <c r="N1197">
        <v>1.1555</v>
      </c>
      <c r="O1197">
        <v>1.3367963164349013</v>
      </c>
      <c r="P1197">
        <v>6.2983756677204832E-3</v>
      </c>
      <c r="Q1197">
        <v>1.3367963164349013</v>
      </c>
      <c r="R1197">
        <v>18708.745175732893</v>
      </c>
      <c r="S1197" t="s">
        <v>14</v>
      </c>
      <c r="T1197">
        <v>1.304</v>
      </c>
      <c r="U1197">
        <v>18249.753840000001</v>
      </c>
      <c r="V1197">
        <v>458.99133573289146</v>
      </c>
      <c r="W1197">
        <v>2.5150549413267671E-2</v>
      </c>
    </row>
    <row r="1198" spans="1:23" x14ac:dyDescent="0.25">
      <c r="A1198" t="s">
        <v>2483</v>
      </c>
      <c r="B1198" t="s">
        <v>28</v>
      </c>
      <c r="C1198" t="s">
        <v>111</v>
      </c>
      <c r="D1198" t="s">
        <v>31</v>
      </c>
      <c r="E1198" t="s">
        <v>74</v>
      </c>
      <c r="F1198" s="1">
        <v>45853</v>
      </c>
      <c r="G1198">
        <v>45898</v>
      </c>
      <c r="H1198" t="s">
        <v>9</v>
      </c>
      <c r="I1198">
        <v>3781795.12</v>
      </c>
      <c r="J1198" t="s">
        <v>75</v>
      </c>
      <c r="K1198" t="s">
        <v>2484</v>
      </c>
      <c r="L1198">
        <v>45</v>
      </c>
      <c r="M1198" t="s">
        <v>28</v>
      </c>
      <c r="N1198">
        <v>1.1665000000000001</v>
      </c>
      <c r="O1198">
        <v>1.3440488535545572</v>
      </c>
      <c r="P1198">
        <v>6.7591841464827909E-3</v>
      </c>
      <c r="Q1198">
        <v>6.7591841464827909E-3</v>
      </c>
      <c r="R1198">
        <v>25561.849620349985</v>
      </c>
      <c r="S1198" t="s">
        <v>13</v>
      </c>
      <c r="T1198">
        <v>6.8399999999999997E-3</v>
      </c>
      <c r="U1198">
        <v>25867.4786208</v>
      </c>
      <c r="V1198">
        <v>-305.62900045001516</v>
      </c>
      <c r="W1198">
        <v>-1.1815183262749827E-2</v>
      </c>
    </row>
    <row r="1199" spans="1:23" x14ac:dyDescent="0.25">
      <c r="A1199" t="s">
        <v>2485</v>
      </c>
      <c r="B1199" t="s">
        <v>38</v>
      </c>
      <c r="C1199" t="s">
        <v>87</v>
      </c>
      <c r="D1199" t="s">
        <v>33</v>
      </c>
      <c r="E1199" t="s">
        <v>88</v>
      </c>
      <c r="F1199" s="1">
        <v>46304</v>
      </c>
      <c r="G1199">
        <v>46334</v>
      </c>
      <c r="H1199" t="s">
        <v>6</v>
      </c>
      <c r="I1199">
        <v>8397.0400000000009</v>
      </c>
      <c r="J1199" t="s">
        <v>84</v>
      </c>
      <c r="K1199" t="s">
        <v>2486</v>
      </c>
      <c r="L1199">
        <v>30</v>
      </c>
      <c r="M1199" t="s">
        <v>38</v>
      </c>
      <c r="N1199">
        <v>1.1176999999999999</v>
      </c>
      <c r="O1199">
        <v>1.320456022210408</v>
      </c>
      <c r="P1199">
        <v>6.3200452360757699E-3</v>
      </c>
      <c r="Q1199">
        <v>1.1176999999999999</v>
      </c>
      <c r="R1199">
        <v>9385.3716079999995</v>
      </c>
      <c r="S1199" t="s">
        <v>23</v>
      </c>
      <c r="T1199">
        <v>1.119</v>
      </c>
      <c r="U1199">
        <v>9396.2877600000011</v>
      </c>
      <c r="V1199">
        <v>-10.916152000001603</v>
      </c>
      <c r="W1199">
        <v>-1.1617515638965065E-3</v>
      </c>
    </row>
    <row r="1200" spans="1:23" x14ac:dyDescent="0.25">
      <c r="A1200" t="s">
        <v>2487</v>
      </c>
      <c r="B1200" t="s">
        <v>44</v>
      </c>
      <c r="C1200" t="s">
        <v>138</v>
      </c>
      <c r="D1200" t="s">
        <v>33</v>
      </c>
      <c r="E1200" t="s">
        <v>88</v>
      </c>
      <c r="F1200" s="1">
        <v>45717</v>
      </c>
      <c r="G1200">
        <v>45762</v>
      </c>
      <c r="H1200" t="s">
        <v>9</v>
      </c>
      <c r="I1200">
        <v>407341.67</v>
      </c>
      <c r="J1200" t="s">
        <v>75</v>
      </c>
      <c r="K1200" t="s">
        <v>2488</v>
      </c>
      <c r="L1200">
        <v>45</v>
      </c>
      <c r="M1200" t="s">
        <v>44</v>
      </c>
      <c r="N1200">
        <v>1.0803</v>
      </c>
      <c r="O1200">
        <v>1.2944700736924091</v>
      </c>
      <c r="P1200">
        <v>6.7007815407517683E-3</v>
      </c>
      <c r="Q1200">
        <v>6.7007815407517683E-3</v>
      </c>
      <c r="R1200">
        <v>2729.507543114998</v>
      </c>
      <c r="S1200" t="s">
        <v>11</v>
      </c>
      <c r="T1200">
        <v>6.5599999999999999E-3</v>
      </c>
      <c r="U1200">
        <v>2672.1613551999999</v>
      </c>
      <c r="V1200">
        <v>57.346187914998154</v>
      </c>
      <c r="W1200">
        <v>2.146060072435485E-2</v>
      </c>
    </row>
    <row r="1201" spans="1:23" x14ac:dyDescent="0.25">
      <c r="A1201" t="s">
        <v>2489</v>
      </c>
      <c r="B1201" t="s">
        <v>26</v>
      </c>
      <c r="C1201" t="s">
        <v>94</v>
      </c>
      <c r="D1201" t="s">
        <v>31</v>
      </c>
      <c r="E1201" t="s">
        <v>74</v>
      </c>
      <c r="F1201" s="1">
        <v>45707</v>
      </c>
      <c r="G1201">
        <v>45737</v>
      </c>
      <c r="H1201" t="s">
        <v>8</v>
      </c>
      <c r="I1201">
        <v>8990.7199999999993</v>
      </c>
      <c r="J1201" t="s">
        <v>75</v>
      </c>
      <c r="K1201" t="s">
        <v>2490</v>
      </c>
      <c r="L1201">
        <v>30</v>
      </c>
      <c r="M1201" t="s">
        <v>26</v>
      </c>
      <c r="N1201">
        <v>1.0434000000000001</v>
      </c>
      <c r="O1201">
        <v>1.2595668654482244</v>
      </c>
      <c r="P1201">
        <v>6.5867053847610641E-3</v>
      </c>
      <c r="Q1201">
        <v>1.2595668654482244</v>
      </c>
      <c r="R1201">
        <v>11324.413008522659</v>
      </c>
      <c r="S1201" t="s">
        <v>11</v>
      </c>
      <c r="T1201">
        <v>1.238</v>
      </c>
      <c r="U1201">
        <v>11130.511359999999</v>
      </c>
      <c r="V1201">
        <v>193.90164852266025</v>
      </c>
      <c r="W1201">
        <v>1.7420731379825867E-2</v>
      </c>
    </row>
    <row r="1202" spans="1:23" x14ac:dyDescent="0.25">
      <c r="A1202" t="s">
        <v>2491</v>
      </c>
      <c r="B1202" t="s">
        <v>37</v>
      </c>
      <c r="C1202" t="s">
        <v>91</v>
      </c>
      <c r="D1202" t="s">
        <v>31</v>
      </c>
      <c r="E1202" t="s">
        <v>74</v>
      </c>
      <c r="F1202" s="1">
        <v>46356</v>
      </c>
      <c r="G1202">
        <v>46386</v>
      </c>
      <c r="H1202" t="s">
        <v>6</v>
      </c>
      <c r="I1202">
        <v>23032.71</v>
      </c>
      <c r="J1202" t="s">
        <v>84</v>
      </c>
      <c r="K1202" t="s">
        <v>2492</v>
      </c>
      <c r="L1202">
        <v>30</v>
      </c>
      <c r="M1202" t="s">
        <v>37</v>
      </c>
      <c r="N1202">
        <v>1.1176999999999999</v>
      </c>
      <c r="O1202">
        <v>1.320456022210408</v>
      </c>
      <c r="P1202">
        <v>6.3200452360757699E-3</v>
      </c>
      <c r="Q1202">
        <v>1.1176999999999999</v>
      </c>
      <c r="R1202">
        <v>25743.659966999996</v>
      </c>
      <c r="S1202" t="s">
        <v>23</v>
      </c>
      <c r="T1202">
        <v>1.119</v>
      </c>
      <c r="U1202">
        <v>25773.602489999997</v>
      </c>
      <c r="V1202">
        <v>-29.942523000001529</v>
      </c>
      <c r="W1202">
        <v>-1.1617515638963954E-3</v>
      </c>
    </row>
    <row r="1203" spans="1:23" x14ac:dyDescent="0.25">
      <c r="A1203" t="s">
        <v>2493</v>
      </c>
      <c r="B1203" t="s">
        <v>32</v>
      </c>
      <c r="C1203" t="s">
        <v>106</v>
      </c>
      <c r="D1203" t="s">
        <v>31</v>
      </c>
      <c r="E1203" t="s">
        <v>74</v>
      </c>
      <c r="F1203" s="1">
        <v>45770</v>
      </c>
      <c r="G1203">
        <v>45800</v>
      </c>
      <c r="H1203" t="s">
        <v>6</v>
      </c>
      <c r="I1203">
        <v>11789.04</v>
      </c>
      <c r="J1203" t="s">
        <v>75</v>
      </c>
      <c r="K1203" t="s">
        <v>2494</v>
      </c>
      <c r="L1203">
        <v>30</v>
      </c>
      <c r="M1203" t="s">
        <v>32</v>
      </c>
      <c r="N1203">
        <v>1.1415</v>
      </c>
      <c r="O1203">
        <v>1.3305281316657536</v>
      </c>
      <c r="P1203">
        <v>7.0602424542305781E-3</v>
      </c>
      <c r="Q1203">
        <v>1.1415</v>
      </c>
      <c r="R1203">
        <v>13457.18916</v>
      </c>
      <c r="S1203" t="s">
        <v>12</v>
      </c>
      <c r="T1203">
        <v>1.07</v>
      </c>
      <c r="U1203">
        <v>12614.272800000002</v>
      </c>
      <c r="V1203">
        <v>842.91635999999744</v>
      </c>
      <c r="W1203">
        <v>6.6822429906541844E-2</v>
      </c>
    </row>
    <row r="1204" spans="1:23" x14ac:dyDescent="0.25">
      <c r="A1204" t="s">
        <v>2495</v>
      </c>
      <c r="B1204" t="s">
        <v>24</v>
      </c>
      <c r="C1204" t="s">
        <v>73</v>
      </c>
      <c r="D1204" t="s">
        <v>31</v>
      </c>
      <c r="E1204" t="s">
        <v>74</v>
      </c>
      <c r="F1204" s="1">
        <v>46263</v>
      </c>
      <c r="G1204">
        <v>46293</v>
      </c>
      <c r="H1204" t="s">
        <v>6</v>
      </c>
      <c r="I1204">
        <v>37373.85</v>
      </c>
      <c r="J1204" t="s">
        <v>75</v>
      </c>
      <c r="K1204" t="s">
        <v>2496</v>
      </c>
      <c r="L1204">
        <v>30</v>
      </c>
      <c r="M1204" t="s">
        <v>24</v>
      </c>
      <c r="N1204">
        <v>1.1642999999999999</v>
      </c>
      <c r="O1204">
        <v>1.3582594493700419</v>
      </c>
      <c r="P1204">
        <v>6.2623709122203094E-3</v>
      </c>
      <c r="Q1204">
        <v>1.1642999999999999</v>
      </c>
      <c r="R1204">
        <v>43514.373554999991</v>
      </c>
      <c r="S1204" t="s">
        <v>21</v>
      </c>
      <c r="T1204">
        <v>1.101</v>
      </c>
      <c r="U1204">
        <v>41148.608849999997</v>
      </c>
      <c r="V1204">
        <v>2365.7647049999941</v>
      </c>
      <c r="W1204">
        <v>5.7493188010899046E-2</v>
      </c>
    </row>
    <row r="1205" spans="1:23" x14ac:dyDescent="0.25">
      <c r="A1205" t="s">
        <v>2497</v>
      </c>
      <c r="B1205" t="s">
        <v>43</v>
      </c>
      <c r="C1205" t="s">
        <v>215</v>
      </c>
      <c r="D1205" t="s">
        <v>35</v>
      </c>
      <c r="E1205" t="s">
        <v>152</v>
      </c>
      <c r="F1205" s="1">
        <v>45936</v>
      </c>
      <c r="G1205">
        <v>45966</v>
      </c>
      <c r="H1205" t="s">
        <v>6</v>
      </c>
      <c r="I1205">
        <v>9187.82</v>
      </c>
      <c r="J1205" t="s">
        <v>75</v>
      </c>
      <c r="K1205" t="s">
        <v>2498</v>
      </c>
      <c r="L1205">
        <v>30</v>
      </c>
      <c r="M1205" t="s">
        <v>43</v>
      </c>
      <c r="N1205">
        <v>1.1677999999999999</v>
      </c>
      <c r="O1205">
        <v>1.3430707303047726</v>
      </c>
      <c r="P1205">
        <v>6.6647642963132058E-3</v>
      </c>
      <c r="Q1205">
        <v>1.1677999999999999</v>
      </c>
      <c r="R1205">
        <v>10729.536195999999</v>
      </c>
      <c r="S1205" t="s">
        <v>14</v>
      </c>
      <c r="T1205">
        <v>1.1060000000000001</v>
      </c>
      <c r="U1205">
        <v>10161.728920000001</v>
      </c>
      <c r="V1205">
        <v>567.80727599999773</v>
      </c>
      <c r="W1205">
        <v>5.5877034358046786E-2</v>
      </c>
    </row>
    <row r="1206" spans="1:23" x14ac:dyDescent="0.25">
      <c r="A1206" t="s">
        <v>2499</v>
      </c>
      <c r="B1206" t="s">
        <v>38</v>
      </c>
      <c r="C1206" t="s">
        <v>87</v>
      </c>
      <c r="D1206" t="s">
        <v>33</v>
      </c>
      <c r="E1206" t="s">
        <v>88</v>
      </c>
      <c r="F1206" s="1">
        <v>46320</v>
      </c>
      <c r="G1206">
        <v>46350</v>
      </c>
      <c r="H1206" t="s">
        <v>6</v>
      </c>
      <c r="I1206">
        <v>5085.22</v>
      </c>
      <c r="J1206" t="s">
        <v>84</v>
      </c>
      <c r="K1206" t="s">
        <v>2500</v>
      </c>
      <c r="L1206">
        <v>30</v>
      </c>
      <c r="M1206" t="s">
        <v>38</v>
      </c>
      <c r="N1206">
        <v>1.1176999999999999</v>
      </c>
      <c r="O1206">
        <v>1.320456022210408</v>
      </c>
      <c r="P1206">
        <v>6.3200452360757699E-3</v>
      </c>
      <c r="Q1206">
        <v>1.1176999999999999</v>
      </c>
      <c r="R1206">
        <v>5683.7503939999997</v>
      </c>
      <c r="S1206" t="s">
        <v>23</v>
      </c>
      <c r="T1206">
        <v>1.119</v>
      </c>
      <c r="U1206">
        <v>5690.3611799999999</v>
      </c>
      <c r="V1206">
        <v>-6.6107860000001892</v>
      </c>
      <c r="W1206">
        <v>-1.1617515638963692E-3</v>
      </c>
    </row>
    <row r="1207" spans="1:23" x14ac:dyDescent="0.25">
      <c r="A1207" t="s">
        <v>2501</v>
      </c>
      <c r="B1207" t="s">
        <v>40</v>
      </c>
      <c r="C1207" t="s">
        <v>78</v>
      </c>
      <c r="D1207" t="s">
        <v>33</v>
      </c>
      <c r="E1207" t="s">
        <v>79</v>
      </c>
      <c r="F1207" s="1">
        <v>45714</v>
      </c>
      <c r="G1207">
        <v>45744</v>
      </c>
      <c r="H1207" t="s">
        <v>9</v>
      </c>
      <c r="I1207">
        <v>1353843.04</v>
      </c>
      <c r="J1207" t="s">
        <v>75</v>
      </c>
      <c r="K1207" t="s">
        <v>2502</v>
      </c>
      <c r="L1207">
        <v>30</v>
      </c>
      <c r="M1207" t="s">
        <v>40</v>
      </c>
      <c r="N1207">
        <v>1.0487</v>
      </c>
      <c r="O1207">
        <v>1.2655065887918135</v>
      </c>
      <c r="P1207">
        <v>6.6924058710912575E-3</v>
      </c>
      <c r="Q1207">
        <v>6.6924058710912575E-3</v>
      </c>
      <c r="R1207">
        <v>9060.4671094320365</v>
      </c>
      <c r="S1207" t="s">
        <v>11</v>
      </c>
      <c r="T1207">
        <v>6.5599999999999999E-3</v>
      </c>
      <c r="U1207">
        <v>8881.2103423999997</v>
      </c>
      <c r="V1207">
        <v>179.25676703203681</v>
      </c>
      <c r="W1207">
        <v>2.0183821812691766E-2</v>
      </c>
    </row>
    <row r="1208" spans="1:23" x14ac:dyDescent="0.25">
      <c r="A1208" t="s">
        <v>2503</v>
      </c>
      <c r="B1208" t="s">
        <v>24</v>
      </c>
      <c r="C1208" t="s">
        <v>73</v>
      </c>
      <c r="D1208" t="s">
        <v>31</v>
      </c>
      <c r="E1208" t="s">
        <v>74</v>
      </c>
      <c r="F1208" s="1">
        <v>46130</v>
      </c>
      <c r="G1208">
        <v>46160</v>
      </c>
      <c r="H1208" t="s">
        <v>6</v>
      </c>
      <c r="I1208">
        <v>39638.76</v>
      </c>
      <c r="J1208" t="s">
        <v>75</v>
      </c>
      <c r="K1208" t="s">
        <v>2504</v>
      </c>
      <c r="L1208">
        <v>30</v>
      </c>
      <c r="M1208" t="s">
        <v>24</v>
      </c>
      <c r="N1208">
        <v>1.1797</v>
      </c>
      <c r="O1208">
        <v>1.3533636196769456</v>
      </c>
      <c r="P1208">
        <v>6.2843596846366926E-3</v>
      </c>
      <c r="Q1208">
        <v>1.1797</v>
      </c>
      <c r="R1208">
        <v>46761.845172000001</v>
      </c>
      <c r="S1208" t="s">
        <v>19</v>
      </c>
      <c r="T1208">
        <v>1.083</v>
      </c>
      <c r="U1208">
        <v>42928.77708</v>
      </c>
      <c r="V1208">
        <v>3833.0680920000013</v>
      </c>
      <c r="W1208">
        <v>8.9289012003693477E-2</v>
      </c>
    </row>
    <row r="1209" spans="1:23" x14ac:dyDescent="0.25">
      <c r="A1209" t="s">
        <v>2505</v>
      </c>
      <c r="B1209" t="s">
        <v>44</v>
      </c>
      <c r="C1209" t="s">
        <v>138</v>
      </c>
      <c r="D1209" t="s">
        <v>33</v>
      </c>
      <c r="E1209" t="s">
        <v>88</v>
      </c>
      <c r="F1209" s="1">
        <v>45902</v>
      </c>
      <c r="G1209">
        <v>45947</v>
      </c>
      <c r="H1209" t="s">
        <v>9</v>
      </c>
      <c r="I1209">
        <v>1397942.73</v>
      </c>
      <c r="J1209" t="s">
        <v>75</v>
      </c>
      <c r="K1209" t="s">
        <v>2506</v>
      </c>
      <c r="L1209">
        <v>45</v>
      </c>
      <c r="M1209" t="s">
        <v>44</v>
      </c>
      <c r="N1209">
        <v>1.1646000000000001</v>
      </c>
      <c r="O1209">
        <v>1.3383130314870146</v>
      </c>
      <c r="P1209">
        <v>6.727902946273831E-3</v>
      </c>
      <c r="Q1209">
        <v>6.727902946273831E-3</v>
      </c>
      <c r="R1209">
        <v>9405.223011889082</v>
      </c>
      <c r="S1209" t="s">
        <v>13</v>
      </c>
      <c r="T1209">
        <v>6.8399999999999997E-3</v>
      </c>
      <c r="U1209">
        <v>9561.9282731999992</v>
      </c>
      <c r="V1209">
        <v>-156.70526131091719</v>
      </c>
      <c r="W1209">
        <v>-1.6388458147100715E-2</v>
      </c>
    </row>
    <row r="1210" spans="1:23" x14ac:dyDescent="0.25">
      <c r="A1210" t="s">
        <v>2507</v>
      </c>
      <c r="B1210" t="s">
        <v>42</v>
      </c>
      <c r="C1210" t="s">
        <v>151</v>
      </c>
      <c r="D1210" t="s">
        <v>35</v>
      </c>
      <c r="E1210" t="s">
        <v>152</v>
      </c>
      <c r="F1210" s="1">
        <v>46368</v>
      </c>
      <c r="G1210">
        <v>46398</v>
      </c>
      <c r="H1210" t="s">
        <v>8</v>
      </c>
      <c r="I1210">
        <v>1629.69</v>
      </c>
      <c r="J1210" t="s">
        <v>84</v>
      </c>
      <c r="K1210" t="s">
        <v>2508</v>
      </c>
      <c r="L1210">
        <v>30</v>
      </c>
      <c r="M1210" t="s">
        <v>42</v>
      </c>
      <c r="N1210">
        <v>1.1176999999999999</v>
      </c>
      <c r="O1210">
        <v>1.320456022210408</v>
      </c>
      <c r="P1210">
        <v>6.3200452360757699E-3</v>
      </c>
      <c r="Q1210">
        <v>1.320456022210408</v>
      </c>
      <c r="R1210">
        <v>2151.9339748360799</v>
      </c>
      <c r="S1210" t="s">
        <v>23</v>
      </c>
      <c r="T1210">
        <v>1.3149999999999999</v>
      </c>
      <c r="U1210">
        <v>2143.0423500000002</v>
      </c>
      <c r="V1210">
        <v>8.8916248360796999</v>
      </c>
      <c r="W1210">
        <v>4.1490663197018482E-3</v>
      </c>
    </row>
    <row r="1211" spans="1:23" x14ac:dyDescent="0.25">
      <c r="A1211" t="s">
        <v>2509</v>
      </c>
      <c r="B1211" t="s">
        <v>28</v>
      </c>
      <c r="C1211" t="s">
        <v>111</v>
      </c>
      <c r="D1211" t="s">
        <v>31</v>
      </c>
      <c r="E1211" t="s">
        <v>74</v>
      </c>
      <c r="F1211" s="1">
        <v>46161</v>
      </c>
      <c r="G1211">
        <v>46206</v>
      </c>
      <c r="H1211" t="s">
        <v>9</v>
      </c>
      <c r="I1211">
        <v>2186750.4900000002</v>
      </c>
      <c r="J1211" t="s">
        <v>75</v>
      </c>
      <c r="K1211" t="s">
        <v>2510</v>
      </c>
      <c r="L1211">
        <v>45</v>
      </c>
      <c r="M1211" t="s">
        <v>28</v>
      </c>
      <c r="N1211">
        <v>1.1619999999999999</v>
      </c>
      <c r="O1211">
        <v>1.3407021956594478</v>
      </c>
      <c r="P1211">
        <v>6.284817999891828E-3</v>
      </c>
      <c r="Q1211">
        <v>6.284817999891828E-3</v>
      </c>
      <c r="R1211">
        <v>13743.328840824277</v>
      </c>
      <c r="S1211" t="s">
        <v>19</v>
      </c>
      <c r="T1211">
        <v>6.6E-3</v>
      </c>
      <c r="U1211">
        <v>14432.553234000001</v>
      </c>
      <c r="V1211">
        <v>-689.22439317572389</v>
      </c>
      <c r="W1211">
        <v>-4.7754848501238088E-2</v>
      </c>
    </row>
    <row r="1212" spans="1:23" x14ac:dyDescent="0.25">
      <c r="A1212" t="s">
        <v>2511</v>
      </c>
      <c r="B1212" t="s">
        <v>22</v>
      </c>
      <c r="C1212" t="s">
        <v>127</v>
      </c>
      <c r="D1212" t="s">
        <v>31</v>
      </c>
      <c r="E1212" t="s">
        <v>124</v>
      </c>
      <c r="F1212" s="1">
        <v>45749</v>
      </c>
      <c r="G1212">
        <v>45809</v>
      </c>
      <c r="H1212" t="s">
        <v>9</v>
      </c>
      <c r="I1212">
        <v>8802664.7699999996</v>
      </c>
      <c r="J1212" t="s">
        <v>75</v>
      </c>
      <c r="K1212" t="s">
        <v>2512</v>
      </c>
      <c r="L1212">
        <v>60</v>
      </c>
      <c r="M1212" t="s">
        <v>22</v>
      </c>
      <c r="N1212">
        <v>1.0803</v>
      </c>
      <c r="O1212">
        <v>1.2944700736924091</v>
      </c>
      <c r="P1212">
        <v>6.7007815407517683E-3</v>
      </c>
      <c r="Q1212">
        <v>6.7007815407517683E-3</v>
      </c>
      <c r="R1212">
        <v>58984.733600241911</v>
      </c>
      <c r="S1212" t="s">
        <v>12</v>
      </c>
      <c r="T1212">
        <v>6.7000000000000002E-3</v>
      </c>
      <c r="U1212">
        <v>58977.853959</v>
      </c>
      <c r="V1212">
        <v>6.8796412419105764</v>
      </c>
      <c r="W1212">
        <v>1.166478733982613E-4</v>
      </c>
    </row>
    <row r="1213" spans="1:23" x14ac:dyDescent="0.25">
      <c r="A1213" t="s">
        <v>2511</v>
      </c>
      <c r="B1213" t="s">
        <v>20</v>
      </c>
      <c r="C1213" t="s">
        <v>123</v>
      </c>
      <c r="D1213" t="s">
        <v>31</v>
      </c>
      <c r="E1213" t="s">
        <v>124</v>
      </c>
      <c r="F1213" s="1">
        <v>45907</v>
      </c>
      <c r="G1213">
        <v>45952</v>
      </c>
      <c r="H1213" t="s">
        <v>6</v>
      </c>
      <c r="I1213">
        <v>51941.85</v>
      </c>
      <c r="J1213" t="s">
        <v>75</v>
      </c>
      <c r="K1213" t="s">
        <v>2513</v>
      </c>
      <c r="L1213">
        <v>45</v>
      </c>
      <c r="M1213" t="s">
        <v>20</v>
      </c>
      <c r="N1213">
        <v>1.175</v>
      </c>
      <c r="O1213">
        <v>1.3465505386202155</v>
      </c>
      <c r="P1213">
        <v>6.3827475691237987E-3</v>
      </c>
      <c r="Q1213">
        <v>1.175</v>
      </c>
      <c r="R1213">
        <v>61031.673750000002</v>
      </c>
      <c r="S1213" t="s">
        <v>13</v>
      </c>
      <c r="T1213">
        <v>1.0880000000000001</v>
      </c>
      <c r="U1213">
        <v>56512.732800000005</v>
      </c>
      <c r="V1213">
        <v>4518.9409499999965</v>
      </c>
      <c r="W1213">
        <v>7.9963235294117571E-2</v>
      </c>
    </row>
    <row r="1214" spans="1:23" x14ac:dyDescent="0.25">
      <c r="A1214" t="s">
        <v>2514</v>
      </c>
      <c r="B1214" t="s">
        <v>44</v>
      </c>
      <c r="C1214" t="s">
        <v>138</v>
      </c>
      <c r="D1214" t="s">
        <v>33</v>
      </c>
      <c r="E1214" t="s">
        <v>88</v>
      </c>
      <c r="F1214" s="1">
        <v>46053</v>
      </c>
      <c r="G1214">
        <v>46098</v>
      </c>
      <c r="H1214" t="s">
        <v>9</v>
      </c>
      <c r="I1214">
        <v>1373403.79</v>
      </c>
      <c r="J1214" t="s">
        <v>75</v>
      </c>
      <c r="K1214" t="s">
        <v>2515</v>
      </c>
      <c r="L1214">
        <v>45</v>
      </c>
      <c r="M1214" t="s">
        <v>44</v>
      </c>
      <c r="N1214">
        <v>1.1555</v>
      </c>
      <c r="O1214">
        <v>1.3367963164349013</v>
      </c>
      <c r="P1214">
        <v>6.2983756677204832E-3</v>
      </c>
      <c r="Q1214">
        <v>6.2983756677204832E-3</v>
      </c>
      <c r="R1214">
        <v>8650.2130128910921</v>
      </c>
      <c r="S1214" t="s">
        <v>16</v>
      </c>
      <c r="T1214">
        <v>6.4599999999999996E-3</v>
      </c>
      <c r="U1214">
        <v>8872.1884833999993</v>
      </c>
      <c r="V1214">
        <v>-221.97547050890716</v>
      </c>
      <c r="W1214">
        <v>-2.5019246482897276E-2</v>
      </c>
    </row>
    <row r="1215" spans="1:23" x14ac:dyDescent="0.25">
      <c r="A1215" t="s">
        <v>2516</v>
      </c>
      <c r="B1215" t="s">
        <v>39</v>
      </c>
      <c r="C1215" t="s">
        <v>82</v>
      </c>
      <c r="D1215" t="s">
        <v>33</v>
      </c>
      <c r="E1215" t="s">
        <v>83</v>
      </c>
      <c r="F1215" s="1">
        <v>45681</v>
      </c>
      <c r="G1215">
        <v>45726</v>
      </c>
      <c r="H1215" t="s">
        <v>8</v>
      </c>
      <c r="I1215">
        <v>6483.74</v>
      </c>
      <c r="J1215" t="s">
        <v>75</v>
      </c>
      <c r="K1215" t="s">
        <v>2517</v>
      </c>
      <c r="L1215">
        <v>45</v>
      </c>
      <c r="M1215" t="s">
        <v>39</v>
      </c>
      <c r="N1215">
        <v>1.0471999999999999</v>
      </c>
      <c r="O1215">
        <v>1.2405672112115431</v>
      </c>
      <c r="P1215">
        <v>6.3892617449664421E-3</v>
      </c>
      <c r="Q1215">
        <v>1.2405672112115431</v>
      </c>
      <c r="R1215">
        <v>8043.5152500207305</v>
      </c>
      <c r="S1215" t="s">
        <v>11</v>
      </c>
      <c r="T1215">
        <v>1.238</v>
      </c>
      <c r="U1215">
        <v>8026.8701199999996</v>
      </c>
      <c r="V1215">
        <v>16.645130020730903</v>
      </c>
      <c r="W1215">
        <v>2.0736762613434317E-3</v>
      </c>
    </row>
    <row r="1216" spans="1:23" x14ac:dyDescent="0.25">
      <c r="A1216" t="s">
        <v>2518</v>
      </c>
      <c r="B1216" t="s">
        <v>39</v>
      </c>
      <c r="C1216" t="s">
        <v>82</v>
      </c>
      <c r="D1216" t="s">
        <v>33</v>
      </c>
      <c r="E1216" t="s">
        <v>83</v>
      </c>
      <c r="F1216" s="1">
        <v>45885</v>
      </c>
      <c r="G1216">
        <v>45930</v>
      </c>
      <c r="H1216" t="s">
        <v>8</v>
      </c>
      <c r="I1216">
        <v>4609.9799999999996</v>
      </c>
      <c r="J1216" t="s">
        <v>75</v>
      </c>
      <c r="K1216" t="s">
        <v>2519</v>
      </c>
      <c r="L1216">
        <v>45</v>
      </c>
      <c r="M1216" t="s">
        <v>39</v>
      </c>
      <c r="N1216">
        <v>1.1586000000000001</v>
      </c>
      <c r="O1216">
        <v>1.3235092529129542</v>
      </c>
      <c r="P1216">
        <v>6.3972171608414775E-3</v>
      </c>
      <c r="Q1216">
        <v>1.3235092529129542</v>
      </c>
      <c r="R1216">
        <v>6101.3511857436597</v>
      </c>
      <c r="S1216" t="s">
        <v>13</v>
      </c>
      <c r="T1216">
        <v>1.282</v>
      </c>
      <c r="U1216">
        <v>5909.9943599999997</v>
      </c>
      <c r="V1216">
        <v>191.35682574366001</v>
      </c>
      <c r="W1216">
        <v>3.2378512412600681E-2</v>
      </c>
    </row>
    <row r="1217" spans="1:23" x14ac:dyDescent="0.25">
      <c r="A1217" t="s">
        <v>2520</v>
      </c>
      <c r="B1217" t="s">
        <v>40</v>
      </c>
      <c r="C1217" t="s">
        <v>78</v>
      </c>
      <c r="D1217" t="s">
        <v>33</v>
      </c>
      <c r="E1217" t="s">
        <v>79</v>
      </c>
      <c r="F1217" s="1">
        <v>46176</v>
      </c>
      <c r="G1217">
        <v>46206</v>
      </c>
      <c r="H1217" t="s">
        <v>9</v>
      </c>
      <c r="I1217">
        <v>1859141.71</v>
      </c>
      <c r="J1217" t="s">
        <v>75</v>
      </c>
      <c r="K1217" t="s">
        <v>2521</v>
      </c>
      <c r="L1217">
        <v>30</v>
      </c>
      <c r="M1217" t="s">
        <v>40</v>
      </c>
      <c r="N1217">
        <v>1.1614</v>
      </c>
      <c r="O1217">
        <v>1.3446798656941068</v>
      </c>
      <c r="P1217">
        <v>6.2555208445545622E-3</v>
      </c>
      <c r="Q1217">
        <v>6.2555208445545622E-3</v>
      </c>
      <c r="R1217">
        <v>11629.899719885812</v>
      </c>
      <c r="S1217" t="s">
        <v>19</v>
      </c>
      <c r="T1217">
        <v>6.6E-3</v>
      </c>
      <c r="U1217">
        <v>12270.335286</v>
      </c>
      <c r="V1217">
        <v>-640.43556611418717</v>
      </c>
      <c r="W1217">
        <v>-5.2193811431126953E-2</v>
      </c>
    </row>
    <row r="1218" spans="1:23" x14ac:dyDescent="0.25">
      <c r="A1218" t="s">
        <v>2522</v>
      </c>
      <c r="B1218" t="s">
        <v>41</v>
      </c>
      <c r="C1218" t="s">
        <v>172</v>
      </c>
      <c r="D1218" t="s">
        <v>33</v>
      </c>
      <c r="E1218" t="s">
        <v>83</v>
      </c>
      <c r="F1218" s="1">
        <v>46348</v>
      </c>
      <c r="G1218">
        <v>46378</v>
      </c>
      <c r="H1218" t="s">
        <v>9</v>
      </c>
      <c r="I1218">
        <v>2471718.4300000002</v>
      </c>
      <c r="J1218" t="s">
        <v>84</v>
      </c>
      <c r="K1218" t="s">
        <v>2523</v>
      </c>
      <c r="L1218">
        <v>30</v>
      </c>
      <c r="M1218" t="s">
        <v>41</v>
      </c>
      <c r="N1218">
        <v>1.1176999999999999</v>
      </c>
      <c r="O1218">
        <v>1.320456022210408</v>
      </c>
      <c r="P1218">
        <v>6.3200452360757699E-3</v>
      </c>
      <c r="Q1218">
        <v>6.3200452360757699E-3</v>
      </c>
      <c r="R1218">
        <v>15621.372288442182</v>
      </c>
      <c r="S1218" t="s">
        <v>23</v>
      </c>
      <c r="T1218">
        <v>6.8799999999999998E-3</v>
      </c>
      <c r="U1218">
        <v>17005.422798399999</v>
      </c>
      <c r="V1218">
        <v>-1384.0505099578168</v>
      </c>
      <c r="W1218">
        <v>-8.1388773826196123E-2</v>
      </c>
    </row>
    <row r="1219" spans="1:23" x14ac:dyDescent="0.25">
      <c r="A1219" t="s">
        <v>2524</v>
      </c>
      <c r="B1219" t="s">
        <v>37</v>
      </c>
      <c r="C1219" t="s">
        <v>91</v>
      </c>
      <c r="D1219" t="s">
        <v>31</v>
      </c>
      <c r="E1219" t="s">
        <v>74</v>
      </c>
      <c r="F1219" s="1">
        <v>45681</v>
      </c>
      <c r="G1219">
        <v>45711</v>
      </c>
      <c r="H1219" t="s">
        <v>6</v>
      </c>
      <c r="I1219">
        <v>6621.63</v>
      </c>
      <c r="J1219" t="s">
        <v>75</v>
      </c>
      <c r="K1219" t="s">
        <v>2525</v>
      </c>
      <c r="L1219">
        <v>30</v>
      </c>
      <c r="M1219" t="s">
        <v>37</v>
      </c>
      <c r="N1219">
        <v>1.0471999999999999</v>
      </c>
      <c r="O1219">
        <v>1.2405672112115431</v>
      </c>
      <c r="P1219">
        <v>6.3892617449664421E-3</v>
      </c>
      <c r="Q1219">
        <v>1.0471999999999999</v>
      </c>
      <c r="R1219">
        <v>6934.1709359999995</v>
      </c>
      <c r="S1219" t="s">
        <v>11</v>
      </c>
      <c r="T1219">
        <v>1.052</v>
      </c>
      <c r="U1219">
        <v>6965.9547600000005</v>
      </c>
      <c r="V1219">
        <v>-31.783824000001005</v>
      </c>
      <c r="W1219">
        <v>-4.5627376425856955E-3</v>
      </c>
    </row>
    <row r="1220" spans="1:23" x14ac:dyDescent="0.25">
      <c r="A1220" t="s">
        <v>2526</v>
      </c>
      <c r="B1220" t="s">
        <v>28</v>
      </c>
      <c r="C1220" t="s">
        <v>111</v>
      </c>
      <c r="D1220" t="s">
        <v>31</v>
      </c>
      <c r="E1220" t="s">
        <v>74</v>
      </c>
      <c r="F1220" s="1">
        <v>46017</v>
      </c>
      <c r="G1220">
        <v>46062</v>
      </c>
      <c r="H1220" t="s">
        <v>9</v>
      </c>
      <c r="I1220">
        <v>4977004.6399999997</v>
      </c>
      <c r="J1220" t="s">
        <v>75</v>
      </c>
      <c r="K1220" t="s">
        <v>2527</v>
      </c>
      <c r="L1220">
        <v>45</v>
      </c>
      <c r="M1220" t="s">
        <v>28</v>
      </c>
      <c r="N1220">
        <v>1.1555</v>
      </c>
      <c r="O1220">
        <v>1.3367963164349013</v>
      </c>
      <c r="P1220">
        <v>6.2983756677204832E-3</v>
      </c>
      <c r="Q1220">
        <v>6.2983756677204832E-3</v>
      </c>
      <c r="R1220">
        <v>31347.044922707941</v>
      </c>
      <c r="S1220" t="s">
        <v>14</v>
      </c>
      <c r="T1220">
        <v>6.9800000000000001E-3</v>
      </c>
      <c r="U1220">
        <v>34739.4923872</v>
      </c>
      <c r="V1220">
        <v>-3392.4474644920592</v>
      </c>
      <c r="W1220">
        <v>-9.7653915799357768E-2</v>
      </c>
    </row>
    <row r="1221" spans="1:23" x14ac:dyDescent="0.25">
      <c r="A1221" t="s">
        <v>2528</v>
      </c>
      <c r="B1221" t="s">
        <v>28</v>
      </c>
      <c r="C1221" t="s">
        <v>111</v>
      </c>
      <c r="D1221" t="s">
        <v>31</v>
      </c>
      <c r="E1221" t="s">
        <v>74</v>
      </c>
      <c r="F1221" s="1">
        <v>45683</v>
      </c>
      <c r="G1221">
        <v>45728</v>
      </c>
      <c r="H1221" t="s">
        <v>9</v>
      </c>
      <c r="I1221">
        <v>836510.3</v>
      </c>
      <c r="J1221" t="s">
        <v>75</v>
      </c>
      <c r="K1221" t="s">
        <v>2529</v>
      </c>
      <c r="L1221">
        <v>45</v>
      </c>
      <c r="M1221" t="s">
        <v>28</v>
      </c>
      <c r="N1221">
        <v>1.0389999999999999</v>
      </c>
      <c r="O1221">
        <v>1.2471042934476011</v>
      </c>
      <c r="P1221">
        <v>6.5022842480755988E-3</v>
      </c>
      <c r="Q1221">
        <v>6.5022842480755988E-3</v>
      </c>
      <c r="R1221">
        <v>5439.2277470429935</v>
      </c>
      <c r="S1221" t="s">
        <v>11</v>
      </c>
      <c r="T1221">
        <v>6.5599999999999999E-3</v>
      </c>
      <c r="U1221">
        <v>5487.507568</v>
      </c>
      <c r="V1221">
        <v>-48.27982095700645</v>
      </c>
      <c r="W1221">
        <v>-8.7981329153050663E-3</v>
      </c>
    </row>
    <row r="1222" spans="1:23" x14ac:dyDescent="0.25">
      <c r="A1222" t="s">
        <v>2530</v>
      </c>
      <c r="B1222" t="s">
        <v>36</v>
      </c>
      <c r="C1222" t="s">
        <v>116</v>
      </c>
      <c r="D1222" t="s">
        <v>31</v>
      </c>
      <c r="E1222" t="s">
        <v>74</v>
      </c>
      <c r="F1222" s="1">
        <v>46214</v>
      </c>
      <c r="G1222">
        <v>46259</v>
      </c>
      <c r="H1222" t="s">
        <v>6</v>
      </c>
      <c r="I1222">
        <v>8181.76</v>
      </c>
      <c r="J1222" t="s">
        <v>75</v>
      </c>
      <c r="K1222" t="s">
        <v>2531</v>
      </c>
      <c r="L1222">
        <v>45</v>
      </c>
      <c r="M1222" t="s">
        <v>36</v>
      </c>
      <c r="N1222">
        <v>1.143</v>
      </c>
      <c r="O1222">
        <v>1.3422582349832657</v>
      </c>
      <c r="P1222">
        <v>6.1777105177818611E-3</v>
      </c>
      <c r="Q1222">
        <v>1.143</v>
      </c>
      <c r="R1222">
        <v>9351.7516800000012</v>
      </c>
      <c r="S1222" t="s">
        <v>21</v>
      </c>
      <c r="T1222">
        <v>1.101</v>
      </c>
      <c r="U1222">
        <v>9008.1177599999992</v>
      </c>
      <c r="V1222">
        <v>343.63392000000204</v>
      </c>
      <c r="W1222">
        <v>3.8147138964577887E-2</v>
      </c>
    </row>
    <row r="1223" spans="1:23" x14ac:dyDescent="0.25">
      <c r="A1223" t="s">
        <v>2532</v>
      </c>
      <c r="B1223" t="s">
        <v>30</v>
      </c>
      <c r="C1223" t="s">
        <v>103</v>
      </c>
      <c r="D1223" t="s">
        <v>31</v>
      </c>
      <c r="E1223" t="s">
        <v>74</v>
      </c>
      <c r="F1223" s="1">
        <v>46095</v>
      </c>
      <c r="G1223">
        <v>46125</v>
      </c>
      <c r="H1223" t="s">
        <v>9</v>
      </c>
      <c r="I1223">
        <v>1850597.85</v>
      </c>
      <c r="J1223" t="s">
        <v>75</v>
      </c>
      <c r="K1223" t="s">
        <v>2533</v>
      </c>
      <c r="L1223">
        <v>30</v>
      </c>
      <c r="M1223" t="s">
        <v>30</v>
      </c>
      <c r="N1223">
        <v>1.1555</v>
      </c>
      <c r="O1223">
        <v>1.3367963164349013</v>
      </c>
      <c r="P1223">
        <v>6.2983756677204832E-3</v>
      </c>
      <c r="Q1223">
        <v>6.2983756677204832E-3</v>
      </c>
      <c r="R1223">
        <v>11655.760469175841</v>
      </c>
      <c r="S1223" t="s">
        <v>16</v>
      </c>
      <c r="T1223">
        <v>6.4599999999999996E-3</v>
      </c>
      <c r="U1223">
        <v>11954.862111</v>
      </c>
      <c r="V1223">
        <v>-299.10164182415974</v>
      </c>
      <c r="W1223">
        <v>-2.5019246482897366E-2</v>
      </c>
    </row>
    <row r="1224" spans="1:23" x14ac:dyDescent="0.25">
      <c r="A1224" t="s">
        <v>2534</v>
      </c>
      <c r="B1224" t="s">
        <v>24</v>
      </c>
      <c r="C1224" t="s">
        <v>73</v>
      </c>
      <c r="D1224" t="s">
        <v>31</v>
      </c>
      <c r="E1224" t="s">
        <v>74</v>
      </c>
      <c r="F1224" s="1">
        <v>46285</v>
      </c>
      <c r="G1224">
        <v>46315</v>
      </c>
      <c r="H1224" t="s">
        <v>6</v>
      </c>
      <c r="I1224">
        <v>31546.5</v>
      </c>
      <c r="J1224" t="s">
        <v>75</v>
      </c>
      <c r="K1224" t="s">
        <v>2535</v>
      </c>
      <c r="L1224">
        <v>30</v>
      </c>
      <c r="M1224" t="s">
        <v>24</v>
      </c>
      <c r="N1224">
        <v>1.1459999999999999</v>
      </c>
      <c r="O1224">
        <v>1.3344201210992082</v>
      </c>
      <c r="P1224">
        <v>6.3335912457168119E-3</v>
      </c>
      <c r="Q1224">
        <v>1.1459999999999999</v>
      </c>
      <c r="R1224">
        <v>36152.288999999997</v>
      </c>
      <c r="S1224" t="s">
        <v>21</v>
      </c>
      <c r="T1224">
        <v>1.101</v>
      </c>
      <c r="U1224">
        <v>34732.696499999998</v>
      </c>
      <c r="V1224">
        <v>1419.5924999999988</v>
      </c>
      <c r="W1224">
        <v>4.0871934604904604E-2</v>
      </c>
    </row>
    <row r="1225" spans="1:23" x14ac:dyDescent="0.25">
      <c r="A1225" t="s">
        <v>2536</v>
      </c>
      <c r="B1225" t="s">
        <v>32</v>
      </c>
      <c r="C1225" t="s">
        <v>106</v>
      </c>
      <c r="D1225" t="s">
        <v>31</v>
      </c>
      <c r="E1225" t="s">
        <v>74</v>
      </c>
      <c r="F1225" s="1">
        <v>45779</v>
      </c>
      <c r="G1225">
        <v>45809</v>
      </c>
      <c r="H1225" t="s">
        <v>6</v>
      </c>
      <c r="I1225">
        <v>4592.88</v>
      </c>
      <c r="J1225" t="s">
        <v>75</v>
      </c>
      <c r="K1225" t="s">
        <v>2537</v>
      </c>
      <c r="L1225">
        <v>30</v>
      </c>
      <c r="M1225" t="s">
        <v>32</v>
      </c>
      <c r="N1225">
        <v>1.1343000000000001</v>
      </c>
      <c r="O1225">
        <v>1.3293097386616666</v>
      </c>
      <c r="P1225">
        <v>6.9194168242542554E-3</v>
      </c>
      <c r="Q1225">
        <v>1.1343000000000001</v>
      </c>
      <c r="R1225">
        <v>5209.7037840000003</v>
      </c>
      <c r="S1225" t="s">
        <v>12</v>
      </c>
      <c r="T1225">
        <v>1.07</v>
      </c>
      <c r="U1225">
        <v>4914.3816000000006</v>
      </c>
      <c r="V1225">
        <v>295.32218399999965</v>
      </c>
      <c r="W1225">
        <v>6.0093457943925156E-2</v>
      </c>
    </row>
    <row r="1226" spans="1:23" x14ac:dyDescent="0.25">
      <c r="A1226" t="s">
        <v>2538</v>
      </c>
      <c r="B1226" t="s">
        <v>30</v>
      </c>
      <c r="C1226" t="s">
        <v>103</v>
      </c>
      <c r="D1226" t="s">
        <v>31</v>
      </c>
      <c r="E1226" t="s">
        <v>74</v>
      </c>
      <c r="F1226" s="1">
        <v>46310</v>
      </c>
      <c r="G1226">
        <v>46340</v>
      </c>
      <c r="H1226" t="s">
        <v>9</v>
      </c>
      <c r="I1226">
        <v>1027165.81</v>
      </c>
      <c r="J1226" t="s">
        <v>84</v>
      </c>
      <c r="K1226" t="s">
        <v>2539</v>
      </c>
      <c r="L1226">
        <v>30</v>
      </c>
      <c r="M1226" t="s">
        <v>30</v>
      </c>
      <c r="N1226">
        <v>1.1176999999999999</v>
      </c>
      <c r="O1226">
        <v>1.320456022210408</v>
      </c>
      <c r="P1226">
        <v>6.3200452360757699E-3</v>
      </c>
      <c r="Q1226">
        <v>6.3200452360757699E-3</v>
      </c>
      <c r="R1226">
        <v>6491.7343841504098</v>
      </c>
      <c r="S1226" t="s">
        <v>23</v>
      </c>
      <c r="T1226">
        <v>6.8799999999999998E-3</v>
      </c>
      <c r="U1226">
        <v>7066.9007728000006</v>
      </c>
      <c r="V1226">
        <v>-575.16638864959077</v>
      </c>
      <c r="W1226">
        <v>-8.1388773826196248E-2</v>
      </c>
    </row>
    <row r="1227" spans="1:23" x14ac:dyDescent="0.25">
      <c r="A1227" t="s">
        <v>2540</v>
      </c>
      <c r="B1227" t="s">
        <v>20</v>
      </c>
      <c r="C1227" t="s">
        <v>123</v>
      </c>
      <c r="D1227" t="s">
        <v>31</v>
      </c>
      <c r="E1227" t="s">
        <v>124</v>
      </c>
      <c r="F1227" s="1">
        <v>46185</v>
      </c>
      <c r="G1227">
        <v>46230</v>
      </c>
      <c r="H1227" t="s">
        <v>6</v>
      </c>
      <c r="I1227">
        <v>34673.57</v>
      </c>
      <c r="J1227" t="s">
        <v>75</v>
      </c>
      <c r="K1227" t="s">
        <v>2541</v>
      </c>
      <c r="L1227">
        <v>45</v>
      </c>
      <c r="M1227" t="s">
        <v>20</v>
      </c>
      <c r="N1227">
        <v>1.1567000000000001</v>
      </c>
      <c r="O1227">
        <v>1.3402467991425759</v>
      </c>
      <c r="P1227">
        <v>6.2423097679438749E-3</v>
      </c>
      <c r="Q1227">
        <v>1.1567000000000001</v>
      </c>
      <c r="R1227">
        <v>40106.918419000001</v>
      </c>
      <c r="S1227" t="s">
        <v>19</v>
      </c>
      <c r="T1227">
        <v>1.083</v>
      </c>
      <c r="U1227">
        <v>37551.476309999998</v>
      </c>
      <c r="V1227">
        <v>2555.4421090000033</v>
      </c>
      <c r="W1227">
        <v>6.8051708217913301E-2</v>
      </c>
    </row>
    <row r="1228" spans="1:23" x14ac:dyDescent="0.25">
      <c r="A1228" t="s">
        <v>2542</v>
      </c>
      <c r="B1228" t="s">
        <v>32</v>
      </c>
      <c r="C1228" t="s">
        <v>106</v>
      </c>
      <c r="D1228" t="s">
        <v>31</v>
      </c>
      <c r="E1228" t="s">
        <v>74</v>
      </c>
      <c r="F1228" s="1">
        <v>46003</v>
      </c>
      <c r="G1228">
        <v>46033</v>
      </c>
      <c r="H1228" t="s">
        <v>6</v>
      </c>
      <c r="I1228">
        <v>28305</v>
      </c>
      <c r="J1228" t="s">
        <v>75</v>
      </c>
      <c r="K1228" t="s">
        <v>2543</v>
      </c>
      <c r="L1228">
        <v>30</v>
      </c>
      <c r="M1228" t="s">
        <v>32</v>
      </c>
      <c r="N1228">
        <v>1.1731</v>
      </c>
      <c r="O1228">
        <v>1.338086004334436</v>
      </c>
      <c r="P1228">
        <v>6.4107328269304336E-3</v>
      </c>
      <c r="Q1228">
        <v>1.1731</v>
      </c>
      <c r="R1228">
        <v>33204.595500000003</v>
      </c>
      <c r="S1228" t="s">
        <v>14</v>
      </c>
      <c r="T1228">
        <v>1.1060000000000001</v>
      </c>
      <c r="U1228">
        <v>31305.33</v>
      </c>
      <c r="V1228">
        <v>1899.2655000000013</v>
      </c>
      <c r="W1228">
        <v>6.0669077757685395E-2</v>
      </c>
    </row>
    <row r="1229" spans="1:23" x14ac:dyDescent="0.25">
      <c r="A1229" t="s">
        <v>2544</v>
      </c>
      <c r="B1229" t="s">
        <v>28</v>
      </c>
      <c r="C1229" t="s">
        <v>111</v>
      </c>
      <c r="D1229" t="s">
        <v>31</v>
      </c>
      <c r="E1229" t="s">
        <v>74</v>
      </c>
      <c r="F1229" s="1">
        <v>45678</v>
      </c>
      <c r="G1229">
        <v>45723</v>
      </c>
      <c r="H1229" t="s">
        <v>9</v>
      </c>
      <c r="I1229">
        <v>4887612.3099999996</v>
      </c>
      <c r="J1229" t="s">
        <v>75</v>
      </c>
      <c r="K1229" t="s">
        <v>2545</v>
      </c>
      <c r="L1229">
        <v>45</v>
      </c>
      <c r="M1229" t="s">
        <v>28</v>
      </c>
      <c r="N1229">
        <v>1.0357000000000001</v>
      </c>
      <c r="O1229">
        <v>1.2249121852565847</v>
      </c>
      <c r="P1229">
        <v>6.4225474389185177E-3</v>
      </c>
      <c r="Q1229">
        <v>6.4225474389185177E-3</v>
      </c>
      <c r="R1229">
        <v>31390.921924017119</v>
      </c>
      <c r="S1229" t="s">
        <v>11</v>
      </c>
      <c r="T1229">
        <v>6.5599999999999999E-3</v>
      </c>
      <c r="U1229">
        <v>32062.736753599998</v>
      </c>
      <c r="V1229">
        <v>-671.81482958287961</v>
      </c>
      <c r="W1229">
        <v>-2.0953134311201566E-2</v>
      </c>
    </row>
    <row r="1230" spans="1:23" x14ac:dyDescent="0.25">
      <c r="A1230" t="s">
        <v>2546</v>
      </c>
      <c r="B1230" t="s">
        <v>24</v>
      </c>
      <c r="C1230" t="s">
        <v>73</v>
      </c>
      <c r="D1230" t="s">
        <v>31</v>
      </c>
      <c r="E1230" t="s">
        <v>74</v>
      </c>
      <c r="F1230" s="1">
        <v>46151</v>
      </c>
      <c r="G1230">
        <v>46181</v>
      </c>
      <c r="H1230" t="s">
        <v>6</v>
      </c>
      <c r="I1230">
        <v>29917</v>
      </c>
      <c r="J1230" t="s">
        <v>75</v>
      </c>
      <c r="K1230" t="s">
        <v>2547</v>
      </c>
      <c r="L1230">
        <v>30</v>
      </c>
      <c r="M1230" t="s">
        <v>24</v>
      </c>
      <c r="N1230">
        <v>1.1760999999999999</v>
      </c>
      <c r="O1230">
        <v>1.3610693206804767</v>
      </c>
      <c r="P1230">
        <v>6.3790204480121491E-3</v>
      </c>
      <c r="Q1230">
        <v>1.1760999999999999</v>
      </c>
      <c r="R1230">
        <v>35185.383699999998</v>
      </c>
      <c r="S1230" t="s">
        <v>19</v>
      </c>
      <c r="T1230">
        <v>1.083</v>
      </c>
      <c r="U1230">
        <v>32400.110999999997</v>
      </c>
      <c r="V1230">
        <v>2785.2727000000014</v>
      </c>
      <c r="W1230">
        <v>8.59649122807018E-2</v>
      </c>
    </row>
    <row r="1231" spans="1:23" x14ac:dyDescent="0.25">
      <c r="A1231" t="s">
        <v>2548</v>
      </c>
      <c r="B1231" t="s">
        <v>22</v>
      </c>
      <c r="C1231" t="s">
        <v>127</v>
      </c>
      <c r="D1231" t="s">
        <v>31</v>
      </c>
      <c r="E1231" t="s">
        <v>124</v>
      </c>
      <c r="F1231" s="1">
        <v>46032</v>
      </c>
      <c r="G1231">
        <v>46092</v>
      </c>
      <c r="H1231" t="s">
        <v>9</v>
      </c>
      <c r="I1231">
        <v>4316684.55</v>
      </c>
      <c r="J1231" t="s">
        <v>75</v>
      </c>
      <c r="K1231" t="s">
        <v>2549</v>
      </c>
      <c r="L1231">
        <v>60</v>
      </c>
      <c r="M1231" t="s">
        <v>22</v>
      </c>
      <c r="N1231">
        <v>1.1555</v>
      </c>
      <c r="O1231">
        <v>1.3367963164349013</v>
      </c>
      <c r="P1231">
        <v>6.2983756677204832E-3</v>
      </c>
      <c r="Q1231">
        <v>6.2983756677204832E-3</v>
      </c>
      <c r="R1231">
        <v>27188.100934944941</v>
      </c>
      <c r="S1231" t="s">
        <v>16</v>
      </c>
      <c r="T1231">
        <v>6.4599999999999996E-3</v>
      </c>
      <c r="U1231">
        <v>27885.782192999995</v>
      </c>
      <c r="V1231">
        <v>-697.68125805505406</v>
      </c>
      <c r="W1231">
        <v>-2.5019246482897255E-2</v>
      </c>
    </row>
    <row r="1232" spans="1:23" x14ac:dyDescent="0.25">
      <c r="A1232" t="s">
        <v>2550</v>
      </c>
      <c r="B1232" t="s">
        <v>32</v>
      </c>
      <c r="C1232" t="s">
        <v>106</v>
      </c>
      <c r="D1232" t="s">
        <v>31</v>
      </c>
      <c r="E1232" t="s">
        <v>74</v>
      </c>
      <c r="F1232" s="1">
        <v>45709</v>
      </c>
      <c r="G1232">
        <v>45739</v>
      </c>
      <c r="H1232" t="s">
        <v>6</v>
      </c>
      <c r="I1232">
        <v>5273.07</v>
      </c>
      <c r="J1232" t="s">
        <v>75</v>
      </c>
      <c r="K1232" t="s">
        <v>2551</v>
      </c>
      <c r="L1232">
        <v>30</v>
      </c>
      <c r="M1232" t="s">
        <v>32</v>
      </c>
      <c r="N1232">
        <v>1.0465</v>
      </c>
      <c r="O1232">
        <v>1.2644997583373609</v>
      </c>
      <c r="P1232">
        <v>6.6461323510732884E-3</v>
      </c>
      <c r="Q1232">
        <v>1.0465</v>
      </c>
      <c r="R1232">
        <v>5518.2677549999999</v>
      </c>
      <c r="S1232" t="s">
        <v>11</v>
      </c>
      <c r="T1232">
        <v>1.052</v>
      </c>
      <c r="U1232">
        <v>5547.2696399999995</v>
      </c>
      <c r="V1232">
        <v>-29.001884999999675</v>
      </c>
      <c r="W1232">
        <v>-5.228136882129219E-3</v>
      </c>
    </row>
    <row r="1233" spans="1:23" x14ac:dyDescent="0.25">
      <c r="A1233" t="s">
        <v>2552</v>
      </c>
      <c r="B1233" t="s">
        <v>43</v>
      </c>
      <c r="C1233" t="s">
        <v>215</v>
      </c>
      <c r="D1233" t="s">
        <v>35</v>
      </c>
      <c r="E1233" t="s">
        <v>152</v>
      </c>
      <c r="F1233" s="1">
        <v>46191</v>
      </c>
      <c r="G1233">
        <v>46221</v>
      </c>
      <c r="H1233" t="s">
        <v>6</v>
      </c>
      <c r="I1233">
        <v>10872.81</v>
      </c>
      <c r="J1233" t="s">
        <v>75</v>
      </c>
      <c r="K1233" t="s">
        <v>2553</v>
      </c>
      <c r="L1233">
        <v>30</v>
      </c>
      <c r="M1233" t="s">
        <v>43</v>
      </c>
      <c r="N1233">
        <v>1.1460999999999999</v>
      </c>
      <c r="O1233">
        <v>1.3228606385188946</v>
      </c>
      <c r="P1233">
        <v>6.2139449143352845E-3</v>
      </c>
      <c r="Q1233">
        <v>1.1460999999999999</v>
      </c>
      <c r="R1233">
        <v>12461.327540999999</v>
      </c>
      <c r="S1233" t="s">
        <v>19</v>
      </c>
      <c r="T1233">
        <v>1.083</v>
      </c>
      <c r="U1233">
        <v>11775.253229999998</v>
      </c>
      <c r="V1233">
        <v>686.07431100000031</v>
      </c>
      <c r="W1233">
        <v>5.8264081255771039E-2</v>
      </c>
    </row>
    <row r="1234" spans="1:23" x14ac:dyDescent="0.25">
      <c r="A1234" t="s">
        <v>2554</v>
      </c>
      <c r="B1234" t="s">
        <v>24</v>
      </c>
      <c r="C1234" t="s">
        <v>73</v>
      </c>
      <c r="D1234" t="s">
        <v>31</v>
      </c>
      <c r="E1234" t="s">
        <v>74</v>
      </c>
      <c r="F1234" s="1">
        <v>45860</v>
      </c>
      <c r="G1234">
        <v>45890</v>
      </c>
      <c r="H1234" t="s">
        <v>6</v>
      </c>
      <c r="I1234">
        <v>20775.330000000002</v>
      </c>
      <c r="J1234" t="s">
        <v>75</v>
      </c>
      <c r="K1234" t="s">
        <v>2555</v>
      </c>
      <c r="L1234">
        <v>30</v>
      </c>
      <c r="M1234" t="s">
        <v>24</v>
      </c>
      <c r="N1234">
        <v>1.1698999999999999</v>
      </c>
      <c r="O1234">
        <v>1.3485878962536022</v>
      </c>
      <c r="P1234">
        <v>6.795028169832143E-3</v>
      </c>
      <c r="Q1234">
        <v>1.1698999999999999</v>
      </c>
      <c r="R1234">
        <v>24305.058567</v>
      </c>
      <c r="S1234" t="s">
        <v>13</v>
      </c>
      <c r="T1234">
        <v>1.0880000000000001</v>
      </c>
      <c r="U1234">
        <v>22603.559040000004</v>
      </c>
      <c r="V1234">
        <v>1701.4995269999963</v>
      </c>
      <c r="W1234">
        <v>7.5275735294117477E-2</v>
      </c>
    </row>
    <row r="1235" spans="1:23" x14ac:dyDescent="0.25">
      <c r="A1235" t="s">
        <v>2556</v>
      </c>
      <c r="B1235" t="s">
        <v>40</v>
      </c>
      <c r="C1235" t="s">
        <v>78</v>
      </c>
      <c r="D1235" t="s">
        <v>33</v>
      </c>
      <c r="E1235" t="s">
        <v>79</v>
      </c>
      <c r="F1235" s="1">
        <v>45659</v>
      </c>
      <c r="G1235">
        <v>45689</v>
      </c>
      <c r="H1235" t="s">
        <v>9</v>
      </c>
      <c r="I1235">
        <v>294843.63</v>
      </c>
      <c r="J1235" t="s">
        <v>75</v>
      </c>
      <c r="K1235" t="s">
        <v>2557</v>
      </c>
      <c r="L1235">
        <v>30</v>
      </c>
      <c r="M1235" t="s">
        <v>40</v>
      </c>
      <c r="N1235">
        <v>1.0321</v>
      </c>
      <c r="O1235">
        <v>1.2417286267715777</v>
      </c>
      <c r="P1235">
        <v>6.3694149592693162E-3</v>
      </c>
      <c r="Q1235">
        <v>6.3694149592693162E-3</v>
      </c>
      <c r="R1235">
        <v>1877.9814275672675</v>
      </c>
      <c r="S1235" t="s">
        <v>11</v>
      </c>
      <c r="T1235">
        <v>6.5599999999999999E-3</v>
      </c>
      <c r="U1235">
        <v>1934.1742128000001</v>
      </c>
      <c r="V1235">
        <v>-56.192785232732604</v>
      </c>
      <c r="W1235">
        <v>-2.9052597672360302E-2</v>
      </c>
    </row>
    <row r="1236" spans="1:23" x14ac:dyDescent="0.25">
      <c r="A1236" t="s">
        <v>2558</v>
      </c>
      <c r="B1236" t="s">
        <v>42</v>
      </c>
      <c r="C1236" t="s">
        <v>151</v>
      </c>
      <c r="D1236" t="s">
        <v>35</v>
      </c>
      <c r="E1236" t="s">
        <v>152</v>
      </c>
      <c r="F1236" s="1">
        <v>46088</v>
      </c>
      <c r="G1236">
        <v>46118</v>
      </c>
      <c r="H1236" t="s">
        <v>8</v>
      </c>
      <c r="I1236">
        <v>4198.13</v>
      </c>
      <c r="J1236" t="s">
        <v>75</v>
      </c>
      <c r="K1236" t="s">
        <v>2559</v>
      </c>
      <c r="L1236">
        <v>30</v>
      </c>
      <c r="M1236" t="s">
        <v>42</v>
      </c>
      <c r="N1236">
        <v>1.1555</v>
      </c>
      <c r="O1236">
        <v>1.3367963164349013</v>
      </c>
      <c r="P1236">
        <v>6.2983756677204832E-3</v>
      </c>
      <c r="Q1236">
        <v>1.3367963164349013</v>
      </c>
      <c r="R1236">
        <v>5612.0447199148521</v>
      </c>
      <c r="S1236" t="s">
        <v>16</v>
      </c>
      <c r="T1236">
        <v>1.2490000000000001</v>
      </c>
      <c r="U1236">
        <v>5243.4643700000006</v>
      </c>
      <c r="V1236">
        <v>368.58034991485147</v>
      </c>
      <c r="W1236">
        <v>7.0293287778143407E-2</v>
      </c>
    </row>
    <row r="1237" spans="1:23" x14ac:dyDescent="0.25">
      <c r="A1237" t="s">
        <v>2560</v>
      </c>
      <c r="B1237" t="s">
        <v>28</v>
      </c>
      <c r="C1237" t="s">
        <v>111</v>
      </c>
      <c r="D1237" t="s">
        <v>31</v>
      </c>
      <c r="E1237" t="s">
        <v>74</v>
      </c>
      <c r="F1237" s="1">
        <v>46349</v>
      </c>
      <c r="G1237">
        <v>46394</v>
      </c>
      <c r="H1237" t="s">
        <v>9</v>
      </c>
      <c r="I1237">
        <v>3159880.85</v>
      </c>
      <c r="J1237" t="s">
        <v>84</v>
      </c>
      <c r="K1237" t="s">
        <v>2561</v>
      </c>
      <c r="L1237">
        <v>45</v>
      </c>
      <c r="M1237" t="s">
        <v>28</v>
      </c>
      <c r="N1237">
        <v>1.1176999999999999</v>
      </c>
      <c r="O1237">
        <v>1.320456022210408</v>
      </c>
      <c r="P1237">
        <v>6.3200452360757699E-3</v>
      </c>
      <c r="Q1237">
        <v>6.3200452360757699E-3</v>
      </c>
      <c r="R1237">
        <v>19970.589912609554</v>
      </c>
      <c r="S1237" t="s">
        <v>23</v>
      </c>
      <c r="T1237">
        <v>6.8799999999999998E-3</v>
      </c>
      <c r="U1237">
        <v>21739.980248</v>
      </c>
      <c r="V1237">
        <v>-1769.3903353904461</v>
      </c>
      <c r="W1237">
        <v>-8.1388773826196262E-2</v>
      </c>
    </row>
    <row r="1238" spans="1:23" x14ac:dyDescent="0.25">
      <c r="A1238" t="s">
        <v>2562</v>
      </c>
      <c r="B1238" t="s">
        <v>24</v>
      </c>
      <c r="C1238" t="s">
        <v>73</v>
      </c>
      <c r="D1238" t="s">
        <v>31</v>
      </c>
      <c r="E1238" t="s">
        <v>74</v>
      </c>
      <c r="F1238" s="1">
        <v>46297</v>
      </c>
      <c r="G1238">
        <v>46327</v>
      </c>
      <c r="H1238" t="s">
        <v>6</v>
      </c>
      <c r="I1238">
        <v>26973.65</v>
      </c>
      <c r="J1238" t="s">
        <v>84</v>
      </c>
      <c r="K1238" t="s">
        <v>2563</v>
      </c>
      <c r="L1238">
        <v>30</v>
      </c>
      <c r="M1238" t="s">
        <v>24</v>
      </c>
      <c r="N1238">
        <v>1.1225000000000001</v>
      </c>
      <c r="O1238">
        <v>1.3200757353027648</v>
      </c>
      <c r="P1238">
        <v>6.3421662240804562E-3</v>
      </c>
      <c r="Q1238">
        <v>1.1225000000000001</v>
      </c>
      <c r="R1238">
        <v>30277.922125000005</v>
      </c>
      <c r="S1238" t="s">
        <v>23</v>
      </c>
      <c r="T1238">
        <v>1.119</v>
      </c>
      <c r="U1238">
        <v>30183.514350000001</v>
      </c>
      <c r="V1238">
        <v>94.407775000003312</v>
      </c>
      <c r="W1238">
        <v>3.1277926720287065E-3</v>
      </c>
    </row>
    <row r="1239" spans="1:23" x14ac:dyDescent="0.25">
      <c r="A1239" t="s">
        <v>2564</v>
      </c>
      <c r="B1239" t="s">
        <v>32</v>
      </c>
      <c r="C1239" t="s">
        <v>106</v>
      </c>
      <c r="D1239" t="s">
        <v>31</v>
      </c>
      <c r="E1239" t="s">
        <v>74</v>
      </c>
      <c r="F1239" s="1">
        <v>45969</v>
      </c>
      <c r="G1239">
        <v>45999</v>
      </c>
      <c r="H1239" t="s">
        <v>6</v>
      </c>
      <c r="I1239">
        <v>28237.62</v>
      </c>
      <c r="J1239" t="s">
        <v>75</v>
      </c>
      <c r="K1239" t="s">
        <v>2565</v>
      </c>
      <c r="L1239">
        <v>30</v>
      </c>
      <c r="M1239" t="s">
        <v>32</v>
      </c>
      <c r="N1239">
        <v>1.1555</v>
      </c>
      <c r="O1239">
        <v>1.3367963164349013</v>
      </c>
      <c r="P1239">
        <v>6.2983756677204832E-3</v>
      </c>
      <c r="Q1239">
        <v>1.1555</v>
      </c>
      <c r="R1239">
        <v>32628.569909999998</v>
      </c>
      <c r="S1239" t="s">
        <v>14</v>
      </c>
      <c r="T1239">
        <v>1.1060000000000001</v>
      </c>
      <c r="U1239">
        <v>31230.807720000001</v>
      </c>
      <c r="V1239">
        <v>1397.7621899999976</v>
      </c>
      <c r="W1239">
        <v>4.4755877034357967E-2</v>
      </c>
    </row>
    <row r="1240" spans="1:23" x14ac:dyDescent="0.25">
      <c r="A1240" t="s">
        <v>2566</v>
      </c>
      <c r="B1240" t="s">
        <v>30</v>
      </c>
      <c r="C1240" t="s">
        <v>103</v>
      </c>
      <c r="D1240" t="s">
        <v>31</v>
      </c>
      <c r="E1240" t="s">
        <v>74</v>
      </c>
      <c r="F1240" s="1">
        <v>45862</v>
      </c>
      <c r="G1240">
        <v>45892</v>
      </c>
      <c r="H1240" t="s">
        <v>9</v>
      </c>
      <c r="I1240">
        <v>4245100</v>
      </c>
      <c r="J1240" t="s">
        <v>75</v>
      </c>
      <c r="K1240" t="s">
        <v>2567</v>
      </c>
      <c r="L1240">
        <v>30</v>
      </c>
      <c r="M1240" t="s">
        <v>30</v>
      </c>
      <c r="N1240">
        <v>1.1756</v>
      </c>
      <c r="O1240">
        <v>1.355158501440922</v>
      </c>
      <c r="P1240">
        <v>6.8261525955173614E-3</v>
      </c>
      <c r="Q1240">
        <v>6.8261525955173614E-3</v>
      </c>
      <c r="R1240">
        <v>28977.700383230749</v>
      </c>
      <c r="S1240" t="s">
        <v>13</v>
      </c>
      <c r="T1240">
        <v>6.8399999999999997E-3</v>
      </c>
      <c r="U1240">
        <v>29036.484</v>
      </c>
      <c r="V1240">
        <v>-58.783616769251239</v>
      </c>
      <c r="W1240">
        <v>-2.0244743395671197E-3</v>
      </c>
    </row>
    <row r="1241" spans="1:23" x14ac:dyDescent="0.25">
      <c r="A1241" t="s">
        <v>2568</v>
      </c>
      <c r="B1241" t="s">
        <v>32</v>
      </c>
      <c r="C1241" t="s">
        <v>106</v>
      </c>
      <c r="D1241" t="s">
        <v>31</v>
      </c>
      <c r="E1241" t="s">
        <v>74</v>
      </c>
      <c r="F1241" s="1">
        <v>46155</v>
      </c>
      <c r="G1241">
        <v>46185</v>
      </c>
      <c r="H1241" t="s">
        <v>6</v>
      </c>
      <c r="I1241">
        <v>16157.62</v>
      </c>
      <c r="J1241" t="s">
        <v>75</v>
      </c>
      <c r="K1241" t="s">
        <v>2569</v>
      </c>
      <c r="L1241">
        <v>30</v>
      </c>
      <c r="M1241" t="s">
        <v>32</v>
      </c>
      <c r="N1241">
        <v>1.1715</v>
      </c>
      <c r="O1241">
        <v>1.3510084993022962</v>
      </c>
      <c r="P1241">
        <v>6.3382567764973217E-3</v>
      </c>
      <c r="Q1241">
        <v>1.1715</v>
      </c>
      <c r="R1241">
        <v>18928.651830000003</v>
      </c>
      <c r="S1241" t="s">
        <v>19</v>
      </c>
      <c r="T1241">
        <v>1.083</v>
      </c>
      <c r="U1241">
        <v>17498.70246</v>
      </c>
      <c r="V1241">
        <v>1429.9493700000021</v>
      </c>
      <c r="W1241">
        <v>8.1717451523545828E-2</v>
      </c>
    </row>
    <row r="1242" spans="1:23" x14ac:dyDescent="0.25">
      <c r="A1242" t="s">
        <v>2570</v>
      </c>
      <c r="B1242" t="s">
        <v>39</v>
      </c>
      <c r="C1242" t="s">
        <v>82</v>
      </c>
      <c r="D1242" t="s">
        <v>33</v>
      </c>
      <c r="E1242" t="s">
        <v>83</v>
      </c>
      <c r="F1242" s="1">
        <v>45919</v>
      </c>
      <c r="G1242">
        <v>45964</v>
      </c>
      <c r="H1242" t="s">
        <v>8</v>
      </c>
      <c r="I1242">
        <v>14621.28</v>
      </c>
      <c r="J1242" t="s">
        <v>75</v>
      </c>
      <c r="K1242" t="s">
        <v>2571</v>
      </c>
      <c r="L1242">
        <v>45</v>
      </c>
      <c r="M1242" t="s">
        <v>39</v>
      </c>
      <c r="N1242">
        <v>1.1736</v>
      </c>
      <c r="O1242">
        <v>1.3477262287551677</v>
      </c>
      <c r="P1242">
        <v>6.7529777317452098E-3</v>
      </c>
      <c r="Q1242">
        <v>1.3477262287551677</v>
      </c>
      <c r="R1242">
        <v>19705.482553973357</v>
      </c>
      <c r="S1242" t="s">
        <v>13</v>
      </c>
      <c r="T1242">
        <v>1.282</v>
      </c>
      <c r="U1242">
        <v>18744.480960000001</v>
      </c>
      <c r="V1242">
        <v>961.00159397335665</v>
      </c>
      <c r="W1242">
        <v>5.1268509169397486E-2</v>
      </c>
    </row>
    <row r="1243" spans="1:23" x14ac:dyDescent="0.25">
      <c r="A1243" t="s">
        <v>2572</v>
      </c>
      <c r="B1243" t="s">
        <v>34</v>
      </c>
      <c r="C1243" t="s">
        <v>177</v>
      </c>
      <c r="D1243" t="s">
        <v>31</v>
      </c>
      <c r="E1243" t="s">
        <v>74</v>
      </c>
      <c r="F1243" s="1">
        <v>46008</v>
      </c>
      <c r="G1243">
        <v>46068</v>
      </c>
      <c r="H1243" t="s">
        <v>8</v>
      </c>
      <c r="I1243">
        <v>14867.67</v>
      </c>
      <c r="J1243" t="s">
        <v>75</v>
      </c>
      <c r="K1243" t="s">
        <v>2573</v>
      </c>
      <c r="L1243">
        <v>60</v>
      </c>
      <c r="M1243" t="s">
        <v>34</v>
      </c>
      <c r="N1243">
        <v>1.1721999999999999</v>
      </c>
      <c r="O1243">
        <v>1.3343198634035287</v>
      </c>
      <c r="P1243">
        <v>6.4272398289286102E-3</v>
      </c>
      <c r="Q1243">
        <v>1.3343198634035287</v>
      </c>
      <c r="R1243">
        <v>19838.227403528741</v>
      </c>
      <c r="S1243" t="s">
        <v>14</v>
      </c>
      <c r="T1243">
        <v>1.304</v>
      </c>
      <c r="U1243">
        <v>19387.44168</v>
      </c>
      <c r="V1243">
        <v>450.78572352874107</v>
      </c>
      <c r="W1243">
        <v>2.3251428990436095E-2</v>
      </c>
    </row>
    <row r="1244" spans="1:23" x14ac:dyDescent="0.25">
      <c r="A1244" t="s">
        <v>2574</v>
      </c>
      <c r="B1244" t="s">
        <v>20</v>
      </c>
      <c r="C1244" t="s">
        <v>123</v>
      </c>
      <c r="D1244" t="s">
        <v>31</v>
      </c>
      <c r="E1244" t="s">
        <v>124</v>
      </c>
      <c r="F1244" s="1">
        <v>46270</v>
      </c>
      <c r="G1244">
        <v>46315</v>
      </c>
      <c r="H1244" t="s">
        <v>6</v>
      </c>
      <c r="I1244">
        <v>38697.040000000001</v>
      </c>
      <c r="J1244" t="s">
        <v>75</v>
      </c>
      <c r="K1244" t="s">
        <v>2575</v>
      </c>
      <c r="L1244">
        <v>45</v>
      </c>
      <c r="M1244" t="s">
        <v>20</v>
      </c>
      <c r="N1244">
        <v>1.1621999999999999</v>
      </c>
      <c r="O1244">
        <v>1.3530000698502875</v>
      </c>
      <c r="P1244">
        <v>6.400132165868164E-3</v>
      </c>
      <c r="Q1244">
        <v>1.1621999999999999</v>
      </c>
      <c r="R1244">
        <v>44973.699887999996</v>
      </c>
      <c r="S1244" t="s">
        <v>21</v>
      </c>
      <c r="T1244">
        <v>1.101</v>
      </c>
      <c r="U1244">
        <v>42605.441039999998</v>
      </c>
      <c r="V1244">
        <v>2368.2588479999977</v>
      </c>
      <c r="W1244">
        <v>5.5585831062670246E-2</v>
      </c>
    </row>
    <row r="1245" spans="1:23" x14ac:dyDescent="0.25">
      <c r="A1245" t="s">
        <v>2576</v>
      </c>
      <c r="B1245" t="s">
        <v>30</v>
      </c>
      <c r="C1245" t="s">
        <v>103</v>
      </c>
      <c r="D1245" t="s">
        <v>31</v>
      </c>
      <c r="E1245" t="s">
        <v>74</v>
      </c>
      <c r="F1245" s="1">
        <v>46249</v>
      </c>
      <c r="G1245">
        <v>46279</v>
      </c>
      <c r="H1245" t="s">
        <v>9</v>
      </c>
      <c r="I1245">
        <v>784552.88</v>
      </c>
      <c r="J1245" t="s">
        <v>75</v>
      </c>
      <c r="K1245" t="s">
        <v>2577</v>
      </c>
      <c r="L1245">
        <v>30</v>
      </c>
      <c r="M1245" t="s">
        <v>30</v>
      </c>
      <c r="N1245">
        <v>1.1567000000000001</v>
      </c>
      <c r="O1245">
        <v>1.3536571094207139</v>
      </c>
      <c r="P1245">
        <v>6.2888055238405913E-3</v>
      </c>
      <c r="Q1245">
        <v>6.2888055238405913E-3</v>
      </c>
      <c r="R1245">
        <v>4933.9004854890445</v>
      </c>
      <c r="S1245" t="s">
        <v>21</v>
      </c>
      <c r="T1245">
        <v>6.7400000000000003E-3</v>
      </c>
      <c r="U1245">
        <v>5287.8864112000001</v>
      </c>
      <c r="V1245">
        <v>-353.9859257109556</v>
      </c>
      <c r="W1245">
        <v>-6.6942800617122988E-2</v>
      </c>
    </row>
    <row r="1246" spans="1:23" x14ac:dyDescent="0.25">
      <c r="A1246" t="s">
        <v>2578</v>
      </c>
      <c r="B1246" t="s">
        <v>40</v>
      </c>
      <c r="C1246" t="s">
        <v>78</v>
      </c>
      <c r="D1246" t="s">
        <v>33</v>
      </c>
      <c r="E1246" t="s">
        <v>79</v>
      </c>
      <c r="F1246" s="1">
        <v>46338</v>
      </c>
      <c r="G1246">
        <v>46368</v>
      </c>
      <c r="H1246" t="s">
        <v>9</v>
      </c>
      <c r="I1246">
        <v>1816290.58</v>
      </c>
      <c r="J1246" t="s">
        <v>84</v>
      </c>
      <c r="K1246" t="s">
        <v>2579</v>
      </c>
      <c r="L1246">
        <v>30</v>
      </c>
      <c r="M1246" t="s">
        <v>40</v>
      </c>
      <c r="N1246">
        <v>1.1176999999999999</v>
      </c>
      <c r="O1246">
        <v>1.320456022210408</v>
      </c>
      <c r="P1246">
        <v>6.3200452360757699E-3</v>
      </c>
      <c r="Q1246">
        <v>6.3200452360757699E-3</v>
      </c>
      <c r="R1246">
        <v>11479.038627458298</v>
      </c>
      <c r="S1246" t="s">
        <v>23</v>
      </c>
      <c r="T1246">
        <v>6.8799999999999998E-3</v>
      </c>
      <c r="U1246">
        <v>12496.0791904</v>
      </c>
      <c r="V1246">
        <v>-1017.0405629417019</v>
      </c>
      <c r="W1246">
        <v>-8.1388773826196151E-2</v>
      </c>
    </row>
    <row r="1247" spans="1:23" x14ac:dyDescent="0.25">
      <c r="A1247" t="s">
        <v>2580</v>
      </c>
      <c r="B1247" t="s">
        <v>42</v>
      </c>
      <c r="C1247" t="s">
        <v>151</v>
      </c>
      <c r="D1247" t="s">
        <v>35</v>
      </c>
      <c r="E1247" t="s">
        <v>152</v>
      </c>
      <c r="F1247" s="1">
        <v>45700</v>
      </c>
      <c r="G1247">
        <v>45730</v>
      </c>
      <c r="H1247" t="s">
        <v>8</v>
      </c>
      <c r="I1247">
        <v>2277.15</v>
      </c>
      <c r="J1247" t="s">
        <v>75</v>
      </c>
      <c r="K1247" t="s">
        <v>2581</v>
      </c>
      <c r="L1247">
        <v>30</v>
      </c>
      <c r="M1247" t="s">
        <v>42</v>
      </c>
      <c r="N1247">
        <v>1.0369999999999999</v>
      </c>
      <c r="O1247">
        <v>1.2443303175022198</v>
      </c>
      <c r="P1247">
        <v>6.5130008792865218E-3</v>
      </c>
      <c r="Q1247">
        <v>1.2443303175022198</v>
      </c>
      <c r="R1247">
        <v>2833.5267825001797</v>
      </c>
      <c r="S1247" t="s">
        <v>11</v>
      </c>
      <c r="T1247">
        <v>1.238</v>
      </c>
      <c r="U1247">
        <v>2819.1116999999999</v>
      </c>
      <c r="V1247">
        <v>14.415082500179778</v>
      </c>
      <c r="W1247">
        <v>5.1133420857995019E-3</v>
      </c>
    </row>
    <row r="1248" spans="1:23" x14ac:dyDescent="0.25">
      <c r="A1248" t="s">
        <v>2582</v>
      </c>
      <c r="B1248" t="s">
        <v>24</v>
      </c>
      <c r="C1248" t="s">
        <v>73</v>
      </c>
      <c r="D1248" t="s">
        <v>31</v>
      </c>
      <c r="E1248" t="s">
        <v>74</v>
      </c>
      <c r="F1248" s="1">
        <v>45705</v>
      </c>
      <c r="G1248">
        <v>45735</v>
      </c>
      <c r="H1248" t="s">
        <v>6</v>
      </c>
      <c r="I1248">
        <v>35053.69</v>
      </c>
      <c r="J1248" t="s">
        <v>75</v>
      </c>
      <c r="K1248" t="s">
        <v>2583</v>
      </c>
      <c r="L1248">
        <v>30</v>
      </c>
      <c r="M1248" t="s">
        <v>24</v>
      </c>
      <c r="N1248">
        <v>1.0472999999999999</v>
      </c>
      <c r="O1248">
        <v>1.2597885316300386</v>
      </c>
      <c r="P1248">
        <v>6.6004915863112123E-3</v>
      </c>
      <c r="Q1248">
        <v>1.0472999999999999</v>
      </c>
      <c r="R1248">
        <v>36711.729536999999</v>
      </c>
      <c r="S1248" t="s">
        <v>11</v>
      </c>
      <c r="T1248">
        <v>1.052</v>
      </c>
      <c r="U1248">
        <v>36876.481880000007</v>
      </c>
      <c r="V1248">
        <v>-164.75234300000739</v>
      </c>
      <c r="W1248">
        <v>-4.4676806083652184E-3</v>
      </c>
    </row>
    <row r="1249" spans="1:23" x14ac:dyDescent="0.25">
      <c r="A1249" t="s">
        <v>2584</v>
      </c>
      <c r="B1249" t="s">
        <v>28</v>
      </c>
      <c r="C1249" t="s">
        <v>111</v>
      </c>
      <c r="D1249" t="s">
        <v>31</v>
      </c>
      <c r="E1249" t="s">
        <v>74</v>
      </c>
      <c r="F1249" s="1">
        <v>45907</v>
      </c>
      <c r="G1249">
        <v>45952</v>
      </c>
      <c r="H1249" t="s">
        <v>9</v>
      </c>
      <c r="I1249">
        <v>1004020.15</v>
      </c>
      <c r="J1249" t="s">
        <v>75</v>
      </c>
      <c r="K1249" t="s">
        <v>2585</v>
      </c>
      <c r="L1249">
        <v>45</v>
      </c>
      <c r="M1249" t="s">
        <v>28</v>
      </c>
      <c r="N1249">
        <v>1.175</v>
      </c>
      <c r="O1249">
        <v>1.3465505386202155</v>
      </c>
      <c r="P1249">
        <v>6.3827475691237987E-3</v>
      </c>
      <c r="Q1249">
        <v>6.3827475691237987E-3</v>
      </c>
      <c r="R1249">
        <v>6408.4071717638117</v>
      </c>
      <c r="S1249" t="s">
        <v>13</v>
      </c>
      <c r="T1249">
        <v>6.8399999999999997E-3</v>
      </c>
      <c r="U1249">
        <v>6867.4978259999998</v>
      </c>
      <c r="V1249">
        <v>-459.09065423618813</v>
      </c>
      <c r="W1249">
        <v>-6.6849770595935845E-2</v>
      </c>
    </row>
    <row r="1250" spans="1:23" x14ac:dyDescent="0.25">
      <c r="A1250" t="s">
        <v>2586</v>
      </c>
      <c r="B1250" t="s">
        <v>39</v>
      </c>
      <c r="C1250" t="s">
        <v>82</v>
      </c>
      <c r="D1250" t="s">
        <v>33</v>
      </c>
      <c r="E1250" t="s">
        <v>83</v>
      </c>
      <c r="F1250" s="1">
        <v>46159</v>
      </c>
      <c r="G1250">
        <v>46204</v>
      </c>
      <c r="H1250" t="s">
        <v>8</v>
      </c>
      <c r="I1250">
        <v>1726.66</v>
      </c>
      <c r="J1250" t="s">
        <v>75</v>
      </c>
      <c r="K1250" t="s">
        <v>2587</v>
      </c>
      <c r="L1250">
        <v>45</v>
      </c>
      <c r="M1250" t="s">
        <v>39</v>
      </c>
      <c r="N1250">
        <v>1.1628000000000001</v>
      </c>
      <c r="O1250">
        <v>1.3357840321654222</v>
      </c>
      <c r="P1250">
        <v>6.3072249945758298E-3</v>
      </c>
      <c r="Q1250">
        <v>1.3357840321654222</v>
      </c>
      <c r="R1250">
        <v>2306.4448569787478</v>
      </c>
      <c r="S1250" t="s">
        <v>19</v>
      </c>
      <c r="T1250">
        <v>1.2709999999999999</v>
      </c>
      <c r="U1250">
        <v>2194.5848599999999</v>
      </c>
      <c r="V1250">
        <v>111.85999697874786</v>
      </c>
      <c r="W1250">
        <v>5.0970914370906513E-2</v>
      </c>
    </row>
    <row r="1251" spans="1:23" x14ac:dyDescent="0.25">
      <c r="A1251" t="s">
        <v>2588</v>
      </c>
      <c r="B1251" t="s">
        <v>24</v>
      </c>
      <c r="C1251" t="s">
        <v>73</v>
      </c>
      <c r="D1251" t="s">
        <v>31</v>
      </c>
      <c r="E1251" t="s">
        <v>74</v>
      </c>
      <c r="F1251" s="1">
        <v>46098</v>
      </c>
      <c r="G1251">
        <v>46128</v>
      </c>
      <c r="H1251" t="s">
        <v>6</v>
      </c>
      <c r="I1251">
        <v>35727.26</v>
      </c>
      <c r="J1251" t="s">
        <v>75</v>
      </c>
      <c r="K1251" t="s">
        <v>2589</v>
      </c>
      <c r="L1251">
        <v>30</v>
      </c>
      <c r="M1251" t="s">
        <v>24</v>
      </c>
      <c r="N1251">
        <v>1.1531</v>
      </c>
      <c r="O1251">
        <v>1.3341432373018629</v>
      </c>
      <c r="P1251">
        <v>6.2911233564297018E-3</v>
      </c>
      <c r="Q1251">
        <v>1.1531</v>
      </c>
      <c r="R1251">
        <v>41197.103505999999</v>
      </c>
      <c r="S1251" t="s">
        <v>16</v>
      </c>
      <c r="T1251">
        <v>1.0649999999999999</v>
      </c>
      <c r="U1251">
        <v>38049.531900000002</v>
      </c>
      <c r="V1251">
        <v>3147.5716059999977</v>
      </c>
      <c r="W1251">
        <v>8.2723004694835622E-2</v>
      </c>
    </row>
    <row r="1252" spans="1:23" x14ac:dyDescent="0.25">
      <c r="A1252" t="s">
        <v>2590</v>
      </c>
      <c r="B1252" t="s">
        <v>20</v>
      </c>
      <c r="C1252" t="s">
        <v>123</v>
      </c>
      <c r="D1252" t="s">
        <v>31</v>
      </c>
      <c r="E1252" t="s">
        <v>124</v>
      </c>
      <c r="F1252" s="1">
        <v>45727</v>
      </c>
      <c r="G1252">
        <v>45772</v>
      </c>
      <c r="H1252" t="s">
        <v>6</v>
      </c>
      <c r="I1252">
        <v>15167.75</v>
      </c>
      <c r="J1252" t="s">
        <v>75</v>
      </c>
      <c r="K1252" t="s">
        <v>2591</v>
      </c>
      <c r="L1252">
        <v>45</v>
      </c>
      <c r="M1252" t="s">
        <v>20</v>
      </c>
      <c r="N1252">
        <v>1.0911999999999999</v>
      </c>
      <c r="O1252">
        <v>1.2932894019484673</v>
      </c>
      <c r="P1252">
        <v>6.7558197127290734E-3</v>
      </c>
      <c r="Q1252">
        <v>1.0911999999999999</v>
      </c>
      <c r="R1252">
        <v>16551.0488</v>
      </c>
      <c r="S1252" t="s">
        <v>11</v>
      </c>
      <c r="T1252">
        <v>1.052</v>
      </c>
      <c r="U1252">
        <v>15956.473</v>
      </c>
      <c r="V1252">
        <v>594.57580000000053</v>
      </c>
      <c r="W1252">
        <v>3.72623574144487E-2</v>
      </c>
    </row>
    <row r="1253" spans="1:23" x14ac:dyDescent="0.25">
      <c r="A1253" t="s">
        <v>2592</v>
      </c>
      <c r="B1253" t="s">
        <v>24</v>
      </c>
      <c r="C1253" t="s">
        <v>73</v>
      </c>
      <c r="D1253" t="s">
        <v>31</v>
      </c>
      <c r="E1253" t="s">
        <v>74</v>
      </c>
      <c r="F1253" s="1">
        <v>46276</v>
      </c>
      <c r="G1253">
        <v>46306</v>
      </c>
      <c r="H1253" t="s">
        <v>6</v>
      </c>
      <c r="I1253">
        <v>31157.74</v>
      </c>
      <c r="J1253" t="s">
        <v>75</v>
      </c>
      <c r="K1253" t="s">
        <v>2593</v>
      </c>
      <c r="L1253">
        <v>30</v>
      </c>
      <c r="M1253" t="s">
        <v>24</v>
      </c>
      <c r="N1253">
        <v>1.1592</v>
      </c>
      <c r="O1253">
        <v>1.3508127949659152</v>
      </c>
      <c r="P1253">
        <v>6.4919354838709675E-3</v>
      </c>
      <c r="Q1253">
        <v>1.1592</v>
      </c>
      <c r="R1253">
        <v>36118.052208000001</v>
      </c>
      <c r="S1253" t="s">
        <v>21</v>
      </c>
      <c r="T1253">
        <v>1.101</v>
      </c>
      <c r="U1253">
        <v>34304.671739999998</v>
      </c>
      <c r="V1253">
        <v>1813.380468000003</v>
      </c>
      <c r="W1253">
        <v>5.2861035422343418E-2</v>
      </c>
    </row>
    <row r="1254" spans="1:23" x14ac:dyDescent="0.25">
      <c r="A1254" t="s">
        <v>2594</v>
      </c>
      <c r="B1254" t="s">
        <v>38</v>
      </c>
      <c r="C1254" t="s">
        <v>87</v>
      </c>
      <c r="D1254" t="s">
        <v>33</v>
      </c>
      <c r="E1254" t="s">
        <v>88</v>
      </c>
      <c r="F1254" s="1">
        <v>46324</v>
      </c>
      <c r="G1254">
        <v>46354</v>
      </c>
      <c r="H1254" t="s">
        <v>6</v>
      </c>
      <c r="I1254">
        <v>8277.7900000000009</v>
      </c>
      <c r="J1254" t="s">
        <v>84</v>
      </c>
      <c r="K1254" t="s">
        <v>2595</v>
      </c>
      <c r="L1254">
        <v>30</v>
      </c>
      <c r="M1254" t="s">
        <v>38</v>
      </c>
      <c r="N1254">
        <v>1.1176999999999999</v>
      </c>
      <c r="O1254">
        <v>1.320456022210408</v>
      </c>
      <c r="P1254">
        <v>6.3200452360757699E-3</v>
      </c>
      <c r="Q1254">
        <v>1.1176999999999999</v>
      </c>
      <c r="R1254">
        <v>9252.0858829999997</v>
      </c>
      <c r="S1254" t="s">
        <v>23</v>
      </c>
      <c r="T1254">
        <v>1.119</v>
      </c>
      <c r="U1254">
        <v>9262.8470100000013</v>
      </c>
      <c r="V1254">
        <v>-10.761127000001579</v>
      </c>
      <c r="W1254">
        <v>-1.1617515638965062E-3</v>
      </c>
    </row>
    <row r="1255" spans="1:23" x14ac:dyDescent="0.25">
      <c r="A1255" t="s">
        <v>2596</v>
      </c>
      <c r="B1255" t="s">
        <v>26</v>
      </c>
      <c r="C1255" t="s">
        <v>94</v>
      </c>
      <c r="D1255" t="s">
        <v>31</v>
      </c>
      <c r="E1255" t="s">
        <v>74</v>
      </c>
      <c r="F1255" s="1">
        <v>46262</v>
      </c>
      <c r="G1255">
        <v>46292</v>
      </c>
      <c r="H1255" t="s">
        <v>8</v>
      </c>
      <c r="I1255">
        <v>25157.83</v>
      </c>
      <c r="J1255" t="s">
        <v>75</v>
      </c>
      <c r="K1255" t="s">
        <v>2597</v>
      </c>
      <c r="L1255">
        <v>30</v>
      </c>
      <c r="M1255" t="s">
        <v>26</v>
      </c>
      <c r="N1255">
        <v>1.1642999999999999</v>
      </c>
      <c r="O1255">
        <v>1.3582594493700419</v>
      </c>
      <c r="P1255">
        <v>6.2623709122203094E-3</v>
      </c>
      <c r="Q1255">
        <v>1.3582594493700419</v>
      </c>
      <c r="R1255">
        <v>34170.860323145127</v>
      </c>
      <c r="S1255" t="s">
        <v>21</v>
      </c>
      <c r="T1255">
        <v>1.2929999999999999</v>
      </c>
      <c r="U1255">
        <v>32529.074189999999</v>
      </c>
      <c r="V1255">
        <v>1641.7861331451277</v>
      </c>
      <c r="W1255">
        <v>5.0471345220450235E-2</v>
      </c>
    </row>
    <row r="1256" spans="1:23" x14ac:dyDescent="0.25">
      <c r="A1256" t="s">
        <v>2598</v>
      </c>
      <c r="B1256" t="s">
        <v>30</v>
      </c>
      <c r="C1256" t="s">
        <v>103</v>
      </c>
      <c r="D1256" t="s">
        <v>31</v>
      </c>
      <c r="E1256" t="s">
        <v>74</v>
      </c>
      <c r="F1256" s="1">
        <v>46302</v>
      </c>
      <c r="G1256">
        <v>46332</v>
      </c>
      <c r="H1256" t="s">
        <v>9</v>
      </c>
      <c r="I1256">
        <v>1348598.44</v>
      </c>
      <c r="J1256" t="s">
        <v>84</v>
      </c>
      <c r="K1256" t="s">
        <v>2599</v>
      </c>
      <c r="L1256">
        <v>30</v>
      </c>
      <c r="M1256" t="s">
        <v>30</v>
      </c>
      <c r="N1256">
        <v>1.1176999999999999</v>
      </c>
      <c r="O1256">
        <v>1.320456022210408</v>
      </c>
      <c r="P1256">
        <v>6.3200452360757699E-3</v>
      </c>
      <c r="Q1256">
        <v>6.3200452360757699E-3</v>
      </c>
      <c r="R1256">
        <v>8523.2031461012139</v>
      </c>
      <c r="S1256" t="s">
        <v>23</v>
      </c>
      <c r="T1256">
        <v>6.8799999999999998E-3</v>
      </c>
      <c r="U1256">
        <v>9278.3572671999991</v>
      </c>
      <c r="V1256">
        <v>-755.15412109878525</v>
      </c>
      <c r="W1256">
        <v>-8.1388773826196276E-2</v>
      </c>
    </row>
    <row r="1257" spans="1:23" x14ac:dyDescent="0.25">
      <c r="A1257" t="s">
        <v>2600</v>
      </c>
      <c r="B1257" t="s">
        <v>42</v>
      </c>
      <c r="C1257" t="s">
        <v>151</v>
      </c>
      <c r="D1257" t="s">
        <v>35</v>
      </c>
      <c r="E1257" t="s">
        <v>152</v>
      </c>
      <c r="F1257" s="1">
        <v>46329</v>
      </c>
      <c r="G1257">
        <v>46359</v>
      </c>
      <c r="H1257" t="s">
        <v>8</v>
      </c>
      <c r="I1257">
        <v>10252.86</v>
      </c>
      <c r="J1257" t="s">
        <v>84</v>
      </c>
      <c r="K1257" t="s">
        <v>2601</v>
      </c>
      <c r="L1257">
        <v>30</v>
      </c>
      <c r="M1257" t="s">
        <v>42</v>
      </c>
      <c r="N1257">
        <v>1.1176999999999999</v>
      </c>
      <c r="O1257">
        <v>1.320456022210408</v>
      </c>
      <c r="P1257">
        <v>6.3200452360757699E-3</v>
      </c>
      <c r="Q1257">
        <v>1.320456022210408</v>
      </c>
      <c r="R1257">
        <v>13538.450731880204</v>
      </c>
      <c r="S1257" t="s">
        <v>23</v>
      </c>
      <c r="T1257">
        <v>1.3149999999999999</v>
      </c>
      <c r="U1257">
        <v>13482.510899999999</v>
      </c>
      <c r="V1257">
        <v>55.93983188020502</v>
      </c>
      <c r="W1257">
        <v>4.1490663197019939E-3</v>
      </c>
    </row>
    <row r="1258" spans="1:23" x14ac:dyDescent="0.25">
      <c r="A1258" t="s">
        <v>2602</v>
      </c>
      <c r="B1258" t="s">
        <v>25</v>
      </c>
      <c r="C1258" t="s">
        <v>169</v>
      </c>
      <c r="D1258" t="s">
        <v>31</v>
      </c>
      <c r="E1258" t="s">
        <v>124</v>
      </c>
      <c r="F1258" s="1">
        <v>45992</v>
      </c>
      <c r="G1258">
        <v>46052</v>
      </c>
      <c r="H1258" t="s">
        <v>6</v>
      </c>
      <c r="I1258">
        <v>30789.77</v>
      </c>
      <c r="J1258" t="s">
        <v>75</v>
      </c>
      <c r="K1258" t="s">
        <v>2603</v>
      </c>
      <c r="L1258">
        <v>60</v>
      </c>
      <c r="M1258" t="s">
        <v>25</v>
      </c>
      <c r="N1258">
        <v>1.1646000000000001</v>
      </c>
      <c r="O1258">
        <v>1.3267259056732741</v>
      </c>
      <c r="P1258">
        <v>6.4599511870423792E-3</v>
      </c>
      <c r="Q1258">
        <v>1.1646000000000001</v>
      </c>
      <c r="R1258">
        <v>35857.766142</v>
      </c>
      <c r="S1258" t="s">
        <v>14</v>
      </c>
      <c r="T1258">
        <v>1.1060000000000001</v>
      </c>
      <c r="U1258">
        <v>34053.485620000007</v>
      </c>
      <c r="V1258">
        <v>1804.2805219999937</v>
      </c>
      <c r="W1258">
        <v>5.2983725135623674E-2</v>
      </c>
    </row>
    <row r="1259" spans="1:23" x14ac:dyDescent="0.25">
      <c r="A1259" t="s">
        <v>2604</v>
      </c>
      <c r="B1259" t="s">
        <v>24</v>
      </c>
      <c r="C1259" t="s">
        <v>73</v>
      </c>
      <c r="D1259" t="s">
        <v>31</v>
      </c>
      <c r="E1259" t="s">
        <v>74</v>
      </c>
      <c r="F1259" s="1">
        <v>46097</v>
      </c>
      <c r="G1259">
        <v>46127</v>
      </c>
      <c r="H1259" t="s">
        <v>6</v>
      </c>
      <c r="I1259">
        <v>5896.64</v>
      </c>
      <c r="J1259" t="s">
        <v>75</v>
      </c>
      <c r="K1259" t="s">
        <v>2605</v>
      </c>
      <c r="L1259">
        <v>30</v>
      </c>
      <c r="M1259" t="s">
        <v>24</v>
      </c>
      <c r="N1259">
        <v>1.1477999999999999</v>
      </c>
      <c r="O1259">
        <v>1.3283492269234329</v>
      </c>
      <c r="P1259">
        <v>6.283805978320376E-3</v>
      </c>
      <c r="Q1259">
        <v>1.1477999999999999</v>
      </c>
      <c r="R1259">
        <v>6768.1633920000004</v>
      </c>
      <c r="S1259" t="s">
        <v>16</v>
      </c>
      <c r="T1259">
        <v>1.0649999999999999</v>
      </c>
      <c r="U1259">
        <v>6279.9215999999997</v>
      </c>
      <c r="V1259">
        <v>488.24179200000071</v>
      </c>
      <c r="W1259">
        <v>7.7746478873239558E-2</v>
      </c>
    </row>
    <row r="1260" spans="1:23" x14ac:dyDescent="0.25">
      <c r="A1260" t="s">
        <v>2606</v>
      </c>
      <c r="B1260" t="s">
        <v>32</v>
      </c>
      <c r="C1260" t="s">
        <v>106</v>
      </c>
      <c r="D1260" t="s">
        <v>31</v>
      </c>
      <c r="E1260" t="s">
        <v>74</v>
      </c>
      <c r="F1260" s="1">
        <v>46078</v>
      </c>
      <c r="G1260">
        <v>46108</v>
      </c>
      <c r="H1260" t="s">
        <v>6</v>
      </c>
      <c r="I1260">
        <v>20248.669999999998</v>
      </c>
      <c r="J1260" t="s">
        <v>75</v>
      </c>
      <c r="K1260" t="s">
        <v>2607</v>
      </c>
      <c r="L1260">
        <v>30</v>
      </c>
      <c r="M1260" t="s">
        <v>32</v>
      </c>
      <c r="N1260">
        <v>1.1783999999999999</v>
      </c>
      <c r="O1260">
        <v>1.3523066330043607</v>
      </c>
      <c r="P1260">
        <v>6.3800757985923119E-3</v>
      </c>
      <c r="Q1260">
        <v>1.1783999999999999</v>
      </c>
      <c r="R1260">
        <v>23861.032727999995</v>
      </c>
      <c r="S1260" t="s">
        <v>16</v>
      </c>
      <c r="T1260">
        <v>1.0649999999999999</v>
      </c>
      <c r="U1260">
        <v>21564.833549999996</v>
      </c>
      <c r="V1260">
        <v>2296.1991779999989</v>
      </c>
      <c r="W1260">
        <v>0.1064788732394366</v>
      </c>
    </row>
    <row r="1261" spans="1:23" x14ac:dyDescent="0.25">
      <c r="A1261" t="s">
        <v>2608</v>
      </c>
      <c r="B1261" t="s">
        <v>24</v>
      </c>
      <c r="C1261" t="s">
        <v>73</v>
      </c>
      <c r="D1261" t="s">
        <v>31</v>
      </c>
      <c r="E1261" t="s">
        <v>74</v>
      </c>
      <c r="F1261" s="1">
        <v>46187</v>
      </c>
      <c r="G1261">
        <v>46217</v>
      </c>
      <c r="H1261" t="s">
        <v>6</v>
      </c>
      <c r="I1261">
        <v>46832.12</v>
      </c>
      <c r="J1261" t="s">
        <v>75</v>
      </c>
      <c r="K1261" t="s">
        <v>2609</v>
      </c>
      <c r="L1261">
        <v>30</v>
      </c>
      <c r="M1261" t="s">
        <v>24</v>
      </c>
      <c r="N1261">
        <v>1.1567000000000001</v>
      </c>
      <c r="O1261">
        <v>1.3402467991425759</v>
      </c>
      <c r="P1261">
        <v>6.2423097679438749E-3</v>
      </c>
      <c r="Q1261">
        <v>1.1567000000000001</v>
      </c>
      <c r="R1261">
        <v>54170.713204000007</v>
      </c>
      <c r="S1261" t="s">
        <v>19</v>
      </c>
      <c r="T1261">
        <v>1.083</v>
      </c>
      <c r="U1261">
        <v>50719.185960000003</v>
      </c>
      <c r="V1261">
        <v>3451.5272440000044</v>
      </c>
      <c r="W1261">
        <v>6.8051708217913287E-2</v>
      </c>
    </row>
    <row r="1262" spans="1:23" x14ac:dyDescent="0.25">
      <c r="A1262" t="s">
        <v>2610</v>
      </c>
      <c r="B1262" t="s">
        <v>28</v>
      </c>
      <c r="C1262" t="s">
        <v>111</v>
      </c>
      <c r="D1262" t="s">
        <v>31</v>
      </c>
      <c r="E1262" t="s">
        <v>74</v>
      </c>
      <c r="F1262" s="1">
        <v>45860</v>
      </c>
      <c r="G1262">
        <v>45905</v>
      </c>
      <c r="H1262" t="s">
        <v>9</v>
      </c>
      <c r="I1262">
        <v>3683893.26</v>
      </c>
      <c r="J1262" t="s">
        <v>75</v>
      </c>
      <c r="K1262" t="s">
        <v>2611</v>
      </c>
      <c r="L1262">
        <v>45</v>
      </c>
      <c r="M1262" t="s">
        <v>28</v>
      </c>
      <c r="N1262">
        <v>1.1698999999999999</v>
      </c>
      <c r="O1262">
        <v>1.3485878962536022</v>
      </c>
      <c r="P1262">
        <v>6.795028169832143E-3</v>
      </c>
      <c r="Q1262">
        <v>6.795028169832143E-3</v>
      </c>
      <c r="R1262">
        <v>25032.158476354765</v>
      </c>
      <c r="S1262" t="s">
        <v>13</v>
      </c>
      <c r="T1262">
        <v>6.8399999999999997E-3</v>
      </c>
      <c r="U1262">
        <v>25197.829898399996</v>
      </c>
      <c r="V1262">
        <v>-165.67142204523043</v>
      </c>
      <c r="W1262">
        <v>-6.5748289719088143E-3</v>
      </c>
    </row>
    <row r="1263" spans="1:23" x14ac:dyDescent="0.25">
      <c r="A1263" t="s">
        <v>2612</v>
      </c>
      <c r="B1263" t="s">
        <v>20</v>
      </c>
      <c r="C1263" t="s">
        <v>123</v>
      </c>
      <c r="D1263" t="s">
        <v>31</v>
      </c>
      <c r="E1263" t="s">
        <v>124</v>
      </c>
      <c r="F1263" s="1">
        <v>45676</v>
      </c>
      <c r="G1263">
        <v>45721</v>
      </c>
      <c r="H1263" t="s">
        <v>6</v>
      </c>
      <c r="I1263">
        <v>78852.899999999994</v>
      </c>
      <c r="J1263" t="s">
        <v>75</v>
      </c>
      <c r="K1263" t="s">
        <v>2613</v>
      </c>
      <c r="L1263">
        <v>45</v>
      </c>
      <c r="M1263" t="s">
        <v>20</v>
      </c>
      <c r="N1263">
        <v>1.0335000000000001</v>
      </c>
      <c r="O1263">
        <v>1.2423666875030055</v>
      </c>
      <c r="P1263">
        <v>6.4384500373785196E-3</v>
      </c>
      <c r="Q1263">
        <v>1.0335000000000001</v>
      </c>
      <c r="R1263">
        <v>81494.472150000001</v>
      </c>
      <c r="S1263" t="s">
        <v>11</v>
      </c>
      <c r="T1263">
        <v>1.052</v>
      </c>
      <c r="U1263">
        <v>82953.250799999994</v>
      </c>
      <c r="V1263">
        <v>-1458.7786499999929</v>
      </c>
      <c r="W1263">
        <v>-1.7585551330798393E-2</v>
      </c>
    </row>
    <row r="1264" spans="1:23" x14ac:dyDescent="0.25">
      <c r="A1264" t="s">
        <v>2614</v>
      </c>
      <c r="B1264" t="s">
        <v>38</v>
      </c>
      <c r="C1264" t="s">
        <v>87</v>
      </c>
      <c r="D1264" t="s">
        <v>33</v>
      </c>
      <c r="E1264" t="s">
        <v>88</v>
      </c>
      <c r="F1264" s="1">
        <v>46191</v>
      </c>
      <c r="G1264">
        <v>46221</v>
      </c>
      <c r="H1264" t="s">
        <v>6</v>
      </c>
      <c r="I1264">
        <v>7522.33</v>
      </c>
      <c r="J1264" t="s">
        <v>75</v>
      </c>
      <c r="K1264" t="s">
        <v>2615</v>
      </c>
      <c r="L1264">
        <v>30</v>
      </c>
      <c r="M1264" t="s">
        <v>38</v>
      </c>
      <c r="N1264">
        <v>1.1460999999999999</v>
      </c>
      <c r="O1264">
        <v>1.3228606385188946</v>
      </c>
      <c r="P1264">
        <v>6.2139449143352845E-3</v>
      </c>
      <c r="Q1264">
        <v>1.1460999999999999</v>
      </c>
      <c r="R1264">
        <v>8621.3424129999985</v>
      </c>
      <c r="S1264" t="s">
        <v>19</v>
      </c>
      <c r="T1264">
        <v>1.083</v>
      </c>
      <c r="U1264">
        <v>8146.6833899999992</v>
      </c>
      <c r="V1264">
        <v>474.65902299999925</v>
      </c>
      <c r="W1264">
        <v>5.8264081255770921E-2</v>
      </c>
    </row>
    <row r="1265" spans="1:23" x14ac:dyDescent="0.25">
      <c r="A1265" t="s">
        <v>2616</v>
      </c>
      <c r="B1265" t="s">
        <v>28</v>
      </c>
      <c r="C1265" t="s">
        <v>111</v>
      </c>
      <c r="D1265" t="s">
        <v>31</v>
      </c>
      <c r="E1265" t="s">
        <v>74</v>
      </c>
      <c r="F1265" s="1">
        <v>45910</v>
      </c>
      <c r="G1265">
        <v>45955</v>
      </c>
      <c r="H1265" t="s">
        <v>9</v>
      </c>
      <c r="I1265">
        <v>5229795.91</v>
      </c>
      <c r="J1265" t="s">
        <v>75</v>
      </c>
      <c r="K1265" t="s">
        <v>2617</v>
      </c>
      <c r="L1265">
        <v>45</v>
      </c>
      <c r="M1265" t="s">
        <v>28</v>
      </c>
      <c r="N1265">
        <v>1.1707000000000001</v>
      </c>
      <c r="O1265">
        <v>1.3534104046242776</v>
      </c>
      <c r="P1265">
        <v>6.7799849423756308E-3</v>
      </c>
      <c r="Q1265">
        <v>6.7799849423756308E-3</v>
      </c>
      <c r="R1265">
        <v>35457.937521497661</v>
      </c>
      <c r="S1265" t="s">
        <v>13</v>
      </c>
      <c r="T1265">
        <v>6.8399999999999997E-3</v>
      </c>
      <c r="U1265">
        <v>35771.8040244</v>
      </c>
      <c r="V1265">
        <v>-313.86650290233956</v>
      </c>
      <c r="W1265">
        <v>-8.7741312316329013E-3</v>
      </c>
    </row>
    <row r="1266" spans="1:23" x14ac:dyDescent="0.25">
      <c r="A1266" t="s">
        <v>2618</v>
      </c>
      <c r="B1266" t="s">
        <v>20</v>
      </c>
      <c r="C1266" t="s">
        <v>123</v>
      </c>
      <c r="D1266" t="s">
        <v>31</v>
      </c>
      <c r="E1266" t="s">
        <v>124</v>
      </c>
      <c r="F1266" s="1">
        <v>45805</v>
      </c>
      <c r="G1266">
        <v>45850</v>
      </c>
      <c r="H1266" t="s">
        <v>6</v>
      </c>
      <c r="I1266">
        <v>16104.03</v>
      </c>
      <c r="J1266" t="s">
        <v>75</v>
      </c>
      <c r="K1266" t="s">
        <v>2619</v>
      </c>
      <c r="L1266">
        <v>45</v>
      </c>
      <c r="M1266" t="s">
        <v>20</v>
      </c>
      <c r="N1266">
        <v>1.1316999999999999</v>
      </c>
      <c r="O1266">
        <v>1.3475827577994759</v>
      </c>
      <c r="P1266">
        <v>6.9246772318423784E-3</v>
      </c>
      <c r="Q1266">
        <v>1.1316999999999999</v>
      </c>
      <c r="R1266">
        <v>18224.930751</v>
      </c>
      <c r="S1266" t="s">
        <v>12</v>
      </c>
      <c r="T1266">
        <v>1.07</v>
      </c>
      <c r="U1266">
        <v>17231.312100000003</v>
      </c>
      <c r="V1266">
        <v>993.61865099999704</v>
      </c>
      <c r="W1266">
        <v>5.7663551401868976E-2</v>
      </c>
    </row>
    <row r="1267" spans="1:23" x14ac:dyDescent="0.25">
      <c r="A1267" t="s">
        <v>2620</v>
      </c>
      <c r="B1267" t="s">
        <v>40</v>
      </c>
      <c r="C1267" t="s">
        <v>78</v>
      </c>
      <c r="D1267" t="s">
        <v>33</v>
      </c>
      <c r="E1267" t="s">
        <v>79</v>
      </c>
      <c r="F1267" s="1">
        <v>45766</v>
      </c>
      <c r="G1267">
        <v>45796</v>
      </c>
      <c r="H1267" t="s">
        <v>9</v>
      </c>
      <c r="I1267">
        <v>1816199.72</v>
      </c>
      <c r="J1267" t="s">
        <v>75</v>
      </c>
      <c r="K1267" t="s">
        <v>2621</v>
      </c>
      <c r="L1267">
        <v>30</v>
      </c>
      <c r="M1267" t="s">
        <v>40</v>
      </c>
      <c r="N1267">
        <v>1.1512</v>
      </c>
      <c r="O1267">
        <v>1.3535567313345092</v>
      </c>
      <c r="P1267">
        <v>6.9374472700976259E-3</v>
      </c>
      <c r="Q1267">
        <v>6.9374472700976259E-3</v>
      </c>
      <c r="R1267">
        <v>12599.789789466073</v>
      </c>
      <c r="S1267" t="s">
        <v>12</v>
      </c>
      <c r="T1267">
        <v>6.7000000000000002E-3</v>
      </c>
      <c r="U1267">
        <v>12168.538124000001</v>
      </c>
      <c r="V1267">
        <v>431.25166546607215</v>
      </c>
      <c r="W1267">
        <v>3.5439891059347119E-2</v>
      </c>
    </row>
    <row r="1268" spans="1:23" x14ac:dyDescent="0.25">
      <c r="A1268" t="s">
        <v>2622</v>
      </c>
      <c r="B1268" t="s">
        <v>39</v>
      </c>
      <c r="C1268" t="s">
        <v>82</v>
      </c>
      <c r="D1268" t="s">
        <v>33</v>
      </c>
      <c r="E1268" t="s">
        <v>83</v>
      </c>
      <c r="F1268" s="1">
        <v>45694</v>
      </c>
      <c r="G1268">
        <v>45739</v>
      </c>
      <c r="H1268" t="s">
        <v>8</v>
      </c>
      <c r="I1268">
        <v>2699.57</v>
      </c>
      <c r="J1268" t="s">
        <v>75</v>
      </c>
      <c r="K1268" t="s">
        <v>2623</v>
      </c>
      <c r="L1268">
        <v>45</v>
      </c>
      <c r="M1268" t="s">
        <v>39</v>
      </c>
      <c r="N1268">
        <v>1.036</v>
      </c>
      <c r="O1268">
        <v>1.2379313641143295</v>
      </c>
      <c r="P1268">
        <v>6.5590376701487822E-3</v>
      </c>
      <c r="Q1268">
        <v>1.2379313641143295</v>
      </c>
      <c r="R1268">
        <v>3341.8823726221208</v>
      </c>
      <c r="S1268" t="s">
        <v>11</v>
      </c>
      <c r="T1268">
        <v>1.238</v>
      </c>
      <c r="U1268">
        <v>3342.0676600000002</v>
      </c>
      <c r="V1268">
        <v>-0.18528737787937644</v>
      </c>
      <c r="W1268">
        <v>-5.5440941575484571E-5</v>
      </c>
    </row>
    <row r="1269" spans="1:23" x14ac:dyDescent="0.25">
      <c r="A1269" t="s">
        <v>2624</v>
      </c>
      <c r="B1269" t="s">
        <v>38</v>
      </c>
      <c r="C1269" t="s">
        <v>87</v>
      </c>
      <c r="D1269" t="s">
        <v>33</v>
      </c>
      <c r="E1269" t="s">
        <v>88</v>
      </c>
      <c r="F1269" s="1">
        <v>46299</v>
      </c>
      <c r="G1269">
        <v>46329</v>
      </c>
      <c r="H1269" t="s">
        <v>6</v>
      </c>
      <c r="I1269">
        <v>9612.56</v>
      </c>
      <c r="J1269" t="s">
        <v>84</v>
      </c>
      <c r="K1269" t="s">
        <v>2625</v>
      </c>
      <c r="L1269">
        <v>30</v>
      </c>
      <c r="M1269" t="s">
        <v>38</v>
      </c>
      <c r="N1269">
        <v>1.1225000000000001</v>
      </c>
      <c r="O1269">
        <v>1.3200757353027648</v>
      </c>
      <c r="P1269">
        <v>6.3421662240804562E-3</v>
      </c>
      <c r="Q1269">
        <v>1.1225000000000001</v>
      </c>
      <c r="R1269">
        <v>10790.098599999999</v>
      </c>
      <c r="S1269" t="s">
        <v>23</v>
      </c>
      <c r="T1269">
        <v>1.119</v>
      </c>
      <c r="U1269">
        <v>10756.45464</v>
      </c>
      <c r="V1269">
        <v>33.643959999999424</v>
      </c>
      <c r="W1269">
        <v>3.1277926720285434E-3</v>
      </c>
    </row>
    <row r="1270" spans="1:23" x14ac:dyDescent="0.25">
      <c r="A1270" t="s">
        <v>2626</v>
      </c>
      <c r="B1270" t="s">
        <v>37</v>
      </c>
      <c r="C1270" t="s">
        <v>91</v>
      </c>
      <c r="D1270" t="s">
        <v>31</v>
      </c>
      <c r="E1270" t="s">
        <v>74</v>
      </c>
      <c r="F1270" s="1">
        <v>45978</v>
      </c>
      <c r="G1270">
        <v>46008</v>
      </c>
      <c r="H1270" t="s">
        <v>6</v>
      </c>
      <c r="I1270">
        <v>5028.7299999999996</v>
      </c>
      <c r="J1270" t="s">
        <v>75</v>
      </c>
      <c r="K1270" t="s">
        <v>2627</v>
      </c>
      <c r="L1270">
        <v>30</v>
      </c>
      <c r="M1270" t="s">
        <v>37</v>
      </c>
      <c r="N1270">
        <v>1.1593</v>
      </c>
      <c r="O1270">
        <v>1.3181353041500854</v>
      </c>
      <c r="P1270">
        <v>6.4559781700729525E-3</v>
      </c>
      <c r="Q1270">
        <v>1.1593</v>
      </c>
      <c r="R1270">
        <v>5829.8066889999991</v>
      </c>
      <c r="S1270" t="s">
        <v>14</v>
      </c>
      <c r="T1270">
        <v>1.1060000000000001</v>
      </c>
      <c r="U1270">
        <v>5561.77538</v>
      </c>
      <c r="V1270">
        <v>268.03130899999906</v>
      </c>
      <c r="W1270">
        <v>4.8191681735985363E-2</v>
      </c>
    </row>
    <row r="1271" spans="1:23" x14ac:dyDescent="0.25">
      <c r="A1271" t="s">
        <v>2628</v>
      </c>
      <c r="B1271" t="s">
        <v>30</v>
      </c>
      <c r="C1271" t="s">
        <v>103</v>
      </c>
      <c r="D1271" t="s">
        <v>31</v>
      </c>
      <c r="E1271" t="s">
        <v>74</v>
      </c>
      <c r="F1271" s="1">
        <v>46190</v>
      </c>
      <c r="G1271">
        <v>46220</v>
      </c>
      <c r="H1271" t="s">
        <v>9</v>
      </c>
      <c r="I1271">
        <v>2213617.9700000002</v>
      </c>
      <c r="J1271" t="s">
        <v>75</v>
      </c>
      <c r="K1271" t="s">
        <v>2629</v>
      </c>
      <c r="L1271">
        <v>30</v>
      </c>
      <c r="M1271" t="s">
        <v>30</v>
      </c>
      <c r="N1271">
        <v>1.1591</v>
      </c>
      <c r="O1271">
        <v>1.3405734244705827</v>
      </c>
      <c r="P1271">
        <v>6.2377569691098918E-3</v>
      </c>
      <c r="Q1271">
        <v>6.2377569691098918E-3</v>
      </c>
      <c r="R1271">
        <v>13808.010919314393</v>
      </c>
      <c r="S1271" t="s">
        <v>19</v>
      </c>
      <c r="T1271">
        <v>6.6E-3</v>
      </c>
      <c r="U1271">
        <v>14609.878602000001</v>
      </c>
      <c r="V1271">
        <v>-801.86768268560809</v>
      </c>
      <c r="W1271">
        <v>-5.4885307710622416E-2</v>
      </c>
    </row>
    <row r="1272" spans="1:23" x14ac:dyDescent="0.25">
      <c r="A1272" t="s">
        <v>2630</v>
      </c>
      <c r="B1272" t="s">
        <v>24</v>
      </c>
      <c r="C1272" t="s">
        <v>73</v>
      </c>
      <c r="D1272" t="s">
        <v>31</v>
      </c>
      <c r="E1272" t="s">
        <v>74</v>
      </c>
      <c r="F1272" s="1">
        <v>46017</v>
      </c>
      <c r="G1272">
        <v>46047</v>
      </c>
      <c r="H1272" t="s">
        <v>6</v>
      </c>
      <c r="I1272">
        <v>13045.32</v>
      </c>
      <c r="J1272" t="s">
        <v>75</v>
      </c>
      <c r="K1272" t="s">
        <v>2631</v>
      </c>
      <c r="L1272">
        <v>30</v>
      </c>
      <c r="M1272" t="s">
        <v>24</v>
      </c>
      <c r="N1272">
        <v>1.1555</v>
      </c>
      <c r="O1272">
        <v>1.3367963164349013</v>
      </c>
      <c r="P1272">
        <v>6.2983756677204832E-3</v>
      </c>
      <c r="Q1272">
        <v>1.1555</v>
      </c>
      <c r="R1272">
        <v>15073.867259999999</v>
      </c>
      <c r="S1272" t="s">
        <v>14</v>
      </c>
      <c r="T1272">
        <v>1.1060000000000001</v>
      </c>
      <c r="U1272">
        <v>14428.12392</v>
      </c>
      <c r="V1272">
        <v>645.74333999999908</v>
      </c>
      <c r="W1272">
        <v>4.4755877034357981E-2</v>
      </c>
    </row>
    <row r="1273" spans="1:23" x14ac:dyDescent="0.25">
      <c r="A1273" t="s">
        <v>2632</v>
      </c>
      <c r="B1273" t="s">
        <v>28</v>
      </c>
      <c r="C1273" t="s">
        <v>111</v>
      </c>
      <c r="D1273" t="s">
        <v>31</v>
      </c>
      <c r="E1273" t="s">
        <v>74</v>
      </c>
      <c r="F1273" s="1">
        <v>46178</v>
      </c>
      <c r="G1273">
        <v>46223</v>
      </c>
      <c r="H1273" t="s">
        <v>9</v>
      </c>
      <c r="I1273">
        <v>1091032.02</v>
      </c>
      <c r="J1273" t="s">
        <v>75</v>
      </c>
      <c r="K1273" t="s">
        <v>2633</v>
      </c>
      <c r="L1273">
        <v>45</v>
      </c>
      <c r="M1273" t="s">
        <v>28</v>
      </c>
      <c r="N1273">
        <v>1.1639999999999999</v>
      </c>
      <c r="O1273">
        <v>1.3467078546388531</v>
      </c>
      <c r="P1273">
        <v>6.2553740326741179E-3</v>
      </c>
      <c r="Q1273">
        <v>6.2553740326741179E-3</v>
      </c>
      <c r="R1273">
        <v>6824.813366723989</v>
      </c>
      <c r="S1273" t="s">
        <v>19</v>
      </c>
      <c r="T1273">
        <v>6.6E-3</v>
      </c>
      <c r="U1273">
        <v>7200.8113320000002</v>
      </c>
      <c r="V1273">
        <v>-375.9979652760112</v>
      </c>
      <c r="W1273">
        <v>-5.2216055655436688E-2</v>
      </c>
    </row>
    <row r="1274" spans="1:23" x14ac:dyDescent="0.25">
      <c r="A1274" t="s">
        <v>2634</v>
      </c>
      <c r="B1274" t="s">
        <v>44</v>
      </c>
      <c r="C1274" t="s">
        <v>138</v>
      </c>
      <c r="D1274" t="s">
        <v>33</v>
      </c>
      <c r="E1274" t="s">
        <v>88</v>
      </c>
      <c r="F1274" s="1">
        <v>46325</v>
      </c>
      <c r="G1274">
        <v>46370</v>
      </c>
      <c r="H1274" t="s">
        <v>9</v>
      </c>
      <c r="I1274">
        <v>1069162.58</v>
      </c>
      <c r="J1274" t="s">
        <v>84</v>
      </c>
      <c r="K1274" t="s">
        <v>2635</v>
      </c>
      <c r="L1274">
        <v>45</v>
      </c>
      <c r="M1274" t="s">
        <v>44</v>
      </c>
      <c r="N1274">
        <v>1.1176999999999999</v>
      </c>
      <c r="O1274">
        <v>1.320456022210408</v>
      </c>
      <c r="P1274">
        <v>6.3200452360757699E-3</v>
      </c>
      <c r="Q1274">
        <v>6.3200452360757699E-3</v>
      </c>
      <c r="R1274">
        <v>6757.1558703194796</v>
      </c>
      <c r="S1274" t="s">
        <v>23</v>
      </c>
      <c r="T1274">
        <v>6.8799999999999998E-3</v>
      </c>
      <c r="U1274">
        <v>7355.8385504000007</v>
      </c>
      <c r="V1274">
        <v>-598.6826800805211</v>
      </c>
      <c r="W1274">
        <v>-8.1388773826196276E-2</v>
      </c>
    </row>
    <row r="1275" spans="1:23" x14ac:dyDescent="0.25">
      <c r="A1275" t="s">
        <v>2636</v>
      </c>
      <c r="B1275" t="s">
        <v>34</v>
      </c>
      <c r="C1275" t="s">
        <v>177</v>
      </c>
      <c r="D1275" t="s">
        <v>31</v>
      </c>
      <c r="E1275" t="s">
        <v>74</v>
      </c>
      <c r="F1275" s="1">
        <v>45702</v>
      </c>
      <c r="G1275">
        <v>45762</v>
      </c>
      <c r="H1275" t="s">
        <v>8</v>
      </c>
      <c r="I1275">
        <v>30334.58</v>
      </c>
      <c r="J1275" t="s">
        <v>75</v>
      </c>
      <c r="K1275" t="s">
        <v>2637</v>
      </c>
      <c r="L1275">
        <v>60</v>
      </c>
      <c r="M1275" t="s">
        <v>34</v>
      </c>
      <c r="N1275">
        <v>1.0478000000000001</v>
      </c>
      <c r="O1275">
        <v>1.2591479901460074</v>
      </c>
      <c r="P1275">
        <v>6.5450683990255481E-3</v>
      </c>
      <c r="Q1275">
        <v>1.2591479901460074</v>
      </c>
      <c r="R1275">
        <v>38195.725438923277</v>
      </c>
      <c r="S1275" t="s">
        <v>11</v>
      </c>
      <c r="T1275">
        <v>1.238</v>
      </c>
      <c r="U1275">
        <v>37554.210040000005</v>
      </c>
      <c r="V1275">
        <v>641.51539892327128</v>
      </c>
      <c r="W1275">
        <v>1.708238299354389E-2</v>
      </c>
    </row>
    <row r="1276" spans="1:23" x14ac:dyDescent="0.25">
      <c r="A1276" t="s">
        <v>2638</v>
      </c>
      <c r="B1276" t="s">
        <v>32</v>
      </c>
      <c r="C1276" t="s">
        <v>106</v>
      </c>
      <c r="D1276" t="s">
        <v>31</v>
      </c>
      <c r="E1276" t="s">
        <v>74</v>
      </c>
      <c r="F1276" s="1">
        <v>46221</v>
      </c>
      <c r="G1276">
        <v>46251</v>
      </c>
      <c r="H1276" t="s">
        <v>6</v>
      </c>
      <c r="I1276">
        <v>22339.82</v>
      </c>
      <c r="J1276" t="s">
        <v>75</v>
      </c>
      <c r="K1276" t="s">
        <v>2639</v>
      </c>
      <c r="L1276">
        <v>30</v>
      </c>
      <c r="M1276" t="s">
        <v>32</v>
      </c>
      <c r="N1276">
        <v>1.1435</v>
      </c>
      <c r="O1276">
        <v>1.3437448588685985</v>
      </c>
      <c r="P1276">
        <v>6.1594398060867217E-3</v>
      </c>
      <c r="Q1276">
        <v>1.1435</v>
      </c>
      <c r="R1276">
        <v>25545.584169999998</v>
      </c>
      <c r="S1276" t="s">
        <v>21</v>
      </c>
      <c r="T1276">
        <v>1.101</v>
      </c>
      <c r="U1276">
        <v>24596.141820000001</v>
      </c>
      <c r="V1276">
        <v>949.44234999999753</v>
      </c>
      <c r="W1276">
        <v>3.8601271571298716E-2</v>
      </c>
    </row>
    <row r="1277" spans="1:23" x14ac:dyDescent="0.25">
      <c r="A1277" t="s">
        <v>2640</v>
      </c>
      <c r="B1277" t="s">
        <v>20</v>
      </c>
      <c r="C1277" t="s">
        <v>123</v>
      </c>
      <c r="D1277" t="s">
        <v>31</v>
      </c>
      <c r="E1277" t="s">
        <v>124</v>
      </c>
      <c r="F1277" s="1">
        <v>45755</v>
      </c>
      <c r="G1277">
        <v>45800</v>
      </c>
      <c r="H1277" t="s">
        <v>6</v>
      </c>
      <c r="I1277">
        <v>16400.43</v>
      </c>
      <c r="J1277" t="s">
        <v>75</v>
      </c>
      <c r="K1277" t="s">
        <v>2641</v>
      </c>
      <c r="L1277">
        <v>45</v>
      </c>
      <c r="M1277" t="s">
        <v>20</v>
      </c>
      <c r="N1277">
        <v>1.095</v>
      </c>
      <c r="O1277">
        <v>1.2785484096959507</v>
      </c>
      <c r="P1277">
        <v>6.816059757236227E-3</v>
      </c>
      <c r="Q1277">
        <v>1.095</v>
      </c>
      <c r="R1277">
        <v>17958.470850000002</v>
      </c>
      <c r="S1277" t="s">
        <v>12</v>
      </c>
      <c r="T1277">
        <v>1.07</v>
      </c>
      <c r="U1277">
        <v>17548.4601</v>
      </c>
      <c r="V1277">
        <v>410.01075000000128</v>
      </c>
      <c r="W1277">
        <v>2.3364485981308483E-2</v>
      </c>
    </row>
    <row r="1278" spans="1:23" x14ac:dyDescent="0.25">
      <c r="A1278" t="s">
        <v>2642</v>
      </c>
      <c r="B1278" t="s">
        <v>30</v>
      </c>
      <c r="C1278" t="s">
        <v>103</v>
      </c>
      <c r="D1278" t="s">
        <v>31</v>
      </c>
      <c r="E1278" t="s">
        <v>74</v>
      </c>
      <c r="F1278" s="1">
        <v>45841</v>
      </c>
      <c r="G1278">
        <v>45871</v>
      </c>
      <c r="H1278" t="s">
        <v>9</v>
      </c>
      <c r="I1278">
        <v>2369740.7799999998</v>
      </c>
      <c r="J1278" t="s">
        <v>75</v>
      </c>
      <c r="K1278" t="s">
        <v>2643</v>
      </c>
      <c r="L1278">
        <v>30</v>
      </c>
      <c r="M1278" t="s">
        <v>30</v>
      </c>
      <c r="N1278">
        <v>1.1781999999999999</v>
      </c>
      <c r="O1278">
        <v>1.3653957584888168</v>
      </c>
      <c r="P1278">
        <v>6.9477532727916019E-3</v>
      </c>
      <c r="Q1278">
        <v>6.9477532727916019E-3</v>
      </c>
      <c r="R1278">
        <v>16464.374259912722</v>
      </c>
      <c r="S1278" t="s">
        <v>13</v>
      </c>
      <c r="T1278">
        <v>6.8399999999999997E-3</v>
      </c>
      <c r="U1278">
        <v>16209.026935199998</v>
      </c>
      <c r="V1278">
        <v>255.347324712724</v>
      </c>
      <c r="W1278">
        <v>1.5753402454912593E-2</v>
      </c>
    </row>
    <row r="1279" spans="1:23" x14ac:dyDescent="0.25">
      <c r="A1279" t="s">
        <v>2644</v>
      </c>
      <c r="B1279" t="s">
        <v>37</v>
      </c>
      <c r="C1279" t="s">
        <v>91</v>
      </c>
      <c r="D1279" t="s">
        <v>31</v>
      </c>
      <c r="E1279" t="s">
        <v>74</v>
      </c>
      <c r="F1279" s="1">
        <v>45683</v>
      </c>
      <c r="G1279">
        <v>45713</v>
      </c>
      <c r="H1279" t="s">
        <v>6</v>
      </c>
      <c r="I1279">
        <v>7738.18</v>
      </c>
      <c r="J1279" t="s">
        <v>75</v>
      </c>
      <c r="K1279" t="s">
        <v>2645</v>
      </c>
      <c r="L1279">
        <v>30</v>
      </c>
      <c r="M1279" t="s">
        <v>37</v>
      </c>
      <c r="N1279">
        <v>1.0389999999999999</v>
      </c>
      <c r="O1279">
        <v>1.2471042934476011</v>
      </c>
      <c r="P1279">
        <v>6.5022842480755988E-3</v>
      </c>
      <c r="Q1279">
        <v>1.0389999999999999</v>
      </c>
      <c r="R1279">
        <v>8039.9690199999995</v>
      </c>
      <c r="S1279" t="s">
        <v>11</v>
      </c>
      <c r="T1279">
        <v>1.052</v>
      </c>
      <c r="U1279">
        <v>8140.5653600000005</v>
      </c>
      <c r="V1279">
        <v>-100.59634000000096</v>
      </c>
      <c r="W1279">
        <v>-1.2357414448669319E-2</v>
      </c>
    </row>
    <row r="1280" spans="1:23" x14ac:dyDescent="0.25">
      <c r="A1280" t="s">
        <v>2646</v>
      </c>
      <c r="B1280" t="s">
        <v>24</v>
      </c>
      <c r="C1280" t="s">
        <v>73</v>
      </c>
      <c r="D1280" t="s">
        <v>31</v>
      </c>
      <c r="E1280" t="s">
        <v>74</v>
      </c>
      <c r="F1280" s="1">
        <v>45776</v>
      </c>
      <c r="G1280">
        <v>45806</v>
      </c>
      <c r="H1280" t="s">
        <v>6</v>
      </c>
      <c r="I1280">
        <v>17102.77</v>
      </c>
      <c r="J1280" t="s">
        <v>75</v>
      </c>
      <c r="K1280" t="s">
        <v>2647</v>
      </c>
      <c r="L1280">
        <v>30</v>
      </c>
      <c r="M1280" t="s">
        <v>24</v>
      </c>
      <c r="N1280">
        <v>1.1373</v>
      </c>
      <c r="O1280">
        <v>1.3383148976229702</v>
      </c>
      <c r="P1280">
        <v>7.0082573330046832E-3</v>
      </c>
      <c r="Q1280">
        <v>1.1373</v>
      </c>
      <c r="R1280">
        <v>19450.980320999999</v>
      </c>
      <c r="S1280" t="s">
        <v>12</v>
      </c>
      <c r="T1280">
        <v>1.07</v>
      </c>
      <c r="U1280">
        <v>18299.963900000002</v>
      </c>
      <c r="V1280">
        <v>1151.0164209999966</v>
      </c>
      <c r="W1280">
        <v>6.2897196261682053E-2</v>
      </c>
    </row>
    <row r="1281" spans="1:23" x14ac:dyDescent="0.25">
      <c r="A1281" t="s">
        <v>2648</v>
      </c>
      <c r="B1281" t="s">
        <v>36</v>
      </c>
      <c r="C1281" t="s">
        <v>116</v>
      </c>
      <c r="D1281" t="s">
        <v>31</v>
      </c>
      <c r="E1281" t="s">
        <v>74</v>
      </c>
      <c r="F1281" s="1">
        <v>45922</v>
      </c>
      <c r="G1281">
        <v>45967</v>
      </c>
      <c r="H1281" t="s">
        <v>6</v>
      </c>
      <c r="I1281">
        <v>21277.24</v>
      </c>
      <c r="J1281" t="s">
        <v>75</v>
      </c>
      <c r="K1281" t="s">
        <v>2649</v>
      </c>
      <c r="L1281">
        <v>45</v>
      </c>
      <c r="M1281" t="s">
        <v>36</v>
      </c>
      <c r="N1281">
        <v>1.1780999999999999</v>
      </c>
      <c r="O1281">
        <v>1.3496391339214113</v>
      </c>
      <c r="P1281">
        <v>6.7640810702187517E-3</v>
      </c>
      <c r="Q1281">
        <v>1.1780999999999999</v>
      </c>
      <c r="R1281">
        <v>25066.716444000002</v>
      </c>
      <c r="S1281" t="s">
        <v>13</v>
      </c>
      <c r="T1281">
        <v>1.0880000000000001</v>
      </c>
      <c r="U1281">
        <v>23149.637120000003</v>
      </c>
      <c r="V1281">
        <v>1917.0793239999985</v>
      </c>
      <c r="W1281">
        <v>8.2812499999999928E-2</v>
      </c>
    </row>
    <row r="1282" spans="1:23" x14ac:dyDescent="0.25">
      <c r="A1282" t="s">
        <v>2650</v>
      </c>
      <c r="B1282" t="s">
        <v>32</v>
      </c>
      <c r="C1282" t="s">
        <v>106</v>
      </c>
      <c r="D1282" t="s">
        <v>31</v>
      </c>
      <c r="E1282" t="s">
        <v>74</v>
      </c>
      <c r="F1282" s="1">
        <v>45970</v>
      </c>
      <c r="G1282">
        <v>46000</v>
      </c>
      <c r="H1282" t="s">
        <v>6</v>
      </c>
      <c r="I1282">
        <v>16768.02</v>
      </c>
      <c r="J1282" t="s">
        <v>75</v>
      </c>
      <c r="K1282" t="s">
        <v>2651</v>
      </c>
      <c r="L1282">
        <v>30</v>
      </c>
      <c r="M1282" t="s">
        <v>32</v>
      </c>
      <c r="N1282">
        <v>1.1555</v>
      </c>
      <c r="O1282">
        <v>1.3367963164349013</v>
      </c>
      <c r="P1282">
        <v>6.2983756677204832E-3</v>
      </c>
      <c r="Q1282">
        <v>1.1555</v>
      </c>
      <c r="R1282">
        <v>19375.447110000001</v>
      </c>
      <c r="S1282" t="s">
        <v>14</v>
      </c>
      <c r="T1282">
        <v>1.1060000000000001</v>
      </c>
      <c r="U1282">
        <v>18545.430120000001</v>
      </c>
      <c r="V1282">
        <v>830.01699000000008</v>
      </c>
      <c r="W1282">
        <v>4.4755877034358051E-2</v>
      </c>
    </row>
    <row r="1283" spans="1:23" x14ac:dyDescent="0.25">
      <c r="A1283" t="s">
        <v>2652</v>
      </c>
      <c r="B1283" t="s">
        <v>26</v>
      </c>
      <c r="C1283" t="s">
        <v>94</v>
      </c>
      <c r="D1283" t="s">
        <v>31</v>
      </c>
      <c r="E1283" t="s">
        <v>74</v>
      </c>
      <c r="F1283" s="1">
        <v>46199</v>
      </c>
      <c r="G1283">
        <v>46229</v>
      </c>
      <c r="H1283" t="s">
        <v>8</v>
      </c>
      <c r="I1283">
        <v>12413.68</v>
      </c>
      <c r="J1283" t="s">
        <v>75</v>
      </c>
      <c r="K1283" t="s">
        <v>2653</v>
      </c>
      <c r="L1283">
        <v>30</v>
      </c>
      <c r="M1283" t="s">
        <v>26</v>
      </c>
      <c r="N1283">
        <v>1.1400999999999999</v>
      </c>
      <c r="O1283">
        <v>1.3218090964951943</v>
      </c>
      <c r="P1283">
        <v>6.1861096039066733E-3</v>
      </c>
      <c r="Q1283">
        <v>1.3218090964951943</v>
      </c>
      <c r="R1283">
        <v>16408.515144980465</v>
      </c>
      <c r="S1283" t="s">
        <v>19</v>
      </c>
      <c r="T1283">
        <v>1.2709999999999999</v>
      </c>
      <c r="U1283">
        <v>15777.787279999999</v>
      </c>
      <c r="V1283">
        <v>630.72786498046662</v>
      </c>
      <c r="W1283">
        <v>3.9975685676785638E-2</v>
      </c>
    </row>
    <row r="1284" spans="1:23" x14ac:dyDescent="0.25">
      <c r="A1284" t="s">
        <v>2654</v>
      </c>
      <c r="B1284" t="s">
        <v>42</v>
      </c>
      <c r="C1284" t="s">
        <v>151</v>
      </c>
      <c r="D1284" t="s">
        <v>35</v>
      </c>
      <c r="E1284" t="s">
        <v>152</v>
      </c>
      <c r="F1284" s="1">
        <v>45814</v>
      </c>
      <c r="G1284">
        <v>45844</v>
      </c>
      <c r="H1284" t="s">
        <v>8</v>
      </c>
      <c r="I1284">
        <v>9955.5499999999993</v>
      </c>
      <c r="J1284" t="s">
        <v>75</v>
      </c>
      <c r="K1284" t="s">
        <v>2655</v>
      </c>
      <c r="L1284">
        <v>30</v>
      </c>
      <c r="M1284" t="s">
        <v>42</v>
      </c>
      <c r="N1284">
        <v>1.1411</v>
      </c>
      <c r="O1284">
        <v>1.3542606218846427</v>
      </c>
      <c r="P1284">
        <v>6.9317215405175553E-3</v>
      </c>
      <c r="Q1284">
        <v>1.3542606218846427</v>
      </c>
      <c r="R1284">
        <v>13482.409334203654</v>
      </c>
      <c r="S1284" t="s">
        <v>12</v>
      </c>
      <c r="T1284">
        <v>1.26</v>
      </c>
      <c r="U1284">
        <v>12543.992999999999</v>
      </c>
      <c r="V1284">
        <v>938.41633420365542</v>
      </c>
      <c r="W1284">
        <v>7.4810017368764123E-2</v>
      </c>
    </row>
    <row r="1285" spans="1:23" x14ac:dyDescent="0.25">
      <c r="A1285" t="s">
        <v>2656</v>
      </c>
      <c r="B1285" t="s">
        <v>44</v>
      </c>
      <c r="C1285" t="s">
        <v>138</v>
      </c>
      <c r="D1285" t="s">
        <v>33</v>
      </c>
      <c r="E1285" t="s">
        <v>88</v>
      </c>
      <c r="F1285" s="1">
        <v>45782</v>
      </c>
      <c r="G1285">
        <v>45827</v>
      </c>
      <c r="H1285" t="s">
        <v>9</v>
      </c>
      <c r="I1285">
        <v>880086.72</v>
      </c>
      <c r="J1285" t="s">
        <v>75</v>
      </c>
      <c r="K1285" t="s">
        <v>2657</v>
      </c>
      <c r="L1285">
        <v>45</v>
      </c>
      <c r="M1285" t="s">
        <v>44</v>
      </c>
      <c r="N1285">
        <v>1.1343000000000001</v>
      </c>
      <c r="O1285">
        <v>1.3321197886083382</v>
      </c>
      <c r="P1285">
        <v>6.9507935535265651E-3</v>
      </c>
      <c r="Q1285">
        <v>6.9507935535265651E-3</v>
      </c>
      <c r="R1285">
        <v>6117.3010999203389</v>
      </c>
      <c r="S1285" t="s">
        <v>12</v>
      </c>
      <c r="T1285">
        <v>6.7000000000000002E-3</v>
      </c>
      <c r="U1285">
        <v>5896.5810240000001</v>
      </c>
      <c r="V1285">
        <v>220.72007592033879</v>
      </c>
      <c r="W1285">
        <v>3.7431873660681306E-2</v>
      </c>
    </row>
    <row r="1286" spans="1:23" x14ac:dyDescent="0.25">
      <c r="A1286" t="s">
        <v>2658</v>
      </c>
      <c r="B1286" t="s">
        <v>34</v>
      </c>
      <c r="C1286" t="s">
        <v>177</v>
      </c>
      <c r="D1286" t="s">
        <v>31</v>
      </c>
      <c r="E1286" t="s">
        <v>74</v>
      </c>
      <c r="F1286" s="1">
        <v>46297</v>
      </c>
      <c r="G1286">
        <v>46357</v>
      </c>
      <c r="H1286" t="s">
        <v>8</v>
      </c>
      <c r="I1286">
        <v>7340.39</v>
      </c>
      <c r="J1286" t="s">
        <v>84</v>
      </c>
      <c r="K1286" t="s">
        <v>2659</v>
      </c>
      <c r="L1286">
        <v>60</v>
      </c>
      <c r="M1286" t="s">
        <v>34</v>
      </c>
      <c r="N1286">
        <v>1.1225000000000001</v>
      </c>
      <c r="O1286">
        <v>1.3200757353027648</v>
      </c>
      <c r="P1286">
        <v>6.3421662240804562E-3</v>
      </c>
      <c r="Q1286">
        <v>1.3200757353027648</v>
      </c>
      <c r="R1286">
        <v>9689.8707266590627</v>
      </c>
      <c r="S1286" t="s">
        <v>23</v>
      </c>
      <c r="T1286">
        <v>1.3149999999999999</v>
      </c>
      <c r="U1286">
        <v>9652.6128499999995</v>
      </c>
      <c r="V1286">
        <v>37.257876659063186</v>
      </c>
      <c r="W1286">
        <v>3.8598747549543734E-3</v>
      </c>
    </row>
    <row r="1287" spans="1:23" x14ac:dyDescent="0.25">
      <c r="A1287" t="s">
        <v>2660</v>
      </c>
      <c r="B1287" t="s">
        <v>20</v>
      </c>
      <c r="C1287" t="s">
        <v>123</v>
      </c>
      <c r="D1287" t="s">
        <v>31</v>
      </c>
      <c r="E1287" t="s">
        <v>124</v>
      </c>
      <c r="F1287" s="1">
        <v>46259</v>
      </c>
      <c r="G1287">
        <v>46304</v>
      </c>
      <c r="H1287" t="s">
        <v>6</v>
      </c>
      <c r="I1287">
        <v>54707</v>
      </c>
      <c r="J1287" t="s">
        <v>75</v>
      </c>
      <c r="K1287" t="s">
        <v>2661</v>
      </c>
      <c r="L1287">
        <v>45</v>
      </c>
      <c r="M1287" t="s">
        <v>20</v>
      </c>
      <c r="N1287">
        <v>1.1661999999999999</v>
      </c>
      <c r="O1287">
        <v>1.3631794272355346</v>
      </c>
      <c r="P1287">
        <v>6.2800215401184701E-3</v>
      </c>
      <c r="Q1287">
        <v>1.1661999999999999</v>
      </c>
      <c r="R1287">
        <v>63799.303399999997</v>
      </c>
      <c r="S1287" t="s">
        <v>21</v>
      </c>
      <c r="T1287">
        <v>1.101</v>
      </c>
      <c r="U1287">
        <v>60232.406999999999</v>
      </c>
      <c r="V1287">
        <v>3566.8963999999978</v>
      </c>
      <c r="W1287">
        <v>5.9218891916439566E-2</v>
      </c>
    </row>
    <row r="1288" spans="1:23" x14ac:dyDescent="0.25">
      <c r="A1288" t="s">
        <v>2662</v>
      </c>
      <c r="B1288" t="s">
        <v>24</v>
      </c>
      <c r="C1288" t="s">
        <v>73</v>
      </c>
      <c r="D1288" t="s">
        <v>31</v>
      </c>
      <c r="E1288" t="s">
        <v>74</v>
      </c>
      <c r="F1288" s="1">
        <v>45722</v>
      </c>
      <c r="G1288">
        <v>45752</v>
      </c>
      <c r="H1288" t="s">
        <v>6</v>
      </c>
      <c r="I1288">
        <v>21208.73</v>
      </c>
      <c r="J1288" t="s">
        <v>75</v>
      </c>
      <c r="K1288" t="s">
        <v>2663</v>
      </c>
      <c r="L1288">
        <v>30</v>
      </c>
      <c r="M1288" t="s">
        <v>24</v>
      </c>
      <c r="N1288">
        <v>1.0795999999999999</v>
      </c>
      <c r="O1288">
        <v>1.2884592433464612</v>
      </c>
      <c r="P1288">
        <v>6.7797035920622948E-3</v>
      </c>
      <c r="Q1288">
        <v>1.0795999999999999</v>
      </c>
      <c r="R1288">
        <v>22896.944907999998</v>
      </c>
      <c r="S1288" t="s">
        <v>11</v>
      </c>
      <c r="T1288">
        <v>1.052</v>
      </c>
      <c r="U1288">
        <v>22311.58396</v>
      </c>
      <c r="V1288">
        <v>585.36094799999773</v>
      </c>
      <c r="W1288">
        <v>2.623574144486682E-2</v>
      </c>
    </row>
    <row r="1289" spans="1:23" x14ac:dyDescent="0.25">
      <c r="A1289" t="s">
        <v>2664</v>
      </c>
      <c r="B1289" t="s">
        <v>32</v>
      </c>
      <c r="C1289" t="s">
        <v>106</v>
      </c>
      <c r="D1289" t="s">
        <v>31</v>
      </c>
      <c r="E1289" t="s">
        <v>74</v>
      </c>
      <c r="F1289" s="1">
        <v>46346</v>
      </c>
      <c r="G1289">
        <v>46376</v>
      </c>
      <c r="H1289" t="s">
        <v>6</v>
      </c>
      <c r="I1289">
        <v>27843.84</v>
      </c>
      <c r="J1289" t="s">
        <v>84</v>
      </c>
      <c r="K1289" t="s">
        <v>2665</v>
      </c>
      <c r="L1289">
        <v>30</v>
      </c>
      <c r="M1289" t="s">
        <v>32</v>
      </c>
      <c r="N1289">
        <v>1.1176999999999999</v>
      </c>
      <c r="O1289">
        <v>1.320456022210408</v>
      </c>
      <c r="P1289">
        <v>6.3200452360757699E-3</v>
      </c>
      <c r="Q1289">
        <v>1.1176999999999999</v>
      </c>
      <c r="R1289">
        <v>31121.059967999998</v>
      </c>
      <c r="S1289" t="s">
        <v>23</v>
      </c>
      <c r="T1289">
        <v>1.119</v>
      </c>
      <c r="U1289">
        <v>31157.256959999999</v>
      </c>
      <c r="V1289">
        <v>-36.196992000001046</v>
      </c>
      <c r="W1289">
        <v>-1.1617515638963696E-3</v>
      </c>
    </row>
    <row r="1290" spans="1:23" x14ac:dyDescent="0.25">
      <c r="A1290" t="s">
        <v>2666</v>
      </c>
      <c r="B1290" t="s">
        <v>39</v>
      </c>
      <c r="C1290" t="s">
        <v>82</v>
      </c>
      <c r="D1290" t="s">
        <v>33</v>
      </c>
      <c r="E1290" t="s">
        <v>83</v>
      </c>
      <c r="F1290" s="1">
        <v>45940</v>
      </c>
      <c r="G1290">
        <v>45985</v>
      </c>
      <c r="H1290" t="s">
        <v>8</v>
      </c>
      <c r="I1290">
        <v>1658.48</v>
      </c>
      <c r="J1290" t="s">
        <v>75</v>
      </c>
      <c r="K1290" t="s">
        <v>2667</v>
      </c>
      <c r="L1290">
        <v>45</v>
      </c>
      <c r="M1290" t="s">
        <v>39</v>
      </c>
      <c r="N1290">
        <v>1.1568000000000001</v>
      </c>
      <c r="O1290">
        <v>1.3282810885291079</v>
      </c>
      <c r="P1290">
        <v>6.5555933356001364E-3</v>
      </c>
      <c r="Q1290">
        <v>1.3282810885291079</v>
      </c>
      <c r="R1290">
        <v>2202.9276197037548</v>
      </c>
      <c r="S1290" t="s">
        <v>14</v>
      </c>
      <c r="T1290">
        <v>1.304</v>
      </c>
      <c r="U1290">
        <v>2162.6579200000001</v>
      </c>
      <c r="V1290">
        <v>40.269699703754668</v>
      </c>
      <c r="W1290">
        <v>1.8620466663426209E-2</v>
      </c>
    </row>
    <row r="1291" spans="1:23" x14ac:dyDescent="0.25">
      <c r="A1291" t="s">
        <v>2668</v>
      </c>
      <c r="B1291" t="s">
        <v>25</v>
      </c>
      <c r="C1291" t="s">
        <v>169</v>
      </c>
      <c r="D1291" t="s">
        <v>31</v>
      </c>
      <c r="E1291" t="s">
        <v>124</v>
      </c>
      <c r="F1291" s="1">
        <v>45797</v>
      </c>
      <c r="G1291">
        <v>45857</v>
      </c>
      <c r="H1291" t="s">
        <v>6</v>
      </c>
      <c r="I1291">
        <v>76427.649999999994</v>
      </c>
      <c r="J1291" t="s">
        <v>75</v>
      </c>
      <c r="K1291" t="s">
        <v>2669</v>
      </c>
      <c r="L1291">
        <v>60</v>
      </c>
      <c r="M1291" t="s">
        <v>25</v>
      </c>
      <c r="N1291">
        <v>1.1241000000000001</v>
      </c>
      <c r="O1291">
        <v>1.3353528153955809</v>
      </c>
      <c r="P1291">
        <v>6.9137093302171111E-3</v>
      </c>
      <c r="Q1291">
        <v>1.1241000000000001</v>
      </c>
      <c r="R1291">
        <v>85912.321364999996</v>
      </c>
      <c r="S1291" t="s">
        <v>12</v>
      </c>
      <c r="T1291">
        <v>1.07</v>
      </c>
      <c r="U1291">
        <v>81777.585500000001</v>
      </c>
      <c r="V1291">
        <v>4134.7358649999951</v>
      </c>
      <c r="W1291">
        <v>5.0560747663551342E-2</v>
      </c>
    </row>
    <row r="1292" spans="1:23" x14ac:dyDescent="0.25">
      <c r="A1292" t="s">
        <v>2670</v>
      </c>
      <c r="B1292" t="s">
        <v>30</v>
      </c>
      <c r="C1292" t="s">
        <v>103</v>
      </c>
      <c r="D1292" t="s">
        <v>31</v>
      </c>
      <c r="E1292" t="s">
        <v>74</v>
      </c>
      <c r="F1292" s="1">
        <v>45844</v>
      </c>
      <c r="G1292">
        <v>45874</v>
      </c>
      <c r="H1292" t="s">
        <v>9</v>
      </c>
      <c r="I1292">
        <v>1489724.93</v>
      </c>
      <c r="J1292" t="s">
        <v>75</v>
      </c>
      <c r="K1292" t="s">
        <v>2671</v>
      </c>
      <c r="L1292">
        <v>30</v>
      </c>
      <c r="M1292" t="s">
        <v>30</v>
      </c>
      <c r="N1292">
        <v>1.1724000000000001</v>
      </c>
      <c r="O1292">
        <v>1.3469669117647061</v>
      </c>
      <c r="P1292">
        <v>6.7977039485127852E-3</v>
      </c>
      <c r="Q1292">
        <v>6.7977039485127852E-3</v>
      </c>
      <c r="R1292">
        <v>10126.709038858931</v>
      </c>
      <c r="S1292" t="s">
        <v>13</v>
      </c>
      <c r="T1292">
        <v>6.8399999999999997E-3</v>
      </c>
      <c r="U1292">
        <v>10189.718521199999</v>
      </c>
      <c r="V1292">
        <v>-63.009482341067269</v>
      </c>
      <c r="W1292">
        <v>-6.1836332583647185E-3</v>
      </c>
    </row>
    <row r="1293" spans="1:23" x14ac:dyDescent="0.25">
      <c r="A1293" t="s">
        <v>2672</v>
      </c>
      <c r="B1293" t="s">
        <v>22</v>
      </c>
      <c r="C1293" t="s">
        <v>127</v>
      </c>
      <c r="D1293" t="s">
        <v>31</v>
      </c>
      <c r="E1293" t="s">
        <v>124</v>
      </c>
      <c r="F1293" s="1">
        <v>46227</v>
      </c>
      <c r="G1293">
        <v>46287</v>
      </c>
      <c r="H1293" t="s">
        <v>9</v>
      </c>
      <c r="I1293">
        <v>10311045.75</v>
      </c>
      <c r="J1293" t="s">
        <v>75</v>
      </c>
      <c r="K1293" t="s">
        <v>2673</v>
      </c>
      <c r="L1293">
        <v>60</v>
      </c>
      <c r="M1293" t="s">
        <v>22</v>
      </c>
      <c r="N1293">
        <v>1.1376999999999999</v>
      </c>
      <c r="O1293">
        <v>1.3323886260364455</v>
      </c>
      <c r="P1293">
        <v>6.1041957291554884E-3</v>
      </c>
      <c r="Q1293">
        <v>6.1041957291554884E-3</v>
      </c>
      <c r="R1293">
        <v>62940.641430276846</v>
      </c>
      <c r="S1293" t="s">
        <v>21</v>
      </c>
      <c r="T1293">
        <v>6.7400000000000003E-3</v>
      </c>
      <c r="U1293">
        <v>69496.448355</v>
      </c>
      <c r="V1293">
        <v>-6555.8069247231542</v>
      </c>
      <c r="W1293">
        <v>-9.4332977870105639E-2</v>
      </c>
    </row>
    <row r="1294" spans="1:23" x14ac:dyDescent="0.25">
      <c r="A1294" t="s">
        <v>2674</v>
      </c>
      <c r="B1294" t="s">
        <v>34</v>
      </c>
      <c r="C1294" t="s">
        <v>177</v>
      </c>
      <c r="D1294" t="s">
        <v>31</v>
      </c>
      <c r="E1294" t="s">
        <v>74</v>
      </c>
      <c r="F1294" s="1">
        <v>46103</v>
      </c>
      <c r="G1294">
        <v>46163</v>
      </c>
      <c r="H1294" t="s">
        <v>8</v>
      </c>
      <c r="I1294">
        <v>21773.99</v>
      </c>
      <c r="J1294" t="s">
        <v>75</v>
      </c>
      <c r="K1294" t="s">
        <v>2675</v>
      </c>
      <c r="L1294">
        <v>60</v>
      </c>
      <c r="M1294" t="s">
        <v>34</v>
      </c>
      <c r="N1294">
        <v>1.1555</v>
      </c>
      <c r="O1294">
        <v>1.3367963164349013</v>
      </c>
      <c r="P1294">
        <v>6.2983756677204832E-3</v>
      </c>
      <c r="Q1294">
        <v>1.3367963164349013</v>
      </c>
      <c r="R1294">
        <v>29107.389626090378</v>
      </c>
      <c r="S1294" t="s">
        <v>16</v>
      </c>
      <c r="T1294">
        <v>1.2490000000000001</v>
      </c>
      <c r="U1294">
        <v>27195.713510000005</v>
      </c>
      <c r="V1294">
        <v>1911.6761160903734</v>
      </c>
      <c r="W1294">
        <v>7.0293287778143421E-2</v>
      </c>
    </row>
    <row r="1295" spans="1:23" x14ac:dyDescent="0.25">
      <c r="A1295" t="s">
        <v>2676</v>
      </c>
      <c r="B1295" t="s">
        <v>30</v>
      </c>
      <c r="C1295" t="s">
        <v>103</v>
      </c>
      <c r="D1295" t="s">
        <v>31</v>
      </c>
      <c r="E1295" t="s">
        <v>74</v>
      </c>
      <c r="F1295" s="1">
        <v>46121</v>
      </c>
      <c r="G1295">
        <v>46151</v>
      </c>
      <c r="H1295" t="s">
        <v>9</v>
      </c>
      <c r="I1295">
        <v>2717415.21</v>
      </c>
      <c r="J1295" t="s">
        <v>75</v>
      </c>
      <c r="K1295" t="s">
        <v>2677</v>
      </c>
      <c r="L1295">
        <v>30</v>
      </c>
      <c r="M1295" t="s">
        <v>30</v>
      </c>
      <c r="N1295">
        <v>1.1685000000000001</v>
      </c>
      <c r="O1295">
        <v>1.3422857339781513</v>
      </c>
      <c r="P1295">
        <v>6.2924071082390964E-3</v>
      </c>
      <c r="Q1295">
        <v>6.2924071082390964E-3</v>
      </c>
      <c r="R1295">
        <v>17099.082783441037</v>
      </c>
      <c r="S1295" t="s">
        <v>19</v>
      </c>
      <c r="T1295">
        <v>6.6E-3</v>
      </c>
      <c r="U1295">
        <v>17934.940385999998</v>
      </c>
      <c r="V1295">
        <v>-835.85760255896093</v>
      </c>
      <c r="W1295">
        <v>-4.660498360013679E-2</v>
      </c>
    </row>
    <row r="1296" spans="1:23" x14ac:dyDescent="0.25">
      <c r="A1296" t="s">
        <v>2678</v>
      </c>
      <c r="B1296" t="s">
        <v>37</v>
      </c>
      <c r="C1296" t="s">
        <v>91</v>
      </c>
      <c r="D1296" t="s">
        <v>31</v>
      </c>
      <c r="E1296" t="s">
        <v>74</v>
      </c>
      <c r="F1296" s="1">
        <v>46013</v>
      </c>
      <c r="G1296">
        <v>46043</v>
      </c>
      <c r="H1296" t="s">
        <v>6</v>
      </c>
      <c r="I1296">
        <v>14695.41</v>
      </c>
      <c r="J1296" t="s">
        <v>75</v>
      </c>
      <c r="K1296" t="s">
        <v>2679</v>
      </c>
      <c r="L1296">
        <v>30</v>
      </c>
      <c r="M1296" t="s">
        <v>37</v>
      </c>
      <c r="N1296">
        <v>1.1745000000000001</v>
      </c>
      <c r="O1296">
        <v>1.3435140700068635</v>
      </c>
      <c r="P1296">
        <v>6.3565513882123722E-3</v>
      </c>
      <c r="Q1296">
        <v>1.1745000000000001</v>
      </c>
      <c r="R1296">
        <v>17259.759045000003</v>
      </c>
      <c r="S1296" t="s">
        <v>14</v>
      </c>
      <c r="T1296">
        <v>1.1060000000000001</v>
      </c>
      <c r="U1296">
        <v>16253.123460000001</v>
      </c>
      <c r="V1296">
        <v>1006.6355850000018</v>
      </c>
      <c r="W1296">
        <v>6.1934900542495591E-2</v>
      </c>
    </row>
    <row r="1297" spans="1:23" x14ac:dyDescent="0.25">
      <c r="A1297" t="s">
        <v>2680</v>
      </c>
      <c r="B1297" t="s">
        <v>30</v>
      </c>
      <c r="C1297" t="s">
        <v>103</v>
      </c>
      <c r="D1297" t="s">
        <v>31</v>
      </c>
      <c r="E1297" t="s">
        <v>74</v>
      </c>
      <c r="F1297" s="1">
        <v>45976</v>
      </c>
      <c r="G1297">
        <v>46006</v>
      </c>
      <c r="H1297" t="s">
        <v>9</v>
      </c>
      <c r="I1297">
        <v>1847613.07</v>
      </c>
      <c r="J1297" t="s">
        <v>75</v>
      </c>
      <c r="K1297" t="s">
        <v>2681</v>
      </c>
      <c r="L1297">
        <v>30</v>
      </c>
      <c r="M1297" t="s">
        <v>30</v>
      </c>
      <c r="N1297">
        <v>1.1555</v>
      </c>
      <c r="O1297">
        <v>1.3367963164349013</v>
      </c>
      <c r="P1297">
        <v>6.2983756677204832E-3</v>
      </c>
      <c r="Q1297">
        <v>6.2983756677204832E-3</v>
      </c>
      <c r="R1297">
        <v>11636.961203450343</v>
      </c>
      <c r="S1297" t="s">
        <v>14</v>
      </c>
      <c r="T1297">
        <v>6.9800000000000001E-3</v>
      </c>
      <c r="U1297">
        <v>12896.3392286</v>
      </c>
      <c r="V1297">
        <v>-1259.3780251496573</v>
      </c>
      <c r="W1297">
        <v>-9.7653915799357643E-2</v>
      </c>
    </row>
    <row r="1298" spans="1:23" x14ac:dyDescent="0.25">
      <c r="A1298" t="s">
        <v>2680</v>
      </c>
      <c r="B1298" t="s">
        <v>40</v>
      </c>
      <c r="C1298" t="s">
        <v>78</v>
      </c>
      <c r="D1298" t="s">
        <v>33</v>
      </c>
      <c r="E1298" t="s">
        <v>79</v>
      </c>
      <c r="F1298" s="1">
        <v>45770</v>
      </c>
      <c r="G1298">
        <v>45800</v>
      </c>
      <c r="H1298" t="s">
        <v>9</v>
      </c>
      <c r="I1298">
        <v>1202749.04</v>
      </c>
      <c r="J1298" t="s">
        <v>75</v>
      </c>
      <c r="K1298" t="s">
        <v>2682</v>
      </c>
      <c r="L1298">
        <v>30</v>
      </c>
      <c r="M1298" t="s">
        <v>40</v>
      </c>
      <c r="N1298">
        <v>1.1415</v>
      </c>
      <c r="O1298">
        <v>1.3305281316657536</v>
      </c>
      <c r="P1298">
        <v>7.0602424542305781E-3</v>
      </c>
      <c r="Q1298">
        <v>7.0602424542305781E-3</v>
      </c>
      <c r="R1298">
        <v>8491.6998339930724</v>
      </c>
      <c r="S1298" t="s">
        <v>12</v>
      </c>
      <c r="T1298">
        <v>6.7000000000000002E-3</v>
      </c>
      <c r="U1298">
        <v>8058.418568000001</v>
      </c>
      <c r="V1298">
        <v>433.28126599307143</v>
      </c>
      <c r="W1298">
        <v>5.3767530482175793E-2</v>
      </c>
    </row>
    <row r="1299" spans="1:23" x14ac:dyDescent="0.25">
      <c r="A1299" t="s">
        <v>2683</v>
      </c>
      <c r="B1299" t="s">
        <v>24</v>
      </c>
      <c r="C1299" t="s">
        <v>73</v>
      </c>
      <c r="D1299" t="s">
        <v>31</v>
      </c>
      <c r="E1299" t="s">
        <v>74</v>
      </c>
      <c r="F1299" s="1">
        <v>46185</v>
      </c>
      <c r="G1299">
        <v>46215</v>
      </c>
      <c r="H1299" t="s">
        <v>6</v>
      </c>
      <c r="I1299">
        <v>15409.91</v>
      </c>
      <c r="J1299" t="s">
        <v>75</v>
      </c>
      <c r="K1299" t="s">
        <v>2684</v>
      </c>
      <c r="L1299">
        <v>30</v>
      </c>
      <c r="M1299" t="s">
        <v>24</v>
      </c>
      <c r="N1299">
        <v>1.1567000000000001</v>
      </c>
      <c r="O1299">
        <v>1.3402467991425759</v>
      </c>
      <c r="P1299">
        <v>6.2423097679438749E-3</v>
      </c>
      <c r="Q1299">
        <v>1.1567000000000001</v>
      </c>
      <c r="R1299">
        <v>17824.642897000002</v>
      </c>
      <c r="S1299" t="s">
        <v>19</v>
      </c>
      <c r="T1299">
        <v>1.083</v>
      </c>
      <c r="U1299">
        <v>16688.932529999998</v>
      </c>
      <c r="V1299">
        <v>1135.7103670000033</v>
      </c>
      <c r="W1299">
        <v>6.8051708217913412E-2</v>
      </c>
    </row>
    <row r="1300" spans="1:23" x14ac:dyDescent="0.25">
      <c r="A1300" t="s">
        <v>2685</v>
      </c>
      <c r="B1300" t="s">
        <v>38</v>
      </c>
      <c r="C1300" t="s">
        <v>87</v>
      </c>
      <c r="D1300" t="s">
        <v>33</v>
      </c>
      <c r="E1300" t="s">
        <v>88</v>
      </c>
      <c r="F1300" s="1">
        <v>46284</v>
      </c>
      <c r="G1300">
        <v>46314</v>
      </c>
      <c r="H1300" t="s">
        <v>6</v>
      </c>
      <c r="I1300">
        <v>2235.4</v>
      </c>
      <c r="J1300" t="s">
        <v>75</v>
      </c>
      <c r="K1300" t="s">
        <v>2686</v>
      </c>
      <c r="L1300">
        <v>30</v>
      </c>
      <c r="M1300" t="s">
        <v>38</v>
      </c>
      <c r="N1300">
        <v>1.1459999999999999</v>
      </c>
      <c r="O1300">
        <v>1.3344201210992082</v>
      </c>
      <c r="P1300">
        <v>6.3335912457168119E-3</v>
      </c>
      <c r="Q1300">
        <v>1.1459999999999999</v>
      </c>
      <c r="R1300">
        <v>2561.7683999999999</v>
      </c>
      <c r="S1300" t="s">
        <v>21</v>
      </c>
      <c r="T1300">
        <v>1.101</v>
      </c>
      <c r="U1300">
        <v>2461.1754000000001</v>
      </c>
      <c r="V1300">
        <v>100.59299999999985</v>
      </c>
      <c r="W1300">
        <v>4.087193460490457E-2</v>
      </c>
    </row>
    <row r="1301" spans="1:23" x14ac:dyDescent="0.25">
      <c r="A1301" t="s">
        <v>2687</v>
      </c>
      <c r="B1301" t="s">
        <v>37</v>
      </c>
      <c r="C1301" t="s">
        <v>91</v>
      </c>
      <c r="D1301" t="s">
        <v>31</v>
      </c>
      <c r="E1301" t="s">
        <v>74</v>
      </c>
      <c r="F1301" s="1">
        <v>45813</v>
      </c>
      <c r="G1301">
        <v>45843</v>
      </c>
      <c r="H1301" t="s">
        <v>6</v>
      </c>
      <c r="I1301">
        <v>24572.36</v>
      </c>
      <c r="J1301" t="s">
        <v>75</v>
      </c>
      <c r="K1301" t="s">
        <v>2688</v>
      </c>
      <c r="L1301">
        <v>30</v>
      </c>
      <c r="M1301" t="s">
        <v>37</v>
      </c>
      <c r="N1301">
        <v>1.1423000000000001</v>
      </c>
      <c r="O1301">
        <v>1.3568119729183989</v>
      </c>
      <c r="P1301">
        <v>6.9797140413051456E-3</v>
      </c>
      <c r="Q1301">
        <v>1.1423000000000001</v>
      </c>
      <c r="R1301">
        <v>28069.006828000001</v>
      </c>
      <c r="S1301" t="s">
        <v>12</v>
      </c>
      <c r="T1301">
        <v>1.07</v>
      </c>
      <c r="U1301">
        <v>26292.425200000001</v>
      </c>
      <c r="V1301">
        <v>1776.5816279999999</v>
      </c>
      <c r="W1301">
        <v>6.7570093457943917E-2</v>
      </c>
    </row>
    <row r="1302" spans="1:23" x14ac:dyDescent="0.25">
      <c r="A1302" t="s">
        <v>2689</v>
      </c>
      <c r="B1302" t="s">
        <v>20</v>
      </c>
      <c r="C1302" t="s">
        <v>123</v>
      </c>
      <c r="D1302" t="s">
        <v>31</v>
      </c>
      <c r="E1302" t="s">
        <v>124</v>
      </c>
      <c r="F1302" s="1">
        <v>46101</v>
      </c>
      <c r="G1302">
        <v>46146</v>
      </c>
      <c r="H1302" t="s">
        <v>6</v>
      </c>
      <c r="I1302">
        <v>54670.78</v>
      </c>
      <c r="J1302" t="s">
        <v>75</v>
      </c>
      <c r="K1302" t="s">
        <v>2690</v>
      </c>
      <c r="L1302">
        <v>45</v>
      </c>
      <c r="M1302" t="s">
        <v>20</v>
      </c>
      <c r="N1302">
        <v>1.1555</v>
      </c>
      <c r="O1302">
        <v>1.3367963164349013</v>
      </c>
      <c r="P1302">
        <v>6.2983756677204832E-3</v>
      </c>
      <c r="Q1302">
        <v>1.1555</v>
      </c>
      <c r="R1302">
        <v>63172.086289999999</v>
      </c>
      <c r="S1302" t="s">
        <v>16</v>
      </c>
      <c r="T1302">
        <v>1.0649999999999999</v>
      </c>
      <c r="U1302">
        <v>58224.380699999994</v>
      </c>
      <c r="V1302">
        <v>4947.705590000005</v>
      </c>
      <c r="W1302">
        <v>8.4976525821596344E-2</v>
      </c>
    </row>
    <row r="1303" spans="1:23" x14ac:dyDescent="0.25">
      <c r="A1303" t="s">
        <v>2691</v>
      </c>
      <c r="B1303" t="s">
        <v>24</v>
      </c>
      <c r="C1303" t="s">
        <v>73</v>
      </c>
      <c r="D1303" t="s">
        <v>31</v>
      </c>
      <c r="E1303" t="s">
        <v>74</v>
      </c>
      <c r="F1303" s="1">
        <v>45912</v>
      </c>
      <c r="G1303">
        <v>45942</v>
      </c>
      <c r="H1303" t="s">
        <v>6</v>
      </c>
      <c r="I1303">
        <v>16388.099999999999</v>
      </c>
      <c r="J1303" t="s">
        <v>75</v>
      </c>
      <c r="K1303" t="s">
        <v>2692</v>
      </c>
      <c r="L1303">
        <v>30</v>
      </c>
      <c r="M1303" t="s">
        <v>24</v>
      </c>
      <c r="N1303">
        <v>1.1718</v>
      </c>
      <c r="O1303">
        <v>1.3542124118802727</v>
      </c>
      <c r="P1303">
        <v>6.7605146252812543E-3</v>
      </c>
      <c r="Q1303">
        <v>1.1718</v>
      </c>
      <c r="R1303">
        <v>19203.575579999997</v>
      </c>
      <c r="S1303" t="s">
        <v>13</v>
      </c>
      <c r="T1303">
        <v>1.0880000000000001</v>
      </c>
      <c r="U1303">
        <v>17830.252799999998</v>
      </c>
      <c r="V1303">
        <v>1373.3227799999986</v>
      </c>
      <c r="W1303">
        <v>7.7022058823529346E-2</v>
      </c>
    </row>
    <row r="1304" spans="1:23" x14ac:dyDescent="0.25">
      <c r="A1304" t="s">
        <v>2693</v>
      </c>
      <c r="B1304" t="s">
        <v>39</v>
      </c>
      <c r="C1304" t="s">
        <v>82</v>
      </c>
      <c r="D1304" t="s">
        <v>33</v>
      </c>
      <c r="E1304" t="s">
        <v>83</v>
      </c>
      <c r="F1304" s="1">
        <v>45900</v>
      </c>
      <c r="G1304">
        <v>45945</v>
      </c>
      <c r="H1304" t="s">
        <v>8</v>
      </c>
      <c r="I1304">
        <v>1402.49</v>
      </c>
      <c r="J1304" t="s">
        <v>75</v>
      </c>
      <c r="K1304" t="s">
        <v>2694</v>
      </c>
      <c r="L1304">
        <v>45</v>
      </c>
      <c r="M1304" t="s">
        <v>39</v>
      </c>
      <c r="N1304">
        <v>1.1718999999999999</v>
      </c>
      <c r="O1304">
        <v>1.3399268236908299</v>
      </c>
      <c r="P1304">
        <v>6.4196110654615168E-3</v>
      </c>
      <c r="Q1304">
        <v>1.3399268236908299</v>
      </c>
      <c r="R1304">
        <v>1879.233970958152</v>
      </c>
      <c r="S1304" t="s">
        <v>13</v>
      </c>
      <c r="T1304">
        <v>1.282</v>
      </c>
      <c r="U1304">
        <v>1797.99218</v>
      </c>
      <c r="V1304">
        <v>81.241790958152023</v>
      </c>
      <c r="W1304">
        <v>4.5184729868042041E-2</v>
      </c>
    </row>
    <row r="1305" spans="1:23" x14ac:dyDescent="0.25">
      <c r="A1305" t="s">
        <v>2695</v>
      </c>
      <c r="B1305" t="s">
        <v>30</v>
      </c>
      <c r="C1305" t="s">
        <v>103</v>
      </c>
      <c r="D1305" t="s">
        <v>31</v>
      </c>
      <c r="E1305" t="s">
        <v>74</v>
      </c>
      <c r="F1305" s="1">
        <v>46145</v>
      </c>
      <c r="G1305">
        <v>46175</v>
      </c>
      <c r="H1305" t="s">
        <v>9</v>
      </c>
      <c r="I1305">
        <v>958849.3</v>
      </c>
      <c r="J1305" t="s">
        <v>75</v>
      </c>
      <c r="K1305" t="s">
        <v>2696</v>
      </c>
      <c r="L1305">
        <v>30</v>
      </c>
      <c r="M1305" t="s">
        <v>30</v>
      </c>
      <c r="N1305">
        <v>1.1701999999999999</v>
      </c>
      <c r="O1305">
        <v>1.3508802308802308</v>
      </c>
      <c r="P1305">
        <v>6.3872059385404719E-3</v>
      </c>
      <c r="Q1305">
        <v>6.3872059385404719E-3</v>
      </c>
      <c r="R1305">
        <v>6124.3679431253749</v>
      </c>
      <c r="S1305" t="s">
        <v>19</v>
      </c>
      <c r="T1305">
        <v>6.6E-3</v>
      </c>
      <c r="U1305">
        <v>6328.4053800000002</v>
      </c>
      <c r="V1305">
        <v>-204.0374368746252</v>
      </c>
      <c r="W1305">
        <v>-3.2241524463564819E-2</v>
      </c>
    </row>
    <row r="1306" spans="1:23" x14ac:dyDescent="0.25">
      <c r="A1306" t="s">
        <v>2697</v>
      </c>
      <c r="B1306" t="s">
        <v>24</v>
      </c>
      <c r="C1306" t="s">
        <v>73</v>
      </c>
      <c r="D1306" t="s">
        <v>31</v>
      </c>
      <c r="E1306" t="s">
        <v>74</v>
      </c>
      <c r="F1306" s="1">
        <v>46313</v>
      </c>
      <c r="G1306">
        <v>46343</v>
      </c>
      <c r="H1306" t="s">
        <v>6</v>
      </c>
      <c r="I1306">
        <v>35097.21</v>
      </c>
      <c r="J1306" t="s">
        <v>84</v>
      </c>
      <c r="K1306" t="s">
        <v>2698</v>
      </c>
      <c r="L1306">
        <v>30</v>
      </c>
      <c r="M1306" t="s">
        <v>24</v>
      </c>
      <c r="N1306">
        <v>1.1176999999999999</v>
      </c>
      <c r="O1306">
        <v>1.320456022210408</v>
      </c>
      <c r="P1306">
        <v>6.3200452360757699E-3</v>
      </c>
      <c r="Q1306">
        <v>1.1176999999999999</v>
      </c>
      <c r="R1306">
        <v>39228.151616999996</v>
      </c>
      <c r="S1306" t="s">
        <v>23</v>
      </c>
      <c r="T1306">
        <v>1.119</v>
      </c>
      <c r="U1306">
        <v>39273.777990000002</v>
      </c>
      <c r="V1306">
        <v>-45.626373000006424</v>
      </c>
      <c r="W1306">
        <v>-1.1617515638964995E-3</v>
      </c>
    </row>
    <row r="1307" spans="1:23" x14ac:dyDescent="0.25">
      <c r="A1307" t="s">
        <v>2699</v>
      </c>
      <c r="B1307" t="s">
        <v>30</v>
      </c>
      <c r="C1307" t="s">
        <v>103</v>
      </c>
      <c r="D1307" t="s">
        <v>31</v>
      </c>
      <c r="E1307" t="s">
        <v>74</v>
      </c>
      <c r="F1307" s="1">
        <v>46258</v>
      </c>
      <c r="G1307">
        <v>46288</v>
      </c>
      <c r="H1307" t="s">
        <v>9</v>
      </c>
      <c r="I1307">
        <v>4769710.79</v>
      </c>
      <c r="J1307" t="s">
        <v>75</v>
      </c>
      <c r="K1307" t="s">
        <v>2700</v>
      </c>
      <c r="L1307">
        <v>30</v>
      </c>
      <c r="M1307" t="s">
        <v>30</v>
      </c>
      <c r="N1307">
        <v>1.1664000000000001</v>
      </c>
      <c r="O1307">
        <v>1.3634132086499124</v>
      </c>
      <c r="P1307">
        <v>6.2844827586206907E-3</v>
      </c>
      <c r="Q1307">
        <v>6.2844827586206907E-3</v>
      </c>
      <c r="R1307">
        <v>29975.165223362073</v>
      </c>
      <c r="S1307" t="s">
        <v>21</v>
      </c>
      <c r="T1307">
        <v>6.7400000000000003E-3</v>
      </c>
      <c r="U1307">
        <v>32147.850724600001</v>
      </c>
      <c r="V1307">
        <v>-2172.6855012379274</v>
      </c>
      <c r="W1307">
        <v>-6.7584160442034066E-2</v>
      </c>
    </row>
    <row r="1308" spans="1:23" x14ac:dyDescent="0.25">
      <c r="A1308" t="s">
        <v>2701</v>
      </c>
      <c r="B1308" t="s">
        <v>36</v>
      </c>
      <c r="C1308" t="s">
        <v>116</v>
      </c>
      <c r="D1308" t="s">
        <v>31</v>
      </c>
      <c r="E1308" t="s">
        <v>74</v>
      </c>
      <c r="F1308" s="1">
        <v>45881</v>
      </c>
      <c r="G1308">
        <v>45926</v>
      </c>
      <c r="H1308" t="s">
        <v>6</v>
      </c>
      <c r="I1308">
        <v>5522.55</v>
      </c>
      <c r="J1308" t="s">
        <v>75</v>
      </c>
      <c r="K1308" t="s">
        <v>2702</v>
      </c>
      <c r="L1308">
        <v>45</v>
      </c>
      <c r="M1308" t="s">
        <v>36</v>
      </c>
      <c r="N1308">
        <v>1.1606000000000001</v>
      </c>
      <c r="O1308">
        <v>1.3462475350887368</v>
      </c>
      <c r="P1308">
        <v>6.7359257109692395E-3</v>
      </c>
      <c r="Q1308">
        <v>1.1606000000000001</v>
      </c>
      <c r="R1308">
        <v>6409.4715300000007</v>
      </c>
      <c r="S1308" t="s">
        <v>13</v>
      </c>
      <c r="T1308">
        <v>1.0880000000000001</v>
      </c>
      <c r="U1308">
        <v>6008.5344000000005</v>
      </c>
      <c r="V1308">
        <v>400.93713000000025</v>
      </c>
      <c r="W1308">
        <v>6.6727941176470629E-2</v>
      </c>
    </row>
    <row r="1309" spans="1:23" x14ac:dyDescent="0.25">
      <c r="A1309" t="s">
        <v>2703</v>
      </c>
      <c r="B1309" t="s">
        <v>26</v>
      </c>
      <c r="C1309" t="s">
        <v>94</v>
      </c>
      <c r="D1309" t="s">
        <v>31</v>
      </c>
      <c r="E1309" t="s">
        <v>74</v>
      </c>
      <c r="F1309" s="1">
        <v>46089</v>
      </c>
      <c r="G1309">
        <v>46119</v>
      </c>
      <c r="H1309" t="s">
        <v>8</v>
      </c>
      <c r="I1309">
        <v>15123.81</v>
      </c>
      <c r="J1309" t="s">
        <v>75</v>
      </c>
      <c r="K1309" t="s">
        <v>2704</v>
      </c>
      <c r="L1309">
        <v>30</v>
      </c>
      <c r="M1309" t="s">
        <v>26</v>
      </c>
      <c r="N1309">
        <v>1.1555</v>
      </c>
      <c r="O1309">
        <v>1.3367963164349013</v>
      </c>
      <c r="P1309">
        <v>6.2983756677204832E-3</v>
      </c>
      <c r="Q1309">
        <v>1.3367963164349013</v>
      </c>
      <c r="R1309">
        <v>20217.453498461324</v>
      </c>
      <c r="S1309" t="s">
        <v>16</v>
      </c>
      <c r="T1309">
        <v>1.2490000000000001</v>
      </c>
      <c r="U1309">
        <v>18889.63869</v>
      </c>
      <c r="V1309">
        <v>1327.814808461324</v>
      </c>
      <c r="W1309">
        <v>7.0293287778143518E-2</v>
      </c>
    </row>
    <row r="1310" spans="1:23" x14ac:dyDescent="0.25">
      <c r="A1310" t="s">
        <v>2705</v>
      </c>
      <c r="B1310" t="s">
        <v>37</v>
      </c>
      <c r="C1310" t="s">
        <v>91</v>
      </c>
      <c r="D1310" t="s">
        <v>31</v>
      </c>
      <c r="E1310" t="s">
        <v>74</v>
      </c>
      <c r="F1310" s="1">
        <v>45854</v>
      </c>
      <c r="G1310">
        <v>45884</v>
      </c>
      <c r="H1310" t="s">
        <v>6</v>
      </c>
      <c r="I1310">
        <v>6881.95</v>
      </c>
      <c r="J1310" t="s">
        <v>75</v>
      </c>
      <c r="K1310" t="s">
        <v>2706</v>
      </c>
      <c r="L1310">
        <v>30</v>
      </c>
      <c r="M1310" t="s">
        <v>37</v>
      </c>
      <c r="N1310">
        <v>1.1601999999999999</v>
      </c>
      <c r="O1310">
        <v>1.3398775840166299</v>
      </c>
      <c r="P1310">
        <v>6.723458507185906E-3</v>
      </c>
      <c r="Q1310">
        <v>1.1601999999999999</v>
      </c>
      <c r="R1310">
        <v>7984.4383899999993</v>
      </c>
      <c r="S1310" t="s">
        <v>13</v>
      </c>
      <c r="T1310">
        <v>1.0880000000000001</v>
      </c>
      <c r="U1310">
        <v>7487.5616</v>
      </c>
      <c r="V1310">
        <v>496.87678999999935</v>
      </c>
      <c r="W1310">
        <v>6.6360294117646976E-2</v>
      </c>
    </row>
    <row r="1311" spans="1:23" x14ac:dyDescent="0.25">
      <c r="A1311" t="s">
        <v>2707</v>
      </c>
      <c r="B1311" t="s">
        <v>42</v>
      </c>
      <c r="C1311" t="s">
        <v>151</v>
      </c>
      <c r="D1311" t="s">
        <v>35</v>
      </c>
      <c r="E1311" t="s">
        <v>2708</v>
      </c>
      <c r="F1311" s="1">
        <v>45781</v>
      </c>
      <c r="G1311">
        <v>45811</v>
      </c>
      <c r="H1311" t="s">
        <v>8</v>
      </c>
      <c r="I1311">
        <v>7054.9</v>
      </c>
      <c r="J1311" t="s">
        <v>75</v>
      </c>
      <c r="K1311" t="s">
        <v>2709</v>
      </c>
      <c r="L1311">
        <v>30</v>
      </c>
      <c r="M1311" t="s">
        <v>42</v>
      </c>
      <c r="N1311">
        <v>1.1767000000000001</v>
      </c>
      <c r="O1311">
        <v>1.3642898550724638</v>
      </c>
      <c r="P1311">
        <v>6.9250235404896433E-3</v>
      </c>
      <c r="Q1311">
        <v>1.3642898550724638</v>
      </c>
      <c r="R1311">
        <v>9624.9284985507238</v>
      </c>
      <c r="S1311" t="s">
        <v>12</v>
      </c>
      <c r="T1311">
        <v>1.26</v>
      </c>
      <c r="U1311">
        <v>8889.1739999999991</v>
      </c>
      <c r="V1311">
        <v>735.75449855072475</v>
      </c>
      <c r="W1311">
        <v>8.2769726247987133E-2</v>
      </c>
    </row>
    <row r="1312" spans="1:23" x14ac:dyDescent="0.25">
      <c r="A1312" t="s">
        <v>2710</v>
      </c>
      <c r="B1312" t="s">
        <v>30</v>
      </c>
      <c r="C1312" t="s">
        <v>103</v>
      </c>
      <c r="D1312" t="s">
        <v>31</v>
      </c>
      <c r="E1312" t="s">
        <v>74</v>
      </c>
      <c r="F1312" s="1">
        <v>46109</v>
      </c>
      <c r="G1312">
        <v>46139</v>
      </c>
      <c r="H1312" t="s">
        <v>9</v>
      </c>
      <c r="I1312">
        <v>1156218.52</v>
      </c>
      <c r="J1312" t="s">
        <v>75</v>
      </c>
      <c r="K1312" t="s">
        <v>2711</v>
      </c>
      <c r="L1312">
        <v>30</v>
      </c>
      <c r="M1312" t="s">
        <v>30</v>
      </c>
      <c r="N1312">
        <v>1.1516999999999999</v>
      </c>
      <c r="O1312">
        <v>1.3280673431734318</v>
      </c>
      <c r="P1312">
        <v>6.2538010425716769E-3</v>
      </c>
      <c r="Q1312">
        <v>6.2538010425716769E-3</v>
      </c>
      <c r="R1312">
        <v>7230.7605858166817</v>
      </c>
      <c r="S1312" t="s">
        <v>16</v>
      </c>
      <c r="T1312">
        <v>6.4599999999999996E-3</v>
      </c>
      <c r="U1312">
        <v>7469.1716391999998</v>
      </c>
      <c r="V1312">
        <v>-238.41105338331818</v>
      </c>
      <c r="W1312">
        <v>-3.19193432551583E-2</v>
      </c>
    </row>
    <row r="1313" spans="1:23" x14ac:dyDescent="0.25">
      <c r="A1313" t="s">
        <v>2712</v>
      </c>
      <c r="B1313" t="s">
        <v>32</v>
      </c>
      <c r="C1313" t="s">
        <v>106</v>
      </c>
      <c r="D1313" t="s">
        <v>31</v>
      </c>
      <c r="E1313" t="s">
        <v>74</v>
      </c>
      <c r="F1313" s="1">
        <v>45666</v>
      </c>
      <c r="G1313">
        <v>45696</v>
      </c>
      <c r="H1313" t="s">
        <v>6</v>
      </c>
      <c r="I1313">
        <v>9951.92</v>
      </c>
      <c r="J1313" t="s">
        <v>75</v>
      </c>
      <c r="K1313" t="s">
        <v>2713</v>
      </c>
      <c r="L1313">
        <v>30</v>
      </c>
      <c r="M1313" t="s">
        <v>32</v>
      </c>
      <c r="N1313">
        <v>1.0305</v>
      </c>
      <c r="O1313">
        <v>1.2295962199312713</v>
      </c>
      <c r="P1313">
        <v>6.339197834645669E-3</v>
      </c>
      <c r="Q1313">
        <v>1.0305</v>
      </c>
      <c r="R1313">
        <v>10255.45356</v>
      </c>
      <c r="S1313" t="s">
        <v>11</v>
      </c>
      <c r="T1313">
        <v>1.052</v>
      </c>
      <c r="U1313">
        <v>10469.41984</v>
      </c>
      <c r="V1313">
        <v>-213.96628000000055</v>
      </c>
      <c r="W1313">
        <v>-2.0437262357414502E-2</v>
      </c>
    </row>
    <row r="1314" spans="1:23" x14ac:dyDescent="0.25">
      <c r="A1314" t="s">
        <v>2714</v>
      </c>
      <c r="B1314" t="s">
        <v>20</v>
      </c>
      <c r="C1314" t="s">
        <v>123</v>
      </c>
      <c r="D1314" t="s">
        <v>31</v>
      </c>
      <c r="E1314" t="s">
        <v>124</v>
      </c>
      <c r="F1314" s="1">
        <v>45829</v>
      </c>
      <c r="G1314">
        <v>45874</v>
      </c>
      <c r="H1314" t="s">
        <v>6</v>
      </c>
      <c r="I1314">
        <v>16499.990000000002</v>
      </c>
      <c r="J1314" t="s">
        <v>75</v>
      </c>
      <c r="K1314" t="s">
        <v>2715</v>
      </c>
      <c r="L1314">
        <v>45</v>
      </c>
      <c r="M1314" t="s">
        <v>20</v>
      </c>
      <c r="N1314">
        <v>1.1707000000000001</v>
      </c>
      <c r="O1314">
        <v>1.3534104046242776</v>
      </c>
      <c r="P1314">
        <v>6.7799849423756308E-3</v>
      </c>
      <c r="Q1314">
        <v>1.1707000000000001</v>
      </c>
      <c r="R1314">
        <v>19316.538293000001</v>
      </c>
      <c r="S1314" t="s">
        <v>12</v>
      </c>
      <c r="T1314">
        <v>1.07</v>
      </c>
      <c r="U1314">
        <v>17654.989300000001</v>
      </c>
      <c r="V1314">
        <v>1661.5489930000003</v>
      </c>
      <c r="W1314">
        <v>9.4112149532710299E-2</v>
      </c>
    </row>
    <row r="1315" spans="1:23" x14ac:dyDescent="0.25">
      <c r="A1315" t="s">
        <v>2716</v>
      </c>
      <c r="B1315" t="s">
        <v>41</v>
      </c>
      <c r="C1315" t="s">
        <v>172</v>
      </c>
      <c r="D1315" t="s">
        <v>33</v>
      </c>
      <c r="E1315" t="s">
        <v>83</v>
      </c>
      <c r="F1315" s="1">
        <v>46030</v>
      </c>
      <c r="G1315">
        <v>46060</v>
      </c>
      <c r="H1315" t="s">
        <v>9</v>
      </c>
      <c r="I1315">
        <v>508821.65</v>
      </c>
      <c r="J1315" t="s">
        <v>75</v>
      </c>
      <c r="K1315" t="s">
        <v>2717</v>
      </c>
      <c r="L1315">
        <v>30</v>
      </c>
      <c r="M1315" t="s">
        <v>41</v>
      </c>
      <c r="N1315">
        <v>1.1675</v>
      </c>
      <c r="O1315">
        <v>1.343962242431219</v>
      </c>
      <c r="P1315">
        <v>6.3808274580532329E-3</v>
      </c>
      <c r="Q1315">
        <v>6.3808274580532329E-3</v>
      </c>
      <c r="R1315">
        <v>3246.7031555719518</v>
      </c>
      <c r="S1315" t="s">
        <v>16</v>
      </c>
      <c r="T1315">
        <v>6.4599999999999996E-3</v>
      </c>
      <c r="U1315">
        <v>3286.9878589999998</v>
      </c>
      <c r="V1315">
        <v>-40.284703428048033</v>
      </c>
      <c r="W1315">
        <v>-1.2255811446867907E-2</v>
      </c>
    </row>
    <row r="1316" spans="1:23" x14ac:dyDescent="0.25">
      <c r="A1316" t="s">
        <v>2718</v>
      </c>
      <c r="B1316" t="s">
        <v>44</v>
      </c>
      <c r="C1316" t="s">
        <v>138</v>
      </c>
      <c r="D1316" t="s">
        <v>33</v>
      </c>
      <c r="E1316" t="s">
        <v>88</v>
      </c>
      <c r="F1316" s="1">
        <v>46298</v>
      </c>
      <c r="G1316">
        <v>46343</v>
      </c>
      <c r="H1316" t="s">
        <v>9</v>
      </c>
      <c r="I1316">
        <v>1076254.8400000001</v>
      </c>
      <c r="J1316" t="s">
        <v>84</v>
      </c>
      <c r="K1316" t="s">
        <v>2719</v>
      </c>
      <c r="L1316">
        <v>45</v>
      </c>
      <c r="M1316" t="s">
        <v>44</v>
      </c>
      <c r="N1316">
        <v>1.1225000000000001</v>
      </c>
      <c r="O1316">
        <v>1.3200757353027648</v>
      </c>
      <c r="P1316">
        <v>6.3421662240804562E-3</v>
      </c>
      <c r="Q1316">
        <v>6.3421662240804562E-3</v>
      </c>
      <c r="R1316">
        <v>6825.7870947511165</v>
      </c>
      <c r="S1316" t="s">
        <v>23</v>
      </c>
      <c r="T1316">
        <v>6.8799999999999998E-3</v>
      </c>
      <c r="U1316">
        <v>7404.6332992000007</v>
      </c>
      <c r="V1316">
        <v>-578.84620444888424</v>
      </c>
      <c r="W1316">
        <v>-7.8173513941794115E-2</v>
      </c>
    </row>
    <row r="1317" spans="1:23" x14ac:dyDescent="0.25">
      <c r="A1317" t="s">
        <v>2720</v>
      </c>
      <c r="B1317" t="s">
        <v>44</v>
      </c>
      <c r="C1317" t="s">
        <v>138</v>
      </c>
      <c r="D1317" t="s">
        <v>33</v>
      </c>
      <c r="E1317" t="s">
        <v>88</v>
      </c>
      <c r="F1317" s="1">
        <v>45683</v>
      </c>
      <c r="G1317">
        <v>45728</v>
      </c>
      <c r="H1317" t="s">
        <v>9</v>
      </c>
      <c r="I1317">
        <v>751568.31</v>
      </c>
      <c r="J1317" t="s">
        <v>75</v>
      </c>
      <c r="K1317" t="s">
        <v>2721</v>
      </c>
      <c r="L1317">
        <v>45</v>
      </c>
      <c r="M1317" t="s">
        <v>44</v>
      </c>
      <c r="N1317">
        <v>1.0389999999999999</v>
      </c>
      <c r="O1317">
        <v>1.2471042934476011</v>
      </c>
      <c r="P1317">
        <v>6.5022842480755988E-3</v>
      </c>
      <c r="Q1317">
        <v>6.5022842480755988E-3</v>
      </c>
      <c r="R1317">
        <v>4886.9107834657989</v>
      </c>
      <c r="S1317" t="s">
        <v>11</v>
      </c>
      <c r="T1317">
        <v>6.5599999999999999E-3</v>
      </c>
      <c r="U1317">
        <v>4930.2881136000005</v>
      </c>
      <c r="V1317">
        <v>-43.377330134201657</v>
      </c>
      <c r="W1317">
        <v>-8.798132915305101E-3</v>
      </c>
    </row>
    <row r="1318" spans="1:23" x14ac:dyDescent="0.25">
      <c r="A1318" t="s">
        <v>2722</v>
      </c>
      <c r="B1318" t="s">
        <v>39</v>
      </c>
      <c r="C1318" t="s">
        <v>82</v>
      </c>
      <c r="D1318" t="s">
        <v>33</v>
      </c>
      <c r="E1318" t="s">
        <v>83</v>
      </c>
      <c r="F1318" s="1">
        <v>45713</v>
      </c>
      <c r="G1318">
        <v>45758</v>
      </c>
      <c r="H1318" t="s">
        <v>8</v>
      </c>
      <c r="I1318">
        <v>1865.43</v>
      </c>
      <c r="J1318" t="s">
        <v>75</v>
      </c>
      <c r="K1318" t="s">
        <v>2723</v>
      </c>
      <c r="L1318">
        <v>45</v>
      </c>
      <c r="M1318" t="s">
        <v>39</v>
      </c>
      <c r="N1318">
        <v>1.0497000000000001</v>
      </c>
      <c r="O1318">
        <v>1.2661021855550731</v>
      </c>
      <c r="P1318">
        <v>6.6779057191933338E-3</v>
      </c>
      <c r="Q1318">
        <v>1.2661021855550731</v>
      </c>
      <c r="R1318">
        <v>2361.8250000000003</v>
      </c>
      <c r="S1318" t="s">
        <v>11</v>
      </c>
      <c r="T1318">
        <v>1.238</v>
      </c>
      <c r="U1318">
        <v>2309.4023400000001</v>
      </c>
      <c r="V1318">
        <v>52.422660000000178</v>
      </c>
      <c r="W1318">
        <v>2.2699665230269134E-2</v>
      </c>
    </row>
    <row r="1319" spans="1:23" x14ac:dyDescent="0.25">
      <c r="A1319" t="s">
        <v>2724</v>
      </c>
      <c r="B1319" t="s">
        <v>44</v>
      </c>
      <c r="C1319" t="s">
        <v>138</v>
      </c>
      <c r="D1319" t="s">
        <v>33</v>
      </c>
      <c r="E1319" t="s">
        <v>88</v>
      </c>
      <c r="F1319" s="1">
        <v>46166</v>
      </c>
      <c r="G1319">
        <v>46211</v>
      </c>
      <c r="H1319" t="s">
        <v>9</v>
      </c>
      <c r="I1319">
        <v>1324692.68</v>
      </c>
      <c r="J1319" t="s">
        <v>75</v>
      </c>
      <c r="K1319" t="s">
        <v>2725</v>
      </c>
      <c r="L1319">
        <v>45</v>
      </c>
      <c r="M1319" t="s">
        <v>44</v>
      </c>
      <c r="N1319">
        <v>1.1595</v>
      </c>
      <c r="O1319">
        <v>1.3417343608970353</v>
      </c>
      <c r="P1319">
        <v>6.2835311331490814E-3</v>
      </c>
      <c r="Q1319">
        <v>6.2835311331490814E-3</v>
      </c>
      <c r="R1319">
        <v>8323.7476966346931</v>
      </c>
      <c r="S1319" t="s">
        <v>19</v>
      </c>
      <c r="T1319">
        <v>6.6E-3</v>
      </c>
      <c r="U1319">
        <v>8742.9716879999996</v>
      </c>
      <c r="V1319">
        <v>-419.22399136530657</v>
      </c>
      <c r="W1319">
        <v>-4.7949828310745249E-2</v>
      </c>
    </row>
    <row r="1320" spans="1:23" x14ac:dyDescent="0.25">
      <c r="A1320" t="s">
        <v>2726</v>
      </c>
      <c r="B1320" t="s">
        <v>34</v>
      </c>
      <c r="C1320" t="s">
        <v>177</v>
      </c>
      <c r="D1320" t="s">
        <v>31</v>
      </c>
      <c r="E1320" t="s">
        <v>74</v>
      </c>
      <c r="F1320" s="1">
        <v>46290</v>
      </c>
      <c r="G1320">
        <v>46350</v>
      </c>
      <c r="H1320" t="s">
        <v>8</v>
      </c>
      <c r="I1320">
        <v>23326.85</v>
      </c>
      <c r="J1320" t="s">
        <v>75</v>
      </c>
      <c r="K1320" t="s">
        <v>2727</v>
      </c>
      <c r="L1320">
        <v>60</v>
      </c>
      <c r="M1320" t="s">
        <v>34</v>
      </c>
      <c r="N1320">
        <v>1.1403000000000001</v>
      </c>
      <c r="O1320">
        <v>1.3252367947004475</v>
      </c>
      <c r="P1320">
        <v>6.3455759599332232E-3</v>
      </c>
      <c r="Q1320">
        <v>1.3252367947004475</v>
      </c>
      <c r="R1320">
        <v>30913.599924458133</v>
      </c>
      <c r="S1320" t="s">
        <v>21</v>
      </c>
      <c r="T1320">
        <v>1.2929999999999999</v>
      </c>
      <c r="U1320">
        <v>30161.617049999997</v>
      </c>
      <c r="V1320">
        <v>751.98287445813548</v>
      </c>
      <c r="W1320">
        <v>2.4931782444275002E-2</v>
      </c>
    </row>
    <row r="1321" spans="1:23" x14ac:dyDescent="0.25">
      <c r="A1321" t="s">
        <v>2728</v>
      </c>
      <c r="B1321" t="s">
        <v>28</v>
      </c>
      <c r="C1321" t="s">
        <v>111</v>
      </c>
      <c r="D1321" t="s">
        <v>31</v>
      </c>
      <c r="E1321" t="s">
        <v>74</v>
      </c>
      <c r="F1321" s="1">
        <v>46232</v>
      </c>
      <c r="G1321">
        <v>46277</v>
      </c>
      <c r="H1321" t="s">
        <v>9</v>
      </c>
      <c r="I1321">
        <v>3252871.09</v>
      </c>
      <c r="J1321" t="s">
        <v>75</v>
      </c>
      <c r="K1321" t="s">
        <v>2729</v>
      </c>
      <c r="L1321">
        <v>45</v>
      </c>
      <c r="M1321" t="s">
        <v>28</v>
      </c>
      <c r="N1321">
        <v>1.1379999999999999</v>
      </c>
      <c r="O1321">
        <v>1.3288958953698837</v>
      </c>
      <c r="P1321">
        <v>6.1094110699522189E-3</v>
      </c>
      <c r="Q1321">
        <v>6.1094110699522189E-3</v>
      </c>
      <c r="R1321">
        <v>19873.126646373541</v>
      </c>
      <c r="S1321" t="s">
        <v>21</v>
      </c>
      <c r="T1321">
        <v>6.7400000000000003E-3</v>
      </c>
      <c r="U1321">
        <v>21924.351146600002</v>
      </c>
      <c r="V1321">
        <v>-2051.2245002264608</v>
      </c>
      <c r="W1321">
        <v>-9.3559188434388943E-2</v>
      </c>
    </row>
    <row r="1322" spans="1:23" x14ac:dyDescent="0.25">
      <c r="A1322" t="s">
        <v>2730</v>
      </c>
      <c r="B1322" t="s">
        <v>32</v>
      </c>
      <c r="C1322" t="s">
        <v>106</v>
      </c>
      <c r="D1322" t="s">
        <v>31</v>
      </c>
      <c r="E1322" t="s">
        <v>74</v>
      </c>
      <c r="F1322" s="1">
        <v>46350</v>
      </c>
      <c r="G1322">
        <v>46380</v>
      </c>
      <c r="H1322" t="s">
        <v>6</v>
      </c>
      <c r="I1322">
        <v>7822.97</v>
      </c>
      <c r="J1322" t="s">
        <v>84</v>
      </c>
      <c r="K1322" t="s">
        <v>2731</v>
      </c>
      <c r="L1322">
        <v>30</v>
      </c>
      <c r="M1322" t="s">
        <v>32</v>
      </c>
      <c r="N1322">
        <v>1.1176999999999999</v>
      </c>
      <c r="O1322">
        <v>1.320456022210408</v>
      </c>
      <c r="P1322">
        <v>6.3200452360757699E-3</v>
      </c>
      <c r="Q1322">
        <v>1.1176999999999999</v>
      </c>
      <c r="R1322">
        <v>8743.733569</v>
      </c>
      <c r="S1322" t="s">
        <v>23</v>
      </c>
      <c r="T1322">
        <v>1.119</v>
      </c>
      <c r="U1322">
        <v>8753.9034300000003</v>
      </c>
      <c r="V1322">
        <v>-10.16986100000031</v>
      </c>
      <c r="W1322">
        <v>-1.1617515638963714E-3</v>
      </c>
    </row>
    <row r="1323" spans="1:23" x14ac:dyDescent="0.25">
      <c r="A1323" t="s">
        <v>2732</v>
      </c>
      <c r="B1323" t="s">
        <v>26</v>
      </c>
      <c r="C1323" t="s">
        <v>94</v>
      </c>
      <c r="D1323" t="s">
        <v>31</v>
      </c>
      <c r="E1323" t="s">
        <v>74</v>
      </c>
      <c r="F1323" s="1">
        <v>45706</v>
      </c>
      <c r="G1323">
        <v>45736</v>
      </c>
      <c r="H1323" t="s">
        <v>8</v>
      </c>
      <c r="I1323">
        <v>10873.21</v>
      </c>
      <c r="J1323" t="s">
        <v>75</v>
      </c>
      <c r="K1323" t="s">
        <v>2733</v>
      </c>
      <c r="L1323">
        <v>30</v>
      </c>
      <c r="M1323" t="s">
        <v>26</v>
      </c>
      <c r="N1323">
        <v>1.0447</v>
      </c>
      <c r="O1323">
        <v>1.2582956940680516</v>
      </c>
      <c r="P1323">
        <v>6.5890886155786808E-3</v>
      </c>
      <c r="Q1323">
        <v>1.2582956940680516</v>
      </c>
      <c r="R1323">
        <v>13681.713323697679</v>
      </c>
      <c r="S1323" t="s">
        <v>11</v>
      </c>
      <c r="T1323">
        <v>1.238</v>
      </c>
      <c r="U1323">
        <v>13461.033979999998</v>
      </c>
      <c r="V1323">
        <v>220.67934369768045</v>
      </c>
      <c r="W1323">
        <v>1.6393937050122539E-2</v>
      </c>
    </row>
    <row r="1324" spans="1:23" x14ac:dyDescent="0.25">
      <c r="A1324" t="s">
        <v>2734</v>
      </c>
      <c r="B1324" t="s">
        <v>28</v>
      </c>
      <c r="C1324" t="s">
        <v>111</v>
      </c>
      <c r="D1324" t="s">
        <v>31</v>
      </c>
      <c r="E1324" t="s">
        <v>74</v>
      </c>
      <c r="F1324" s="1">
        <v>46024</v>
      </c>
      <c r="G1324">
        <v>46069</v>
      </c>
      <c r="H1324" t="s">
        <v>9</v>
      </c>
      <c r="I1324">
        <v>1325412.01</v>
      </c>
      <c r="J1324" t="s">
        <v>75</v>
      </c>
      <c r="K1324" t="s">
        <v>2735</v>
      </c>
      <c r="L1324">
        <v>45</v>
      </c>
      <c r="M1324" t="s">
        <v>28</v>
      </c>
      <c r="N1324">
        <v>1.1720999999999999</v>
      </c>
      <c r="O1324">
        <v>1.3443055396261039</v>
      </c>
      <c r="P1324">
        <v>6.3721865825812759E-3</v>
      </c>
      <c r="Q1324">
        <v>6.3721865825812759E-3</v>
      </c>
      <c r="R1324">
        <v>8445.7726265140791</v>
      </c>
      <c r="S1324" t="s">
        <v>16</v>
      </c>
      <c r="T1324">
        <v>6.4599999999999996E-3</v>
      </c>
      <c r="U1324">
        <v>8562.1615846000004</v>
      </c>
      <c r="V1324">
        <v>-116.38895808592133</v>
      </c>
      <c r="W1324">
        <v>-1.3593408269152478E-2</v>
      </c>
    </row>
    <row r="1325" spans="1:23" x14ac:dyDescent="0.25">
      <c r="A1325" t="s">
        <v>2736</v>
      </c>
      <c r="B1325" t="s">
        <v>44</v>
      </c>
      <c r="C1325" t="s">
        <v>138</v>
      </c>
      <c r="D1325" t="s">
        <v>33</v>
      </c>
      <c r="E1325" t="s">
        <v>88</v>
      </c>
      <c r="F1325" s="1">
        <v>46074</v>
      </c>
      <c r="G1325">
        <v>46119</v>
      </c>
      <c r="H1325" t="s">
        <v>9</v>
      </c>
      <c r="I1325">
        <v>1508037.08</v>
      </c>
      <c r="J1325" t="s">
        <v>75</v>
      </c>
      <c r="K1325" t="s">
        <v>2737</v>
      </c>
      <c r="L1325">
        <v>45</v>
      </c>
      <c r="M1325" t="s">
        <v>44</v>
      </c>
      <c r="N1325">
        <v>1.1555</v>
      </c>
      <c r="O1325">
        <v>1.3367963164349013</v>
      </c>
      <c r="P1325">
        <v>6.2983756677204832E-3</v>
      </c>
      <c r="Q1325">
        <v>6.2983756677204832E-3</v>
      </c>
      <c r="R1325">
        <v>9498.184050692249</v>
      </c>
      <c r="S1325" t="s">
        <v>16</v>
      </c>
      <c r="T1325">
        <v>6.4599999999999996E-3</v>
      </c>
      <c r="U1325">
        <v>9741.9195368000001</v>
      </c>
      <c r="V1325">
        <v>-243.73548610775106</v>
      </c>
      <c r="W1325">
        <v>-2.5019246482897214E-2</v>
      </c>
    </row>
    <row r="1326" spans="1:23" x14ac:dyDescent="0.25">
      <c r="A1326" t="s">
        <v>2738</v>
      </c>
      <c r="B1326" t="s">
        <v>34</v>
      </c>
      <c r="C1326" t="s">
        <v>177</v>
      </c>
      <c r="D1326" t="s">
        <v>31</v>
      </c>
      <c r="E1326" t="s">
        <v>74</v>
      </c>
      <c r="F1326" s="1">
        <v>45869</v>
      </c>
      <c r="G1326">
        <v>45929</v>
      </c>
      <c r="H1326" t="s">
        <v>8</v>
      </c>
      <c r="I1326">
        <v>7361.38</v>
      </c>
      <c r="J1326" t="s">
        <v>75</v>
      </c>
      <c r="K1326" t="s">
        <v>2739</v>
      </c>
      <c r="L1326">
        <v>60</v>
      </c>
      <c r="M1326" t="s">
        <v>34</v>
      </c>
      <c r="N1326">
        <v>1.1446000000000001</v>
      </c>
      <c r="O1326">
        <v>1.3233899872817667</v>
      </c>
      <c r="P1326">
        <v>6.6732742537313431E-3</v>
      </c>
      <c r="Q1326">
        <v>1.3233899872817667</v>
      </c>
      <c r="R1326">
        <v>9741.9765845762522</v>
      </c>
      <c r="S1326" t="s">
        <v>13</v>
      </c>
      <c r="T1326">
        <v>1.282</v>
      </c>
      <c r="U1326">
        <v>9437.2891600000003</v>
      </c>
      <c r="V1326">
        <v>304.68742457625194</v>
      </c>
      <c r="W1326">
        <v>3.228548149903801E-2</v>
      </c>
    </row>
    <row r="1327" spans="1:23" x14ac:dyDescent="0.25">
      <c r="A1327" t="s">
        <v>2740</v>
      </c>
      <c r="B1327" t="s">
        <v>40</v>
      </c>
      <c r="C1327" t="s">
        <v>78</v>
      </c>
      <c r="D1327" t="s">
        <v>33</v>
      </c>
      <c r="E1327" t="s">
        <v>79</v>
      </c>
      <c r="F1327" s="1">
        <v>46061</v>
      </c>
      <c r="G1327">
        <v>46091</v>
      </c>
      <c r="H1327" t="s">
        <v>9</v>
      </c>
      <c r="I1327">
        <v>365217.67</v>
      </c>
      <c r="J1327" t="s">
        <v>75</v>
      </c>
      <c r="K1327" t="s">
        <v>2741</v>
      </c>
      <c r="L1327">
        <v>30</v>
      </c>
      <c r="M1327" t="s">
        <v>40</v>
      </c>
      <c r="N1327">
        <v>1.1555</v>
      </c>
      <c r="O1327">
        <v>1.3367963164349013</v>
      </c>
      <c r="P1327">
        <v>6.2983756677204832E-3</v>
      </c>
      <c r="Q1327">
        <v>6.2983756677204832E-3</v>
      </c>
      <c r="R1327">
        <v>2300.2780861495689</v>
      </c>
      <c r="S1327" t="s">
        <v>16</v>
      </c>
      <c r="T1327">
        <v>6.4599999999999996E-3</v>
      </c>
      <c r="U1327">
        <v>2359.3061481999998</v>
      </c>
      <c r="V1327">
        <v>-59.02806205043089</v>
      </c>
      <c r="W1327">
        <v>-2.5019246482897328E-2</v>
      </c>
    </row>
    <row r="1328" spans="1:23" x14ac:dyDescent="0.25">
      <c r="A1328" t="s">
        <v>2742</v>
      </c>
      <c r="B1328" t="s">
        <v>26</v>
      </c>
      <c r="C1328" t="s">
        <v>94</v>
      </c>
      <c r="D1328" t="s">
        <v>31</v>
      </c>
      <c r="E1328" t="s">
        <v>74</v>
      </c>
      <c r="F1328" s="1">
        <v>46046</v>
      </c>
      <c r="G1328">
        <v>46076</v>
      </c>
      <c r="H1328" t="s">
        <v>8</v>
      </c>
      <c r="I1328">
        <v>8278.7199999999993</v>
      </c>
      <c r="J1328" t="s">
        <v>75</v>
      </c>
      <c r="K1328" t="s">
        <v>2743</v>
      </c>
      <c r="L1328">
        <v>30</v>
      </c>
      <c r="M1328" t="s">
        <v>26</v>
      </c>
      <c r="N1328">
        <v>1.1555</v>
      </c>
      <c r="O1328">
        <v>1.3367963164349013</v>
      </c>
      <c r="P1328">
        <v>6.2983756677204832E-3</v>
      </c>
      <c r="Q1328">
        <v>1.3367963164349013</v>
      </c>
      <c r="R1328">
        <v>11066.962400795945</v>
      </c>
      <c r="S1328" t="s">
        <v>16</v>
      </c>
      <c r="T1328">
        <v>1.2490000000000001</v>
      </c>
      <c r="U1328">
        <v>10340.121279999999</v>
      </c>
      <c r="V1328">
        <v>726.84112079594524</v>
      </c>
      <c r="W1328">
        <v>7.0293287778143476E-2</v>
      </c>
    </row>
    <row r="1329" spans="1:23" x14ac:dyDescent="0.25">
      <c r="A1329" t="s">
        <v>2744</v>
      </c>
      <c r="B1329" t="s">
        <v>24</v>
      </c>
      <c r="C1329" t="s">
        <v>73</v>
      </c>
      <c r="D1329" t="s">
        <v>31</v>
      </c>
      <c r="E1329" t="s">
        <v>74</v>
      </c>
      <c r="F1329" s="1">
        <v>45800</v>
      </c>
      <c r="G1329">
        <v>45830</v>
      </c>
      <c r="H1329" t="s">
        <v>6</v>
      </c>
      <c r="I1329">
        <v>16890.41</v>
      </c>
      <c r="J1329" t="s">
        <v>75</v>
      </c>
      <c r="K1329" t="s">
        <v>2745</v>
      </c>
      <c r="L1329">
        <v>30</v>
      </c>
      <c r="M1329" t="s">
        <v>24</v>
      </c>
      <c r="N1329">
        <v>1.1301000000000001</v>
      </c>
      <c r="O1329">
        <v>1.3482462419470296</v>
      </c>
      <c r="P1329">
        <v>7.0135915099609021E-3</v>
      </c>
      <c r="Q1329">
        <v>1.1301000000000001</v>
      </c>
      <c r="R1329">
        <v>19087.852341000002</v>
      </c>
      <c r="S1329" t="s">
        <v>12</v>
      </c>
      <c r="T1329">
        <v>1.07</v>
      </c>
      <c r="U1329">
        <v>18072.738700000002</v>
      </c>
      <c r="V1329">
        <v>1015.1136409999999</v>
      </c>
      <c r="W1329">
        <v>5.6168224299065414E-2</v>
      </c>
    </row>
    <row r="1330" spans="1:23" x14ac:dyDescent="0.25">
      <c r="A1330" t="s">
        <v>2746</v>
      </c>
      <c r="B1330" t="s">
        <v>24</v>
      </c>
      <c r="C1330" t="s">
        <v>73</v>
      </c>
      <c r="D1330" t="s">
        <v>31</v>
      </c>
      <c r="E1330" t="s">
        <v>74</v>
      </c>
      <c r="F1330" s="1">
        <v>46130</v>
      </c>
      <c r="G1330">
        <v>46160</v>
      </c>
      <c r="H1330" t="s">
        <v>6</v>
      </c>
      <c r="I1330">
        <v>14560.57</v>
      </c>
      <c r="J1330" t="s">
        <v>75</v>
      </c>
      <c r="K1330" t="s">
        <v>2747</v>
      </c>
      <c r="L1330">
        <v>30</v>
      </c>
      <c r="M1330" t="s">
        <v>24</v>
      </c>
      <c r="N1330">
        <v>1.1797</v>
      </c>
      <c r="O1330">
        <v>1.3533636196769456</v>
      </c>
      <c r="P1330">
        <v>6.2843596846366926E-3</v>
      </c>
      <c r="Q1330">
        <v>1.1797</v>
      </c>
      <c r="R1330">
        <v>17177.104428999999</v>
      </c>
      <c r="S1330" t="s">
        <v>19</v>
      </c>
      <c r="T1330">
        <v>1.083</v>
      </c>
      <c r="U1330">
        <v>15769.097309999999</v>
      </c>
      <c r="V1330">
        <v>1408.0071189999999</v>
      </c>
      <c r="W1330">
        <v>8.9289012003693435E-2</v>
      </c>
    </row>
    <row r="1331" spans="1:23" x14ac:dyDescent="0.25">
      <c r="A1331" t="s">
        <v>2748</v>
      </c>
      <c r="B1331" t="s">
        <v>32</v>
      </c>
      <c r="C1331" t="s">
        <v>106</v>
      </c>
      <c r="D1331" t="s">
        <v>31</v>
      </c>
      <c r="E1331" t="s">
        <v>74</v>
      </c>
      <c r="F1331" s="1">
        <v>46372</v>
      </c>
      <c r="G1331">
        <v>46402</v>
      </c>
      <c r="H1331" t="s">
        <v>6</v>
      </c>
      <c r="I1331">
        <v>17587.79</v>
      </c>
      <c r="J1331" t="s">
        <v>84</v>
      </c>
      <c r="K1331" t="s">
        <v>2749</v>
      </c>
      <c r="L1331">
        <v>30</v>
      </c>
      <c r="M1331" t="s">
        <v>32</v>
      </c>
      <c r="N1331">
        <v>1.1176999999999999</v>
      </c>
      <c r="O1331">
        <v>1.320456022210408</v>
      </c>
      <c r="P1331">
        <v>6.3200452360757699E-3</v>
      </c>
      <c r="Q1331">
        <v>1.1176999999999999</v>
      </c>
      <c r="R1331">
        <v>19657.872883</v>
      </c>
      <c r="S1331" t="s">
        <v>23</v>
      </c>
      <c r="T1331">
        <v>1.119</v>
      </c>
      <c r="U1331">
        <v>19680.737010000001</v>
      </c>
      <c r="V1331">
        <v>-22.864127000000735</v>
      </c>
      <c r="W1331">
        <v>-1.1617515638963733E-3</v>
      </c>
    </row>
    <row r="1332" spans="1:23" x14ac:dyDescent="0.25">
      <c r="A1332" t="s">
        <v>2750</v>
      </c>
      <c r="B1332" t="s">
        <v>37</v>
      </c>
      <c r="C1332" t="s">
        <v>91</v>
      </c>
      <c r="D1332" t="s">
        <v>31</v>
      </c>
      <c r="E1332" t="s">
        <v>74</v>
      </c>
      <c r="F1332" s="1">
        <v>45859</v>
      </c>
      <c r="G1332">
        <v>45889</v>
      </c>
      <c r="H1332" t="s">
        <v>6</v>
      </c>
      <c r="I1332">
        <v>13444.34</v>
      </c>
      <c r="J1332" t="s">
        <v>75</v>
      </c>
      <c r="K1332" t="s">
        <v>2751</v>
      </c>
      <c r="L1332">
        <v>30</v>
      </c>
      <c r="M1332" t="s">
        <v>37</v>
      </c>
      <c r="N1332">
        <v>1.1667000000000001</v>
      </c>
      <c r="O1332">
        <v>1.3478512014787432</v>
      </c>
      <c r="P1332">
        <v>6.7823508894314611E-3</v>
      </c>
      <c r="Q1332">
        <v>1.1667000000000001</v>
      </c>
      <c r="R1332">
        <v>15685.511478</v>
      </c>
      <c r="S1332" t="s">
        <v>13</v>
      </c>
      <c r="T1332">
        <v>1.0880000000000001</v>
      </c>
      <c r="U1332">
        <v>14627.441920000001</v>
      </c>
      <c r="V1332">
        <v>1058.0695579999992</v>
      </c>
      <c r="W1332">
        <v>7.2334558823529349E-2</v>
      </c>
    </row>
    <row r="1333" spans="1:23" x14ac:dyDescent="0.25">
      <c r="A1333" t="s">
        <v>2752</v>
      </c>
      <c r="B1333" t="s">
        <v>26</v>
      </c>
      <c r="C1333" t="s">
        <v>94</v>
      </c>
      <c r="D1333" t="s">
        <v>31</v>
      </c>
      <c r="E1333" t="s">
        <v>74</v>
      </c>
      <c r="F1333" s="1">
        <v>45662</v>
      </c>
      <c r="G1333">
        <v>45692</v>
      </c>
      <c r="H1333" t="s">
        <v>8</v>
      </c>
      <c r="I1333">
        <v>17554.47</v>
      </c>
      <c r="J1333" t="s">
        <v>75</v>
      </c>
      <c r="K1333" t="s">
        <v>2753</v>
      </c>
      <c r="L1333">
        <v>30</v>
      </c>
      <c r="M1333" t="s">
        <v>26</v>
      </c>
      <c r="N1333">
        <v>1.03</v>
      </c>
      <c r="O1333">
        <v>1.2216384187491844</v>
      </c>
      <c r="P1333">
        <v>6.3678516228748072E-3</v>
      </c>
      <c r="Q1333">
        <v>1.2216384187491844</v>
      </c>
      <c r="R1333">
        <v>21445.214972779999</v>
      </c>
      <c r="S1333" t="s">
        <v>11</v>
      </c>
      <c r="T1333">
        <v>1.238</v>
      </c>
      <c r="U1333">
        <v>21732.433860000001</v>
      </c>
      <c r="V1333">
        <v>-287.21888722000222</v>
      </c>
      <c r="W1333">
        <v>-1.3216139944115869E-2</v>
      </c>
    </row>
    <row r="1334" spans="1:23" x14ac:dyDescent="0.25">
      <c r="A1334" t="s">
        <v>2754</v>
      </c>
      <c r="B1334" t="s">
        <v>38</v>
      </c>
      <c r="C1334" t="s">
        <v>87</v>
      </c>
      <c r="D1334" t="s">
        <v>33</v>
      </c>
      <c r="E1334" t="s">
        <v>88</v>
      </c>
      <c r="F1334" s="1">
        <v>46084</v>
      </c>
      <c r="G1334">
        <v>46114</v>
      </c>
      <c r="H1334" t="s">
        <v>6</v>
      </c>
      <c r="I1334">
        <v>8288.36</v>
      </c>
      <c r="J1334" t="s">
        <v>75</v>
      </c>
      <c r="K1334" t="s">
        <v>2755</v>
      </c>
      <c r="L1334">
        <v>30</v>
      </c>
      <c r="M1334" t="s">
        <v>38</v>
      </c>
      <c r="N1334">
        <v>1.1606000000000001</v>
      </c>
      <c r="O1334">
        <v>1.3314213605598257</v>
      </c>
      <c r="P1334">
        <v>6.3427697016067335E-3</v>
      </c>
      <c r="Q1334">
        <v>1.1606000000000001</v>
      </c>
      <c r="R1334">
        <v>9619.4706160000005</v>
      </c>
      <c r="S1334" t="s">
        <v>16</v>
      </c>
      <c r="T1334">
        <v>1.0649999999999999</v>
      </c>
      <c r="U1334">
        <v>8827.1034</v>
      </c>
      <c r="V1334">
        <v>792.36721600000055</v>
      </c>
      <c r="W1334">
        <v>8.9765258215962498E-2</v>
      </c>
    </row>
    <row r="1335" spans="1:23" x14ac:dyDescent="0.25">
      <c r="A1335" t="s">
        <v>2756</v>
      </c>
      <c r="B1335" t="s">
        <v>24</v>
      </c>
      <c r="C1335" t="s">
        <v>73</v>
      </c>
      <c r="D1335" t="s">
        <v>31</v>
      </c>
      <c r="E1335" t="s">
        <v>74</v>
      </c>
      <c r="F1335" s="1">
        <v>46302</v>
      </c>
      <c r="G1335">
        <v>46332</v>
      </c>
      <c r="H1335" t="s">
        <v>6</v>
      </c>
      <c r="I1335">
        <v>22931.24</v>
      </c>
      <c r="J1335" t="s">
        <v>84</v>
      </c>
      <c r="K1335" t="s">
        <v>2757</v>
      </c>
      <c r="L1335">
        <v>30</v>
      </c>
      <c r="M1335" t="s">
        <v>24</v>
      </c>
      <c r="N1335">
        <v>1.1176999999999999</v>
      </c>
      <c r="O1335">
        <v>1.320456022210408</v>
      </c>
      <c r="P1335">
        <v>6.3200452360757699E-3</v>
      </c>
      <c r="Q1335">
        <v>1.1176999999999999</v>
      </c>
      <c r="R1335">
        <v>25630.246948</v>
      </c>
      <c r="S1335" t="s">
        <v>23</v>
      </c>
      <c r="T1335">
        <v>1.119</v>
      </c>
      <c r="U1335">
        <v>25660.057560000001</v>
      </c>
      <c r="V1335">
        <v>-29.810612000001129</v>
      </c>
      <c r="W1335">
        <v>-1.16175156389638E-3</v>
      </c>
    </row>
    <row r="1336" spans="1:23" x14ac:dyDescent="0.25">
      <c r="A1336" t="s">
        <v>2758</v>
      </c>
      <c r="B1336" t="s">
        <v>37</v>
      </c>
      <c r="C1336" t="s">
        <v>91</v>
      </c>
      <c r="D1336" t="s">
        <v>31</v>
      </c>
      <c r="E1336" t="s">
        <v>74</v>
      </c>
      <c r="F1336" s="1">
        <v>46340</v>
      </c>
      <c r="G1336">
        <v>46370</v>
      </c>
      <c r="H1336" t="s">
        <v>6</v>
      </c>
      <c r="I1336">
        <v>6476.3</v>
      </c>
      <c r="J1336" t="s">
        <v>84</v>
      </c>
      <c r="K1336" t="s">
        <v>2759</v>
      </c>
      <c r="L1336">
        <v>30</v>
      </c>
      <c r="M1336" t="s">
        <v>37</v>
      </c>
      <c r="N1336">
        <v>1.1176999999999999</v>
      </c>
      <c r="O1336">
        <v>1.320456022210408</v>
      </c>
      <c r="P1336">
        <v>6.3200452360757699E-3</v>
      </c>
      <c r="Q1336">
        <v>1.1176999999999999</v>
      </c>
      <c r="R1336">
        <v>7238.5605099999993</v>
      </c>
      <c r="S1336" t="s">
        <v>23</v>
      </c>
      <c r="T1336">
        <v>1.119</v>
      </c>
      <c r="U1336">
        <v>7246.9796999999999</v>
      </c>
      <c r="V1336">
        <v>-8.4191900000005262</v>
      </c>
      <c r="W1336">
        <v>-1.1617515638964087E-3</v>
      </c>
    </row>
    <row r="1337" spans="1:23" x14ac:dyDescent="0.25">
      <c r="A1337" t="s">
        <v>2760</v>
      </c>
      <c r="B1337" t="s">
        <v>25</v>
      </c>
      <c r="C1337" t="s">
        <v>169</v>
      </c>
      <c r="D1337" t="s">
        <v>31</v>
      </c>
      <c r="E1337" t="s">
        <v>124</v>
      </c>
      <c r="F1337" s="1">
        <v>45738</v>
      </c>
      <c r="G1337">
        <v>45798</v>
      </c>
      <c r="H1337" t="s">
        <v>6</v>
      </c>
      <c r="I1337">
        <v>61936.959999999999</v>
      </c>
      <c r="J1337" t="s">
        <v>75</v>
      </c>
      <c r="K1337" t="s">
        <v>2761</v>
      </c>
      <c r="L1337">
        <v>60</v>
      </c>
      <c r="M1337" t="s">
        <v>25</v>
      </c>
      <c r="N1337">
        <v>1.1325000000000001</v>
      </c>
      <c r="O1337">
        <v>1.3372298972724053</v>
      </c>
      <c r="P1337">
        <v>7.0063103192279149E-3</v>
      </c>
      <c r="Q1337">
        <v>1.1325000000000001</v>
      </c>
      <c r="R1337">
        <v>70143.607199999999</v>
      </c>
      <c r="S1337" t="s">
        <v>11</v>
      </c>
      <c r="T1337">
        <v>1.052</v>
      </c>
      <c r="U1337">
        <v>65157.681920000003</v>
      </c>
      <c r="V1337">
        <v>4985.9252799999958</v>
      </c>
      <c r="W1337">
        <v>7.652091254752845E-2</v>
      </c>
    </row>
    <row r="1338" spans="1:23" x14ac:dyDescent="0.25">
      <c r="A1338" t="s">
        <v>2762</v>
      </c>
      <c r="B1338" t="s">
        <v>26</v>
      </c>
      <c r="C1338" t="s">
        <v>94</v>
      </c>
      <c r="D1338" t="s">
        <v>31</v>
      </c>
      <c r="E1338" t="s">
        <v>74</v>
      </c>
      <c r="F1338" s="1">
        <v>45736</v>
      </c>
      <c r="G1338">
        <v>45766</v>
      </c>
      <c r="H1338" t="s">
        <v>8</v>
      </c>
      <c r="I1338">
        <v>5557.93</v>
      </c>
      <c r="J1338" t="s">
        <v>75</v>
      </c>
      <c r="K1338" t="s">
        <v>2763</v>
      </c>
      <c r="L1338">
        <v>30</v>
      </c>
      <c r="M1338" t="s">
        <v>26</v>
      </c>
      <c r="N1338">
        <v>1.0832999999999999</v>
      </c>
      <c r="O1338">
        <v>1.2944198829011828</v>
      </c>
      <c r="P1338">
        <v>6.7348461299347219E-3</v>
      </c>
      <c r="Q1338">
        <v>1.2944198829011828</v>
      </c>
      <c r="R1338">
        <v>7194.2950997729713</v>
      </c>
      <c r="S1338" t="s">
        <v>11</v>
      </c>
      <c r="T1338">
        <v>1.238</v>
      </c>
      <c r="U1338">
        <v>6880.7173400000001</v>
      </c>
      <c r="V1338">
        <v>313.57775977297115</v>
      </c>
      <c r="W1338">
        <v>4.5573411067191309E-2</v>
      </c>
    </row>
    <row r="1339" spans="1:23" x14ac:dyDescent="0.25">
      <c r="A1339" t="s">
        <v>2764</v>
      </c>
      <c r="B1339" t="s">
        <v>38</v>
      </c>
      <c r="C1339" t="s">
        <v>87</v>
      </c>
      <c r="D1339" t="s">
        <v>33</v>
      </c>
      <c r="E1339" t="s">
        <v>88</v>
      </c>
      <c r="F1339" s="1">
        <v>46079</v>
      </c>
      <c r="G1339">
        <v>46109</v>
      </c>
      <c r="H1339" t="s">
        <v>6</v>
      </c>
      <c r="I1339">
        <v>9796.32</v>
      </c>
      <c r="J1339" t="s">
        <v>75</v>
      </c>
      <c r="K1339" t="s">
        <v>2765</v>
      </c>
      <c r="L1339">
        <v>30</v>
      </c>
      <c r="M1339" t="s">
        <v>38</v>
      </c>
      <c r="N1339">
        <v>1.1814</v>
      </c>
      <c r="O1339">
        <v>1.3549719004472991</v>
      </c>
      <c r="P1339">
        <v>6.4077669902912618E-3</v>
      </c>
      <c r="Q1339">
        <v>1.1814</v>
      </c>
      <c r="R1339">
        <v>11573.372448</v>
      </c>
      <c r="S1339" t="s">
        <v>16</v>
      </c>
      <c r="T1339">
        <v>1.0649999999999999</v>
      </c>
      <c r="U1339">
        <v>10433.0808</v>
      </c>
      <c r="V1339">
        <v>1140.2916480000004</v>
      </c>
      <c r="W1339">
        <v>0.10929577464788737</v>
      </c>
    </row>
    <row r="1340" spans="1:23" x14ac:dyDescent="0.25">
      <c r="A1340" t="s">
        <v>2764</v>
      </c>
      <c r="B1340" t="s">
        <v>40</v>
      </c>
      <c r="C1340" t="s">
        <v>78</v>
      </c>
      <c r="D1340" t="s">
        <v>33</v>
      </c>
      <c r="E1340" t="s">
        <v>79</v>
      </c>
      <c r="F1340" s="1">
        <v>46197</v>
      </c>
      <c r="G1340">
        <v>46227</v>
      </c>
      <c r="H1340" t="s">
        <v>9</v>
      </c>
      <c r="I1340">
        <v>1234843.8500000001</v>
      </c>
      <c r="J1340" t="s">
        <v>75</v>
      </c>
      <c r="K1340" t="s">
        <v>2766</v>
      </c>
      <c r="L1340">
        <v>30</v>
      </c>
      <c r="M1340" t="s">
        <v>40</v>
      </c>
      <c r="N1340">
        <v>1.1339999999999999</v>
      </c>
      <c r="O1340">
        <v>1.3160796146927405</v>
      </c>
      <c r="P1340">
        <v>6.1848922825197706E-3</v>
      </c>
      <c r="Q1340">
        <v>6.1848922825197706E-3</v>
      </c>
      <c r="R1340">
        <v>7637.3761979820019</v>
      </c>
      <c r="S1340" t="s">
        <v>19</v>
      </c>
      <c r="T1340">
        <v>6.6E-3</v>
      </c>
      <c r="U1340">
        <v>8149.9694100000006</v>
      </c>
      <c r="V1340">
        <v>-512.59321201799867</v>
      </c>
      <c r="W1340">
        <v>-6.2895108709125652E-2</v>
      </c>
    </row>
    <row r="1341" spans="1:23" x14ac:dyDescent="0.25">
      <c r="A1341" t="s">
        <v>2767</v>
      </c>
      <c r="B1341" t="s">
        <v>24</v>
      </c>
      <c r="C1341" t="s">
        <v>73</v>
      </c>
      <c r="D1341" t="s">
        <v>31</v>
      </c>
      <c r="E1341" t="s">
        <v>74</v>
      </c>
      <c r="F1341" s="1">
        <v>46124</v>
      </c>
      <c r="G1341">
        <v>46154</v>
      </c>
      <c r="H1341" t="s">
        <v>6</v>
      </c>
      <c r="I1341">
        <v>14941.19</v>
      </c>
      <c r="J1341" t="s">
        <v>75</v>
      </c>
      <c r="K1341" t="s">
        <v>2768</v>
      </c>
      <c r="L1341">
        <v>30</v>
      </c>
      <c r="M1341" t="s">
        <v>24</v>
      </c>
      <c r="N1341">
        <v>1.1711</v>
      </c>
      <c r="O1341">
        <v>1.3444693186384249</v>
      </c>
      <c r="P1341">
        <v>6.2817143163653921E-3</v>
      </c>
      <c r="Q1341">
        <v>1.1711</v>
      </c>
      <c r="R1341">
        <v>17497.627609000003</v>
      </c>
      <c r="S1341" t="s">
        <v>19</v>
      </c>
      <c r="T1341">
        <v>1.083</v>
      </c>
      <c r="U1341">
        <v>16181.30877</v>
      </c>
      <c r="V1341">
        <v>1316.3188390000032</v>
      </c>
      <c r="W1341">
        <v>8.1348107109880163E-2</v>
      </c>
    </row>
    <row r="1342" spans="1:23" x14ac:dyDescent="0.25">
      <c r="A1342" t="s">
        <v>2769</v>
      </c>
      <c r="B1342" t="s">
        <v>38</v>
      </c>
      <c r="C1342" t="s">
        <v>87</v>
      </c>
      <c r="D1342" t="s">
        <v>33</v>
      </c>
      <c r="E1342" t="s">
        <v>88</v>
      </c>
      <c r="F1342" s="1">
        <v>45685</v>
      </c>
      <c r="G1342">
        <v>45715</v>
      </c>
      <c r="H1342" t="s">
        <v>6</v>
      </c>
      <c r="I1342">
        <v>1933.56</v>
      </c>
      <c r="J1342" t="s">
        <v>75</v>
      </c>
      <c r="K1342" t="s">
        <v>2770</v>
      </c>
      <c r="L1342">
        <v>30</v>
      </c>
      <c r="M1342" t="s">
        <v>38</v>
      </c>
      <c r="N1342">
        <v>1.0421</v>
      </c>
      <c r="O1342">
        <v>1.2425478132303143</v>
      </c>
      <c r="P1342">
        <v>6.4382799950574564E-3</v>
      </c>
      <c r="Q1342">
        <v>1.0421</v>
      </c>
      <c r="R1342">
        <v>2014.9628760000001</v>
      </c>
      <c r="S1342" t="s">
        <v>11</v>
      </c>
      <c r="T1342">
        <v>1.052</v>
      </c>
      <c r="U1342">
        <v>2034.1051199999999</v>
      </c>
      <c r="V1342">
        <v>-19.142243999999891</v>
      </c>
      <c r="W1342">
        <v>-9.4106463878326461E-3</v>
      </c>
    </row>
    <row r="1343" spans="1:23" x14ac:dyDescent="0.25">
      <c r="A1343" t="s">
        <v>2771</v>
      </c>
      <c r="B1343" t="s">
        <v>26</v>
      </c>
      <c r="C1343" t="s">
        <v>94</v>
      </c>
      <c r="D1343" t="s">
        <v>31</v>
      </c>
      <c r="E1343" t="s">
        <v>74</v>
      </c>
      <c r="F1343" s="1">
        <v>45768</v>
      </c>
      <c r="G1343">
        <v>45798</v>
      </c>
      <c r="H1343" t="s">
        <v>8</v>
      </c>
      <c r="I1343">
        <v>7844.76</v>
      </c>
      <c r="J1343" t="s">
        <v>75</v>
      </c>
      <c r="K1343" t="s">
        <v>2772</v>
      </c>
      <c r="L1343">
        <v>30</v>
      </c>
      <c r="M1343" t="s">
        <v>26</v>
      </c>
      <c r="N1343">
        <v>1.1568000000000001</v>
      </c>
      <c r="O1343">
        <v>1.356950146627566</v>
      </c>
      <c r="P1343">
        <v>6.9124589184344195E-3</v>
      </c>
      <c r="Q1343">
        <v>1.356950146627566</v>
      </c>
      <c r="R1343">
        <v>10644.948232258064</v>
      </c>
      <c r="S1343" t="s">
        <v>12</v>
      </c>
      <c r="T1343">
        <v>1.26</v>
      </c>
      <c r="U1343">
        <v>9884.3976000000002</v>
      </c>
      <c r="V1343">
        <v>760.55063225806407</v>
      </c>
      <c r="W1343">
        <v>7.6944560815528515E-2</v>
      </c>
    </row>
    <row r="1344" spans="1:23" x14ac:dyDescent="0.25">
      <c r="A1344" t="s">
        <v>2773</v>
      </c>
      <c r="B1344" t="s">
        <v>41</v>
      </c>
      <c r="C1344" t="s">
        <v>172</v>
      </c>
      <c r="D1344" t="s">
        <v>33</v>
      </c>
      <c r="E1344" t="s">
        <v>83</v>
      </c>
      <c r="F1344" s="1">
        <v>46192</v>
      </c>
      <c r="G1344">
        <v>46222</v>
      </c>
      <c r="H1344" t="s">
        <v>9</v>
      </c>
      <c r="I1344">
        <v>1585016.55</v>
      </c>
      <c r="J1344" t="s">
        <v>75</v>
      </c>
      <c r="K1344" t="s">
        <v>2774</v>
      </c>
      <c r="L1344">
        <v>30</v>
      </c>
      <c r="M1344" t="s">
        <v>41</v>
      </c>
      <c r="N1344">
        <v>1.1467000000000001</v>
      </c>
      <c r="O1344">
        <v>1.3233240626406473</v>
      </c>
      <c r="P1344">
        <v>6.2024015577672011E-3</v>
      </c>
      <c r="Q1344">
        <v>6.2024015577672011E-3</v>
      </c>
      <c r="R1344">
        <v>9830.909118806796</v>
      </c>
      <c r="S1344" t="s">
        <v>19</v>
      </c>
      <c r="T1344">
        <v>6.6E-3</v>
      </c>
      <c r="U1344">
        <v>10461.10923</v>
      </c>
      <c r="V1344">
        <v>-630.20011119320407</v>
      </c>
      <c r="W1344">
        <v>-6.0242188217090632E-2</v>
      </c>
    </row>
    <row r="1345" spans="1:23" x14ac:dyDescent="0.25">
      <c r="A1345" t="s">
        <v>2775</v>
      </c>
      <c r="B1345" t="s">
        <v>30</v>
      </c>
      <c r="C1345" t="s">
        <v>103</v>
      </c>
      <c r="D1345" t="s">
        <v>31</v>
      </c>
      <c r="E1345" t="s">
        <v>74</v>
      </c>
      <c r="F1345" s="1">
        <v>46005</v>
      </c>
      <c r="G1345">
        <v>46035</v>
      </c>
      <c r="H1345" t="s">
        <v>9</v>
      </c>
      <c r="I1345">
        <v>1215710.76</v>
      </c>
      <c r="J1345" t="s">
        <v>75</v>
      </c>
      <c r="K1345" t="s">
        <v>2776</v>
      </c>
      <c r="L1345">
        <v>30</v>
      </c>
      <c r="M1345" t="s">
        <v>30</v>
      </c>
      <c r="N1345">
        <v>1.1555</v>
      </c>
      <c r="O1345">
        <v>1.3367963164349013</v>
      </c>
      <c r="P1345">
        <v>6.2983756677204832E-3</v>
      </c>
      <c r="Q1345">
        <v>6.2983756677204832E-3</v>
      </c>
      <c r="R1345">
        <v>7657.0030697699758</v>
      </c>
      <c r="S1345" t="s">
        <v>14</v>
      </c>
      <c r="T1345">
        <v>6.9800000000000001E-3</v>
      </c>
      <c r="U1345">
        <v>8485.6611047999995</v>
      </c>
      <c r="V1345">
        <v>-828.65803503002371</v>
      </c>
      <c r="W1345">
        <v>-9.7653915799357685E-2</v>
      </c>
    </row>
    <row r="1346" spans="1:23" x14ac:dyDescent="0.25">
      <c r="A1346" t="s">
        <v>2777</v>
      </c>
      <c r="B1346" t="s">
        <v>37</v>
      </c>
      <c r="C1346" t="s">
        <v>91</v>
      </c>
      <c r="D1346" t="s">
        <v>31</v>
      </c>
      <c r="E1346" t="s">
        <v>74</v>
      </c>
      <c r="F1346" s="1">
        <v>46223</v>
      </c>
      <c r="G1346">
        <v>46253</v>
      </c>
      <c r="H1346" t="s">
        <v>6</v>
      </c>
      <c r="I1346">
        <v>5107.8599999999997</v>
      </c>
      <c r="J1346" t="s">
        <v>75</v>
      </c>
      <c r="K1346" t="s">
        <v>2778</v>
      </c>
      <c r="L1346">
        <v>30</v>
      </c>
      <c r="M1346" t="s">
        <v>37</v>
      </c>
      <c r="N1346">
        <v>1.1426000000000001</v>
      </c>
      <c r="O1346">
        <v>1.3460088587315051</v>
      </c>
      <c r="P1346">
        <v>6.1582408106068782E-3</v>
      </c>
      <c r="Q1346">
        <v>1.1426000000000001</v>
      </c>
      <c r="R1346">
        <v>5836.2408359999999</v>
      </c>
      <c r="S1346" t="s">
        <v>21</v>
      </c>
      <c r="T1346">
        <v>1.101</v>
      </c>
      <c r="U1346">
        <v>5623.7538599999998</v>
      </c>
      <c r="V1346">
        <v>212.48697600000014</v>
      </c>
      <c r="W1346">
        <v>3.778383287920075E-2</v>
      </c>
    </row>
    <row r="1347" spans="1:23" x14ac:dyDescent="0.25">
      <c r="A1347" t="s">
        <v>2779</v>
      </c>
      <c r="B1347" t="s">
        <v>36</v>
      </c>
      <c r="C1347" t="s">
        <v>116</v>
      </c>
      <c r="D1347" t="s">
        <v>31</v>
      </c>
      <c r="E1347" t="s">
        <v>74</v>
      </c>
      <c r="F1347" s="1">
        <v>46019</v>
      </c>
      <c r="G1347">
        <v>46064</v>
      </c>
      <c r="H1347" t="s">
        <v>6</v>
      </c>
      <c r="I1347">
        <v>16655.34</v>
      </c>
      <c r="J1347" t="s">
        <v>75</v>
      </c>
      <c r="K1347" t="s">
        <v>2780</v>
      </c>
      <c r="L1347">
        <v>45</v>
      </c>
      <c r="M1347" t="s">
        <v>36</v>
      </c>
      <c r="N1347">
        <v>1.1555</v>
      </c>
      <c r="O1347">
        <v>1.3367963164349013</v>
      </c>
      <c r="P1347">
        <v>6.2983756677204832E-3</v>
      </c>
      <c r="Q1347">
        <v>1.1555</v>
      </c>
      <c r="R1347">
        <v>19245.245370000001</v>
      </c>
      <c r="S1347" t="s">
        <v>14</v>
      </c>
      <c r="T1347">
        <v>1.1060000000000001</v>
      </c>
      <c r="U1347">
        <v>18420.806040000003</v>
      </c>
      <c r="V1347">
        <v>824.43932999999743</v>
      </c>
      <c r="W1347">
        <v>4.4755877034357898E-2</v>
      </c>
    </row>
    <row r="1348" spans="1:23" x14ac:dyDescent="0.25">
      <c r="A1348" t="s">
        <v>2781</v>
      </c>
      <c r="B1348" t="s">
        <v>37</v>
      </c>
      <c r="C1348" t="s">
        <v>91</v>
      </c>
      <c r="D1348" t="s">
        <v>31</v>
      </c>
      <c r="E1348" t="s">
        <v>74</v>
      </c>
      <c r="F1348" s="1">
        <v>46302</v>
      </c>
      <c r="G1348">
        <v>46332</v>
      </c>
      <c r="H1348" t="s">
        <v>6</v>
      </c>
      <c r="I1348">
        <v>21605.25</v>
      </c>
      <c r="J1348" t="s">
        <v>84</v>
      </c>
      <c r="K1348" t="s">
        <v>2782</v>
      </c>
      <c r="L1348">
        <v>30</v>
      </c>
      <c r="M1348" t="s">
        <v>37</v>
      </c>
      <c r="N1348">
        <v>1.1176999999999999</v>
      </c>
      <c r="O1348">
        <v>1.320456022210408</v>
      </c>
      <c r="P1348">
        <v>6.3200452360757699E-3</v>
      </c>
      <c r="Q1348">
        <v>1.1176999999999999</v>
      </c>
      <c r="R1348">
        <v>24148.187924999998</v>
      </c>
      <c r="S1348" t="s">
        <v>23</v>
      </c>
      <c r="T1348">
        <v>1.119</v>
      </c>
      <c r="U1348">
        <v>24176.27475</v>
      </c>
      <c r="V1348">
        <v>-28.086825000002136</v>
      </c>
      <c r="W1348">
        <v>-1.1617515638964243E-3</v>
      </c>
    </row>
    <row r="1349" spans="1:23" x14ac:dyDescent="0.25">
      <c r="A1349" t="s">
        <v>2783</v>
      </c>
      <c r="B1349" t="s">
        <v>34</v>
      </c>
      <c r="C1349" t="s">
        <v>177</v>
      </c>
      <c r="D1349" t="s">
        <v>31</v>
      </c>
      <c r="E1349" t="s">
        <v>74</v>
      </c>
      <c r="F1349" s="1">
        <v>45803</v>
      </c>
      <c r="G1349">
        <v>45863</v>
      </c>
      <c r="H1349" t="s">
        <v>8</v>
      </c>
      <c r="I1349">
        <v>14476.65</v>
      </c>
      <c r="J1349" t="s">
        <v>75</v>
      </c>
      <c r="K1349" t="s">
        <v>2784</v>
      </c>
      <c r="L1349">
        <v>60</v>
      </c>
      <c r="M1349" t="s">
        <v>34</v>
      </c>
      <c r="N1349">
        <v>1.1380999999999999</v>
      </c>
      <c r="O1349">
        <v>1.3561725452812201</v>
      </c>
      <c r="P1349">
        <v>6.9980938326262062E-3</v>
      </c>
      <c r="Q1349">
        <v>1.3561725452812201</v>
      </c>
      <c r="R1349">
        <v>19632.835277645376</v>
      </c>
      <c r="S1349" t="s">
        <v>12</v>
      </c>
      <c r="T1349">
        <v>1.26</v>
      </c>
      <c r="U1349">
        <v>18240.578999999998</v>
      </c>
      <c r="V1349">
        <v>1392.2562776453778</v>
      </c>
      <c r="W1349">
        <v>7.6327416889857391E-2</v>
      </c>
    </row>
    <row r="1350" spans="1:23" x14ac:dyDescent="0.25">
      <c r="A1350" t="s">
        <v>2785</v>
      </c>
      <c r="B1350" t="s">
        <v>20</v>
      </c>
      <c r="C1350" t="s">
        <v>123</v>
      </c>
      <c r="D1350" t="s">
        <v>31</v>
      </c>
      <c r="E1350" t="s">
        <v>124</v>
      </c>
      <c r="F1350" s="1">
        <v>45690</v>
      </c>
      <c r="G1350">
        <v>45735</v>
      </c>
      <c r="H1350" t="s">
        <v>6</v>
      </c>
      <c r="I1350">
        <v>42649.43</v>
      </c>
      <c r="J1350" t="s">
        <v>75</v>
      </c>
      <c r="K1350" t="s">
        <v>2786</v>
      </c>
      <c r="L1350">
        <v>45</v>
      </c>
      <c r="M1350" t="s">
        <v>20</v>
      </c>
      <c r="N1350">
        <v>1.0466</v>
      </c>
      <c r="O1350">
        <v>1.2635518531932874</v>
      </c>
      <c r="P1350">
        <v>6.6743192398443976E-3</v>
      </c>
      <c r="Q1350">
        <v>1.0466</v>
      </c>
      <c r="R1350">
        <v>44636.893437999999</v>
      </c>
      <c r="S1350" t="s">
        <v>11</v>
      </c>
      <c r="T1350">
        <v>1.052</v>
      </c>
      <c r="U1350">
        <v>44867.200360000003</v>
      </c>
      <c r="V1350">
        <v>-230.3069220000034</v>
      </c>
      <c r="W1350">
        <v>-5.1330798479088209E-3</v>
      </c>
    </row>
    <row r="1351" spans="1:23" x14ac:dyDescent="0.25">
      <c r="A1351" t="s">
        <v>2787</v>
      </c>
      <c r="B1351" t="s">
        <v>26</v>
      </c>
      <c r="C1351" t="s">
        <v>94</v>
      </c>
      <c r="D1351" t="s">
        <v>31</v>
      </c>
      <c r="E1351" t="s">
        <v>74</v>
      </c>
      <c r="F1351" s="1">
        <v>46070</v>
      </c>
      <c r="G1351">
        <v>46100</v>
      </c>
      <c r="H1351" t="s">
        <v>8</v>
      </c>
      <c r="I1351">
        <v>19685.169999999998</v>
      </c>
      <c r="J1351" t="s">
        <v>75</v>
      </c>
      <c r="K1351" t="s">
        <v>2788</v>
      </c>
      <c r="L1351">
        <v>30</v>
      </c>
      <c r="M1351" t="s">
        <v>26</v>
      </c>
      <c r="N1351">
        <v>1.1826000000000001</v>
      </c>
      <c r="O1351">
        <v>1.3541738234283753</v>
      </c>
      <c r="P1351">
        <v>6.5315365072351715E-3</v>
      </c>
      <c r="Q1351">
        <v>1.3541738234283753</v>
      </c>
      <c r="R1351">
        <v>26657.141923737548</v>
      </c>
      <c r="S1351" t="s">
        <v>16</v>
      </c>
      <c r="T1351">
        <v>1.2490000000000001</v>
      </c>
      <c r="U1351">
        <v>24586.777330000001</v>
      </c>
      <c r="V1351">
        <v>2070.3645937375477</v>
      </c>
      <c r="W1351">
        <v>8.4206423881805562E-2</v>
      </c>
    </row>
    <row r="1352" spans="1:23" x14ac:dyDescent="0.25">
      <c r="A1352" t="s">
        <v>2789</v>
      </c>
      <c r="B1352" t="s">
        <v>25</v>
      </c>
      <c r="C1352" t="s">
        <v>169</v>
      </c>
      <c r="D1352" t="s">
        <v>31</v>
      </c>
      <c r="E1352" t="s">
        <v>124</v>
      </c>
      <c r="F1352" s="1">
        <v>46172</v>
      </c>
      <c r="G1352">
        <v>46232</v>
      </c>
      <c r="H1352" t="s">
        <v>6</v>
      </c>
      <c r="I1352">
        <v>49309.84</v>
      </c>
      <c r="J1352" t="s">
        <v>75</v>
      </c>
      <c r="K1352" t="s">
        <v>2790</v>
      </c>
      <c r="L1352">
        <v>60</v>
      </c>
      <c r="M1352" t="s">
        <v>25</v>
      </c>
      <c r="N1352">
        <v>1.1644000000000001</v>
      </c>
      <c r="O1352">
        <v>1.3426657288147321</v>
      </c>
      <c r="P1352">
        <v>6.2787813426799684E-3</v>
      </c>
      <c r="Q1352">
        <v>1.1644000000000001</v>
      </c>
      <c r="R1352">
        <v>57416.377696000003</v>
      </c>
      <c r="S1352" t="s">
        <v>19</v>
      </c>
      <c r="T1352">
        <v>1.083</v>
      </c>
      <c r="U1352">
        <v>53402.556719999993</v>
      </c>
      <c r="V1352">
        <v>4013.82097600001</v>
      </c>
      <c r="W1352">
        <v>7.5161588180978955E-2</v>
      </c>
    </row>
    <row r="1353" spans="1:23" x14ac:dyDescent="0.25">
      <c r="A1353" t="s">
        <v>2789</v>
      </c>
      <c r="B1353" t="s">
        <v>26</v>
      </c>
      <c r="C1353" t="s">
        <v>94</v>
      </c>
      <c r="D1353" t="s">
        <v>31</v>
      </c>
      <c r="E1353" t="s">
        <v>74</v>
      </c>
      <c r="F1353" s="1">
        <v>45832</v>
      </c>
      <c r="G1353">
        <v>45862</v>
      </c>
      <c r="H1353" t="s">
        <v>8</v>
      </c>
      <c r="I1353">
        <v>9631.91</v>
      </c>
      <c r="J1353" t="s">
        <v>75</v>
      </c>
      <c r="K1353" t="s">
        <v>2791</v>
      </c>
      <c r="L1353">
        <v>30</v>
      </c>
      <c r="M1353" t="s">
        <v>26</v>
      </c>
      <c r="N1353">
        <v>1.1607000000000001</v>
      </c>
      <c r="O1353">
        <v>1.3612055822680897</v>
      </c>
      <c r="P1353">
        <v>6.8978427527188451E-3</v>
      </c>
      <c r="Q1353">
        <v>1.3612055822680897</v>
      </c>
      <c r="R1353">
        <v>13111.009659903835</v>
      </c>
      <c r="S1353" t="s">
        <v>12</v>
      </c>
      <c r="T1353">
        <v>1.26</v>
      </c>
      <c r="U1353">
        <v>12136.2066</v>
      </c>
      <c r="V1353">
        <v>974.80305990383567</v>
      </c>
      <c r="W1353">
        <v>8.0321890688960063E-2</v>
      </c>
    </row>
    <row r="1354" spans="1:23" x14ac:dyDescent="0.25">
      <c r="A1354" t="s">
        <v>2792</v>
      </c>
      <c r="B1354" t="s">
        <v>28</v>
      </c>
      <c r="C1354" t="s">
        <v>111</v>
      </c>
      <c r="D1354" t="s">
        <v>31</v>
      </c>
      <c r="E1354" t="s">
        <v>74</v>
      </c>
      <c r="F1354" s="1">
        <v>45980</v>
      </c>
      <c r="G1354">
        <v>46025</v>
      </c>
      <c r="H1354" t="s">
        <v>9</v>
      </c>
      <c r="I1354">
        <v>1367020.36</v>
      </c>
      <c r="J1354" t="s">
        <v>75</v>
      </c>
      <c r="K1354" t="s">
        <v>2793</v>
      </c>
      <c r="L1354">
        <v>45</v>
      </c>
      <c r="M1354" t="s">
        <v>28</v>
      </c>
      <c r="N1354">
        <v>1.1583000000000001</v>
      </c>
      <c r="O1354">
        <v>1.3122238586156112</v>
      </c>
      <c r="P1354">
        <v>6.4047553220901304E-3</v>
      </c>
      <c r="Q1354">
        <v>6.4047553220901304E-3</v>
      </c>
      <c r="R1354">
        <v>8755.4309261155668</v>
      </c>
      <c r="S1354" t="s">
        <v>14</v>
      </c>
      <c r="T1354">
        <v>6.9800000000000001E-3</v>
      </c>
      <c r="U1354">
        <v>9541.8021128</v>
      </c>
      <c r="V1354">
        <v>-786.37118668443327</v>
      </c>
      <c r="W1354">
        <v>-8.241327763751706E-2</v>
      </c>
    </row>
    <row r="1355" spans="1:23" x14ac:dyDescent="0.25">
      <c r="A1355" t="s">
        <v>2794</v>
      </c>
      <c r="B1355" t="s">
        <v>22</v>
      </c>
      <c r="C1355" t="s">
        <v>127</v>
      </c>
      <c r="D1355" t="s">
        <v>31</v>
      </c>
      <c r="E1355" t="s">
        <v>124</v>
      </c>
      <c r="F1355" s="1">
        <v>46236</v>
      </c>
      <c r="G1355">
        <v>46296</v>
      </c>
      <c r="H1355" t="s">
        <v>9</v>
      </c>
      <c r="I1355">
        <v>11427496.23</v>
      </c>
      <c r="J1355" t="s">
        <v>75</v>
      </c>
      <c r="K1355" t="s">
        <v>2795</v>
      </c>
      <c r="L1355">
        <v>60</v>
      </c>
      <c r="M1355" t="s">
        <v>22</v>
      </c>
      <c r="N1355">
        <v>1.1485000000000001</v>
      </c>
      <c r="O1355">
        <v>1.3421289425402874</v>
      </c>
      <c r="P1355">
        <v>6.2408302994077054E-3</v>
      </c>
      <c r="Q1355">
        <v>6.2408302994077054E-3</v>
      </c>
      <c r="R1355">
        <v>71317.064718551323</v>
      </c>
      <c r="S1355" t="s">
        <v>21</v>
      </c>
      <c r="T1355">
        <v>6.7400000000000003E-3</v>
      </c>
      <c r="U1355">
        <v>77021.324590200005</v>
      </c>
      <c r="V1355">
        <v>-5704.2598716486827</v>
      </c>
      <c r="W1355">
        <v>-7.4060786438025994E-2</v>
      </c>
    </row>
    <row r="1356" spans="1:23" x14ac:dyDescent="0.25">
      <c r="A1356" t="s">
        <v>2796</v>
      </c>
      <c r="B1356" t="s">
        <v>20</v>
      </c>
      <c r="C1356" t="s">
        <v>123</v>
      </c>
      <c r="D1356" t="s">
        <v>31</v>
      </c>
      <c r="E1356" t="s">
        <v>124</v>
      </c>
      <c r="F1356" s="1">
        <v>46001</v>
      </c>
      <c r="G1356">
        <v>46046</v>
      </c>
      <c r="H1356" t="s">
        <v>6</v>
      </c>
      <c r="I1356">
        <v>65575.009999999995</v>
      </c>
      <c r="J1356" t="s">
        <v>75</v>
      </c>
      <c r="K1356" t="s">
        <v>2797</v>
      </c>
      <c r="L1356">
        <v>45</v>
      </c>
      <c r="M1356" t="s">
        <v>20</v>
      </c>
      <c r="N1356">
        <v>1.1634</v>
      </c>
      <c r="O1356">
        <v>1.3309689966823017</v>
      </c>
      <c r="P1356">
        <v>6.3810881965774462E-3</v>
      </c>
      <c r="Q1356">
        <v>1.1634</v>
      </c>
      <c r="R1356">
        <v>76289.966633999997</v>
      </c>
      <c r="S1356" t="s">
        <v>14</v>
      </c>
      <c r="T1356">
        <v>1.1060000000000001</v>
      </c>
      <c r="U1356">
        <v>72525.961060000001</v>
      </c>
      <c r="V1356">
        <v>3764.0055739999952</v>
      </c>
      <c r="W1356">
        <v>5.1898734177215126E-2</v>
      </c>
    </row>
    <row r="1357" spans="1:23" x14ac:dyDescent="0.25">
      <c r="A1357" t="s">
        <v>2798</v>
      </c>
      <c r="B1357" t="s">
        <v>34</v>
      </c>
      <c r="C1357" t="s">
        <v>177</v>
      </c>
      <c r="D1357" t="s">
        <v>31</v>
      </c>
      <c r="E1357" t="s">
        <v>74</v>
      </c>
      <c r="F1357" s="1">
        <v>45704</v>
      </c>
      <c r="G1357">
        <v>45764</v>
      </c>
      <c r="H1357" t="s">
        <v>8</v>
      </c>
      <c r="I1357">
        <v>16382.19</v>
      </c>
      <c r="J1357" t="s">
        <v>75</v>
      </c>
      <c r="K1357" t="s">
        <v>2799</v>
      </c>
      <c r="L1357">
        <v>60</v>
      </c>
      <c r="M1357" t="s">
        <v>34</v>
      </c>
      <c r="N1357">
        <v>1.0889</v>
      </c>
      <c r="O1357">
        <v>1.2934915600536925</v>
      </c>
      <c r="P1357">
        <v>6.7265875957499381E-3</v>
      </c>
      <c r="Q1357">
        <v>1.2934915600536925</v>
      </c>
      <c r="R1357">
        <v>21190.224500196</v>
      </c>
      <c r="S1357" t="s">
        <v>11</v>
      </c>
      <c r="T1357">
        <v>1.238</v>
      </c>
      <c r="U1357">
        <v>20281.15122</v>
      </c>
      <c r="V1357">
        <v>909.07328019600027</v>
      </c>
      <c r="W1357">
        <v>4.4823554162917993E-2</v>
      </c>
    </row>
    <row r="1358" spans="1:23" x14ac:dyDescent="0.25">
      <c r="A1358" t="s">
        <v>2800</v>
      </c>
      <c r="B1358" t="s">
        <v>39</v>
      </c>
      <c r="C1358" t="s">
        <v>82</v>
      </c>
      <c r="D1358" t="s">
        <v>33</v>
      </c>
      <c r="E1358" t="s">
        <v>83</v>
      </c>
      <c r="F1358" s="1">
        <v>46309</v>
      </c>
      <c r="G1358">
        <v>46354</v>
      </c>
      <c r="H1358" t="s">
        <v>8</v>
      </c>
      <c r="I1358">
        <v>6849.42</v>
      </c>
      <c r="J1358" t="s">
        <v>84</v>
      </c>
      <c r="K1358" t="s">
        <v>2801</v>
      </c>
      <c r="L1358">
        <v>45</v>
      </c>
      <c r="M1358" t="s">
        <v>39</v>
      </c>
      <c r="N1358">
        <v>1.1176999999999999</v>
      </c>
      <c r="O1358">
        <v>1.320456022210408</v>
      </c>
      <c r="P1358">
        <v>6.3200452360757699E-3</v>
      </c>
      <c r="Q1358">
        <v>1.320456022210408</v>
      </c>
      <c r="R1358">
        <v>9044.3578876484135</v>
      </c>
      <c r="S1358" t="s">
        <v>23</v>
      </c>
      <c r="T1358">
        <v>1.3149999999999999</v>
      </c>
      <c r="U1358">
        <v>9006.9872999999989</v>
      </c>
      <c r="V1358">
        <v>37.370587648414585</v>
      </c>
      <c r="W1358">
        <v>4.1490663197021041E-3</v>
      </c>
    </row>
    <row r="1359" spans="1:23" x14ac:dyDescent="0.25">
      <c r="A1359" t="s">
        <v>2802</v>
      </c>
      <c r="B1359" t="s">
        <v>32</v>
      </c>
      <c r="C1359" t="s">
        <v>106</v>
      </c>
      <c r="D1359" t="s">
        <v>31</v>
      </c>
      <c r="E1359" t="s">
        <v>74</v>
      </c>
      <c r="F1359" s="1">
        <v>46237</v>
      </c>
      <c r="G1359">
        <v>46267</v>
      </c>
      <c r="H1359" t="s">
        <v>6</v>
      </c>
      <c r="I1359">
        <v>33582.42</v>
      </c>
      <c r="J1359" t="s">
        <v>75</v>
      </c>
      <c r="K1359" t="s">
        <v>2803</v>
      </c>
      <c r="L1359">
        <v>30</v>
      </c>
      <c r="M1359" t="s">
        <v>32</v>
      </c>
      <c r="N1359">
        <v>1.1535</v>
      </c>
      <c r="O1359">
        <v>1.3470274310137447</v>
      </c>
      <c r="P1359">
        <v>6.3824489570076916E-3</v>
      </c>
      <c r="Q1359">
        <v>1.1535</v>
      </c>
      <c r="R1359">
        <v>38737.321469999995</v>
      </c>
      <c r="S1359" t="s">
        <v>21</v>
      </c>
      <c r="T1359">
        <v>1.101</v>
      </c>
      <c r="U1359">
        <v>36974.244419999995</v>
      </c>
      <c r="V1359">
        <v>1763.0770499999999</v>
      </c>
      <c r="W1359">
        <v>4.7683923705722074E-2</v>
      </c>
    </row>
    <row r="1360" spans="1:23" x14ac:dyDescent="0.25">
      <c r="A1360" t="s">
        <v>2804</v>
      </c>
      <c r="B1360" t="s">
        <v>20</v>
      </c>
      <c r="C1360" t="s">
        <v>123</v>
      </c>
      <c r="D1360" t="s">
        <v>31</v>
      </c>
      <c r="E1360" t="s">
        <v>124</v>
      </c>
      <c r="F1360" s="1">
        <v>46297</v>
      </c>
      <c r="G1360">
        <v>46342</v>
      </c>
      <c r="H1360" t="s">
        <v>6</v>
      </c>
      <c r="I1360">
        <v>33775.1</v>
      </c>
      <c r="J1360" t="s">
        <v>84</v>
      </c>
      <c r="K1360" t="s">
        <v>2805</v>
      </c>
      <c r="L1360">
        <v>45</v>
      </c>
      <c r="M1360" t="s">
        <v>20</v>
      </c>
      <c r="N1360">
        <v>1.1225000000000001</v>
      </c>
      <c r="O1360">
        <v>1.3200757353027648</v>
      </c>
      <c r="P1360">
        <v>6.3421662240804562E-3</v>
      </c>
      <c r="Q1360">
        <v>1.1225000000000001</v>
      </c>
      <c r="R1360">
        <v>37912.549749999998</v>
      </c>
      <c r="S1360" t="s">
        <v>23</v>
      </c>
      <c r="T1360">
        <v>1.119</v>
      </c>
      <c r="U1360">
        <v>37794.336899999995</v>
      </c>
      <c r="V1360">
        <v>118.21285000000353</v>
      </c>
      <c r="W1360">
        <v>3.1277926720286908E-3</v>
      </c>
    </row>
    <row r="1361" spans="1:23" x14ac:dyDescent="0.25">
      <c r="A1361" t="s">
        <v>2806</v>
      </c>
      <c r="B1361" t="s">
        <v>24</v>
      </c>
      <c r="C1361" t="s">
        <v>73</v>
      </c>
      <c r="D1361" t="s">
        <v>31</v>
      </c>
      <c r="E1361" t="s">
        <v>806</v>
      </c>
      <c r="F1361" s="1">
        <v>45827</v>
      </c>
      <c r="G1361">
        <v>45857</v>
      </c>
      <c r="H1361" t="s">
        <v>6</v>
      </c>
      <c r="I1361">
        <v>11620.08</v>
      </c>
      <c r="J1361" t="s">
        <v>75</v>
      </c>
      <c r="K1361" t="s">
        <v>2807</v>
      </c>
      <c r="L1361">
        <v>30</v>
      </c>
      <c r="M1361" t="s">
        <v>24</v>
      </c>
      <c r="N1361">
        <v>1.1477999999999999</v>
      </c>
      <c r="O1361">
        <v>1.3438707411310151</v>
      </c>
      <c r="P1361">
        <v>6.8648325358851674E-3</v>
      </c>
      <c r="Q1361">
        <v>1.1477999999999999</v>
      </c>
      <c r="R1361">
        <v>13337.527823999999</v>
      </c>
      <c r="S1361" t="s">
        <v>12</v>
      </c>
      <c r="T1361">
        <v>1.07</v>
      </c>
      <c r="U1361">
        <v>12433.4856</v>
      </c>
      <c r="V1361">
        <v>904.0422239999989</v>
      </c>
      <c r="W1361">
        <v>7.271028037383169E-2</v>
      </c>
    </row>
    <row r="1362" spans="1:23" x14ac:dyDescent="0.25">
      <c r="A1362" t="s">
        <v>2808</v>
      </c>
      <c r="B1362" t="s">
        <v>44</v>
      </c>
      <c r="C1362" t="s">
        <v>138</v>
      </c>
      <c r="D1362" t="s">
        <v>33</v>
      </c>
      <c r="E1362" t="s">
        <v>88</v>
      </c>
      <c r="F1362" s="1">
        <v>45932</v>
      </c>
      <c r="G1362">
        <v>45977</v>
      </c>
      <c r="H1362" t="s">
        <v>9</v>
      </c>
      <c r="I1362">
        <v>612364.47</v>
      </c>
      <c r="J1362" t="s">
        <v>75</v>
      </c>
      <c r="K1362" t="s">
        <v>2809</v>
      </c>
      <c r="L1362">
        <v>45</v>
      </c>
      <c r="M1362" t="s">
        <v>44</v>
      </c>
      <c r="N1362">
        <v>1.1754</v>
      </c>
      <c r="O1362">
        <v>1.3477812177502579</v>
      </c>
      <c r="P1362">
        <v>6.8127282211789255E-3</v>
      </c>
      <c r="Q1362">
        <v>6.8127282211789255E-3</v>
      </c>
      <c r="R1362">
        <v>4171.8727064162749</v>
      </c>
      <c r="S1362" t="s">
        <v>14</v>
      </c>
      <c r="T1362">
        <v>6.9800000000000001E-3</v>
      </c>
      <c r="U1362">
        <v>4274.3040006000001</v>
      </c>
      <c r="V1362">
        <v>-102.43129418372519</v>
      </c>
      <c r="W1362">
        <v>-2.3964438226515127E-2</v>
      </c>
    </row>
    <row r="1363" spans="1:23" x14ac:dyDescent="0.25">
      <c r="A1363" t="s">
        <v>2810</v>
      </c>
      <c r="B1363" t="s">
        <v>34</v>
      </c>
      <c r="C1363" t="s">
        <v>177</v>
      </c>
      <c r="D1363" t="s">
        <v>31</v>
      </c>
      <c r="E1363" t="s">
        <v>74</v>
      </c>
      <c r="F1363" s="1">
        <v>46014</v>
      </c>
      <c r="G1363">
        <v>46074</v>
      </c>
      <c r="H1363" t="s">
        <v>8</v>
      </c>
      <c r="I1363">
        <v>20181.57</v>
      </c>
      <c r="J1363" t="s">
        <v>75</v>
      </c>
      <c r="K1363" t="s">
        <v>2811</v>
      </c>
      <c r="L1363">
        <v>60</v>
      </c>
      <c r="M1363" t="s">
        <v>34</v>
      </c>
      <c r="N1363">
        <v>1.1786000000000001</v>
      </c>
      <c r="O1363">
        <v>1.3502119372207584</v>
      </c>
      <c r="P1363">
        <v>6.4092664092664101E-3</v>
      </c>
      <c r="Q1363">
        <v>1.3502119372207584</v>
      </c>
      <c r="R1363">
        <v>27249.396725856339</v>
      </c>
      <c r="S1363" t="s">
        <v>14</v>
      </c>
      <c r="T1363">
        <v>1.304</v>
      </c>
      <c r="U1363">
        <v>26316.76728</v>
      </c>
      <c r="V1363">
        <v>932.62944585633886</v>
      </c>
      <c r="W1363">
        <v>3.5438602163158195E-2</v>
      </c>
    </row>
    <row r="1364" spans="1:23" x14ac:dyDescent="0.25">
      <c r="A1364" t="s">
        <v>2812</v>
      </c>
      <c r="B1364" t="s">
        <v>39</v>
      </c>
      <c r="C1364" t="s">
        <v>82</v>
      </c>
      <c r="D1364" t="s">
        <v>33</v>
      </c>
      <c r="E1364" t="s">
        <v>83</v>
      </c>
      <c r="F1364" s="1">
        <v>46073</v>
      </c>
      <c r="G1364">
        <v>46118</v>
      </c>
      <c r="H1364" t="s">
        <v>8</v>
      </c>
      <c r="I1364">
        <v>7987.06</v>
      </c>
      <c r="J1364" t="s">
        <v>75</v>
      </c>
      <c r="K1364" t="s">
        <v>2813</v>
      </c>
      <c r="L1364">
        <v>45</v>
      </c>
      <c r="M1364" t="s">
        <v>39</v>
      </c>
      <c r="N1364">
        <v>1.1767000000000001</v>
      </c>
      <c r="O1364">
        <v>1.3481897341888176</v>
      </c>
      <c r="P1364">
        <v>6.4430816404752785E-3</v>
      </c>
      <c r="Q1364">
        <v>1.3481897341888176</v>
      </c>
      <c r="R1364">
        <v>10768.072298350138</v>
      </c>
      <c r="S1364" t="s">
        <v>16</v>
      </c>
      <c r="T1364">
        <v>1.2490000000000001</v>
      </c>
      <c r="U1364">
        <v>9975.8379400000013</v>
      </c>
      <c r="V1364">
        <v>792.23435835013697</v>
      </c>
      <c r="W1364">
        <v>7.9415319606739407E-2</v>
      </c>
    </row>
    <row r="1365" spans="1:23" x14ac:dyDescent="0.25">
      <c r="A1365" t="s">
        <v>2814</v>
      </c>
      <c r="B1365" t="s">
        <v>28</v>
      </c>
      <c r="C1365" t="s">
        <v>111</v>
      </c>
      <c r="D1365" t="s">
        <v>31</v>
      </c>
      <c r="E1365" t="s">
        <v>74</v>
      </c>
      <c r="F1365" s="1">
        <v>45793</v>
      </c>
      <c r="G1365">
        <v>45838</v>
      </c>
      <c r="H1365" t="s">
        <v>9</v>
      </c>
      <c r="I1365">
        <v>5373251.3700000001</v>
      </c>
      <c r="J1365" t="s">
        <v>75</v>
      </c>
      <c r="K1365" t="s">
        <v>2815</v>
      </c>
      <c r="L1365">
        <v>45</v>
      </c>
      <c r="M1365" t="s">
        <v>28</v>
      </c>
      <c r="N1365">
        <v>1.1194</v>
      </c>
      <c r="O1365">
        <v>1.3283493532692536</v>
      </c>
      <c r="P1365">
        <v>6.8653787181846048E-3</v>
      </c>
      <c r="Q1365">
        <v>6.8653787181846048E-3</v>
      </c>
      <c r="R1365">
        <v>36889.405603054271</v>
      </c>
      <c r="S1365" t="s">
        <v>12</v>
      </c>
      <c r="T1365">
        <v>6.7000000000000002E-3</v>
      </c>
      <c r="U1365">
        <v>36000.784179000002</v>
      </c>
      <c r="V1365">
        <v>888.62142405426857</v>
      </c>
      <c r="W1365">
        <v>2.4683390773821524E-2</v>
      </c>
    </row>
    <row r="1366" spans="1:23" x14ac:dyDescent="0.25">
      <c r="A1366" t="s">
        <v>2816</v>
      </c>
      <c r="B1366" t="s">
        <v>37</v>
      </c>
      <c r="C1366" t="s">
        <v>91</v>
      </c>
      <c r="D1366" t="s">
        <v>31</v>
      </c>
      <c r="E1366" t="s">
        <v>74</v>
      </c>
      <c r="F1366" s="1">
        <v>45960</v>
      </c>
      <c r="G1366">
        <v>45990</v>
      </c>
      <c r="H1366" t="s">
        <v>6</v>
      </c>
      <c r="I1366">
        <v>19129.57</v>
      </c>
      <c r="J1366" t="s">
        <v>75</v>
      </c>
      <c r="K1366" t="s">
        <v>2817</v>
      </c>
      <c r="L1366">
        <v>30</v>
      </c>
      <c r="M1366" t="s">
        <v>37</v>
      </c>
      <c r="N1366">
        <v>1.155</v>
      </c>
      <c r="O1366">
        <v>1.312350869219407</v>
      </c>
      <c r="P1366">
        <v>6.4753041430733868E-3</v>
      </c>
      <c r="Q1366">
        <v>1.155</v>
      </c>
      <c r="R1366">
        <v>22094.653350000001</v>
      </c>
      <c r="S1366" t="s">
        <v>14</v>
      </c>
      <c r="T1366">
        <v>1.1060000000000001</v>
      </c>
      <c r="U1366">
        <v>21157.30442</v>
      </c>
      <c r="V1366">
        <v>937.34893000000011</v>
      </c>
      <c r="W1366">
        <v>4.4303797468354437E-2</v>
      </c>
    </row>
    <row r="1367" spans="1:23" x14ac:dyDescent="0.25">
      <c r="A1367" t="s">
        <v>2818</v>
      </c>
      <c r="B1367" t="s">
        <v>37</v>
      </c>
      <c r="C1367" t="s">
        <v>91</v>
      </c>
      <c r="D1367" t="s">
        <v>31</v>
      </c>
      <c r="E1367" t="s">
        <v>74</v>
      </c>
      <c r="F1367" s="1">
        <v>45935</v>
      </c>
      <c r="G1367">
        <v>45965</v>
      </c>
      <c r="H1367" t="s">
        <v>6</v>
      </c>
      <c r="I1367">
        <v>6796.72</v>
      </c>
      <c r="J1367" t="s">
        <v>75</v>
      </c>
      <c r="K1367" t="s">
        <v>2819</v>
      </c>
      <c r="L1367">
        <v>30</v>
      </c>
      <c r="M1367" t="s">
        <v>37</v>
      </c>
      <c r="N1367">
        <v>1.1894</v>
      </c>
      <c r="O1367">
        <v>1.3679125934445082</v>
      </c>
      <c r="P1367">
        <v>6.4462630751720776E-3</v>
      </c>
      <c r="Q1367">
        <v>1.1894</v>
      </c>
      <c r="R1367">
        <v>8084.0187680000008</v>
      </c>
      <c r="S1367" t="s">
        <v>14</v>
      </c>
      <c r="T1367">
        <v>1.1060000000000001</v>
      </c>
      <c r="U1367">
        <v>7517.1723200000006</v>
      </c>
      <c r="V1367">
        <v>566.84644800000024</v>
      </c>
      <c r="W1367">
        <v>7.5406871609403278E-2</v>
      </c>
    </row>
    <row r="1368" spans="1:23" x14ac:dyDescent="0.25">
      <c r="A1368" t="s">
        <v>2820</v>
      </c>
      <c r="B1368" t="s">
        <v>32</v>
      </c>
      <c r="C1368" t="s">
        <v>106</v>
      </c>
      <c r="D1368" t="s">
        <v>31</v>
      </c>
      <c r="E1368" t="s">
        <v>74</v>
      </c>
      <c r="F1368" s="1">
        <v>45729</v>
      </c>
      <c r="G1368">
        <v>45759</v>
      </c>
      <c r="H1368" t="s">
        <v>6</v>
      </c>
      <c r="I1368">
        <v>3092.68</v>
      </c>
      <c r="J1368" t="s">
        <v>75</v>
      </c>
      <c r="K1368" t="s">
        <v>2821</v>
      </c>
      <c r="L1368">
        <v>30</v>
      </c>
      <c r="M1368" t="s">
        <v>32</v>
      </c>
      <c r="N1368">
        <v>1.083</v>
      </c>
      <c r="O1368">
        <v>1.2927021413736304</v>
      </c>
      <c r="P1368">
        <v>6.741782868525897E-3</v>
      </c>
      <c r="Q1368">
        <v>1.083</v>
      </c>
      <c r="R1368">
        <v>3349.3724399999996</v>
      </c>
      <c r="S1368" t="s">
        <v>11</v>
      </c>
      <c r="T1368">
        <v>1.052</v>
      </c>
      <c r="U1368">
        <v>3253.4993599999998</v>
      </c>
      <c r="V1368">
        <v>95.873079999999845</v>
      </c>
      <c r="W1368">
        <v>2.9467680608364973E-2</v>
      </c>
    </row>
    <row r="1369" spans="1:23" x14ac:dyDescent="0.25">
      <c r="A1369" t="s">
        <v>2822</v>
      </c>
      <c r="B1369" t="s">
        <v>38</v>
      </c>
      <c r="C1369" t="s">
        <v>87</v>
      </c>
      <c r="D1369" t="s">
        <v>33</v>
      </c>
      <c r="E1369" t="s">
        <v>88</v>
      </c>
      <c r="F1369" s="1">
        <v>46227</v>
      </c>
      <c r="G1369">
        <v>46257</v>
      </c>
      <c r="H1369" t="s">
        <v>6</v>
      </c>
      <c r="I1369">
        <v>13202.92</v>
      </c>
      <c r="J1369" t="s">
        <v>75</v>
      </c>
      <c r="K1369" t="s">
        <v>2823</v>
      </c>
      <c r="L1369">
        <v>30</v>
      </c>
      <c r="M1369" t="s">
        <v>38</v>
      </c>
      <c r="N1369">
        <v>1.1376999999999999</v>
      </c>
      <c r="O1369">
        <v>1.3323886260364455</v>
      </c>
      <c r="P1369">
        <v>6.1041957291554884E-3</v>
      </c>
      <c r="Q1369">
        <v>1.1376999999999999</v>
      </c>
      <c r="R1369">
        <v>15020.962083999999</v>
      </c>
      <c r="S1369" t="s">
        <v>21</v>
      </c>
      <c r="T1369">
        <v>1.101</v>
      </c>
      <c r="U1369">
        <v>14536.414919999999</v>
      </c>
      <c r="V1369">
        <v>484.54716399999961</v>
      </c>
      <c r="W1369">
        <v>3.3333333333333305E-2</v>
      </c>
    </row>
    <row r="1370" spans="1:23" x14ac:dyDescent="0.25">
      <c r="A1370" t="s">
        <v>2824</v>
      </c>
      <c r="B1370" t="s">
        <v>26</v>
      </c>
      <c r="C1370" t="s">
        <v>94</v>
      </c>
      <c r="D1370" t="s">
        <v>31</v>
      </c>
      <c r="E1370" t="s">
        <v>74</v>
      </c>
      <c r="F1370" s="1">
        <v>45896</v>
      </c>
      <c r="G1370">
        <v>45926</v>
      </c>
      <c r="H1370" t="s">
        <v>8</v>
      </c>
      <c r="I1370">
        <v>21323.66</v>
      </c>
      <c r="J1370" t="s">
        <v>75</v>
      </c>
      <c r="K1370" t="s">
        <v>2825</v>
      </c>
      <c r="L1370">
        <v>30</v>
      </c>
      <c r="M1370" t="s">
        <v>26</v>
      </c>
      <c r="N1370">
        <v>1.1593</v>
      </c>
      <c r="O1370">
        <v>1.3439601205657314</v>
      </c>
      <c r="P1370">
        <v>6.7546466235506612E-3</v>
      </c>
      <c r="Q1370">
        <v>1.3439601205657314</v>
      </c>
      <c r="R1370">
        <v>28658.148664502663</v>
      </c>
      <c r="S1370" t="s">
        <v>13</v>
      </c>
      <c r="T1370">
        <v>1.282</v>
      </c>
      <c r="U1370">
        <v>27336.932120000001</v>
      </c>
      <c r="V1370">
        <v>1321.2165445026621</v>
      </c>
      <c r="W1370">
        <v>4.8330827274361395E-2</v>
      </c>
    </row>
    <row r="1371" spans="1:23" x14ac:dyDescent="0.25">
      <c r="A1371" t="s">
        <v>2826</v>
      </c>
      <c r="B1371" t="s">
        <v>36</v>
      </c>
      <c r="C1371" t="s">
        <v>116</v>
      </c>
      <c r="D1371" t="s">
        <v>31</v>
      </c>
      <c r="E1371" t="s">
        <v>74</v>
      </c>
      <c r="F1371" s="1">
        <v>46362</v>
      </c>
      <c r="G1371">
        <v>46407</v>
      </c>
      <c r="H1371" t="s">
        <v>6</v>
      </c>
      <c r="I1371">
        <v>15572.88</v>
      </c>
      <c r="J1371" t="s">
        <v>84</v>
      </c>
      <c r="K1371" t="s">
        <v>2827</v>
      </c>
      <c r="L1371">
        <v>45</v>
      </c>
      <c r="M1371" t="s">
        <v>36</v>
      </c>
      <c r="N1371">
        <v>1.1176999999999999</v>
      </c>
      <c r="O1371">
        <v>1.320456022210408</v>
      </c>
      <c r="P1371">
        <v>6.3200452360757699E-3</v>
      </c>
      <c r="Q1371">
        <v>1.1176999999999999</v>
      </c>
      <c r="R1371">
        <v>17405.807975999996</v>
      </c>
      <c r="S1371" t="s">
        <v>23</v>
      </c>
      <c r="T1371">
        <v>1.119</v>
      </c>
      <c r="U1371">
        <v>17426.05272</v>
      </c>
      <c r="V1371">
        <v>-20.244744000003266</v>
      </c>
      <c r="W1371">
        <v>-1.1617515638965234E-3</v>
      </c>
    </row>
    <row r="1372" spans="1:23" x14ac:dyDescent="0.25">
      <c r="A1372" t="s">
        <v>2828</v>
      </c>
      <c r="B1372" t="s">
        <v>32</v>
      </c>
      <c r="C1372" t="s">
        <v>106</v>
      </c>
      <c r="D1372" t="s">
        <v>31</v>
      </c>
      <c r="E1372" t="s">
        <v>74</v>
      </c>
      <c r="F1372" s="1">
        <v>45968</v>
      </c>
      <c r="G1372">
        <v>45998</v>
      </c>
      <c r="H1372" t="s">
        <v>6</v>
      </c>
      <c r="I1372">
        <v>9627.0499999999993</v>
      </c>
      <c r="J1372" t="s">
        <v>75</v>
      </c>
      <c r="K1372" t="s">
        <v>2829</v>
      </c>
      <c r="L1372">
        <v>30</v>
      </c>
      <c r="M1372" t="s">
        <v>32</v>
      </c>
      <c r="N1372">
        <v>1.1560999999999999</v>
      </c>
      <c r="O1372">
        <v>1.3121098626716603</v>
      </c>
      <c r="P1372">
        <v>6.5320074580484761E-3</v>
      </c>
      <c r="Q1372">
        <v>1.1560999999999999</v>
      </c>
      <c r="R1372">
        <v>11129.832504999998</v>
      </c>
      <c r="S1372" t="s">
        <v>14</v>
      </c>
      <c r="T1372">
        <v>1.1060000000000001</v>
      </c>
      <c r="U1372">
        <v>10647.5173</v>
      </c>
      <c r="V1372">
        <v>482.31520499999897</v>
      </c>
      <c r="W1372">
        <v>4.5298372513562293E-2</v>
      </c>
    </row>
    <row r="1373" spans="1:23" x14ac:dyDescent="0.25">
      <c r="A1373" t="s">
        <v>2828</v>
      </c>
      <c r="B1373" t="s">
        <v>20</v>
      </c>
      <c r="C1373" t="s">
        <v>123</v>
      </c>
      <c r="D1373" t="s">
        <v>31</v>
      </c>
      <c r="E1373" t="s">
        <v>124</v>
      </c>
      <c r="F1373" s="1">
        <v>46204</v>
      </c>
      <c r="G1373">
        <v>46249</v>
      </c>
      <c r="H1373" t="s">
        <v>6</v>
      </c>
      <c r="I1373">
        <v>60070.79</v>
      </c>
      <c r="J1373" t="s">
        <v>75</v>
      </c>
      <c r="K1373" t="s">
        <v>2830</v>
      </c>
      <c r="L1373">
        <v>45</v>
      </c>
      <c r="M1373" t="s">
        <v>20</v>
      </c>
      <c r="N1373">
        <v>1.1383000000000001</v>
      </c>
      <c r="O1373">
        <v>1.3240203319646866</v>
      </c>
      <c r="P1373">
        <v>6.145996436477512E-3</v>
      </c>
      <c r="Q1373">
        <v>1.1383000000000001</v>
      </c>
      <c r="R1373">
        <v>68378.580257000009</v>
      </c>
      <c r="S1373" t="s">
        <v>21</v>
      </c>
      <c r="T1373">
        <v>1.101</v>
      </c>
      <c r="U1373">
        <v>66137.939790000004</v>
      </c>
      <c r="V1373">
        <v>2240.6404670000047</v>
      </c>
      <c r="W1373">
        <v>3.3878292461398798E-2</v>
      </c>
    </row>
    <row r="1374" spans="1:23" x14ac:dyDescent="0.25">
      <c r="A1374" t="s">
        <v>2831</v>
      </c>
      <c r="B1374" t="s">
        <v>22</v>
      </c>
      <c r="C1374" t="s">
        <v>127</v>
      </c>
      <c r="D1374" t="s">
        <v>31</v>
      </c>
      <c r="E1374" t="s">
        <v>124</v>
      </c>
      <c r="F1374" s="1">
        <v>46164</v>
      </c>
      <c r="G1374">
        <v>46224</v>
      </c>
      <c r="H1374" t="s">
        <v>9</v>
      </c>
      <c r="I1374">
        <v>8764087.6300000008</v>
      </c>
      <c r="J1374" t="s">
        <v>75</v>
      </c>
      <c r="K1374" t="s">
        <v>2832</v>
      </c>
      <c r="L1374">
        <v>60</v>
      </c>
      <c r="M1374" t="s">
        <v>22</v>
      </c>
      <c r="N1374">
        <v>1.1595</v>
      </c>
      <c r="O1374">
        <v>1.3417343608970353</v>
      </c>
      <c r="P1374">
        <v>6.2835311331490814E-3</v>
      </c>
      <c r="Q1374">
        <v>6.2835311331490814E-3</v>
      </c>
      <c r="R1374">
        <v>55069.417476751754</v>
      </c>
      <c r="S1374" t="s">
        <v>19</v>
      </c>
      <c r="T1374">
        <v>6.6E-3</v>
      </c>
      <c r="U1374">
        <v>57842.978358000008</v>
      </c>
      <c r="V1374">
        <v>-2773.5608812482533</v>
      </c>
      <c r="W1374">
        <v>-4.7949828310745242E-2</v>
      </c>
    </row>
    <row r="1375" spans="1:23" x14ac:dyDescent="0.25">
      <c r="A1375" t="s">
        <v>2833</v>
      </c>
      <c r="B1375" t="s">
        <v>44</v>
      </c>
      <c r="C1375" t="s">
        <v>138</v>
      </c>
      <c r="D1375" t="s">
        <v>33</v>
      </c>
      <c r="E1375" t="s">
        <v>88</v>
      </c>
      <c r="F1375" s="1">
        <v>45859</v>
      </c>
      <c r="G1375">
        <v>45904</v>
      </c>
      <c r="H1375" t="s">
        <v>9</v>
      </c>
      <c r="I1375">
        <v>1474479.32</v>
      </c>
      <c r="J1375" t="s">
        <v>75</v>
      </c>
      <c r="K1375" t="s">
        <v>2834</v>
      </c>
      <c r="L1375">
        <v>45</v>
      </c>
      <c r="M1375" t="s">
        <v>44</v>
      </c>
      <c r="N1375">
        <v>1.1667000000000001</v>
      </c>
      <c r="O1375">
        <v>1.3478512014787432</v>
      </c>
      <c r="P1375">
        <v>6.7823508894314611E-3</v>
      </c>
      <c r="Q1375">
        <v>6.7823508894314611E-3</v>
      </c>
      <c r="R1375">
        <v>10000.436127450297</v>
      </c>
      <c r="S1375" t="s">
        <v>13</v>
      </c>
      <c r="T1375">
        <v>6.8399999999999997E-3</v>
      </c>
      <c r="U1375">
        <v>10085.438548800001</v>
      </c>
      <c r="V1375">
        <v>-85.002421349703582</v>
      </c>
      <c r="W1375">
        <v>-8.4282325392600263E-3</v>
      </c>
    </row>
    <row r="1376" spans="1:23" x14ac:dyDescent="0.25">
      <c r="A1376" t="s">
        <v>2835</v>
      </c>
      <c r="B1376" t="s">
        <v>20</v>
      </c>
      <c r="C1376" t="s">
        <v>123</v>
      </c>
      <c r="D1376" t="s">
        <v>31</v>
      </c>
      <c r="E1376" t="s">
        <v>124</v>
      </c>
      <c r="F1376" s="1">
        <v>46001</v>
      </c>
      <c r="G1376">
        <v>46046</v>
      </c>
      <c r="H1376" t="s">
        <v>6</v>
      </c>
      <c r="I1376">
        <v>68444.25</v>
      </c>
      <c r="J1376" t="s">
        <v>75</v>
      </c>
      <c r="K1376" t="s">
        <v>2836</v>
      </c>
      <c r="L1376">
        <v>45</v>
      </c>
      <c r="M1376" t="s">
        <v>20</v>
      </c>
      <c r="N1376">
        <v>1.1634</v>
      </c>
      <c r="O1376">
        <v>1.3309689966823017</v>
      </c>
      <c r="P1376">
        <v>6.3810881965774462E-3</v>
      </c>
      <c r="Q1376">
        <v>1.1634</v>
      </c>
      <c r="R1376">
        <v>79628.04045</v>
      </c>
      <c r="S1376" t="s">
        <v>14</v>
      </c>
      <c r="T1376">
        <v>1.1060000000000001</v>
      </c>
      <c r="U1376">
        <v>75699.340500000006</v>
      </c>
      <c r="V1376">
        <v>3928.6999499999947</v>
      </c>
      <c r="W1376">
        <v>5.189873417721512E-2</v>
      </c>
    </row>
    <row r="1377" spans="1:23" x14ac:dyDescent="0.25">
      <c r="A1377" t="s">
        <v>2837</v>
      </c>
      <c r="B1377" t="s">
        <v>44</v>
      </c>
      <c r="C1377" t="s">
        <v>138</v>
      </c>
      <c r="D1377" t="s">
        <v>33</v>
      </c>
      <c r="E1377" t="s">
        <v>88</v>
      </c>
      <c r="F1377" s="1">
        <v>45827</v>
      </c>
      <c r="G1377">
        <v>45872</v>
      </c>
      <c r="H1377" t="s">
        <v>9</v>
      </c>
      <c r="I1377">
        <v>547878.89</v>
      </c>
      <c r="J1377" t="s">
        <v>75</v>
      </c>
      <c r="K1377" t="s">
        <v>2838</v>
      </c>
      <c r="L1377">
        <v>45</v>
      </c>
      <c r="M1377" t="s">
        <v>44</v>
      </c>
      <c r="N1377">
        <v>1.1477999999999999</v>
      </c>
      <c r="O1377">
        <v>1.3438707411310151</v>
      </c>
      <c r="P1377">
        <v>6.8648325358851674E-3</v>
      </c>
      <c r="Q1377">
        <v>6.8648325358851674E-3</v>
      </c>
      <c r="R1377">
        <v>3761.0968297966506</v>
      </c>
      <c r="S1377" t="s">
        <v>12</v>
      </c>
      <c r="T1377">
        <v>6.7000000000000002E-3</v>
      </c>
      <c r="U1377">
        <v>3670.7885630000001</v>
      </c>
      <c r="V1377">
        <v>90.308266796650514</v>
      </c>
      <c r="W1377">
        <v>2.460187102763688E-2</v>
      </c>
    </row>
    <row r="1378" spans="1:23" x14ac:dyDescent="0.25">
      <c r="A1378" t="s">
        <v>2839</v>
      </c>
      <c r="B1378" t="s">
        <v>24</v>
      </c>
      <c r="C1378" t="s">
        <v>73</v>
      </c>
      <c r="D1378" t="s">
        <v>31</v>
      </c>
      <c r="E1378" t="s">
        <v>74</v>
      </c>
      <c r="F1378" s="1">
        <v>46278</v>
      </c>
      <c r="G1378">
        <v>46308</v>
      </c>
      <c r="H1378" t="s">
        <v>6</v>
      </c>
      <c r="I1378">
        <v>47346.65</v>
      </c>
      <c r="J1378" t="s">
        <v>75</v>
      </c>
      <c r="K1378" t="s">
        <v>2840</v>
      </c>
      <c r="L1378">
        <v>30</v>
      </c>
      <c r="M1378" t="s">
        <v>24</v>
      </c>
      <c r="N1378">
        <v>1.1592</v>
      </c>
      <c r="O1378">
        <v>1.3508127949659152</v>
      </c>
      <c r="P1378">
        <v>6.4919354838709675E-3</v>
      </c>
      <c r="Q1378">
        <v>1.1592</v>
      </c>
      <c r="R1378">
        <v>54884.236680000002</v>
      </c>
      <c r="S1378" t="s">
        <v>21</v>
      </c>
      <c r="T1378">
        <v>1.101</v>
      </c>
      <c r="U1378">
        <v>52128.661650000002</v>
      </c>
      <c r="V1378">
        <v>2755.57503</v>
      </c>
      <c r="W1378">
        <v>5.2861035422343321E-2</v>
      </c>
    </row>
    <row r="1379" spans="1:23" x14ac:dyDescent="0.25">
      <c r="A1379" t="s">
        <v>2841</v>
      </c>
      <c r="B1379" t="s">
        <v>22</v>
      </c>
      <c r="C1379" t="s">
        <v>127</v>
      </c>
      <c r="D1379" t="s">
        <v>31</v>
      </c>
      <c r="E1379" t="s">
        <v>124</v>
      </c>
      <c r="F1379" s="1">
        <v>45843</v>
      </c>
      <c r="G1379">
        <v>45903</v>
      </c>
      <c r="H1379" t="s">
        <v>9</v>
      </c>
      <c r="I1379">
        <v>10407117.34</v>
      </c>
      <c r="J1379" t="s">
        <v>75</v>
      </c>
      <c r="K1379" t="s">
        <v>2842</v>
      </c>
      <c r="L1379">
        <v>60</v>
      </c>
      <c r="M1379" t="s">
        <v>22</v>
      </c>
      <c r="N1379">
        <v>1.1740999999999999</v>
      </c>
      <c r="O1379">
        <v>1.344286695672086</v>
      </c>
      <c r="P1379">
        <v>6.7570211786372007E-3</v>
      </c>
      <c r="Q1379">
        <v>6.7570211786372007E-3</v>
      </c>
      <c r="R1379">
        <v>70321.112274942454</v>
      </c>
      <c r="S1379" t="s">
        <v>13</v>
      </c>
      <c r="T1379">
        <v>6.8399999999999997E-3</v>
      </c>
      <c r="U1379">
        <v>71184.682605599999</v>
      </c>
      <c r="V1379">
        <v>-863.57033065754513</v>
      </c>
      <c r="W1379">
        <v>-1.2131406631988119E-2</v>
      </c>
    </row>
    <row r="1380" spans="1:23" x14ac:dyDescent="0.25">
      <c r="A1380" t="s">
        <v>2843</v>
      </c>
      <c r="B1380" t="s">
        <v>28</v>
      </c>
      <c r="C1380" t="s">
        <v>111</v>
      </c>
      <c r="D1380" t="s">
        <v>31</v>
      </c>
      <c r="E1380" t="s">
        <v>74</v>
      </c>
      <c r="F1380" s="1">
        <v>46071</v>
      </c>
      <c r="G1380">
        <v>46116</v>
      </c>
      <c r="H1380" t="s">
        <v>9</v>
      </c>
      <c r="I1380">
        <v>2001849.18</v>
      </c>
      <c r="J1380" t="s">
        <v>75</v>
      </c>
      <c r="K1380" t="s">
        <v>2844</v>
      </c>
      <c r="L1380">
        <v>45</v>
      </c>
      <c r="M1380" t="s">
        <v>28</v>
      </c>
      <c r="N1380">
        <v>1.1845000000000001</v>
      </c>
      <c r="O1380">
        <v>1.3577487391104999</v>
      </c>
      <c r="P1380">
        <v>6.5085993735919554E-3</v>
      </c>
      <c r="Q1380">
        <v>6.5085993735919554E-3</v>
      </c>
      <c r="R1380">
        <v>13029.234318973569</v>
      </c>
      <c r="S1380" t="s">
        <v>16</v>
      </c>
      <c r="T1380">
        <v>6.4599999999999996E-3</v>
      </c>
      <c r="U1380">
        <v>12931.945702799998</v>
      </c>
      <c r="V1380">
        <v>97.288616173571427</v>
      </c>
      <c r="W1380">
        <v>7.523122847052064E-3</v>
      </c>
    </row>
    <row r="1381" spans="1:23" x14ac:dyDescent="0.25">
      <c r="A1381" t="s">
        <v>2845</v>
      </c>
      <c r="B1381" t="s">
        <v>32</v>
      </c>
      <c r="C1381" t="s">
        <v>106</v>
      </c>
      <c r="D1381" t="s">
        <v>31</v>
      </c>
      <c r="E1381" t="s">
        <v>74</v>
      </c>
      <c r="F1381" s="1">
        <v>46218</v>
      </c>
      <c r="G1381">
        <v>46248</v>
      </c>
      <c r="H1381" t="s">
        <v>6</v>
      </c>
      <c r="I1381">
        <v>14943.11</v>
      </c>
      <c r="J1381" t="s">
        <v>75</v>
      </c>
      <c r="K1381" t="s">
        <v>2846</v>
      </c>
      <c r="L1381">
        <v>30</v>
      </c>
      <c r="M1381" t="s">
        <v>32</v>
      </c>
      <c r="N1381">
        <v>1.1406000000000001</v>
      </c>
      <c r="O1381">
        <v>1.3404157803814651</v>
      </c>
      <c r="P1381">
        <v>6.1580822805312602E-3</v>
      </c>
      <c r="Q1381">
        <v>1.1406000000000001</v>
      </c>
      <c r="R1381">
        <v>17044.111266</v>
      </c>
      <c r="S1381" t="s">
        <v>21</v>
      </c>
      <c r="T1381">
        <v>1.101</v>
      </c>
      <c r="U1381">
        <v>16452.364109999999</v>
      </c>
      <c r="V1381">
        <v>591.74715600000127</v>
      </c>
      <c r="W1381">
        <v>3.5967302452316156E-2</v>
      </c>
    </row>
    <row r="1382" spans="1:23" x14ac:dyDescent="0.25">
      <c r="A1382" t="s">
        <v>2847</v>
      </c>
      <c r="B1382" t="s">
        <v>34</v>
      </c>
      <c r="C1382" t="s">
        <v>177</v>
      </c>
      <c r="D1382" t="s">
        <v>31</v>
      </c>
      <c r="E1382" t="s">
        <v>74</v>
      </c>
      <c r="F1382" s="1">
        <v>45890</v>
      </c>
      <c r="G1382">
        <v>45950</v>
      </c>
      <c r="H1382" t="s">
        <v>8</v>
      </c>
      <c r="I1382">
        <v>11046.04</v>
      </c>
      <c r="J1382" t="s">
        <v>75</v>
      </c>
      <c r="K1382" t="s">
        <v>2848</v>
      </c>
      <c r="L1382">
        <v>60</v>
      </c>
      <c r="M1382" t="s">
        <v>34</v>
      </c>
      <c r="N1382">
        <v>1.1638999999999999</v>
      </c>
      <c r="O1382">
        <v>1.3449272012941993</v>
      </c>
      <c r="P1382">
        <v>6.7633215178104474E-3</v>
      </c>
      <c r="Q1382">
        <v>1.3449272012941993</v>
      </c>
      <c r="R1382">
        <v>14856.119662583778</v>
      </c>
      <c r="S1382" t="s">
        <v>13</v>
      </c>
      <c r="T1382">
        <v>1.282</v>
      </c>
      <c r="U1382">
        <v>14161.023280000001</v>
      </c>
      <c r="V1382">
        <v>695.09638258377709</v>
      </c>
      <c r="W1382">
        <v>4.9085180416692104E-2</v>
      </c>
    </row>
    <row r="1383" spans="1:23" x14ac:dyDescent="0.25">
      <c r="A1383" t="s">
        <v>2849</v>
      </c>
      <c r="B1383" t="s">
        <v>24</v>
      </c>
      <c r="C1383" t="s">
        <v>73</v>
      </c>
      <c r="D1383" t="s">
        <v>31</v>
      </c>
      <c r="E1383" t="s">
        <v>74</v>
      </c>
      <c r="F1383" s="1">
        <v>46351</v>
      </c>
      <c r="G1383">
        <v>46381</v>
      </c>
      <c r="H1383" t="s">
        <v>6</v>
      </c>
      <c r="I1383">
        <v>41264.949999999997</v>
      </c>
      <c r="J1383" t="s">
        <v>84</v>
      </c>
      <c r="K1383" t="s">
        <v>2850</v>
      </c>
      <c r="L1383">
        <v>30</v>
      </c>
      <c r="M1383" t="s">
        <v>24</v>
      </c>
      <c r="N1383">
        <v>1.1176999999999999</v>
      </c>
      <c r="O1383">
        <v>1.320456022210408</v>
      </c>
      <c r="P1383">
        <v>6.3200452360757699E-3</v>
      </c>
      <c r="Q1383">
        <v>1.1176999999999999</v>
      </c>
      <c r="R1383">
        <v>46121.834614999992</v>
      </c>
      <c r="S1383" t="s">
        <v>23</v>
      </c>
      <c r="T1383">
        <v>1.119</v>
      </c>
      <c r="U1383">
        <v>46175.479049999994</v>
      </c>
      <c r="V1383">
        <v>-53.644435000001977</v>
      </c>
      <c r="W1383">
        <v>-1.161751563896379E-3</v>
      </c>
    </row>
    <row r="1384" spans="1:23" x14ac:dyDescent="0.25">
      <c r="A1384" t="s">
        <v>2851</v>
      </c>
      <c r="B1384" t="s">
        <v>20</v>
      </c>
      <c r="C1384" t="s">
        <v>123</v>
      </c>
      <c r="D1384" t="s">
        <v>31</v>
      </c>
      <c r="E1384" t="s">
        <v>124</v>
      </c>
      <c r="F1384" s="1">
        <v>45871</v>
      </c>
      <c r="G1384">
        <v>45916</v>
      </c>
      <c r="H1384" t="s">
        <v>6</v>
      </c>
      <c r="I1384">
        <v>28189.040000000001</v>
      </c>
      <c r="J1384" t="s">
        <v>75</v>
      </c>
      <c r="K1384" t="s">
        <v>2852</v>
      </c>
      <c r="L1384">
        <v>45</v>
      </c>
      <c r="M1384" t="s">
        <v>20</v>
      </c>
      <c r="N1384">
        <v>1.1560999999999999</v>
      </c>
      <c r="O1384">
        <v>1.3121098626716603</v>
      </c>
      <c r="P1384">
        <v>6.5320074580484761E-3</v>
      </c>
      <c r="Q1384">
        <v>1.1560999999999999</v>
      </c>
      <c r="R1384">
        <v>32589.349144</v>
      </c>
      <c r="S1384" t="s">
        <v>13</v>
      </c>
      <c r="T1384">
        <v>1.0880000000000001</v>
      </c>
      <c r="U1384">
        <v>30669.675520000004</v>
      </c>
      <c r="V1384">
        <v>1919.6736239999955</v>
      </c>
      <c r="W1384">
        <v>6.2591911764705729E-2</v>
      </c>
    </row>
    <row r="1385" spans="1:23" x14ac:dyDescent="0.25">
      <c r="A1385" t="s">
        <v>2853</v>
      </c>
      <c r="B1385" t="s">
        <v>43</v>
      </c>
      <c r="C1385" t="s">
        <v>215</v>
      </c>
      <c r="D1385" t="s">
        <v>35</v>
      </c>
      <c r="E1385" t="s">
        <v>152</v>
      </c>
      <c r="F1385" s="1">
        <v>45961</v>
      </c>
      <c r="G1385">
        <v>45991</v>
      </c>
      <c r="H1385" t="s">
        <v>6</v>
      </c>
      <c r="I1385">
        <v>930.63</v>
      </c>
      <c r="J1385" t="s">
        <v>75</v>
      </c>
      <c r="K1385" t="s">
        <v>2854</v>
      </c>
      <c r="L1385">
        <v>30</v>
      </c>
      <c r="M1385" t="s">
        <v>43</v>
      </c>
      <c r="N1385">
        <v>1.1554</v>
      </c>
      <c r="O1385">
        <v>1.3105716878402902</v>
      </c>
      <c r="P1385">
        <v>6.4859099584596387E-3</v>
      </c>
      <c r="Q1385">
        <v>1.1554</v>
      </c>
      <c r="R1385">
        <v>1075.249902</v>
      </c>
      <c r="S1385" t="s">
        <v>14</v>
      </c>
      <c r="T1385">
        <v>1.1060000000000001</v>
      </c>
      <c r="U1385">
        <v>1029.2767800000001</v>
      </c>
      <c r="V1385">
        <v>45.973121999999876</v>
      </c>
      <c r="W1385">
        <v>4.4665461121157199E-2</v>
      </c>
    </row>
    <row r="1386" spans="1:23" x14ac:dyDescent="0.25">
      <c r="A1386" t="s">
        <v>2855</v>
      </c>
      <c r="B1386" t="s">
        <v>32</v>
      </c>
      <c r="C1386" t="s">
        <v>106</v>
      </c>
      <c r="D1386" t="s">
        <v>31</v>
      </c>
      <c r="E1386" t="s">
        <v>74</v>
      </c>
      <c r="F1386" s="1">
        <v>46128</v>
      </c>
      <c r="G1386">
        <v>46158</v>
      </c>
      <c r="H1386" t="s">
        <v>6</v>
      </c>
      <c r="I1386">
        <v>29747.4</v>
      </c>
      <c r="J1386" t="s">
        <v>75</v>
      </c>
      <c r="K1386" t="s">
        <v>2856</v>
      </c>
      <c r="L1386">
        <v>30</v>
      </c>
      <c r="M1386" t="s">
        <v>32</v>
      </c>
      <c r="N1386">
        <v>1.1781999999999999</v>
      </c>
      <c r="O1386">
        <v>1.3543618452059361</v>
      </c>
      <c r="P1386">
        <v>6.2901073087395223E-3</v>
      </c>
      <c r="Q1386">
        <v>1.1781999999999999</v>
      </c>
      <c r="R1386">
        <v>35048.386679999996</v>
      </c>
      <c r="S1386" t="s">
        <v>19</v>
      </c>
      <c r="T1386">
        <v>1.083</v>
      </c>
      <c r="U1386">
        <v>32216.4342</v>
      </c>
      <c r="V1386">
        <v>2831.9524799999963</v>
      </c>
      <c r="W1386">
        <v>8.7903970452446786E-2</v>
      </c>
    </row>
    <row r="1387" spans="1:23" x14ac:dyDescent="0.25">
      <c r="A1387" t="s">
        <v>2857</v>
      </c>
      <c r="B1387" t="s">
        <v>30</v>
      </c>
      <c r="C1387" t="s">
        <v>103</v>
      </c>
      <c r="D1387" t="s">
        <v>31</v>
      </c>
      <c r="E1387" t="s">
        <v>74</v>
      </c>
      <c r="F1387" s="1">
        <v>46247</v>
      </c>
      <c r="G1387">
        <v>46277</v>
      </c>
      <c r="H1387" t="s">
        <v>9</v>
      </c>
      <c r="I1387">
        <v>1601160.33</v>
      </c>
      <c r="J1387" t="s">
        <v>75</v>
      </c>
      <c r="K1387" t="s">
        <v>2858</v>
      </c>
      <c r="L1387">
        <v>30</v>
      </c>
      <c r="M1387" t="s">
        <v>30</v>
      </c>
      <c r="N1387">
        <v>1.1534</v>
      </c>
      <c r="O1387">
        <v>1.3491636448707451</v>
      </c>
      <c r="P1387">
        <v>6.2763236654513792E-3</v>
      </c>
      <c r="Q1387">
        <v>6.2763236654513792E-3</v>
      </c>
      <c r="R1387">
        <v>10049.400471360941</v>
      </c>
      <c r="S1387" t="s">
        <v>21</v>
      </c>
      <c r="T1387">
        <v>6.7400000000000003E-3</v>
      </c>
      <c r="U1387">
        <v>10791.820624200001</v>
      </c>
      <c r="V1387">
        <v>-742.42015283906039</v>
      </c>
      <c r="W1387">
        <v>-6.8794708390003109E-2</v>
      </c>
    </row>
    <row r="1388" spans="1:23" x14ac:dyDescent="0.25">
      <c r="A1388" t="s">
        <v>2859</v>
      </c>
      <c r="B1388" t="s">
        <v>32</v>
      </c>
      <c r="C1388" t="s">
        <v>106</v>
      </c>
      <c r="D1388" t="s">
        <v>31</v>
      </c>
      <c r="E1388" t="s">
        <v>74</v>
      </c>
      <c r="F1388" s="1">
        <v>46094</v>
      </c>
      <c r="G1388">
        <v>46124</v>
      </c>
      <c r="H1388" t="s">
        <v>6</v>
      </c>
      <c r="I1388">
        <v>17704.09</v>
      </c>
      <c r="J1388" t="s">
        <v>75</v>
      </c>
      <c r="K1388" t="s">
        <v>2860</v>
      </c>
      <c r="L1388">
        <v>30</v>
      </c>
      <c r="M1388" t="s">
        <v>32</v>
      </c>
      <c r="N1388">
        <v>1.1476</v>
      </c>
      <c r="O1388">
        <v>1.3266591910107164</v>
      </c>
      <c r="P1388">
        <v>6.2761826633852885E-3</v>
      </c>
      <c r="Q1388">
        <v>1.1476</v>
      </c>
      <c r="R1388">
        <v>20317.213683999998</v>
      </c>
      <c r="S1388" t="s">
        <v>16</v>
      </c>
      <c r="T1388">
        <v>1.0649999999999999</v>
      </c>
      <c r="U1388">
        <v>18854.85585</v>
      </c>
      <c r="V1388">
        <v>1462.3578339999985</v>
      </c>
      <c r="W1388">
        <v>7.7558685446009315E-2</v>
      </c>
    </row>
    <row r="1389" spans="1:23" x14ac:dyDescent="0.25">
      <c r="A1389" t="s">
        <v>2861</v>
      </c>
      <c r="B1389" t="s">
        <v>32</v>
      </c>
      <c r="C1389" t="s">
        <v>106</v>
      </c>
      <c r="D1389" t="s">
        <v>31</v>
      </c>
      <c r="E1389" t="s">
        <v>806</v>
      </c>
      <c r="F1389" s="1">
        <v>45993</v>
      </c>
      <c r="G1389">
        <v>46023</v>
      </c>
      <c r="H1389" t="s">
        <v>6</v>
      </c>
      <c r="I1389">
        <v>9987.01</v>
      </c>
      <c r="J1389" t="s">
        <v>75</v>
      </c>
      <c r="K1389" t="s">
        <v>2862</v>
      </c>
      <c r="L1389">
        <v>30</v>
      </c>
      <c r="M1389" t="s">
        <v>32</v>
      </c>
      <c r="N1389">
        <v>1.1614</v>
      </c>
      <c r="O1389">
        <v>1.3203728967712596</v>
      </c>
      <c r="P1389">
        <v>6.4073706278274306E-3</v>
      </c>
      <c r="Q1389">
        <v>1.1614</v>
      </c>
      <c r="R1389">
        <v>11598.913414000001</v>
      </c>
      <c r="S1389" t="s">
        <v>14</v>
      </c>
      <c r="T1389">
        <v>1.1060000000000001</v>
      </c>
      <c r="U1389">
        <v>11045.633060000002</v>
      </c>
      <c r="V1389">
        <v>553.28035399999862</v>
      </c>
      <c r="W1389">
        <v>5.0090415913200591E-2</v>
      </c>
    </row>
    <row r="1390" spans="1:23" x14ac:dyDescent="0.25">
      <c r="A1390" t="s">
        <v>2863</v>
      </c>
      <c r="B1390" t="s">
        <v>43</v>
      </c>
      <c r="C1390" t="s">
        <v>215</v>
      </c>
      <c r="D1390" t="s">
        <v>35</v>
      </c>
      <c r="E1390" t="s">
        <v>152</v>
      </c>
      <c r="F1390" s="1">
        <v>46064</v>
      </c>
      <c r="G1390">
        <v>46094</v>
      </c>
      <c r="H1390" t="s">
        <v>6</v>
      </c>
      <c r="I1390">
        <v>5254.62</v>
      </c>
      <c r="J1390" t="s">
        <v>75</v>
      </c>
      <c r="K1390" t="s">
        <v>2864</v>
      </c>
      <c r="L1390">
        <v>30</v>
      </c>
      <c r="M1390" t="s">
        <v>43</v>
      </c>
      <c r="N1390">
        <v>1.19</v>
      </c>
      <c r="O1390">
        <v>1.3679733302678467</v>
      </c>
      <c r="P1390">
        <v>6.5102029651512667E-3</v>
      </c>
      <c r="Q1390">
        <v>1.19</v>
      </c>
      <c r="R1390">
        <v>6252.9977999999992</v>
      </c>
      <c r="S1390" t="s">
        <v>16</v>
      </c>
      <c r="T1390">
        <v>1.0649999999999999</v>
      </c>
      <c r="U1390">
        <v>5596.1702999999998</v>
      </c>
      <c r="V1390">
        <v>656.82749999999942</v>
      </c>
      <c r="W1390">
        <v>0.11737089201877925</v>
      </c>
    </row>
    <row r="1391" spans="1:23" x14ac:dyDescent="0.25">
      <c r="A1391" t="s">
        <v>2865</v>
      </c>
      <c r="B1391" t="s">
        <v>20</v>
      </c>
      <c r="C1391" t="s">
        <v>123</v>
      </c>
      <c r="D1391" t="s">
        <v>31</v>
      </c>
      <c r="E1391" t="s">
        <v>124</v>
      </c>
      <c r="F1391" s="1">
        <v>46118</v>
      </c>
      <c r="G1391">
        <v>46163</v>
      </c>
      <c r="H1391" t="s">
        <v>6</v>
      </c>
      <c r="I1391">
        <v>22574.5</v>
      </c>
      <c r="J1391" t="s">
        <v>75</v>
      </c>
      <c r="K1391" t="s">
        <v>2866</v>
      </c>
      <c r="L1391">
        <v>45</v>
      </c>
      <c r="M1391" t="s">
        <v>20</v>
      </c>
      <c r="N1391">
        <v>1.1525000000000001</v>
      </c>
      <c r="O1391">
        <v>1.3208714886594157</v>
      </c>
      <c r="P1391">
        <v>6.2656300967706864E-3</v>
      </c>
      <c r="Q1391">
        <v>1.1525000000000001</v>
      </c>
      <c r="R1391">
        <v>26017.111250000002</v>
      </c>
      <c r="S1391" t="s">
        <v>19</v>
      </c>
      <c r="T1391">
        <v>1.083</v>
      </c>
      <c r="U1391">
        <v>24448.183499999999</v>
      </c>
      <c r="V1391">
        <v>1568.9277500000026</v>
      </c>
      <c r="W1391">
        <v>6.4173591874423008E-2</v>
      </c>
    </row>
    <row r="1392" spans="1:23" x14ac:dyDescent="0.25">
      <c r="A1392" t="s">
        <v>2867</v>
      </c>
      <c r="B1392" t="s">
        <v>37</v>
      </c>
      <c r="C1392" t="s">
        <v>91</v>
      </c>
      <c r="D1392" t="s">
        <v>31</v>
      </c>
      <c r="E1392" t="s">
        <v>74</v>
      </c>
      <c r="F1392" s="1">
        <v>45760</v>
      </c>
      <c r="G1392">
        <v>45790</v>
      </c>
      <c r="H1392" t="s">
        <v>6</v>
      </c>
      <c r="I1392">
        <v>19563.36</v>
      </c>
      <c r="J1392" t="s">
        <v>75</v>
      </c>
      <c r="K1392" t="s">
        <v>2868</v>
      </c>
      <c r="L1392">
        <v>30</v>
      </c>
      <c r="M1392" t="s">
        <v>37</v>
      </c>
      <c r="N1392">
        <v>1.1423000000000001</v>
      </c>
      <c r="O1392">
        <v>1.3568119729183989</v>
      </c>
      <c r="P1392">
        <v>6.9797140413051456E-3</v>
      </c>
      <c r="Q1392">
        <v>1.1423000000000001</v>
      </c>
      <c r="R1392">
        <v>22347.226128000002</v>
      </c>
      <c r="S1392" t="s">
        <v>12</v>
      </c>
      <c r="T1392">
        <v>1.07</v>
      </c>
      <c r="U1392">
        <v>20932.7952</v>
      </c>
      <c r="V1392">
        <v>1414.4309280000016</v>
      </c>
      <c r="W1392">
        <v>6.7570093457944E-2</v>
      </c>
    </row>
    <row r="1393" spans="1:23" x14ac:dyDescent="0.25">
      <c r="A1393" t="s">
        <v>2869</v>
      </c>
      <c r="B1393" t="s">
        <v>30</v>
      </c>
      <c r="C1393" t="s">
        <v>103</v>
      </c>
      <c r="D1393" t="s">
        <v>31</v>
      </c>
      <c r="E1393" t="s">
        <v>74</v>
      </c>
      <c r="F1393" s="1">
        <v>46378</v>
      </c>
      <c r="G1393">
        <v>46408</v>
      </c>
      <c r="H1393" t="s">
        <v>9</v>
      </c>
      <c r="I1393">
        <v>2591039.7799999998</v>
      </c>
      <c r="J1393" t="s">
        <v>84</v>
      </c>
      <c r="K1393" t="s">
        <v>2870</v>
      </c>
      <c r="L1393">
        <v>30</v>
      </c>
      <c r="M1393" t="s">
        <v>30</v>
      </c>
      <c r="N1393">
        <v>1.1176999999999999</v>
      </c>
      <c r="O1393">
        <v>1.320456022210408</v>
      </c>
      <c r="P1393">
        <v>6.3200452360757699E-3</v>
      </c>
      <c r="Q1393">
        <v>6.3200452360757699E-3</v>
      </c>
      <c r="R1393">
        <v>16375.488618071809</v>
      </c>
      <c r="S1393" t="s">
        <v>23</v>
      </c>
      <c r="T1393">
        <v>6.8799999999999998E-3</v>
      </c>
      <c r="U1393">
        <v>17826.353686399998</v>
      </c>
      <c r="V1393">
        <v>-1450.8650683281885</v>
      </c>
      <c r="W1393">
        <v>-8.1388773826196206E-2</v>
      </c>
    </row>
    <row r="1394" spans="1:23" x14ac:dyDescent="0.25">
      <c r="A1394" t="s">
        <v>2871</v>
      </c>
      <c r="B1394" t="s">
        <v>43</v>
      </c>
      <c r="C1394" t="s">
        <v>215</v>
      </c>
      <c r="D1394" t="s">
        <v>35</v>
      </c>
      <c r="E1394" t="s">
        <v>152</v>
      </c>
      <c r="F1394" s="1">
        <v>45821</v>
      </c>
      <c r="G1394">
        <v>45851</v>
      </c>
      <c r="H1394" t="s">
        <v>6</v>
      </c>
      <c r="I1394">
        <v>3992</v>
      </c>
      <c r="J1394" t="s">
        <v>75</v>
      </c>
      <c r="K1394" t="s">
        <v>2872</v>
      </c>
      <c r="L1394">
        <v>30</v>
      </c>
      <c r="M1394" t="s">
        <v>43</v>
      </c>
      <c r="N1394">
        <v>1.1512</v>
      </c>
      <c r="O1394">
        <v>1.3535567313345092</v>
      </c>
      <c r="P1394">
        <v>6.9374472700976259E-3</v>
      </c>
      <c r="Q1394">
        <v>1.1512</v>
      </c>
      <c r="R1394">
        <v>4595.5904</v>
      </c>
      <c r="S1394" t="s">
        <v>12</v>
      </c>
      <c r="T1394">
        <v>1.07</v>
      </c>
      <c r="U1394">
        <v>4271.4400000000005</v>
      </c>
      <c r="V1394">
        <v>324.15039999999954</v>
      </c>
      <c r="W1394">
        <v>7.5887850467289603E-2</v>
      </c>
    </row>
    <row r="1395" spans="1:23" x14ac:dyDescent="0.25">
      <c r="A1395" t="s">
        <v>2873</v>
      </c>
      <c r="B1395" t="s">
        <v>39</v>
      </c>
      <c r="C1395" t="s">
        <v>82</v>
      </c>
      <c r="D1395" t="s">
        <v>33</v>
      </c>
      <c r="E1395" t="s">
        <v>83</v>
      </c>
      <c r="F1395" s="1">
        <v>45760</v>
      </c>
      <c r="G1395">
        <v>45805</v>
      </c>
      <c r="H1395" t="s">
        <v>8</v>
      </c>
      <c r="I1395">
        <v>1340.49</v>
      </c>
      <c r="J1395" t="s">
        <v>75</v>
      </c>
      <c r="K1395" t="s">
        <v>2874</v>
      </c>
      <c r="L1395">
        <v>45</v>
      </c>
      <c r="M1395" t="s">
        <v>39</v>
      </c>
      <c r="N1395">
        <v>1.1423000000000001</v>
      </c>
      <c r="O1395">
        <v>1.3568119729183989</v>
      </c>
      <c r="P1395">
        <v>6.9797140413051456E-3</v>
      </c>
      <c r="Q1395">
        <v>1.3568119729183989</v>
      </c>
      <c r="R1395">
        <v>1818.7928815773846</v>
      </c>
      <c r="S1395" t="s">
        <v>12</v>
      </c>
      <c r="T1395">
        <v>1.26</v>
      </c>
      <c r="U1395">
        <v>1689.0174</v>
      </c>
      <c r="V1395">
        <v>129.77548157738465</v>
      </c>
      <c r="W1395">
        <v>7.6834899141586491E-2</v>
      </c>
    </row>
    <row r="1396" spans="1:23" x14ac:dyDescent="0.25">
      <c r="A1396" t="s">
        <v>2875</v>
      </c>
      <c r="B1396" t="s">
        <v>20</v>
      </c>
      <c r="C1396" t="s">
        <v>123</v>
      </c>
      <c r="D1396" t="s">
        <v>31</v>
      </c>
      <c r="E1396" t="s">
        <v>124</v>
      </c>
      <c r="F1396" s="1">
        <v>45789</v>
      </c>
      <c r="G1396">
        <v>45834</v>
      </c>
      <c r="H1396" t="s">
        <v>6</v>
      </c>
      <c r="I1396">
        <v>36694.050000000003</v>
      </c>
      <c r="J1396" t="s">
        <v>75</v>
      </c>
      <c r="K1396" t="s">
        <v>2876</v>
      </c>
      <c r="L1396">
        <v>45</v>
      </c>
      <c r="M1396" t="s">
        <v>20</v>
      </c>
      <c r="N1396">
        <v>1.1106</v>
      </c>
      <c r="O1396">
        <v>1.3175940206430181</v>
      </c>
      <c r="P1396">
        <v>6.753009850419555E-3</v>
      </c>
      <c r="Q1396">
        <v>1.1106</v>
      </c>
      <c r="R1396">
        <v>40752.411930000002</v>
      </c>
      <c r="S1396" t="s">
        <v>12</v>
      </c>
      <c r="T1396">
        <v>1.07</v>
      </c>
      <c r="U1396">
        <v>39262.633500000004</v>
      </c>
      <c r="V1396">
        <v>1489.7784299999985</v>
      </c>
      <c r="W1396">
        <v>3.7943925233644815E-2</v>
      </c>
    </row>
    <row r="1397" spans="1:23" x14ac:dyDescent="0.25">
      <c r="A1397" t="s">
        <v>2877</v>
      </c>
      <c r="B1397" t="s">
        <v>36</v>
      </c>
      <c r="C1397" t="s">
        <v>116</v>
      </c>
      <c r="D1397" t="s">
        <v>31</v>
      </c>
      <c r="E1397" t="s">
        <v>74</v>
      </c>
      <c r="F1397" s="1">
        <v>46055</v>
      </c>
      <c r="G1397">
        <v>46100</v>
      </c>
      <c r="H1397" t="s">
        <v>6</v>
      </c>
      <c r="I1397">
        <v>4750.71</v>
      </c>
      <c r="J1397" t="s">
        <v>75</v>
      </c>
      <c r="K1397" t="s">
        <v>2878</v>
      </c>
      <c r="L1397">
        <v>45</v>
      </c>
      <c r="M1397" t="s">
        <v>36</v>
      </c>
      <c r="N1397">
        <v>1.1839999999999999</v>
      </c>
      <c r="O1397">
        <v>1.3675213675213673</v>
      </c>
      <c r="P1397">
        <v>6.4491530039762508E-3</v>
      </c>
      <c r="Q1397">
        <v>1.1839999999999999</v>
      </c>
      <c r="R1397">
        <v>5624.8406399999994</v>
      </c>
      <c r="S1397" t="s">
        <v>16</v>
      </c>
      <c r="T1397">
        <v>1.0649999999999999</v>
      </c>
      <c r="U1397">
        <v>5059.5061500000002</v>
      </c>
      <c r="V1397">
        <v>565.33448999999928</v>
      </c>
      <c r="W1397">
        <v>0.11173708920187779</v>
      </c>
    </row>
    <row r="1398" spans="1:23" x14ac:dyDescent="0.25">
      <c r="A1398" t="s">
        <v>2879</v>
      </c>
      <c r="B1398" t="s">
        <v>37</v>
      </c>
      <c r="C1398" t="s">
        <v>91</v>
      </c>
      <c r="D1398" t="s">
        <v>31</v>
      </c>
      <c r="E1398" t="s">
        <v>74</v>
      </c>
      <c r="F1398" s="1">
        <v>46325</v>
      </c>
      <c r="G1398">
        <v>46355</v>
      </c>
      <c r="H1398" t="s">
        <v>6</v>
      </c>
      <c r="I1398">
        <v>22376.89</v>
      </c>
      <c r="J1398" t="s">
        <v>84</v>
      </c>
      <c r="K1398" t="s">
        <v>2880</v>
      </c>
      <c r="L1398">
        <v>30</v>
      </c>
      <c r="M1398" t="s">
        <v>37</v>
      </c>
      <c r="N1398">
        <v>1.1176999999999999</v>
      </c>
      <c r="O1398">
        <v>1.320456022210408</v>
      </c>
      <c r="P1398">
        <v>6.3200452360757699E-3</v>
      </c>
      <c r="Q1398">
        <v>1.1176999999999999</v>
      </c>
      <c r="R1398">
        <v>25010.649952999996</v>
      </c>
      <c r="S1398" t="s">
        <v>23</v>
      </c>
      <c r="T1398">
        <v>1.119</v>
      </c>
      <c r="U1398">
        <v>25039.73991</v>
      </c>
      <c r="V1398">
        <v>-29.089957000003778</v>
      </c>
      <c r="W1398">
        <v>-1.1617515638964869E-3</v>
      </c>
    </row>
    <row r="1399" spans="1:23" x14ac:dyDescent="0.25">
      <c r="A1399" t="s">
        <v>2881</v>
      </c>
      <c r="B1399" t="s">
        <v>22</v>
      </c>
      <c r="C1399" t="s">
        <v>127</v>
      </c>
      <c r="D1399" t="s">
        <v>31</v>
      </c>
      <c r="E1399" t="s">
        <v>124</v>
      </c>
      <c r="F1399" s="1">
        <v>45920</v>
      </c>
      <c r="G1399">
        <v>45980</v>
      </c>
      <c r="H1399" t="s">
        <v>9</v>
      </c>
      <c r="I1399">
        <v>11507026.6</v>
      </c>
      <c r="J1399" t="s">
        <v>75</v>
      </c>
      <c r="K1399" t="s">
        <v>2882</v>
      </c>
      <c r="L1399">
        <v>60</v>
      </c>
      <c r="M1399" t="s">
        <v>22</v>
      </c>
      <c r="N1399">
        <v>1.1728000000000001</v>
      </c>
      <c r="O1399">
        <v>1.3446457234579225</v>
      </c>
      <c r="P1399">
        <v>6.3332973323253052E-3</v>
      </c>
      <c r="Q1399">
        <v>6.3332973323253052E-3</v>
      </c>
      <c r="R1399">
        <v>72877.420868776331</v>
      </c>
      <c r="S1399" t="s">
        <v>13</v>
      </c>
      <c r="T1399">
        <v>6.8399999999999997E-3</v>
      </c>
      <c r="U1399">
        <v>78708.061944000001</v>
      </c>
      <c r="V1399">
        <v>-5830.6410752236698</v>
      </c>
      <c r="W1399">
        <v>-7.4079337379341303E-2</v>
      </c>
    </row>
    <row r="1400" spans="1:23" x14ac:dyDescent="0.25">
      <c r="A1400" t="s">
        <v>2883</v>
      </c>
      <c r="B1400" t="s">
        <v>38</v>
      </c>
      <c r="C1400" t="s">
        <v>87</v>
      </c>
      <c r="D1400" t="s">
        <v>33</v>
      </c>
      <c r="E1400" t="s">
        <v>88</v>
      </c>
      <c r="F1400" s="1">
        <v>46258</v>
      </c>
      <c r="G1400">
        <v>46288</v>
      </c>
      <c r="H1400" t="s">
        <v>6</v>
      </c>
      <c r="I1400">
        <v>9513.5</v>
      </c>
      <c r="J1400" t="s">
        <v>75</v>
      </c>
      <c r="K1400" t="s">
        <v>2884</v>
      </c>
      <c r="L1400">
        <v>30</v>
      </c>
      <c r="M1400" t="s">
        <v>38</v>
      </c>
      <c r="N1400">
        <v>1.1664000000000001</v>
      </c>
      <c r="O1400">
        <v>1.3634132086499124</v>
      </c>
      <c r="P1400">
        <v>6.2844827586206907E-3</v>
      </c>
      <c r="Q1400">
        <v>1.1664000000000001</v>
      </c>
      <c r="R1400">
        <v>11096.546400000001</v>
      </c>
      <c r="S1400" t="s">
        <v>21</v>
      </c>
      <c r="T1400">
        <v>1.101</v>
      </c>
      <c r="U1400">
        <v>10474.363499999999</v>
      </c>
      <c r="V1400">
        <v>622.18290000000161</v>
      </c>
      <c r="W1400">
        <v>5.9400544959128221E-2</v>
      </c>
    </row>
    <row r="1401" spans="1:23" x14ac:dyDescent="0.25">
      <c r="A1401" t="s">
        <v>2885</v>
      </c>
      <c r="B1401" t="s">
        <v>39</v>
      </c>
      <c r="C1401" t="s">
        <v>82</v>
      </c>
      <c r="D1401" t="s">
        <v>33</v>
      </c>
      <c r="E1401" t="s">
        <v>83</v>
      </c>
      <c r="F1401" s="1">
        <v>45963</v>
      </c>
      <c r="G1401">
        <v>46008</v>
      </c>
      <c r="H1401" t="s">
        <v>8</v>
      </c>
      <c r="I1401">
        <v>2180.4699999999998</v>
      </c>
      <c r="J1401" t="s">
        <v>75</v>
      </c>
      <c r="K1401" t="s">
        <v>2886</v>
      </c>
      <c r="L1401">
        <v>45</v>
      </c>
      <c r="M1401" t="s">
        <v>39</v>
      </c>
      <c r="N1401">
        <v>1.1555</v>
      </c>
      <c r="O1401">
        <v>1.3367963164349013</v>
      </c>
      <c r="P1401">
        <v>6.2983756677204832E-3</v>
      </c>
      <c r="Q1401">
        <v>1.3367963164349013</v>
      </c>
      <c r="R1401">
        <v>2914.8442640968087</v>
      </c>
      <c r="S1401" t="s">
        <v>14</v>
      </c>
      <c r="T1401">
        <v>1.304</v>
      </c>
      <c r="U1401">
        <v>2843.3328799999999</v>
      </c>
      <c r="V1401">
        <v>71.511384096808797</v>
      </c>
      <c r="W1401">
        <v>2.5150549413267713E-2</v>
      </c>
    </row>
    <row r="1402" spans="1:23" x14ac:dyDescent="0.25">
      <c r="A1402" t="s">
        <v>2887</v>
      </c>
      <c r="B1402" t="s">
        <v>20</v>
      </c>
      <c r="C1402" t="s">
        <v>123</v>
      </c>
      <c r="D1402" t="s">
        <v>31</v>
      </c>
      <c r="E1402" t="s">
        <v>124</v>
      </c>
      <c r="F1402" s="1">
        <v>46213</v>
      </c>
      <c r="G1402">
        <v>46258</v>
      </c>
      <c r="H1402" t="s">
        <v>6</v>
      </c>
      <c r="I1402">
        <v>50364.21</v>
      </c>
      <c r="J1402" t="s">
        <v>75</v>
      </c>
      <c r="K1402" t="s">
        <v>2888</v>
      </c>
      <c r="L1402">
        <v>45</v>
      </c>
      <c r="M1402" t="s">
        <v>20</v>
      </c>
      <c r="N1402">
        <v>1.143</v>
      </c>
      <c r="O1402">
        <v>1.3422582349832657</v>
      </c>
      <c r="P1402">
        <v>6.1777105177818611E-3</v>
      </c>
      <c r="Q1402">
        <v>1.143</v>
      </c>
      <c r="R1402">
        <v>57566.292029999997</v>
      </c>
      <c r="S1402" t="s">
        <v>21</v>
      </c>
      <c r="T1402">
        <v>1.101</v>
      </c>
      <c r="U1402">
        <v>55450.995210000001</v>
      </c>
      <c r="V1402">
        <v>2115.2968199999959</v>
      </c>
      <c r="W1402">
        <v>3.8147138964577582E-2</v>
      </c>
    </row>
    <row r="1403" spans="1:23" x14ac:dyDescent="0.25">
      <c r="A1403" t="s">
        <v>2889</v>
      </c>
      <c r="B1403" t="s">
        <v>34</v>
      </c>
      <c r="C1403" t="s">
        <v>177</v>
      </c>
      <c r="D1403" t="s">
        <v>31</v>
      </c>
      <c r="E1403" t="s">
        <v>74</v>
      </c>
      <c r="F1403" s="1">
        <v>46070</v>
      </c>
      <c r="G1403">
        <v>46130</v>
      </c>
      <c r="H1403" t="s">
        <v>8</v>
      </c>
      <c r="I1403">
        <v>10070.209999999999</v>
      </c>
      <c r="J1403" t="s">
        <v>75</v>
      </c>
      <c r="K1403" t="s">
        <v>2890</v>
      </c>
      <c r="L1403">
        <v>60</v>
      </c>
      <c r="M1403" t="s">
        <v>34</v>
      </c>
      <c r="N1403">
        <v>1.1826000000000001</v>
      </c>
      <c r="O1403">
        <v>1.3541738234283753</v>
      </c>
      <c r="P1403">
        <v>6.5315365072351715E-3</v>
      </c>
      <c r="Q1403">
        <v>1.3541738234283753</v>
      </c>
      <c r="R1403">
        <v>13636.814778426658</v>
      </c>
      <c r="S1403" t="s">
        <v>16</v>
      </c>
      <c r="T1403">
        <v>1.2490000000000001</v>
      </c>
      <c r="U1403">
        <v>12577.692290000001</v>
      </c>
      <c r="V1403">
        <v>1059.1224884266576</v>
      </c>
      <c r="W1403">
        <v>8.4206423881805548E-2</v>
      </c>
    </row>
    <row r="1404" spans="1:23" x14ac:dyDescent="0.25">
      <c r="A1404" t="s">
        <v>2891</v>
      </c>
      <c r="B1404" t="s">
        <v>30</v>
      </c>
      <c r="C1404" t="s">
        <v>103</v>
      </c>
      <c r="D1404" t="s">
        <v>31</v>
      </c>
      <c r="E1404" t="s">
        <v>74</v>
      </c>
      <c r="F1404" s="1">
        <v>45837</v>
      </c>
      <c r="G1404">
        <v>45867</v>
      </c>
      <c r="H1404" t="s">
        <v>9</v>
      </c>
      <c r="I1404">
        <v>1970602.5</v>
      </c>
      <c r="J1404" t="s">
        <v>75</v>
      </c>
      <c r="K1404" t="s">
        <v>2892</v>
      </c>
      <c r="L1404">
        <v>30</v>
      </c>
      <c r="M1404" t="s">
        <v>30</v>
      </c>
      <c r="N1404">
        <v>1.1780999999999999</v>
      </c>
      <c r="O1404">
        <v>1.3496391339214113</v>
      </c>
      <c r="P1404">
        <v>6.7640810702187517E-3</v>
      </c>
      <c r="Q1404">
        <v>6.7640810702187517E-3</v>
      </c>
      <c r="R1404">
        <v>13329.315067175748</v>
      </c>
      <c r="S1404" t="s">
        <v>12</v>
      </c>
      <c r="T1404">
        <v>6.7000000000000002E-3</v>
      </c>
      <c r="U1404">
        <v>13203.036750000001</v>
      </c>
      <c r="V1404">
        <v>126.27831717574736</v>
      </c>
      <c r="W1404">
        <v>9.5643388386196342E-3</v>
      </c>
    </row>
    <row r="1405" spans="1:23" x14ac:dyDescent="0.25">
      <c r="A1405" t="s">
        <v>2893</v>
      </c>
      <c r="B1405" t="s">
        <v>39</v>
      </c>
      <c r="C1405" t="s">
        <v>82</v>
      </c>
      <c r="D1405" t="s">
        <v>33</v>
      </c>
      <c r="E1405" t="s">
        <v>83</v>
      </c>
      <c r="F1405" s="1">
        <v>46019</v>
      </c>
      <c r="G1405">
        <v>46064</v>
      </c>
      <c r="H1405" t="s">
        <v>8</v>
      </c>
      <c r="I1405">
        <v>8736.75</v>
      </c>
      <c r="J1405" t="s">
        <v>75</v>
      </c>
      <c r="K1405" t="s">
        <v>2894</v>
      </c>
      <c r="L1405">
        <v>45</v>
      </c>
      <c r="M1405" t="s">
        <v>39</v>
      </c>
      <c r="N1405">
        <v>1.1555</v>
      </c>
      <c r="O1405">
        <v>1.3367963164349013</v>
      </c>
      <c r="P1405">
        <v>6.2983756677204832E-3</v>
      </c>
      <c r="Q1405">
        <v>1.3367963164349013</v>
      </c>
      <c r="R1405">
        <v>11679.255217612623</v>
      </c>
      <c r="S1405" t="s">
        <v>14</v>
      </c>
      <c r="T1405">
        <v>1.304</v>
      </c>
      <c r="U1405">
        <v>11392.722</v>
      </c>
      <c r="V1405">
        <v>286.53321761262305</v>
      </c>
      <c r="W1405">
        <v>2.5150549413267789E-2</v>
      </c>
    </row>
    <row r="1406" spans="1:23" x14ac:dyDescent="0.25">
      <c r="A1406" t="s">
        <v>2895</v>
      </c>
      <c r="B1406" t="s">
        <v>40</v>
      </c>
      <c r="C1406" t="s">
        <v>78</v>
      </c>
      <c r="D1406" t="s">
        <v>33</v>
      </c>
      <c r="E1406" t="s">
        <v>79</v>
      </c>
      <c r="F1406" s="1">
        <v>45738</v>
      </c>
      <c r="G1406">
        <v>45768</v>
      </c>
      <c r="H1406" t="s">
        <v>9</v>
      </c>
      <c r="I1406">
        <v>2257539.2400000002</v>
      </c>
      <c r="J1406" t="s">
        <v>75</v>
      </c>
      <c r="K1406" t="s">
        <v>2896</v>
      </c>
      <c r="L1406">
        <v>30</v>
      </c>
      <c r="M1406" t="s">
        <v>40</v>
      </c>
      <c r="N1406">
        <v>1.1325000000000001</v>
      </c>
      <c r="O1406">
        <v>1.3372298972724053</v>
      </c>
      <c r="P1406">
        <v>7.0063103192279149E-3</v>
      </c>
      <c r="Q1406">
        <v>7.0063103192279149E-3</v>
      </c>
      <c r="R1406">
        <v>15817.020473273946</v>
      </c>
      <c r="S1406" t="s">
        <v>11</v>
      </c>
      <c r="T1406">
        <v>6.5599999999999999E-3</v>
      </c>
      <c r="U1406">
        <v>14809.457414400002</v>
      </c>
      <c r="V1406">
        <v>1007.5630588739441</v>
      </c>
      <c r="W1406">
        <v>6.8035109638401634E-2</v>
      </c>
    </row>
    <row r="1407" spans="1:23" x14ac:dyDescent="0.25">
      <c r="A1407" t="s">
        <v>2897</v>
      </c>
      <c r="B1407" t="s">
        <v>30</v>
      </c>
      <c r="C1407" t="s">
        <v>103</v>
      </c>
      <c r="D1407" t="s">
        <v>31</v>
      </c>
      <c r="E1407" t="s">
        <v>74</v>
      </c>
      <c r="F1407" s="1">
        <v>45752</v>
      </c>
      <c r="G1407">
        <v>45782</v>
      </c>
      <c r="H1407" t="s">
        <v>9</v>
      </c>
      <c r="I1407">
        <v>913171.57</v>
      </c>
      <c r="J1407" t="s">
        <v>75</v>
      </c>
      <c r="K1407" t="s">
        <v>2898</v>
      </c>
      <c r="L1407">
        <v>30</v>
      </c>
      <c r="M1407" t="s">
        <v>30</v>
      </c>
      <c r="N1407">
        <v>1.1380999999999999</v>
      </c>
      <c r="O1407">
        <v>1.3561725452812201</v>
      </c>
      <c r="P1407">
        <v>6.9980938326262062E-3</v>
      </c>
      <c r="Q1407">
        <v>6.9980938326262062E-3</v>
      </c>
      <c r="R1407">
        <v>6390.4603321465893</v>
      </c>
      <c r="S1407" t="s">
        <v>12</v>
      </c>
      <c r="T1407">
        <v>6.7000000000000002E-3</v>
      </c>
      <c r="U1407">
        <v>6118.249519</v>
      </c>
      <c r="V1407">
        <v>272.21081314658932</v>
      </c>
      <c r="W1407">
        <v>4.4491616809881424E-2</v>
      </c>
    </row>
    <row r="1408" spans="1:23" x14ac:dyDescent="0.25">
      <c r="A1408" t="s">
        <v>2899</v>
      </c>
      <c r="B1408" t="s">
        <v>44</v>
      </c>
      <c r="C1408" t="s">
        <v>138</v>
      </c>
      <c r="D1408" t="s">
        <v>33</v>
      </c>
      <c r="E1408" t="s">
        <v>88</v>
      </c>
      <c r="F1408" s="1">
        <v>45818</v>
      </c>
      <c r="G1408">
        <v>45863</v>
      </c>
      <c r="H1408" t="s">
        <v>9</v>
      </c>
      <c r="I1408">
        <v>791668.38</v>
      </c>
      <c r="J1408" t="s">
        <v>75</v>
      </c>
      <c r="K1408" t="s">
        <v>2900</v>
      </c>
      <c r="L1408">
        <v>45</v>
      </c>
      <c r="M1408" t="s">
        <v>44</v>
      </c>
      <c r="N1408">
        <v>1.1429</v>
      </c>
      <c r="O1408">
        <v>1.3503071833648392</v>
      </c>
      <c r="P1408">
        <v>6.9170247533740853E-3</v>
      </c>
      <c r="Q1408">
        <v>6.9170247533740853E-3</v>
      </c>
      <c r="R1408">
        <v>5475.9897809235617</v>
      </c>
      <c r="S1408" t="s">
        <v>12</v>
      </c>
      <c r="T1408">
        <v>6.7000000000000002E-3</v>
      </c>
      <c r="U1408">
        <v>5304.1781460000002</v>
      </c>
      <c r="V1408">
        <v>171.81163492356154</v>
      </c>
      <c r="W1408">
        <v>3.2391754234938085E-2</v>
      </c>
    </row>
    <row r="1409" spans="1:23" x14ac:dyDescent="0.25">
      <c r="A1409" t="s">
        <v>2901</v>
      </c>
      <c r="B1409" t="s">
        <v>42</v>
      </c>
      <c r="C1409" t="s">
        <v>151</v>
      </c>
      <c r="D1409" t="s">
        <v>35</v>
      </c>
      <c r="E1409" t="s">
        <v>152</v>
      </c>
      <c r="F1409" s="1">
        <v>45854</v>
      </c>
      <c r="G1409">
        <v>45884</v>
      </c>
      <c r="H1409" t="s">
        <v>8</v>
      </c>
      <c r="I1409">
        <v>2127.5</v>
      </c>
      <c r="J1409" t="s">
        <v>75</v>
      </c>
      <c r="K1409" t="s">
        <v>2902</v>
      </c>
      <c r="L1409">
        <v>30</v>
      </c>
      <c r="M1409" t="s">
        <v>42</v>
      </c>
      <c r="N1409">
        <v>1.1601999999999999</v>
      </c>
      <c r="O1409">
        <v>1.3398775840166299</v>
      </c>
      <c r="P1409">
        <v>6.723458507185906E-3</v>
      </c>
      <c r="Q1409">
        <v>1.3398775840166299</v>
      </c>
      <c r="R1409">
        <v>2850.5895599953801</v>
      </c>
      <c r="S1409" t="s">
        <v>13</v>
      </c>
      <c r="T1409">
        <v>1.282</v>
      </c>
      <c r="U1409">
        <v>2727.4549999999999</v>
      </c>
      <c r="V1409">
        <v>123.13455999538019</v>
      </c>
      <c r="W1409">
        <v>4.5146321385826783E-2</v>
      </c>
    </row>
    <row r="1410" spans="1:23" x14ac:dyDescent="0.25">
      <c r="A1410" t="s">
        <v>2903</v>
      </c>
      <c r="B1410" t="s">
        <v>36</v>
      </c>
      <c r="C1410" t="s">
        <v>116</v>
      </c>
      <c r="D1410" t="s">
        <v>31</v>
      </c>
      <c r="E1410" t="s">
        <v>74</v>
      </c>
      <c r="F1410" s="1">
        <v>45831</v>
      </c>
      <c r="G1410">
        <v>45876</v>
      </c>
      <c r="H1410" t="s">
        <v>6</v>
      </c>
      <c r="I1410">
        <v>6759.6</v>
      </c>
      <c r="J1410" t="s">
        <v>75</v>
      </c>
      <c r="K1410" t="s">
        <v>2904</v>
      </c>
      <c r="L1410">
        <v>45</v>
      </c>
      <c r="M1410" t="s">
        <v>36</v>
      </c>
      <c r="N1410">
        <v>1.1472</v>
      </c>
      <c r="O1410">
        <v>1.3390918641298004</v>
      </c>
      <c r="P1410">
        <v>6.7773379807408276E-3</v>
      </c>
      <c r="Q1410">
        <v>1.1472</v>
      </c>
      <c r="R1410">
        <v>7754.61312</v>
      </c>
      <c r="S1410" t="s">
        <v>12</v>
      </c>
      <c r="T1410">
        <v>1.07</v>
      </c>
      <c r="U1410">
        <v>7232.7720000000008</v>
      </c>
      <c r="V1410">
        <v>521.84111999999914</v>
      </c>
      <c r="W1410">
        <v>7.214953271028024E-2</v>
      </c>
    </row>
    <row r="1411" spans="1:23" x14ac:dyDescent="0.25">
      <c r="A1411" t="s">
        <v>2905</v>
      </c>
      <c r="B1411" t="s">
        <v>20</v>
      </c>
      <c r="C1411" t="s">
        <v>123</v>
      </c>
      <c r="D1411" t="s">
        <v>31</v>
      </c>
      <c r="E1411" t="s">
        <v>124</v>
      </c>
      <c r="F1411" s="1">
        <v>45692</v>
      </c>
      <c r="G1411">
        <v>45737</v>
      </c>
      <c r="H1411" t="s">
        <v>6</v>
      </c>
      <c r="I1411">
        <v>63916.53</v>
      </c>
      <c r="J1411" t="s">
        <v>75</v>
      </c>
      <c r="K1411" t="s">
        <v>2906</v>
      </c>
      <c r="L1411">
        <v>45</v>
      </c>
      <c r="M1411" t="s">
        <v>20</v>
      </c>
      <c r="N1411">
        <v>1.0335000000000001</v>
      </c>
      <c r="O1411">
        <v>1.2423666875030055</v>
      </c>
      <c r="P1411">
        <v>6.4384500373785196E-3</v>
      </c>
      <c r="Q1411">
        <v>1.0335000000000001</v>
      </c>
      <c r="R1411">
        <v>66057.733755000008</v>
      </c>
      <c r="S1411" t="s">
        <v>11</v>
      </c>
      <c r="T1411">
        <v>1.052</v>
      </c>
      <c r="U1411">
        <v>67240.189559999999</v>
      </c>
      <c r="V1411">
        <v>-1182.4558049999905</v>
      </c>
      <c r="W1411">
        <v>-1.7585551330798338E-2</v>
      </c>
    </row>
    <row r="1412" spans="1:23" x14ac:dyDescent="0.25">
      <c r="A1412" t="s">
        <v>2907</v>
      </c>
      <c r="B1412" t="s">
        <v>43</v>
      </c>
      <c r="C1412" t="s">
        <v>215</v>
      </c>
      <c r="D1412" t="s">
        <v>35</v>
      </c>
      <c r="E1412" t="s">
        <v>152</v>
      </c>
      <c r="F1412" s="1">
        <v>46154</v>
      </c>
      <c r="G1412">
        <v>46184</v>
      </c>
      <c r="H1412" t="s">
        <v>6</v>
      </c>
      <c r="I1412">
        <v>10360.629999999999</v>
      </c>
      <c r="J1412" t="s">
        <v>75</v>
      </c>
      <c r="K1412" t="s">
        <v>2908</v>
      </c>
      <c r="L1412">
        <v>30</v>
      </c>
      <c r="M1412" t="s">
        <v>43</v>
      </c>
      <c r="N1412">
        <v>1.1738</v>
      </c>
      <c r="O1412">
        <v>1.3522574104581639</v>
      </c>
      <c r="P1412">
        <v>6.3455508703643641E-3</v>
      </c>
      <c r="Q1412">
        <v>1.1738</v>
      </c>
      <c r="R1412">
        <v>12161.307493999999</v>
      </c>
      <c r="S1412" t="s">
        <v>19</v>
      </c>
      <c r="T1412">
        <v>1.083</v>
      </c>
      <c r="U1412">
        <v>11220.562289999998</v>
      </c>
      <c r="V1412">
        <v>940.74520400000074</v>
      </c>
      <c r="W1412">
        <v>8.3841181902123807E-2</v>
      </c>
    </row>
    <row r="1413" spans="1:23" x14ac:dyDescent="0.25">
      <c r="A1413" t="s">
        <v>2907</v>
      </c>
      <c r="B1413" t="s">
        <v>24</v>
      </c>
      <c r="C1413" t="s">
        <v>73</v>
      </c>
      <c r="D1413" t="s">
        <v>31</v>
      </c>
      <c r="E1413" t="s">
        <v>74</v>
      </c>
      <c r="F1413" s="1">
        <v>45932</v>
      </c>
      <c r="G1413">
        <v>45962</v>
      </c>
      <c r="H1413" t="s">
        <v>6</v>
      </c>
      <c r="I1413">
        <v>7161.98</v>
      </c>
      <c r="J1413" t="s">
        <v>75</v>
      </c>
      <c r="K1413" t="s">
        <v>2909</v>
      </c>
      <c r="L1413">
        <v>30</v>
      </c>
      <c r="M1413" t="s">
        <v>24</v>
      </c>
      <c r="N1413">
        <v>1.1754</v>
      </c>
      <c r="O1413">
        <v>1.3477812177502579</v>
      </c>
      <c r="P1413">
        <v>6.8127282211789255E-3</v>
      </c>
      <c r="Q1413">
        <v>1.1754</v>
      </c>
      <c r="R1413">
        <v>8418.1912919999995</v>
      </c>
      <c r="S1413" t="s">
        <v>14</v>
      </c>
      <c r="T1413">
        <v>1.1060000000000001</v>
      </c>
      <c r="U1413">
        <v>7921.1498799999999</v>
      </c>
      <c r="V1413">
        <v>497.04141199999958</v>
      </c>
      <c r="W1413">
        <v>6.2748643761301931E-2</v>
      </c>
    </row>
    <row r="1414" spans="1:23" x14ac:dyDescent="0.25">
      <c r="A1414" t="s">
        <v>2910</v>
      </c>
      <c r="B1414" t="s">
        <v>34</v>
      </c>
      <c r="C1414" t="s">
        <v>177</v>
      </c>
      <c r="D1414" t="s">
        <v>31</v>
      </c>
      <c r="E1414" t="s">
        <v>74</v>
      </c>
      <c r="F1414" s="1">
        <v>45779</v>
      </c>
      <c r="G1414">
        <v>45839</v>
      </c>
      <c r="H1414" t="s">
        <v>8</v>
      </c>
      <c r="I1414">
        <v>25824.98</v>
      </c>
      <c r="J1414" t="s">
        <v>75</v>
      </c>
      <c r="K1414" t="s">
        <v>2911</v>
      </c>
      <c r="L1414">
        <v>60</v>
      </c>
      <c r="M1414" t="s">
        <v>34</v>
      </c>
      <c r="N1414">
        <v>1.1343000000000001</v>
      </c>
      <c r="O1414">
        <v>1.3293097386616666</v>
      </c>
      <c r="P1414">
        <v>6.9194168242542554E-3</v>
      </c>
      <c r="Q1414">
        <v>1.3293097386616666</v>
      </c>
      <c r="R1414">
        <v>34329.397414742765</v>
      </c>
      <c r="S1414" t="s">
        <v>12</v>
      </c>
      <c r="T1414">
        <v>1.26</v>
      </c>
      <c r="U1414">
        <v>32539.4748</v>
      </c>
      <c r="V1414">
        <v>1789.9226147427653</v>
      </c>
      <c r="W1414">
        <v>5.5007729096560751E-2</v>
      </c>
    </row>
    <row r="1415" spans="1:23" x14ac:dyDescent="0.25">
      <c r="A1415" t="s">
        <v>2912</v>
      </c>
      <c r="B1415" t="s">
        <v>24</v>
      </c>
      <c r="C1415" t="s">
        <v>73</v>
      </c>
      <c r="D1415" t="s">
        <v>31</v>
      </c>
      <c r="E1415" t="s">
        <v>74</v>
      </c>
      <c r="F1415" s="1">
        <v>46227</v>
      </c>
      <c r="G1415">
        <v>46257</v>
      </c>
      <c r="H1415" t="s">
        <v>6</v>
      </c>
      <c r="I1415">
        <v>28004.959999999999</v>
      </c>
      <c r="J1415" t="s">
        <v>75</v>
      </c>
      <c r="K1415" t="s">
        <v>2913</v>
      </c>
      <c r="L1415">
        <v>30</v>
      </c>
      <c r="M1415" t="s">
        <v>24</v>
      </c>
      <c r="N1415">
        <v>1.1376999999999999</v>
      </c>
      <c r="O1415">
        <v>1.3323886260364455</v>
      </c>
      <c r="P1415">
        <v>6.1041957291554884E-3</v>
      </c>
      <c r="Q1415">
        <v>1.1376999999999999</v>
      </c>
      <c r="R1415">
        <v>31861.242991999996</v>
      </c>
      <c r="S1415" t="s">
        <v>21</v>
      </c>
      <c r="T1415">
        <v>1.101</v>
      </c>
      <c r="U1415">
        <v>30833.460959999997</v>
      </c>
      <c r="V1415">
        <v>1027.7820319999992</v>
      </c>
      <c r="W1415">
        <v>3.3333333333333312E-2</v>
      </c>
    </row>
    <row r="1416" spans="1:23" x14ac:dyDescent="0.25">
      <c r="A1416" t="s">
        <v>2914</v>
      </c>
      <c r="B1416" t="s">
        <v>32</v>
      </c>
      <c r="C1416" t="s">
        <v>106</v>
      </c>
      <c r="D1416" t="s">
        <v>31</v>
      </c>
      <c r="E1416" t="s">
        <v>74</v>
      </c>
      <c r="F1416" s="1">
        <v>45814</v>
      </c>
      <c r="G1416">
        <v>45844</v>
      </c>
      <c r="H1416" t="s">
        <v>6</v>
      </c>
      <c r="I1416">
        <v>26447.06</v>
      </c>
      <c r="J1416" t="s">
        <v>75</v>
      </c>
      <c r="K1416" t="s">
        <v>2915</v>
      </c>
      <c r="L1416">
        <v>30</v>
      </c>
      <c r="M1416" t="s">
        <v>32</v>
      </c>
      <c r="N1416">
        <v>1.1411</v>
      </c>
      <c r="O1416">
        <v>1.3542606218846427</v>
      </c>
      <c r="P1416">
        <v>6.9317215405175553E-3</v>
      </c>
      <c r="Q1416">
        <v>1.1411</v>
      </c>
      <c r="R1416">
        <v>30178.740166000003</v>
      </c>
      <c r="S1416" t="s">
        <v>12</v>
      </c>
      <c r="T1416">
        <v>1.07</v>
      </c>
      <c r="U1416">
        <v>28298.354200000002</v>
      </c>
      <c r="V1416">
        <v>1880.3859660000016</v>
      </c>
      <c r="W1416">
        <v>6.6448598130841183E-2</v>
      </c>
    </row>
    <row r="1417" spans="1:23" x14ac:dyDescent="0.25">
      <c r="A1417" t="s">
        <v>2916</v>
      </c>
      <c r="B1417" t="s">
        <v>38</v>
      </c>
      <c r="C1417" t="s">
        <v>87</v>
      </c>
      <c r="D1417" t="s">
        <v>33</v>
      </c>
      <c r="E1417" t="s">
        <v>88</v>
      </c>
      <c r="F1417" s="1">
        <v>46232</v>
      </c>
      <c r="G1417">
        <v>46262</v>
      </c>
      <c r="H1417" t="s">
        <v>6</v>
      </c>
      <c r="I1417">
        <v>11962.79</v>
      </c>
      <c r="J1417" t="s">
        <v>75</v>
      </c>
      <c r="K1417" t="s">
        <v>2917</v>
      </c>
      <c r="L1417">
        <v>30</v>
      </c>
      <c r="M1417" t="s">
        <v>38</v>
      </c>
      <c r="N1417">
        <v>1.1379999999999999</v>
      </c>
      <c r="O1417">
        <v>1.3288958953698837</v>
      </c>
      <c r="P1417">
        <v>6.1094110699522189E-3</v>
      </c>
      <c r="Q1417">
        <v>1.1379999999999999</v>
      </c>
      <c r="R1417">
        <v>13613.65502</v>
      </c>
      <c r="S1417" t="s">
        <v>21</v>
      </c>
      <c r="T1417">
        <v>1.101</v>
      </c>
      <c r="U1417">
        <v>13171.031790000001</v>
      </c>
      <c r="V1417">
        <v>442.62322999999924</v>
      </c>
      <c r="W1417">
        <v>3.3605812897365972E-2</v>
      </c>
    </row>
    <row r="1418" spans="1:23" x14ac:dyDescent="0.25">
      <c r="A1418" t="s">
        <v>2918</v>
      </c>
      <c r="B1418" t="s">
        <v>34</v>
      </c>
      <c r="C1418" t="s">
        <v>177</v>
      </c>
      <c r="D1418" t="s">
        <v>31</v>
      </c>
      <c r="E1418" t="s">
        <v>74</v>
      </c>
      <c r="F1418" s="1">
        <v>46196</v>
      </c>
      <c r="G1418">
        <v>46256</v>
      </c>
      <c r="H1418" t="s">
        <v>8</v>
      </c>
      <c r="I1418">
        <v>12463.36</v>
      </c>
      <c r="J1418" t="s">
        <v>75</v>
      </c>
      <c r="K1418" t="s">
        <v>2919</v>
      </c>
      <c r="L1418">
        <v>60</v>
      </c>
      <c r="M1418" t="s">
        <v>34</v>
      </c>
      <c r="N1418">
        <v>1.1392</v>
      </c>
      <c r="O1418">
        <v>1.3215777262180974</v>
      </c>
      <c r="P1418">
        <v>6.1906314531029235E-3</v>
      </c>
      <c r="Q1418">
        <v>1.3215777262180974</v>
      </c>
      <c r="R1418">
        <v>16471.298969837586</v>
      </c>
      <c r="S1418" t="s">
        <v>19</v>
      </c>
      <c r="T1418">
        <v>1.2709999999999999</v>
      </c>
      <c r="U1418">
        <v>15840.930559999999</v>
      </c>
      <c r="V1418">
        <v>630.36840983758702</v>
      </c>
      <c r="W1418">
        <v>3.9793647693231668E-2</v>
      </c>
    </row>
    <row r="1419" spans="1:23" x14ac:dyDescent="0.25">
      <c r="A1419" t="s">
        <v>2920</v>
      </c>
      <c r="B1419" t="s">
        <v>20</v>
      </c>
      <c r="C1419" t="s">
        <v>123</v>
      </c>
      <c r="D1419" t="s">
        <v>31</v>
      </c>
      <c r="E1419" t="s">
        <v>124</v>
      </c>
      <c r="F1419" s="1">
        <v>45892</v>
      </c>
      <c r="G1419">
        <v>45937</v>
      </c>
      <c r="H1419" t="s">
        <v>6</v>
      </c>
      <c r="I1419">
        <v>24308.48</v>
      </c>
      <c r="J1419" t="s">
        <v>75</v>
      </c>
      <c r="K1419" t="s">
        <v>2921</v>
      </c>
      <c r="L1419">
        <v>45</v>
      </c>
      <c r="M1419" t="s">
        <v>20</v>
      </c>
      <c r="N1419">
        <v>1.1655</v>
      </c>
      <c r="O1419">
        <v>1.3326091927738395</v>
      </c>
      <c r="P1419">
        <v>6.4289260301174916E-3</v>
      </c>
      <c r="Q1419">
        <v>1.1655</v>
      </c>
      <c r="R1419">
        <v>28331.533439999999</v>
      </c>
      <c r="S1419" t="s">
        <v>13</v>
      </c>
      <c r="T1419">
        <v>1.0880000000000001</v>
      </c>
      <c r="U1419">
        <v>26447.626240000001</v>
      </c>
      <c r="V1419">
        <v>1883.9071999999978</v>
      </c>
      <c r="W1419">
        <v>7.1231617647058737E-2</v>
      </c>
    </row>
    <row r="1420" spans="1:23" x14ac:dyDescent="0.25">
      <c r="A1420" t="s">
        <v>2922</v>
      </c>
      <c r="B1420" t="s">
        <v>30</v>
      </c>
      <c r="C1420" t="s">
        <v>103</v>
      </c>
      <c r="D1420" t="s">
        <v>31</v>
      </c>
      <c r="E1420" t="s">
        <v>74</v>
      </c>
      <c r="F1420" s="1">
        <v>46190</v>
      </c>
      <c r="G1420">
        <v>46220</v>
      </c>
      <c r="H1420" t="s">
        <v>9</v>
      </c>
      <c r="I1420">
        <v>2298302.3199999998</v>
      </c>
      <c r="J1420" t="s">
        <v>75</v>
      </c>
      <c r="K1420" t="s">
        <v>2923</v>
      </c>
      <c r="L1420">
        <v>30</v>
      </c>
      <c r="M1420" t="s">
        <v>30</v>
      </c>
      <c r="N1420">
        <v>1.1591</v>
      </c>
      <c r="O1420">
        <v>1.3405734244705827</v>
      </c>
      <c r="P1420">
        <v>6.2377569691098918E-3</v>
      </c>
      <c r="Q1420">
        <v>6.2377569691098918E-3</v>
      </c>
      <c r="R1420">
        <v>14336.251313701432</v>
      </c>
      <c r="S1420" t="s">
        <v>19</v>
      </c>
      <c r="T1420">
        <v>6.6E-3</v>
      </c>
      <c r="U1420">
        <v>15168.795311999998</v>
      </c>
      <c r="V1420">
        <v>-832.54399829856629</v>
      </c>
      <c r="W1420">
        <v>-5.4885307710622389E-2</v>
      </c>
    </row>
    <row r="1421" spans="1:23" x14ac:dyDescent="0.25">
      <c r="A1421" t="s">
        <v>2924</v>
      </c>
      <c r="B1421" t="s">
        <v>44</v>
      </c>
      <c r="C1421" t="s">
        <v>138</v>
      </c>
      <c r="D1421" t="s">
        <v>33</v>
      </c>
      <c r="E1421" t="s">
        <v>88</v>
      </c>
      <c r="F1421" s="1">
        <v>46366</v>
      </c>
      <c r="G1421">
        <v>46411</v>
      </c>
      <c r="H1421" t="s">
        <v>9</v>
      </c>
      <c r="I1421">
        <v>609487.94999999995</v>
      </c>
      <c r="J1421" t="s">
        <v>84</v>
      </c>
      <c r="K1421" t="s">
        <v>2925</v>
      </c>
      <c r="L1421">
        <v>45</v>
      </c>
      <c r="M1421" t="s">
        <v>44</v>
      </c>
      <c r="N1421">
        <v>1.1176999999999999</v>
      </c>
      <c r="O1421">
        <v>1.320456022210408</v>
      </c>
      <c r="P1421">
        <v>6.3200452360757699E-3</v>
      </c>
      <c r="Q1421">
        <v>6.3200452360757699E-3</v>
      </c>
      <c r="R1421">
        <v>3851.9914148430867</v>
      </c>
      <c r="S1421" t="s">
        <v>23</v>
      </c>
      <c r="T1421">
        <v>6.8799999999999998E-3</v>
      </c>
      <c r="U1421">
        <v>4193.2770959999998</v>
      </c>
      <c r="V1421">
        <v>-341.28568115691314</v>
      </c>
      <c r="W1421">
        <v>-8.138877382619629E-2</v>
      </c>
    </row>
    <row r="1422" spans="1:23" x14ac:dyDescent="0.25">
      <c r="A1422" t="s">
        <v>2926</v>
      </c>
      <c r="B1422" t="s">
        <v>38</v>
      </c>
      <c r="C1422" t="s">
        <v>87</v>
      </c>
      <c r="D1422" t="s">
        <v>33</v>
      </c>
      <c r="E1422" t="s">
        <v>88</v>
      </c>
      <c r="F1422" s="1">
        <v>46349</v>
      </c>
      <c r="G1422">
        <v>46379</v>
      </c>
      <c r="H1422" t="s">
        <v>6</v>
      </c>
      <c r="I1422">
        <v>9009.74</v>
      </c>
      <c r="J1422" t="s">
        <v>84</v>
      </c>
      <c r="K1422" t="s">
        <v>2927</v>
      </c>
      <c r="L1422">
        <v>30</v>
      </c>
      <c r="M1422" t="s">
        <v>38</v>
      </c>
      <c r="N1422">
        <v>1.1176999999999999</v>
      </c>
      <c r="O1422">
        <v>1.320456022210408</v>
      </c>
      <c r="P1422">
        <v>6.3200452360757699E-3</v>
      </c>
      <c r="Q1422">
        <v>1.1176999999999999</v>
      </c>
      <c r="R1422">
        <v>10070.186398</v>
      </c>
      <c r="S1422" t="s">
        <v>23</v>
      </c>
      <c r="T1422">
        <v>1.119</v>
      </c>
      <c r="U1422">
        <v>10081.89906</v>
      </c>
      <c r="V1422">
        <v>-11.712661999999909</v>
      </c>
      <c r="W1422">
        <v>-1.1617515638963271E-3</v>
      </c>
    </row>
    <row r="1423" spans="1:23" x14ac:dyDescent="0.25">
      <c r="A1423" t="s">
        <v>2928</v>
      </c>
      <c r="B1423" t="s">
        <v>28</v>
      </c>
      <c r="C1423" t="s">
        <v>111</v>
      </c>
      <c r="D1423" t="s">
        <v>31</v>
      </c>
      <c r="E1423" t="s">
        <v>74</v>
      </c>
      <c r="F1423" s="1">
        <v>46351</v>
      </c>
      <c r="G1423">
        <v>46396</v>
      </c>
      <c r="H1423" t="s">
        <v>9</v>
      </c>
      <c r="I1423">
        <v>2830124.88</v>
      </c>
      <c r="J1423" t="s">
        <v>84</v>
      </c>
      <c r="K1423" t="s">
        <v>2929</v>
      </c>
      <c r="L1423">
        <v>45</v>
      </c>
      <c r="M1423" t="s">
        <v>28</v>
      </c>
      <c r="N1423">
        <v>1.1176999999999999</v>
      </c>
      <c r="O1423">
        <v>1.320456022210408</v>
      </c>
      <c r="P1423">
        <v>6.3200452360757699E-3</v>
      </c>
      <c r="Q1423">
        <v>6.3200452360757699E-3</v>
      </c>
      <c r="R1423">
        <v>17886.517265343507</v>
      </c>
      <c r="S1423" t="s">
        <v>23</v>
      </c>
      <c r="T1423">
        <v>6.8799999999999998E-3</v>
      </c>
      <c r="U1423">
        <v>19471.259174399998</v>
      </c>
      <c r="V1423">
        <v>-1584.7419090564908</v>
      </c>
      <c r="W1423">
        <v>-8.138877382619629E-2</v>
      </c>
    </row>
    <row r="1424" spans="1:23" x14ac:dyDescent="0.25">
      <c r="A1424" t="s">
        <v>2930</v>
      </c>
      <c r="B1424" t="s">
        <v>32</v>
      </c>
      <c r="C1424" t="s">
        <v>106</v>
      </c>
      <c r="D1424" t="s">
        <v>31</v>
      </c>
      <c r="E1424" t="s">
        <v>74</v>
      </c>
      <c r="F1424" s="1">
        <v>46183</v>
      </c>
      <c r="G1424">
        <v>46213</v>
      </c>
      <c r="H1424" t="s">
        <v>6</v>
      </c>
      <c r="I1424">
        <v>6337.83</v>
      </c>
      <c r="J1424" t="s">
        <v>75</v>
      </c>
      <c r="K1424" t="s">
        <v>2931</v>
      </c>
      <c r="L1424">
        <v>30</v>
      </c>
      <c r="M1424" t="s">
        <v>32</v>
      </c>
      <c r="N1424">
        <v>1.1538999999999999</v>
      </c>
      <c r="O1424">
        <v>1.3381964095189496</v>
      </c>
      <c r="P1424">
        <v>6.2308979966520864E-3</v>
      </c>
      <c r="Q1424">
        <v>1.1538999999999999</v>
      </c>
      <c r="R1424">
        <v>7313.2220369999995</v>
      </c>
      <c r="S1424" t="s">
        <v>19</v>
      </c>
      <c r="T1424">
        <v>1.083</v>
      </c>
      <c r="U1424">
        <v>6863.8698899999999</v>
      </c>
      <c r="V1424">
        <v>449.3521469999996</v>
      </c>
      <c r="W1424">
        <v>6.5466297322252939E-2</v>
      </c>
    </row>
    <row r="1425" spans="1:23" x14ac:dyDescent="0.25">
      <c r="A1425" t="s">
        <v>2932</v>
      </c>
      <c r="B1425" t="s">
        <v>28</v>
      </c>
      <c r="C1425" t="s">
        <v>111</v>
      </c>
      <c r="D1425" t="s">
        <v>31</v>
      </c>
      <c r="E1425" t="s">
        <v>74</v>
      </c>
      <c r="F1425" s="1">
        <v>45808</v>
      </c>
      <c r="G1425">
        <v>45853</v>
      </c>
      <c r="H1425" t="s">
        <v>9</v>
      </c>
      <c r="I1425">
        <v>555213.91</v>
      </c>
      <c r="J1425" t="s">
        <v>75</v>
      </c>
      <c r="K1425" t="s">
        <v>2933</v>
      </c>
      <c r="L1425">
        <v>45</v>
      </c>
      <c r="M1425" t="s">
        <v>28</v>
      </c>
      <c r="N1425">
        <v>1.1606000000000001</v>
      </c>
      <c r="O1425">
        <v>1.3462475350887368</v>
      </c>
      <c r="P1425">
        <v>6.7359257109692395E-3</v>
      </c>
      <c r="Q1425">
        <v>6.7359257109692395E-3</v>
      </c>
      <c r="R1425">
        <v>3739.8796514567616</v>
      </c>
      <c r="S1425" t="s">
        <v>12</v>
      </c>
      <c r="T1425">
        <v>6.7000000000000002E-3</v>
      </c>
      <c r="U1425">
        <v>3719.9331970000003</v>
      </c>
      <c r="V1425">
        <v>19.94645445676133</v>
      </c>
      <c r="W1425">
        <v>5.362046413319322E-3</v>
      </c>
    </row>
    <row r="1426" spans="1:23" x14ac:dyDescent="0.25">
      <c r="A1426" t="s">
        <v>2934</v>
      </c>
      <c r="B1426" t="s">
        <v>20</v>
      </c>
      <c r="C1426" t="s">
        <v>123</v>
      </c>
      <c r="D1426" t="s">
        <v>31</v>
      </c>
      <c r="E1426" t="s">
        <v>124</v>
      </c>
      <c r="F1426" s="1">
        <v>46343</v>
      </c>
      <c r="G1426">
        <v>46388</v>
      </c>
      <c r="H1426" t="s">
        <v>6</v>
      </c>
      <c r="I1426">
        <v>15231.33</v>
      </c>
      <c r="J1426" t="s">
        <v>84</v>
      </c>
      <c r="K1426" t="s">
        <v>2935</v>
      </c>
      <c r="L1426">
        <v>45</v>
      </c>
      <c r="M1426" t="s">
        <v>20</v>
      </c>
      <c r="N1426">
        <v>1.1176999999999999</v>
      </c>
      <c r="O1426">
        <v>1.320456022210408</v>
      </c>
      <c r="P1426">
        <v>6.3200452360757699E-3</v>
      </c>
      <c r="Q1426">
        <v>1.1176999999999999</v>
      </c>
      <c r="R1426">
        <v>17024.057540999998</v>
      </c>
      <c r="S1426" t="s">
        <v>23</v>
      </c>
      <c r="T1426">
        <v>1.119</v>
      </c>
      <c r="U1426">
        <v>17043.858270000001</v>
      </c>
      <c r="V1426">
        <v>-19.80072900000232</v>
      </c>
      <c r="W1426">
        <v>-1.1617515638964722E-3</v>
      </c>
    </row>
    <row r="1427" spans="1:23" x14ac:dyDescent="0.25">
      <c r="A1427" t="s">
        <v>2936</v>
      </c>
      <c r="B1427" t="s">
        <v>20</v>
      </c>
      <c r="C1427" t="s">
        <v>123</v>
      </c>
      <c r="D1427" t="s">
        <v>31</v>
      </c>
      <c r="E1427" t="s">
        <v>124</v>
      </c>
      <c r="F1427" s="1">
        <v>46044</v>
      </c>
      <c r="G1427">
        <v>46089</v>
      </c>
      <c r="H1427" t="s">
        <v>6</v>
      </c>
      <c r="I1427">
        <v>96551.039999999994</v>
      </c>
      <c r="J1427" t="s">
        <v>75</v>
      </c>
      <c r="K1427" t="s">
        <v>2937</v>
      </c>
      <c r="L1427">
        <v>45</v>
      </c>
      <c r="M1427" t="s">
        <v>20</v>
      </c>
      <c r="N1427">
        <v>1.1706000000000001</v>
      </c>
      <c r="O1427">
        <v>1.3421233662004128</v>
      </c>
      <c r="P1427">
        <v>6.2976113621691417E-3</v>
      </c>
      <c r="Q1427">
        <v>1.1706000000000001</v>
      </c>
      <c r="R1427">
        <v>113022.647424</v>
      </c>
      <c r="S1427" t="s">
        <v>16</v>
      </c>
      <c r="T1427">
        <v>1.0649999999999999</v>
      </c>
      <c r="U1427">
        <v>102826.85759999999</v>
      </c>
      <c r="V1427">
        <v>10195.789824000007</v>
      </c>
      <c r="W1427">
        <v>9.915492957746487E-2</v>
      </c>
    </row>
    <row r="1428" spans="1:23" x14ac:dyDescent="0.25">
      <c r="A1428" t="s">
        <v>2938</v>
      </c>
      <c r="B1428" t="s">
        <v>37</v>
      </c>
      <c r="C1428" t="s">
        <v>91</v>
      </c>
      <c r="D1428" t="s">
        <v>31</v>
      </c>
      <c r="E1428" t="s">
        <v>74</v>
      </c>
      <c r="F1428" s="1">
        <v>45922</v>
      </c>
      <c r="G1428">
        <v>45952</v>
      </c>
      <c r="H1428" t="s">
        <v>6</v>
      </c>
      <c r="I1428">
        <v>2780.75</v>
      </c>
      <c r="J1428" t="s">
        <v>75</v>
      </c>
      <c r="K1428" t="s">
        <v>2939</v>
      </c>
      <c r="L1428">
        <v>30</v>
      </c>
      <c r="M1428" t="s">
        <v>37</v>
      </c>
      <c r="N1428">
        <v>1.1780999999999999</v>
      </c>
      <c r="O1428">
        <v>1.3496391339214113</v>
      </c>
      <c r="P1428">
        <v>6.7640810702187517E-3</v>
      </c>
      <c r="Q1428">
        <v>1.1780999999999999</v>
      </c>
      <c r="R1428">
        <v>3276.0015749999998</v>
      </c>
      <c r="S1428" t="s">
        <v>13</v>
      </c>
      <c r="T1428">
        <v>1.0880000000000001</v>
      </c>
      <c r="U1428">
        <v>3025.4560000000001</v>
      </c>
      <c r="V1428">
        <v>250.54557499999964</v>
      </c>
      <c r="W1428">
        <v>8.2812499999999872E-2</v>
      </c>
    </row>
    <row r="1429" spans="1:23" x14ac:dyDescent="0.25">
      <c r="A1429" t="s">
        <v>2940</v>
      </c>
      <c r="B1429" t="s">
        <v>26</v>
      </c>
      <c r="C1429" t="s">
        <v>94</v>
      </c>
      <c r="D1429" t="s">
        <v>31</v>
      </c>
      <c r="E1429" t="s">
        <v>74</v>
      </c>
      <c r="F1429" s="1">
        <v>45804</v>
      </c>
      <c r="G1429">
        <v>45834</v>
      </c>
      <c r="H1429" t="s">
        <v>8</v>
      </c>
      <c r="I1429">
        <v>31888.73</v>
      </c>
      <c r="J1429" t="s">
        <v>75</v>
      </c>
      <c r="K1429" t="s">
        <v>2941</v>
      </c>
      <c r="L1429">
        <v>30</v>
      </c>
      <c r="M1429" t="s">
        <v>26</v>
      </c>
      <c r="N1429">
        <v>1.1355999999999999</v>
      </c>
      <c r="O1429">
        <v>1.3549695740365111</v>
      </c>
      <c r="P1429">
        <v>6.9362325922306374E-3</v>
      </c>
      <c r="Q1429">
        <v>1.3549695740365111</v>
      </c>
      <c r="R1429">
        <v>43208.258904665308</v>
      </c>
      <c r="S1429" t="s">
        <v>12</v>
      </c>
      <c r="T1429">
        <v>1.26</v>
      </c>
      <c r="U1429">
        <v>40179.799800000001</v>
      </c>
      <c r="V1429">
        <v>3028.4591046653077</v>
      </c>
      <c r="W1429">
        <v>7.5372677806754718E-2</v>
      </c>
    </row>
    <row r="1430" spans="1:23" x14ac:dyDescent="0.25">
      <c r="A1430" t="s">
        <v>2942</v>
      </c>
      <c r="B1430" t="s">
        <v>40</v>
      </c>
      <c r="C1430" t="s">
        <v>78</v>
      </c>
      <c r="D1430" t="s">
        <v>33</v>
      </c>
      <c r="E1430" t="s">
        <v>79</v>
      </c>
      <c r="F1430" s="1">
        <v>45935</v>
      </c>
      <c r="G1430">
        <v>45965</v>
      </c>
      <c r="H1430" t="s">
        <v>9</v>
      </c>
      <c r="I1430">
        <v>1689673.97</v>
      </c>
      <c r="J1430" t="s">
        <v>75</v>
      </c>
      <c r="K1430" t="s">
        <v>2943</v>
      </c>
      <c r="L1430">
        <v>30</v>
      </c>
      <c r="M1430" t="s">
        <v>40</v>
      </c>
      <c r="N1430">
        <v>1.1894</v>
      </c>
      <c r="O1430">
        <v>1.3679125934445082</v>
      </c>
      <c r="P1430">
        <v>6.4462630751720776E-3</v>
      </c>
      <c r="Q1430">
        <v>6.4462630751720776E-3</v>
      </c>
      <c r="R1430">
        <v>10892.082921890413</v>
      </c>
      <c r="S1430" t="s">
        <v>14</v>
      </c>
      <c r="T1430">
        <v>6.9800000000000001E-3</v>
      </c>
      <c r="U1430">
        <v>11793.924310599999</v>
      </c>
      <c r="V1430">
        <v>-901.84138870958668</v>
      </c>
      <c r="W1430">
        <v>-7.6466608141536122E-2</v>
      </c>
    </row>
    <row r="1431" spans="1:23" x14ac:dyDescent="0.25">
      <c r="A1431" t="s">
        <v>2944</v>
      </c>
      <c r="B1431" t="s">
        <v>36</v>
      </c>
      <c r="C1431" t="s">
        <v>116</v>
      </c>
      <c r="D1431" t="s">
        <v>31</v>
      </c>
      <c r="E1431" t="s">
        <v>74</v>
      </c>
      <c r="F1431" s="1">
        <v>46188</v>
      </c>
      <c r="G1431">
        <v>46233</v>
      </c>
      <c r="H1431" t="s">
        <v>6</v>
      </c>
      <c r="I1431">
        <v>17470.64</v>
      </c>
      <c r="J1431" t="s">
        <v>75</v>
      </c>
      <c r="K1431" t="s">
        <v>2945</v>
      </c>
      <c r="L1431">
        <v>45</v>
      </c>
      <c r="M1431" t="s">
        <v>36</v>
      </c>
      <c r="N1431">
        <v>1.1607000000000001</v>
      </c>
      <c r="O1431">
        <v>1.3421134789496203</v>
      </c>
      <c r="P1431">
        <v>6.2426719733232935E-3</v>
      </c>
      <c r="Q1431">
        <v>1.1607000000000001</v>
      </c>
      <c r="R1431">
        <v>20278.171848000002</v>
      </c>
      <c r="S1431" t="s">
        <v>19</v>
      </c>
      <c r="T1431">
        <v>1.083</v>
      </c>
      <c r="U1431">
        <v>18920.703119999998</v>
      </c>
      <c r="V1431">
        <v>1357.4687280000035</v>
      </c>
      <c r="W1431">
        <v>7.1745152354570824E-2</v>
      </c>
    </row>
    <row r="1432" spans="1:23" x14ac:dyDescent="0.25">
      <c r="A1432" t="s">
        <v>2946</v>
      </c>
      <c r="B1432" t="s">
        <v>20</v>
      </c>
      <c r="C1432" t="s">
        <v>123</v>
      </c>
      <c r="D1432" t="s">
        <v>31</v>
      </c>
      <c r="E1432" t="s">
        <v>124</v>
      </c>
      <c r="F1432" s="1">
        <v>46309</v>
      </c>
      <c r="G1432">
        <v>46354</v>
      </c>
      <c r="H1432" t="s">
        <v>6</v>
      </c>
      <c r="I1432">
        <v>24070.9</v>
      </c>
      <c r="J1432" t="s">
        <v>84</v>
      </c>
      <c r="K1432" t="s">
        <v>2947</v>
      </c>
      <c r="L1432">
        <v>45</v>
      </c>
      <c r="M1432" t="s">
        <v>20</v>
      </c>
      <c r="N1432">
        <v>1.1176999999999999</v>
      </c>
      <c r="O1432">
        <v>1.320456022210408</v>
      </c>
      <c r="P1432">
        <v>6.3200452360757699E-3</v>
      </c>
      <c r="Q1432">
        <v>1.1176999999999999</v>
      </c>
      <c r="R1432">
        <v>26904.04493</v>
      </c>
      <c r="S1432" t="s">
        <v>23</v>
      </c>
      <c r="T1432">
        <v>1.119</v>
      </c>
      <c r="U1432">
        <v>26935.337100000001</v>
      </c>
      <c r="V1432">
        <v>-31.292170000000624</v>
      </c>
      <c r="W1432">
        <v>-1.1617515638963592E-3</v>
      </c>
    </row>
    <row r="1433" spans="1:23" x14ac:dyDescent="0.25">
      <c r="A1433" t="s">
        <v>2948</v>
      </c>
      <c r="B1433" t="s">
        <v>36</v>
      </c>
      <c r="C1433" t="s">
        <v>116</v>
      </c>
      <c r="D1433" t="s">
        <v>31</v>
      </c>
      <c r="E1433" t="s">
        <v>74</v>
      </c>
      <c r="F1433" s="1">
        <v>45701</v>
      </c>
      <c r="G1433">
        <v>45746</v>
      </c>
      <c r="H1433" t="s">
        <v>6</v>
      </c>
      <c r="I1433">
        <v>15379.43</v>
      </c>
      <c r="J1433" t="s">
        <v>75</v>
      </c>
      <c r="K1433" t="s">
        <v>2949</v>
      </c>
      <c r="L1433">
        <v>45</v>
      </c>
      <c r="M1433" t="s">
        <v>36</v>
      </c>
      <c r="N1433">
        <v>1.0389999999999999</v>
      </c>
      <c r="O1433">
        <v>1.2471042934476011</v>
      </c>
      <c r="P1433">
        <v>6.5022842480755988E-3</v>
      </c>
      <c r="Q1433">
        <v>1.0389999999999999</v>
      </c>
      <c r="R1433">
        <v>15979.22777</v>
      </c>
      <c r="S1433" t="s">
        <v>11</v>
      </c>
      <c r="T1433">
        <v>1.052</v>
      </c>
      <c r="U1433">
        <v>16179.160360000002</v>
      </c>
      <c r="V1433">
        <v>-199.93259000000216</v>
      </c>
      <c r="W1433">
        <v>-1.2357414448669333E-2</v>
      </c>
    </row>
    <row r="1434" spans="1:23" x14ac:dyDescent="0.25">
      <c r="A1434" t="s">
        <v>2950</v>
      </c>
      <c r="B1434" t="s">
        <v>41</v>
      </c>
      <c r="C1434" t="s">
        <v>172</v>
      </c>
      <c r="D1434" t="s">
        <v>33</v>
      </c>
      <c r="E1434" t="s">
        <v>83</v>
      </c>
      <c r="F1434" s="1">
        <v>45989</v>
      </c>
      <c r="G1434">
        <v>46019</v>
      </c>
      <c r="H1434" t="s">
        <v>9</v>
      </c>
      <c r="I1434">
        <v>1826026.95</v>
      </c>
      <c r="J1434" t="s">
        <v>75</v>
      </c>
      <c r="K1434" t="s">
        <v>2951</v>
      </c>
      <c r="L1434">
        <v>30</v>
      </c>
      <c r="M1434" t="s">
        <v>41</v>
      </c>
      <c r="N1434">
        <v>1.1566000000000001</v>
      </c>
      <c r="O1434">
        <v>1.3215265082266912</v>
      </c>
      <c r="P1434">
        <v>6.405272193609127E-3</v>
      </c>
      <c r="Q1434">
        <v>6.405272193609127E-3</v>
      </c>
      <c r="R1434">
        <v>11696.199647615884</v>
      </c>
      <c r="S1434" t="s">
        <v>14</v>
      </c>
      <c r="T1434">
        <v>6.9800000000000001E-3</v>
      </c>
      <c r="U1434">
        <v>12745.668110999999</v>
      </c>
      <c r="V1434">
        <v>-1049.4684633841152</v>
      </c>
      <c r="W1434">
        <v>-8.233922727662929E-2</v>
      </c>
    </row>
    <row r="1435" spans="1:23" x14ac:dyDescent="0.25">
      <c r="A1435" t="s">
        <v>2952</v>
      </c>
      <c r="B1435" t="s">
        <v>37</v>
      </c>
      <c r="C1435" t="s">
        <v>91</v>
      </c>
      <c r="D1435" t="s">
        <v>31</v>
      </c>
      <c r="E1435" t="s">
        <v>74</v>
      </c>
      <c r="F1435" s="1">
        <v>46361</v>
      </c>
      <c r="G1435">
        <v>46391</v>
      </c>
      <c r="H1435" t="s">
        <v>6</v>
      </c>
      <c r="I1435">
        <v>9362.83</v>
      </c>
      <c r="J1435" t="s">
        <v>84</v>
      </c>
      <c r="K1435" t="s">
        <v>2953</v>
      </c>
      <c r="L1435">
        <v>30</v>
      </c>
      <c r="M1435" t="s">
        <v>37</v>
      </c>
      <c r="N1435">
        <v>1.1176999999999999</v>
      </c>
      <c r="O1435">
        <v>1.320456022210408</v>
      </c>
      <c r="P1435">
        <v>6.3200452360757699E-3</v>
      </c>
      <c r="Q1435">
        <v>1.1176999999999999</v>
      </c>
      <c r="R1435">
        <v>10464.835090999999</v>
      </c>
      <c r="S1435" t="s">
        <v>23</v>
      </c>
      <c r="T1435">
        <v>1.119</v>
      </c>
      <c r="U1435">
        <v>10477.00677</v>
      </c>
      <c r="V1435">
        <v>-12.17167900000095</v>
      </c>
      <c r="W1435">
        <v>-1.1617515638964267E-3</v>
      </c>
    </row>
    <row r="1436" spans="1:23" x14ac:dyDescent="0.25">
      <c r="A1436" t="s">
        <v>2954</v>
      </c>
      <c r="B1436" t="s">
        <v>30</v>
      </c>
      <c r="C1436" t="s">
        <v>103</v>
      </c>
      <c r="D1436" t="s">
        <v>31</v>
      </c>
      <c r="E1436" t="s">
        <v>74</v>
      </c>
      <c r="F1436" s="1">
        <v>45923</v>
      </c>
      <c r="G1436">
        <v>45953</v>
      </c>
      <c r="H1436" t="s">
        <v>9</v>
      </c>
      <c r="I1436">
        <v>817297.16</v>
      </c>
      <c r="J1436" t="s">
        <v>75</v>
      </c>
      <c r="K1436" t="s">
        <v>2955</v>
      </c>
      <c r="L1436">
        <v>30</v>
      </c>
      <c r="M1436" t="s">
        <v>30</v>
      </c>
      <c r="N1436">
        <v>1.1793</v>
      </c>
      <c r="O1436">
        <v>1.3510138618398442</v>
      </c>
      <c r="P1436">
        <v>6.7659208261617899E-3</v>
      </c>
      <c r="Q1436">
        <v>6.7659208261617899E-3</v>
      </c>
      <c r="R1436">
        <v>5529.7678760068848</v>
      </c>
      <c r="S1436" t="s">
        <v>13</v>
      </c>
      <c r="T1436">
        <v>6.8399999999999997E-3</v>
      </c>
      <c r="U1436">
        <v>5590.3125743999999</v>
      </c>
      <c r="V1436">
        <v>-60.544698393115141</v>
      </c>
      <c r="W1436">
        <v>-1.0830288572837686E-2</v>
      </c>
    </row>
    <row r="1437" spans="1:23" x14ac:dyDescent="0.25">
      <c r="A1437" t="s">
        <v>2956</v>
      </c>
      <c r="B1437" t="s">
        <v>26</v>
      </c>
      <c r="C1437" t="s">
        <v>94</v>
      </c>
      <c r="D1437" t="s">
        <v>31</v>
      </c>
      <c r="E1437" t="s">
        <v>74</v>
      </c>
      <c r="F1437" s="1">
        <v>46197</v>
      </c>
      <c r="G1437">
        <v>46227</v>
      </c>
      <c r="H1437" t="s">
        <v>8</v>
      </c>
      <c r="I1437">
        <v>20223.59</v>
      </c>
      <c r="J1437" t="s">
        <v>75</v>
      </c>
      <c r="K1437" t="s">
        <v>2957</v>
      </c>
      <c r="L1437">
        <v>30</v>
      </c>
      <c r="M1437" t="s">
        <v>26</v>
      </c>
      <c r="N1437">
        <v>1.1339999999999999</v>
      </c>
      <c r="O1437">
        <v>1.3160796146927405</v>
      </c>
      <c r="P1437">
        <v>6.1848922825197706E-3</v>
      </c>
      <c r="Q1437">
        <v>1.3160796146927405</v>
      </c>
      <c r="R1437">
        <v>26615.85453490396</v>
      </c>
      <c r="S1437" t="s">
        <v>19</v>
      </c>
      <c r="T1437">
        <v>1.2709999999999999</v>
      </c>
      <c r="U1437">
        <v>25704.18289</v>
      </c>
      <c r="V1437">
        <v>911.67164490395953</v>
      </c>
      <c r="W1437">
        <v>3.5467832173674656E-2</v>
      </c>
    </row>
    <row r="1438" spans="1:23" x14ac:dyDescent="0.25">
      <c r="A1438" t="s">
        <v>2958</v>
      </c>
      <c r="B1438" t="s">
        <v>37</v>
      </c>
      <c r="C1438" t="s">
        <v>91</v>
      </c>
      <c r="D1438" t="s">
        <v>31</v>
      </c>
      <c r="E1438" t="s">
        <v>74</v>
      </c>
      <c r="F1438" s="1">
        <v>45879</v>
      </c>
      <c r="G1438">
        <v>45909</v>
      </c>
      <c r="H1438" t="s">
        <v>6</v>
      </c>
      <c r="I1438">
        <v>22576.26</v>
      </c>
      <c r="J1438" t="s">
        <v>75</v>
      </c>
      <c r="K1438" t="s">
        <v>2959</v>
      </c>
      <c r="L1438">
        <v>30</v>
      </c>
      <c r="M1438" t="s">
        <v>37</v>
      </c>
      <c r="N1438">
        <v>1.1583000000000001</v>
      </c>
      <c r="O1438">
        <v>1.3122238586156112</v>
      </c>
      <c r="P1438">
        <v>6.4047553220901304E-3</v>
      </c>
      <c r="Q1438">
        <v>1.1583000000000001</v>
      </c>
      <c r="R1438">
        <v>26150.081957999999</v>
      </c>
      <c r="S1438" t="s">
        <v>13</v>
      </c>
      <c r="T1438">
        <v>1.0880000000000001</v>
      </c>
      <c r="U1438">
        <v>24562.970880000001</v>
      </c>
      <c r="V1438">
        <v>1587.1110779999981</v>
      </c>
      <c r="W1438">
        <v>6.4613970588235217E-2</v>
      </c>
    </row>
    <row r="1439" spans="1:23" x14ac:dyDescent="0.25">
      <c r="A1439" t="s">
        <v>2960</v>
      </c>
      <c r="B1439" t="s">
        <v>37</v>
      </c>
      <c r="C1439" t="s">
        <v>91</v>
      </c>
      <c r="D1439" t="s">
        <v>31</v>
      </c>
      <c r="E1439" t="s">
        <v>74</v>
      </c>
      <c r="F1439" s="1">
        <v>46279</v>
      </c>
      <c r="G1439">
        <v>46309</v>
      </c>
      <c r="H1439" t="s">
        <v>6</v>
      </c>
      <c r="I1439">
        <v>11558.98</v>
      </c>
      <c r="J1439" t="s">
        <v>75</v>
      </c>
      <c r="K1439" t="s">
        <v>2961</v>
      </c>
      <c r="L1439">
        <v>30</v>
      </c>
      <c r="M1439" t="s">
        <v>37</v>
      </c>
      <c r="N1439">
        <v>1.1551</v>
      </c>
      <c r="O1439">
        <v>1.3494474169957242</v>
      </c>
      <c r="P1439">
        <v>6.4704234819628051E-3</v>
      </c>
      <c r="Q1439">
        <v>1.1551</v>
      </c>
      <c r="R1439">
        <v>13351.777797999999</v>
      </c>
      <c r="S1439" t="s">
        <v>21</v>
      </c>
      <c r="T1439">
        <v>1.101</v>
      </c>
      <c r="U1439">
        <v>12726.436979999999</v>
      </c>
      <c r="V1439">
        <v>625.34081800000058</v>
      </c>
      <c r="W1439">
        <v>4.9137148047229844E-2</v>
      </c>
    </row>
    <row r="1440" spans="1:23" x14ac:dyDescent="0.25">
      <c r="A1440" t="s">
        <v>2962</v>
      </c>
      <c r="B1440" t="s">
        <v>26</v>
      </c>
      <c r="C1440" t="s">
        <v>94</v>
      </c>
      <c r="D1440" t="s">
        <v>31</v>
      </c>
      <c r="E1440" t="s">
        <v>74</v>
      </c>
      <c r="F1440" s="1">
        <v>45706</v>
      </c>
      <c r="G1440">
        <v>45736</v>
      </c>
      <c r="H1440" t="s">
        <v>8</v>
      </c>
      <c r="I1440">
        <v>10528.35</v>
      </c>
      <c r="J1440" t="s">
        <v>75</v>
      </c>
      <c r="K1440" t="s">
        <v>2963</v>
      </c>
      <c r="L1440">
        <v>30</v>
      </c>
      <c r="M1440" t="s">
        <v>26</v>
      </c>
      <c r="N1440">
        <v>1.0447</v>
      </c>
      <c r="O1440">
        <v>1.2582956940680516</v>
      </c>
      <c r="P1440">
        <v>6.5890886155786808E-3</v>
      </c>
      <c r="Q1440">
        <v>1.2582956940680516</v>
      </c>
      <c r="R1440">
        <v>13247.777470641371</v>
      </c>
      <c r="S1440" t="s">
        <v>11</v>
      </c>
      <c r="T1440">
        <v>1.238</v>
      </c>
      <c r="U1440">
        <v>13034.097299999999</v>
      </c>
      <c r="V1440">
        <v>213.68017064137166</v>
      </c>
      <c r="W1440">
        <v>1.6393937050122501E-2</v>
      </c>
    </row>
    <row r="1441" spans="1:23" x14ac:dyDescent="0.25">
      <c r="A1441" t="s">
        <v>2964</v>
      </c>
      <c r="B1441" t="s">
        <v>28</v>
      </c>
      <c r="C1441" t="s">
        <v>111</v>
      </c>
      <c r="D1441" t="s">
        <v>31</v>
      </c>
      <c r="E1441" t="s">
        <v>74</v>
      </c>
      <c r="F1441" s="1">
        <v>46291</v>
      </c>
      <c r="G1441">
        <v>46336</v>
      </c>
      <c r="H1441" t="s">
        <v>9</v>
      </c>
      <c r="I1441">
        <v>932901.61</v>
      </c>
      <c r="J1441" t="s">
        <v>75</v>
      </c>
      <c r="K1441" t="s">
        <v>2965</v>
      </c>
      <c r="L1441">
        <v>45</v>
      </c>
      <c r="M1441" t="s">
        <v>28</v>
      </c>
      <c r="N1441">
        <v>1.1403000000000001</v>
      </c>
      <c r="O1441">
        <v>1.3252367947004475</v>
      </c>
      <c r="P1441">
        <v>6.3455759599332232E-3</v>
      </c>
      <c r="Q1441">
        <v>6.3455759599332232E-3</v>
      </c>
      <c r="R1441">
        <v>5919.7980293989995</v>
      </c>
      <c r="S1441" t="s">
        <v>21</v>
      </c>
      <c r="T1441">
        <v>6.7400000000000003E-3</v>
      </c>
      <c r="U1441">
        <v>6287.7568514000004</v>
      </c>
      <c r="V1441">
        <v>-367.95882200100095</v>
      </c>
      <c r="W1441">
        <v>-5.8519887250263677E-2</v>
      </c>
    </row>
    <row r="1442" spans="1:23" x14ac:dyDescent="0.25">
      <c r="A1442" t="s">
        <v>2966</v>
      </c>
      <c r="B1442" t="s">
        <v>41</v>
      </c>
      <c r="C1442" t="s">
        <v>172</v>
      </c>
      <c r="D1442" t="s">
        <v>33</v>
      </c>
      <c r="E1442" t="s">
        <v>83</v>
      </c>
      <c r="F1442" s="1">
        <v>45781</v>
      </c>
      <c r="G1442">
        <v>45811</v>
      </c>
      <c r="H1442" t="s">
        <v>9</v>
      </c>
      <c r="I1442">
        <v>2334281.2599999998</v>
      </c>
      <c r="J1442" t="s">
        <v>75</v>
      </c>
      <c r="K1442" t="s">
        <v>2967</v>
      </c>
      <c r="L1442">
        <v>30</v>
      </c>
      <c r="M1442" t="s">
        <v>41</v>
      </c>
      <c r="N1442">
        <v>1.1767000000000001</v>
      </c>
      <c r="O1442">
        <v>1.3642898550724638</v>
      </c>
      <c r="P1442">
        <v>6.9250235404896433E-3</v>
      </c>
      <c r="Q1442">
        <v>6.9250235404896433E-3</v>
      </c>
      <c r="R1442">
        <v>16164.952675623825</v>
      </c>
      <c r="S1442" t="s">
        <v>12</v>
      </c>
      <c r="T1442">
        <v>6.7000000000000002E-3</v>
      </c>
      <c r="U1442">
        <v>15639.684442</v>
      </c>
      <c r="V1442">
        <v>525.26823362382493</v>
      </c>
      <c r="W1442">
        <v>3.3585603058155673E-2</v>
      </c>
    </row>
    <row r="1443" spans="1:23" x14ac:dyDescent="0.25">
      <c r="A1443" t="s">
        <v>2968</v>
      </c>
      <c r="B1443" t="s">
        <v>24</v>
      </c>
      <c r="C1443" t="s">
        <v>73</v>
      </c>
      <c r="D1443" t="s">
        <v>31</v>
      </c>
      <c r="E1443" t="s">
        <v>74</v>
      </c>
      <c r="F1443" s="1">
        <v>46165</v>
      </c>
      <c r="G1443">
        <v>46195</v>
      </c>
      <c r="H1443" t="s">
        <v>6</v>
      </c>
      <c r="I1443">
        <v>27996.77</v>
      </c>
      <c r="J1443" t="s">
        <v>75</v>
      </c>
      <c r="K1443" t="s">
        <v>2969</v>
      </c>
      <c r="L1443">
        <v>30</v>
      </c>
      <c r="M1443" t="s">
        <v>24</v>
      </c>
      <c r="N1443">
        <v>1.1595</v>
      </c>
      <c r="O1443">
        <v>1.3417343608970353</v>
      </c>
      <c r="P1443">
        <v>6.2835311331490814E-3</v>
      </c>
      <c r="Q1443">
        <v>1.1595</v>
      </c>
      <c r="R1443">
        <v>32462.254815</v>
      </c>
      <c r="S1443" t="s">
        <v>19</v>
      </c>
      <c r="T1443">
        <v>1.083</v>
      </c>
      <c r="U1443">
        <v>30320.501909999999</v>
      </c>
      <c r="V1443">
        <v>2141.7529050000012</v>
      </c>
      <c r="W1443">
        <v>7.0637119113573454E-2</v>
      </c>
    </row>
    <row r="1444" spans="1:23" x14ac:dyDescent="0.25">
      <c r="A1444" t="s">
        <v>2970</v>
      </c>
      <c r="B1444" t="s">
        <v>30</v>
      </c>
      <c r="C1444" t="s">
        <v>103</v>
      </c>
      <c r="D1444" t="s">
        <v>31</v>
      </c>
      <c r="E1444" t="s">
        <v>74</v>
      </c>
      <c r="F1444" s="1">
        <v>46086</v>
      </c>
      <c r="G1444">
        <v>46116</v>
      </c>
      <c r="H1444" t="s">
        <v>9</v>
      </c>
      <c r="I1444">
        <v>3516031.77</v>
      </c>
      <c r="J1444" t="s">
        <v>75</v>
      </c>
      <c r="K1444" t="s">
        <v>2971</v>
      </c>
      <c r="L1444">
        <v>30</v>
      </c>
      <c r="M1444" t="s">
        <v>30</v>
      </c>
      <c r="N1444">
        <v>1.1617999999999999</v>
      </c>
      <c r="O1444">
        <v>1.3361702127659574</v>
      </c>
      <c r="P1444">
        <v>6.347593290717368E-3</v>
      </c>
      <c r="Q1444">
        <v>6.347593290717368E-3</v>
      </c>
      <c r="R1444">
        <v>22318.339673201113</v>
      </c>
      <c r="S1444" t="s">
        <v>16</v>
      </c>
      <c r="T1444">
        <v>6.4599999999999996E-3</v>
      </c>
      <c r="U1444">
        <v>22713.565234199999</v>
      </c>
      <c r="V1444">
        <v>-395.22556099888607</v>
      </c>
      <c r="W1444">
        <v>-1.7400419393596198E-2</v>
      </c>
    </row>
    <row r="1445" spans="1:23" x14ac:dyDescent="0.25">
      <c r="A1445" t="s">
        <v>2972</v>
      </c>
      <c r="B1445" t="s">
        <v>20</v>
      </c>
      <c r="C1445" t="s">
        <v>123</v>
      </c>
      <c r="D1445" t="s">
        <v>31</v>
      </c>
      <c r="E1445" t="s">
        <v>124</v>
      </c>
      <c r="F1445" s="1">
        <v>46162</v>
      </c>
      <c r="G1445">
        <v>46207</v>
      </c>
      <c r="H1445" t="s">
        <v>6</v>
      </c>
      <c r="I1445">
        <v>98218.66</v>
      </c>
      <c r="J1445" t="s">
        <v>75</v>
      </c>
      <c r="K1445" t="s">
        <v>2973</v>
      </c>
      <c r="L1445">
        <v>45</v>
      </c>
      <c r="M1445" t="s">
        <v>20</v>
      </c>
      <c r="N1445">
        <v>1.1599999999999999</v>
      </c>
      <c r="O1445">
        <v>1.3401883195655939</v>
      </c>
      <c r="P1445">
        <v>6.2879444926279273E-3</v>
      </c>
      <c r="Q1445">
        <v>1.1599999999999999</v>
      </c>
      <c r="R1445">
        <v>113933.6456</v>
      </c>
      <c r="S1445" t="s">
        <v>19</v>
      </c>
      <c r="T1445">
        <v>1.083</v>
      </c>
      <c r="U1445">
        <v>106370.80878000001</v>
      </c>
      <c r="V1445">
        <v>7562.8368199999968</v>
      </c>
      <c r="W1445">
        <v>7.1098799630655546E-2</v>
      </c>
    </row>
    <row r="1446" spans="1:23" x14ac:dyDescent="0.25">
      <c r="A1446" t="s">
        <v>2974</v>
      </c>
      <c r="B1446" t="s">
        <v>24</v>
      </c>
      <c r="C1446" t="s">
        <v>73</v>
      </c>
      <c r="D1446" t="s">
        <v>31</v>
      </c>
      <c r="E1446" t="s">
        <v>74</v>
      </c>
      <c r="F1446" s="1">
        <v>45666</v>
      </c>
      <c r="G1446">
        <v>45696</v>
      </c>
      <c r="H1446" t="s">
        <v>6</v>
      </c>
      <c r="I1446">
        <v>36251.050000000003</v>
      </c>
      <c r="J1446" t="s">
        <v>75</v>
      </c>
      <c r="K1446" t="s">
        <v>2975</v>
      </c>
      <c r="L1446">
        <v>30</v>
      </c>
      <c r="M1446" t="s">
        <v>24</v>
      </c>
      <c r="N1446">
        <v>1.0305</v>
      </c>
      <c r="O1446">
        <v>1.2295962199312713</v>
      </c>
      <c r="P1446">
        <v>6.339197834645669E-3</v>
      </c>
      <c r="Q1446">
        <v>1.0305</v>
      </c>
      <c r="R1446">
        <v>37356.707025000003</v>
      </c>
      <c r="S1446" t="s">
        <v>11</v>
      </c>
      <c r="T1446">
        <v>1.052</v>
      </c>
      <c r="U1446">
        <v>38136.104600000006</v>
      </c>
      <c r="V1446">
        <v>-779.39757500000269</v>
      </c>
      <c r="W1446">
        <v>-2.0437262357414516E-2</v>
      </c>
    </row>
    <row r="1447" spans="1:23" x14ac:dyDescent="0.25">
      <c r="A1447" t="s">
        <v>2976</v>
      </c>
      <c r="B1447" t="s">
        <v>24</v>
      </c>
      <c r="C1447" t="s">
        <v>73</v>
      </c>
      <c r="D1447" t="s">
        <v>31</v>
      </c>
      <c r="E1447" t="s">
        <v>74</v>
      </c>
      <c r="F1447" s="1">
        <v>45812</v>
      </c>
      <c r="G1447">
        <v>45842</v>
      </c>
      <c r="H1447" t="s">
        <v>6</v>
      </c>
      <c r="I1447">
        <v>23485.49</v>
      </c>
      <c r="J1447" t="s">
        <v>75</v>
      </c>
      <c r="K1447" t="s">
        <v>2977</v>
      </c>
      <c r="L1447">
        <v>30</v>
      </c>
      <c r="M1447" t="s">
        <v>24</v>
      </c>
      <c r="N1447">
        <v>1.1384000000000001</v>
      </c>
      <c r="O1447">
        <v>1.3518584491153072</v>
      </c>
      <c r="P1447">
        <v>6.9351203167834297E-3</v>
      </c>
      <c r="Q1447">
        <v>1.1384000000000001</v>
      </c>
      <c r="R1447">
        <v>26735.881816000005</v>
      </c>
      <c r="S1447" t="s">
        <v>12</v>
      </c>
      <c r="T1447">
        <v>1.07</v>
      </c>
      <c r="U1447">
        <v>25129.474300000002</v>
      </c>
      <c r="V1447">
        <v>1606.4075160000029</v>
      </c>
      <c r="W1447">
        <v>6.3925233644859927E-2</v>
      </c>
    </row>
    <row r="1448" spans="1:23" x14ac:dyDescent="0.25">
      <c r="A1448" t="s">
        <v>2978</v>
      </c>
      <c r="B1448" t="s">
        <v>38</v>
      </c>
      <c r="C1448" t="s">
        <v>87</v>
      </c>
      <c r="D1448" t="s">
        <v>33</v>
      </c>
      <c r="E1448" t="s">
        <v>88</v>
      </c>
      <c r="F1448" s="1">
        <v>46316</v>
      </c>
      <c r="G1448">
        <v>46346</v>
      </c>
      <c r="H1448" t="s">
        <v>6</v>
      </c>
      <c r="I1448">
        <v>8367.86</v>
      </c>
      <c r="J1448" t="s">
        <v>84</v>
      </c>
      <c r="K1448" t="s">
        <v>2979</v>
      </c>
      <c r="L1448">
        <v>30</v>
      </c>
      <c r="M1448" t="s">
        <v>38</v>
      </c>
      <c r="N1448">
        <v>1.1176999999999999</v>
      </c>
      <c r="O1448">
        <v>1.320456022210408</v>
      </c>
      <c r="P1448">
        <v>6.3200452360757699E-3</v>
      </c>
      <c r="Q1448">
        <v>1.1176999999999999</v>
      </c>
      <c r="R1448">
        <v>9352.7571219999991</v>
      </c>
      <c r="S1448" t="s">
        <v>23</v>
      </c>
      <c r="T1448">
        <v>1.119</v>
      </c>
      <c r="U1448">
        <v>9363.6353400000007</v>
      </c>
      <c r="V1448">
        <v>-10.878218000001652</v>
      </c>
      <c r="W1448">
        <v>-1.1617515638965123E-3</v>
      </c>
    </row>
    <row r="1449" spans="1:23" x14ac:dyDescent="0.25">
      <c r="A1449" t="s">
        <v>2980</v>
      </c>
      <c r="B1449" t="s">
        <v>39</v>
      </c>
      <c r="C1449" t="s">
        <v>82</v>
      </c>
      <c r="D1449" t="s">
        <v>33</v>
      </c>
      <c r="E1449" t="s">
        <v>83</v>
      </c>
      <c r="F1449" s="1">
        <v>45969</v>
      </c>
      <c r="G1449">
        <v>46014</v>
      </c>
      <c r="H1449" t="s">
        <v>8</v>
      </c>
      <c r="I1449">
        <v>1336.25</v>
      </c>
      <c r="J1449" t="s">
        <v>75</v>
      </c>
      <c r="K1449" t="s">
        <v>2981</v>
      </c>
      <c r="L1449">
        <v>45</v>
      </c>
      <c r="M1449" t="s">
        <v>39</v>
      </c>
      <c r="N1449">
        <v>1.1555</v>
      </c>
      <c r="O1449">
        <v>1.3367963164349013</v>
      </c>
      <c r="P1449">
        <v>6.2983756677204832E-3</v>
      </c>
      <c r="Q1449">
        <v>1.3367963164349013</v>
      </c>
      <c r="R1449">
        <v>1786.2940778361369</v>
      </c>
      <c r="S1449" t="s">
        <v>14</v>
      </c>
      <c r="T1449">
        <v>1.304</v>
      </c>
      <c r="U1449">
        <v>1742.47</v>
      </c>
      <c r="V1449">
        <v>43.824077836136894</v>
      </c>
      <c r="W1449">
        <v>2.5150549413267886E-2</v>
      </c>
    </row>
    <row r="1450" spans="1:23" x14ac:dyDescent="0.25">
      <c r="A1450" t="s">
        <v>2982</v>
      </c>
      <c r="B1450" t="s">
        <v>28</v>
      </c>
      <c r="C1450" t="s">
        <v>111</v>
      </c>
      <c r="D1450" t="s">
        <v>31</v>
      </c>
      <c r="E1450" t="s">
        <v>74</v>
      </c>
      <c r="F1450" s="1">
        <v>46157</v>
      </c>
      <c r="G1450">
        <v>46202</v>
      </c>
      <c r="H1450" t="s">
        <v>9</v>
      </c>
      <c r="I1450">
        <v>2341652.5699999998</v>
      </c>
      <c r="J1450" t="s">
        <v>75</v>
      </c>
      <c r="K1450" t="s">
        <v>2983</v>
      </c>
      <c r="L1450">
        <v>45</v>
      </c>
      <c r="M1450" t="s">
        <v>28</v>
      </c>
      <c r="N1450">
        <v>1.1628000000000001</v>
      </c>
      <c r="O1450">
        <v>1.3357840321654222</v>
      </c>
      <c r="P1450">
        <v>6.3072249945758298E-3</v>
      </c>
      <c r="Q1450">
        <v>6.3072249945758298E-3</v>
      </c>
      <c r="R1450">
        <v>14769.329618116726</v>
      </c>
      <c r="S1450" t="s">
        <v>19</v>
      </c>
      <c r="T1450">
        <v>6.6E-3</v>
      </c>
      <c r="U1450">
        <v>15454.906961999999</v>
      </c>
      <c r="V1450">
        <v>-685.57734388327299</v>
      </c>
      <c r="W1450">
        <v>-4.4359849306692518E-2</v>
      </c>
    </row>
    <row r="1451" spans="1:23" x14ac:dyDescent="0.25">
      <c r="A1451" t="s">
        <v>2984</v>
      </c>
      <c r="B1451" t="s">
        <v>44</v>
      </c>
      <c r="C1451" t="s">
        <v>138</v>
      </c>
      <c r="D1451" t="s">
        <v>33</v>
      </c>
      <c r="E1451" t="s">
        <v>88</v>
      </c>
      <c r="F1451" s="1">
        <v>46147</v>
      </c>
      <c r="G1451">
        <v>46192</v>
      </c>
      <c r="H1451" t="s">
        <v>9</v>
      </c>
      <c r="I1451">
        <v>1391603.77</v>
      </c>
      <c r="J1451" t="s">
        <v>75</v>
      </c>
      <c r="K1451" t="s">
        <v>2985</v>
      </c>
      <c r="L1451">
        <v>45</v>
      </c>
      <c r="M1451" t="s">
        <v>44</v>
      </c>
      <c r="N1451">
        <v>1.1686000000000001</v>
      </c>
      <c r="O1451">
        <v>1.3534391902065019</v>
      </c>
      <c r="P1451">
        <v>6.336622925929943E-3</v>
      </c>
      <c r="Q1451">
        <v>6.336622925929943E-3</v>
      </c>
      <c r="R1451">
        <v>8818.0683527925394</v>
      </c>
      <c r="S1451" t="s">
        <v>19</v>
      </c>
      <c r="T1451">
        <v>6.6E-3</v>
      </c>
      <c r="U1451">
        <v>9184.5848819999992</v>
      </c>
      <c r="V1451">
        <v>-366.51652920745983</v>
      </c>
      <c r="W1451">
        <v>-3.9905617283341896E-2</v>
      </c>
    </row>
    <row r="1452" spans="1:23" x14ac:dyDescent="0.25">
      <c r="A1452" t="s">
        <v>2986</v>
      </c>
      <c r="B1452" t="s">
        <v>41</v>
      </c>
      <c r="C1452" t="s">
        <v>172</v>
      </c>
      <c r="D1452" t="s">
        <v>33</v>
      </c>
      <c r="E1452" t="s">
        <v>83</v>
      </c>
      <c r="F1452" s="1">
        <v>46049</v>
      </c>
      <c r="G1452">
        <v>46079</v>
      </c>
      <c r="H1452" t="s">
        <v>9</v>
      </c>
      <c r="I1452">
        <v>1943162.02</v>
      </c>
      <c r="J1452" t="s">
        <v>75</v>
      </c>
      <c r="K1452" t="s">
        <v>2987</v>
      </c>
      <c r="L1452">
        <v>30</v>
      </c>
      <c r="M1452" t="s">
        <v>41</v>
      </c>
      <c r="N1452">
        <v>1.1929000000000001</v>
      </c>
      <c r="O1452">
        <v>1.3738339283657723</v>
      </c>
      <c r="P1452">
        <v>6.5214301333916475E-3</v>
      </c>
      <c r="Q1452">
        <v>6.5214301333916475E-3</v>
      </c>
      <c r="R1452">
        <v>12672.195351290184</v>
      </c>
      <c r="S1452" t="s">
        <v>16</v>
      </c>
      <c r="T1452">
        <v>6.4599999999999996E-3</v>
      </c>
      <c r="U1452">
        <v>12552.826649199998</v>
      </c>
      <c r="V1452">
        <v>119.36870209018525</v>
      </c>
      <c r="W1452">
        <v>9.5093085745586014E-3</v>
      </c>
    </row>
    <row r="1453" spans="1:23" x14ac:dyDescent="0.25">
      <c r="A1453" t="s">
        <v>2988</v>
      </c>
      <c r="B1453" t="s">
        <v>24</v>
      </c>
      <c r="C1453" t="s">
        <v>73</v>
      </c>
      <c r="D1453" t="s">
        <v>31</v>
      </c>
      <c r="E1453" t="s">
        <v>74</v>
      </c>
      <c r="F1453" s="1">
        <v>45898</v>
      </c>
      <c r="G1453">
        <v>45928</v>
      </c>
      <c r="H1453" t="s">
        <v>6</v>
      </c>
      <c r="I1453">
        <v>26968.240000000002</v>
      </c>
      <c r="J1453" t="s">
        <v>75</v>
      </c>
      <c r="K1453" t="s">
        <v>2989</v>
      </c>
      <c r="L1453">
        <v>30</v>
      </c>
      <c r="M1453" t="s">
        <v>24</v>
      </c>
      <c r="N1453">
        <v>1.1657999999999999</v>
      </c>
      <c r="O1453">
        <v>1.3449469312413473</v>
      </c>
      <c r="P1453">
        <v>6.7889587700908456E-3</v>
      </c>
      <c r="Q1453">
        <v>1.1657999999999999</v>
      </c>
      <c r="R1453">
        <v>31439.574192</v>
      </c>
      <c r="S1453" t="s">
        <v>13</v>
      </c>
      <c r="T1453">
        <v>1.0880000000000001</v>
      </c>
      <c r="U1453">
        <v>29341.445120000004</v>
      </c>
      <c r="V1453">
        <v>2098.1290719999961</v>
      </c>
      <c r="W1453">
        <v>7.1507352941176328E-2</v>
      </c>
    </row>
    <row r="1454" spans="1:23" x14ac:dyDescent="0.25">
      <c r="A1454" t="s">
        <v>2990</v>
      </c>
      <c r="B1454" t="s">
        <v>28</v>
      </c>
      <c r="C1454" t="s">
        <v>111</v>
      </c>
      <c r="D1454" t="s">
        <v>31</v>
      </c>
      <c r="E1454" t="s">
        <v>74</v>
      </c>
      <c r="F1454" s="1">
        <v>45917</v>
      </c>
      <c r="G1454">
        <v>45962</v>
      </c>
      <c r="H1454" t="s">
        <v>9</v>
      </c>
      <c r="I1454">
        <v>1811307.14</v>
      </c>
      <c r="J1454" t="s">
        <v>75</v>
      </c>
      <c r="K1454" t="s">
        <v>2991</v>
      </c>
      <c r="L1454">
        <v>45</v>
      </c>
      <c r="M1454" t="s">
        <v>28</v>
      </c>
      <c r="N1454">
        <v>1.1837</v>
      </c>
      <c r="O1454">
        <v>1.3644956772334293</v>
      </c>
      <c r="P1454">
        <v>6.8311403508771931E-3</v>
      </c>
      <c r="Q1454">
        <v>6.8311403508771931E-3</v>
      </c>
      <c r="R1454">
        <v>12373.293291885964</v>
      </c>
      <c r="S1454" t="s">
        <v>13</v>
      </c>
      <c r="T1454">
        <v>6.8399999999999997E-3</v>
      </c>
      <c r="U1454">
        <v>12389.340837599999</v>
      </c>
      <c r="V1454">
        <v>-16.047545714034641</v>
      </c>
      <c r="W1454">
        <v>-1.2952703395916333E-3</v>
      </c>
    </row>
    <row r="1455" spans="1:23" x14ac:dyDescent="0.25">
      <c r="A1455" t="s">
        <v>2992</v>
      </c>
      <c r="B1455" t="s">
        <v>28</v>
      </c>
      <c r="C1455" t="s">
        <v>111</v>
      </c>
      <c r="D1455" t="s">
        <v>31</v>
      </c>
      <c r="E1455" t="s">
        <v>74</v>
      </c>
      <c r="F1455" s="1">
        <v>45874</v>
      </c>
      <c r="G1455">
        <v>45919</v>
      </c>
      <c r="H1455" t="s">
        <v>9</v>
      </c>
      <c r="I1455">
        <v>1212831.06</v>
      </c>
      <c r="J1455" t="s">
        <v>75</v>
      </c>
      <c r="K1455" t="s">
        <v>2993</v>
      </c>
      <c r="L1455">
        <v>45</v>
      </c>
      <c r="M1455" t="s">
        <v>28</v>
      </c>
      <c r="N1455">
        <v>1.1546000000000001</v>
      </c>
      <c r="O1455">
        <v>1.3281950995053493</v>
      </c>
      <c r="P1455">
        <v>6.7750264053514858E-3</v>
      </c>
      <c r="Q1455">
        <v>6.7750264053514858E-3</v>
      </c>
      <c r="R1455">
        <v>8216.9624567304327</v>
      </c>
      <c r="S1455" t="s">
        <v>13</v>
      </c>
      <c r="T1455">
        <v>6.8399999999999997E-3</v>
      </c>
      <c r="U1455">
        <v>8295.7644504</v>
      </c>
      <c r="V1455">
        <v>-78.80199366956731</v>
      </c>
      <c r="W1455">
        <v>-9.499063545104356E-3</v>
      </c>
    </row>
    <row r="1456" spans="1:23" x14ac:dyDescent="0.25">
      <c r="A1456" t="s">
        <v>2994</v>
      </c>
      <c r="B1456" t="s">
        <v>32</v>
      </c>
      <c r="C1456" t="s">
        <v>106</v>
      </c>
      <c r="D1456" t="s">
        <v>31</v>
      </c>
      <c r="E1456" t="s">
        <v>74</v>
      </c>
      <c r="F1456" s="1">
        <v>45687</v>
      </c>
      <c r="G1456">
        <v>45717</v>
      </c>
      <c r="H1456" t="s">
        <v>6</v>
      </c>
      <c r="I1456">
        <v>21203.64</v>
      </c>
      <c r="J1456" t="s">
        <v>75</v>
      </c>
      <c r="K1456" t="s">
        <v>2995</v>
      </c>
      <c r="L1456">
        <v>30</v>
      </c>
      <c r="M1456" t="s">
        <v>32</v>
      </c>
      <c r="N1456">
        <v>1.0403</v>
      </c>
      <c r="O1456">
        <v>1.2431140586724025</v>
      </c>
      <c r="P1456">
        <v>6.4888972055888224E-3</v>
      </c>
      <c r="Q1456">
        <v>1.0403</v>
      </c>
      <c r="R1456">
        <v>22058.146691999998</v>
      </c>
      <c r="S1456" t="s">
        <v>11</v>
      </c>
      <c r="T1456">
        <v>1.052</v>
      </c>
      <c r="U1456">
        <v>22306.22928</v>
      </c>
      <c r="V1456">
        <v>-248.08258800000112</v>
      </c>
      <c r="W1456">
        <v>-1.1121673003802332E-2</v>
      </c>
    </row>
    <row r="1457" spans="1:23" x14ac:dyDescent="0.25">
      <c r="A1457" t="s">
        <v>2996</v>
      </c>
      <c r="B1457" t="s">
        <v>32</v>
      </c>
      <c r="C1457" t="s">
        <v>106</v>
      </c>
      <c r="D1457" t="s">
        <v>31</v>
      </c>
      <c r="E1457" t="s">
        <v>74</v>
      </c>
      <c r="F1457" s="1">
        <v>45980</v>
      </c>
      <c r="G1457">
        <v>46010</v>
      </c>
      <c r="H1457" t="s">
        <v>6</v>
      </c>
      <c r="I1457">
        <v>4336.09</v>
      </c>
      <c r="J1457" t="s">
        <v>75</v>
      </c>
      <c r="K1457" t="s">
        <v>2997</v>
      </c>
      <c r="L1457">
        <v>30</v>
      </c>
      <c r="M1457" t="s">
        <v>32</v>
      </c>
      <c r="N1457">
        <v>1.1583000000000001</v>
      </c>
      <c r="O1457">
        <v>1.3122238586156112</v>
      </c>
      <c r="P1457">
        <v>6.4047553220901304E-3</v>
      </c>
      <c r="Q1457">
        <v>1.1583000000000001</v>
      </c>
      <c r="R1457">
        <v>5022.4930470000008</v>
      </c>
      <c r="S1457" t="s">
        <v>14</v>
      </c>
      <c r="T1457">
        <v>1.1060000000000001</v>
      </c>
      <c r="U1457">
        <v>4795.7155400000001</v>
      </c>
      <c r="V1457">
        <v>226.7775070000007</v>
      </c>
      <c r="W1457">
        <v>4.7287522603978442E-2</v>
      </c>
    </row>
    <row r="1458" spans="1:23" x14ac:dyDescent="0.25">
      <c r="A1458" t="s">
        <v>2998</v>
      </c>
      <c r="B1458" t="s">
        <v>37</v>
      </c>
      <c r="C1458" t="s">
        <v>91</v>
      </c>
      <c r="D1458" t="s">
        <v>31</v>
      </c>
      <c r="E1458" t="s">
        <v>74</v>
      </c>
      <c r="F1458" s="1">
        <v>46258</v>
      </c>
      <c r="G1458">
        <v>46288</v>
      </c>
      <c r="H1458" t="s">
        <v>6</v>
      </c>
      <c r="I1458">
        <v>8035.89</v>
      </c>
      <c r="J1458" t="s">
        <v>75</v>
      </c>
      <c r="K1458" t="s">
        <v>2999</v>
      </c>
      <c r="L1458">
        <v>30</v>
      </c>
      <c r="M1458" t="s">
        <v>37</v>
      </c>
      <c r="N1458">
        <v>1.1664000000000001</v>
      </c>
      <c r="O1458">
        <v>1.3634132086499124</v>
      </c>
      <c r="P1458">
        <v>6.2844827586206907E-3</v>
      </c>
      <c r="Q1458">
        <v>1.1664000000000001</v>
      </c>
      <c r="R1458">
        <v>9373.0620960000015</v>
      </c>
      <c r="S1458" t="s">
        <v>21</v>
      </c>
      <c r="T1458">
        <v>1.101</v>
      </c>
      <c r="U1458">
        <v>8847.5148900000004</v>
      </c>
      <c r="V1458">
        <v>525.5472060000011</v>
      </c>
      <c r="W1458">
        <v>5.9400544959128186E-2</v>
      </c>
    </row>
    <row r="1459" spans="1:23" x14ac:dyDescent="0.25">
      <c r="A1459" t="s">
        <v>3000</v>
      </c>
      <c r="B1459" t="s">
        <v>22</v>
      </c>
      <c r="C1459" t="s">
        <v>127</v>
      </c>
      <c r="D1459" t="s">
        <v>31</v>
      </c>
      <c r="E1459" t="s">
        <v>124</v>
      </c>
      <c r="F1459" s="1">
        <v>46194</v>
      </c>
      <c r="G1459">
        <v>46254</v>
      </c>
      <c r="H1459" t="s">
        <v>9</v>
      </c>
      <c r="I1459">
        <v>11667556.42</v>
      </c>
      <c r="J1459" t="s">
        <v>75</v>
      </c>
      <c r="K1459" t="s">
        <v>3001</v>
      </c>
      <c r="L1459">
        <v>60</v>
      </c>
      <c r="M1459" t="s">
        <v>22</v>
      </c>
      <c r="N1459">
        <v>1.1467000000000001</v>
      </c>
      <c r="O1459">
        <v>1.3233240626406473</v>
      </c>
      <c r="P1459">
        <v>6.2024015577672011E-3</v>
      </c>
      <c r="Q1459">
        <v>6.2024015577672011E-3</v>
      </c>
      <c r="R1459">
        <v>72366.870114744714</v>
      </c>
      <c r="S1459" t="s">
        <v>19</v>
      </c>
      <c r="T1459">
        <v>6.6E-3</v>
      </c>
      <c r="U1459">
        <v>77005.872371999998</v>
      </c>
      <c r="V1459">
        <v>-4639.0022572552843</v>
      </c>
      <c r="W1459">
        <v>-6.0242188217090646E-2</v>
      </c>
    </row>
    <row r="1460" spans="1:23" x14ac:dyDescent="0.25">
      <c r="A1460" t="s">
        <v>3002</v>
      </c>
      <c r="B1460" t="s">
        <v>37</v>
      </c>
      <c r="C1460" t="s">
        <v>91</v>
      </c>
      <c r="D1460" t="s">
        <v>31</v>
      </c>
      <c r="E1460" t="s">
        <v>74</v>
      </c>
      <c r="F1460" s="1">
        <v>46383</v>
      </c>
      <c r="G1460">
        <v>46413</v>
      </c>
      <c r="H1460" t="s">
        <v>6</v>
      </c>
      <c r="I1460">
        <v>30870.05</v>
      </c>
      <c r="J1460" t="s">
        <v>84</v>
      </c>
      <c r="K1460" t="s">
        <v>3003</v>
      </c>
      <c r="L1460">
        <v>30</v>
      </c>
      <c r="M1460" t="s">
        <v>37</v>
      </c>
      <c r="N1460">
        <v>1.1176999999999999</v>
      </c>
      <c r="O1460">
        <v>1.320456022210408</v>
      </c>
      <c r="P1460">
        <v>6.3200452360757699E-3</v>
      </c>
      <c r="Q1460">
        <v>1.1176999999999999</v>
      </c>
      <c r="R1460">
        <v>34503.454884999999</v>
      </c>
      <c r="S1460" t="s">
        <v>23</v>
      </c>
      <c r="T1460">
        <v>1.119</v>
      </c>
      <c r="U1460">
        <v>34543.585950000001</v>
      </c>
      <c r="V1460">
        <v>-40.131065000001399</v>
      </c>
      <c r="W1460">
        <v>-1.1617515638963766E-3</v>
      </c>
    </row>
    <row r="1461" spans="1:23" x14ac:dyDescent="0.25">
      <c r="A1461" t="s">
        <v>3004</v>
      </c>
      <c r="B1461" t="s">
        <v>39</v>
      </c>
      <c r="C1461" t="s">
        <v>82</v>
      </c>
      <c r="D1461" t="s">
        <v>33</v>
      </c>
      <c r="E1461" t="s">
        <v>83</v>
      </c>
      <c r="F1461" s="1">
        <v>46031</v>
      </c>
      <c r="G1461">
        <v>46076</v>
      </c>
      <c r="H1461" t="s">
        <v>8</v>
      </c>
      <c r="I1461">
        <v>1407.85</v>
      </c>
      <c r="J1461" t="s">
        <v>75</v>
      </c>
      <c r="K1461" t="s">
        <v>3005</v>
      </c>
      <c r="L1461">
        <v>45</v>
      </c>
      <c r="M1461" t="s">
        <v>39</v>
      </c>
      <c r="N1461">
        <v>1.1641999999999999</v>
      </c>
      <c r="O1461">
        <v>1.3417079635818829</v>
      </c>
      <c r="P1461">
        <v>6.3437227550130768E-3</v>
      </c>
      <c r="Q1461">
        <v>1.3417079635818829</v>
      </c>
      <c r="R1461">
        <v>1888.9235565287538</v>
      </c>
      <c r="S1461" t="s">
        <v>16</v>
      </c>
      <c r="T1461">
        <v>1.2490000000000001</v>
      </c>
      <c r="U1461">
        <v>1758.4046499999999</v>
      </c>
      <c r="V1461">
        <v>130.51890652875386</v>
      </c>
      <c r="W1461">
        <v>7.4225751466679674E-2</v>
      </c>
    </row>
    <row r="1462" spans="1:23" x14ac:dyDescent="0.25">
      <c r="A1462" t="s">
        <v>3006</v>
      </c>
      <c r="B1462" t="s">
        <v>20</v>
      </c>
      <c r="C1462" t="s">
        <v>123</v>
      </c>
      <c r="D1462" t="s">
        <v>31</v>
      </c>
      <c r="E1462" t="s">
        <v>124</v>
      </c>
      <c r="F1462" s="1">
        <v>45863</v>
      </c>
      <c r="G1462">
        <v>45908</v>
      </c>
      <c r="H1462" t="s">
        <v>6</v>
      </c>
      <c r="I1462">
        <v>50198.6</v>
      </c>
      <c r="J1462" t="s">
        <v>75</v>
      </c>
      <c r="K1462" t="s">
        <v>3007</v>
      </c>
      <c r="L1462">
        <v>45</v>
      </c>
      <c r="M1462" t="s">
        <v>20</v>
      </c>
      <c r="N1462">
        <v>1.1724000000000001</v>
      </c>
      <c r="O1462">
        <v>1.3452667814113597</v>
      </c>
      <c r="P1462">
        <v>6.7725723528392354E-3</v>
      </c>
      <c r="Q1462">
        <v>1.1724000000000001</v>
      </c>
      <c r="R1462">
        <v>58852.838640000002</v>
      </c>
      <c r="S1462" t="s">
        <v>13</v>
      </c>
      <c r="T1462">
        <v>1.0880000000000001</v>
      </c>
      <c r="U1462">
        <v>54616.076800000003</v>
      </c>
      <c r="V1462">
        <v>4236.7618399999992</v>
      </c>
      <c r="W1462">
        <v>7.7573529411764694E-2</v>
      </c>
    </row>
    <row r="1463" spans="1:23" x14ac:dyDescent="0.25">
      <c r="A1463" t="s">
        <v>3008</v>
      </c>
      <c r="B1463" t="s">
        <v>26</v>
      </c>
      <c r="C1463" t="s">
        <v>94</v>
      </c>
      <c r="D1463" t="s">
        <v>31</v>
      </c>
      <c r="E1463" t="s">
        <v>74</v>
      </c>
      <c r="F1463" s="1">
        <v>46287</v>
      </c>
      <c r="G1463">
        <v>46317</v>
      </c>
      <c r="H1463" t="s">
        <v>8</v>
      </c>
      <c r="I1463">
        <v>6221.24</v>
      </c>
      <c r="J1463" t="s">
        <v>75</v>
      </c>
      <c r="K1463" t="s">
        <v>3009</v>
      </c>
      <c r="L1463">
        <v>30</v>
      </c>
      <c r="M1463" t="s">
        <v>26</v>
      </c>
      <c r="N1463">
        <v>1.1463000000000001</v>
      </c>
      <c r="O1463">
        <v>1.3363254837957568</v>
      </c>
      <c r="P1463">
        <v>6.3623244713326308E-3</v>
      </c>
      <c r="Q1463">
        <v>1.3363254837957568</v>
      </c>
      <c r="R1463">
        <v>8313.601552809514</v>
      </c>
      <c r="S1463" t="s">
        <v>21</v>
      </c>
      <c r="T1463">
        <v>1.2929999999999999</v>
      </c>
      <c r="U1463">
        <v>8044.0633199999993</v>
      </c>
      <c r="V1463">
        <v>269.53823280951474</v>
      </c>
      <c r="W1463">
        <v>3.3507721419765595E-2</v>
      </c>
    </row>
    <row r="1464" spans="1:23" x14ac:dyDescent="0.25">
      <c r="A1464" t="s">
        <v>3010</v>
      </c>
      <c r="B1464" t="s">
        <v>36</v>
      </c>
      <c r="C1464" t="s">
        <v>116</v>
      </c>
      <c r="D1464" t="s">
        <v>31</v>
      </c>
      <c r="E1464" t="s">
        <v>74</v>
      </c>
      <c r="F1464" s="1">
        <v>45989</v>
      </c>
      <c r="G1464">
        <v>46034</v>
      </c>
      <c r="H1464" t="s">
        <v>6</v>
      </c>
      <c r="I1464">
        <v>8924.34</v>
      </c>
      <c r="J1464" t="s">
        <v>75</v>
      </c>
      <c r="K1464" t="s">
        <v>3011</v>
      </c>
      <c r="L1464">
        <v>45</v>
      </c>
      <c r="M1464" t="s">
        <v>36</v>
      </c>
      <c r="N1464">
        <v>1.1566000000000001</v>
      </c>
      <c r="O1464">
        <v>1.3215265082266912</v>
      </c>
      <c r="P1464">
        <v>6.405272193609127E-3</v>
      </c>
      <c r="Q1464">
        <v>1.1566000000000001</v>
      </c>
      <c r="R1464">
        <v>10321.891644000001</v>
      </c>
      <c r="S1464" t="s">
        <v>14</v>
      </c>
      <c r="T1464">
        <v>1.1060000000000001</v>
      </c>
      <c r="U1464">
        <v>9870.3200400000005</v>
      </c>
      <c r="V1464">
        <v>451.57160400000066</v>
      </c>
      <c r="W1464">
        <v>4.5750452079566066E-2</v>
      </c>
    </row>
    <row r="1465" spans="1:23" x14ac:dyDescent="0.25">
      <c r="A1465" t="s">
        <v>3012</v>
      </c>
      <c r="B1465" t="s">
        <v>44</v>
      </c>
      <c r="C1465" t="s">
        <v>138</v>
      </c>
      <c r="D1465" t="s">
        <v>33</v>
      </c>
      <c r="E1465" t="s">
        <v>88</v>
      </c>
      <c r="F1465" s="1">
        <v>45745</v>
      </c>
      <c r="G1465">
        <v>45790</v>
      </c>
      <c r="H1465" t="s">
        <v>9</v>
      </c>
      <c r="I1465">
        <v>269414.49</v>
      </c>
      <c r="J1465" t="s">
        <v>75</v>
      </c>
      <c r="K1465" t="s">
        <v>3013</v>
      </c>
      <c r="L1465">
        <v>45</v>
      </c>
      <c r="M1465" t="s">
        <v>44</v>
      </c>
      <c r="N1465">
        <v>1.1185</v>
      </c>
      <c r="O1465">
        <v>1.3277540360873694</v>
      </c>
      <c r="P1465">
        <v>6.8493570116350275E-3</v>
      </c>
      <c r="Q1465">
        <v>6.8493570116350275E-3</v>
      </c>
      <c r="R1465">
        <v>1845.3160261175749</v>
      </c>
      <c r="S1465" t="s">
        <v>11</v>
      </c>
      <c r="T1465">
        <v>6.5599999999999999E-3</v>
      </c>
      <c r="U1465">
        <v>1767.3590543999999</v>
      </c>
      <c r="V1465">
        <v>77.956971717575016</v>
      </c>
      <c r="W1465">
        <v>4.4109300554120059E-2</v>
      </c>
    </row>
    <row r="1466" spans="1:23" x14ac:dyDescent="0.25">
      <c r="A1466" t="s">
        <v>3014</v>
      </c>
      <c r="B1466" t="s">
        <v>32</v>
      </c>
      <c r="C1466" t="s">
        <v>106</v>
      </c>
      <c r="D1466" t="s">
        <v>31</v>
      </c>
      <c r="E1466" t="s">
        <v>74</v>
      </c>
      <c r="F1466" s="1">
        <v>46213</v>
      </c>
      <c r="G1466">
        <v>46243</v>
      </c>
      <c r="H1466" t="s">
        <v>6</v>
      </c>
      <c r="I1466">
        <v>16570.330000000002</v>
      </c>
      <c r="J1466" t="s">
        <v>75</v>
      </c>
      <c r="K1466" t="s">
        <v>3015</v>
      </c>
      <c r="L1466">
        <v>30</v>
      </c>
      <c r="M1466" t="s">
        <v>32</v>
      </c>
      <c r="N1466">
        <v>1.143</v>
      </c>
      <c r="O1466">
        <v>1.3422582349832657</v>
      </c>
      <c r="P1466">
        <v>6.1777105177818611E-3</v>
      </c>
      <c r="Q1466">
        <v>1.143</v>
      </c>
      <c r="R1466">
        <v>18939.887190000001</v>
      </c>
      <c r="S1466" t="s">
        <v>21</v>
      </c>
      <c r="T1466">
        <v>1.101</v>
      </c>
      <c r="U1466">
        <v>18243.93333</v>
      </c>
      <c r="V1466">
        <v>695.95386000000144</v>
      </c>
      <c r="W1466">
        <v>3.8147138964577734E-2</v>
      </c>
    </row>
    <row r="1467" spans="1:23" x14ac:dyDescent="0.25">
      <c r="A1467" t="s">
        <v>3016</v>
      </c>
      <c r="B1467" t="s">
        <v>32</v>
      </c>
      <c r="C1467" t="s">
        <v>106</v>
      </c>
      <c r="D1467" t="s">
        <v>31</v>
      </c>
      <c r="E1467" t="s">
        <v>74</v>
      </c>
      <c r="F1467" s="1">
        <v>46212</v>
      </c>
      <c r="G1467">
        <v>46242</v>
      </c>
      <c r="H1467" t="s">
        <v>6</v>
      </c>
      <c r="I1467">
        <v>29757.119999999999</v>
      </c>
      <c r="J1467" t="s">
        <v>75</v>
      </c>
      <c r="K1467" t="s">
        <v>3017</v>
      </c>
      <c r="L1467">
        <v>30</v>
      </c>
      <c r="M1467" t="s">
        <v>32</v>
      </c>
      <c r="N1467">
        <v>1.1435</v>
      </c>
      <c r="O1467">
        <v>1.3395733514520343</v>
      </c>
      <c r="P1467">
        <v>6.1571182425156148E-3</v>
      </c>
      <c r="Q1467">
        <v>1.1435</v>
      </c>
      <c r="R1467">
        <v>34027.26672</v>
      </c>
      <c r="S1467" t="s">
        <v>21</v>
      </c>
      <c r="T1467">
        <v>1.101</v>
      </c>
      <c r="U1467">
        <v>32762.589119999997</v>
      </c>
      <c r="V1467">
        <v>1264.6776000000027</v>
      </c>
      <c r="W1467">
        <v>3.8601271571298904E-2</v>
      </c>
    </row>
    <row r="1468" spans="1:23" x14ac:dyDescent="0.25">
      <c r="A1468" t="s">
        <v>3018</v>
      </c>
      <c r="B1468" t="s">
        <v>28</v>
      </c>
      <c r="C1468" t="s">
        <v>111</v>
      </c>
      <c r="D1468" t="s">
        <v>31</v>
      </c>
      <c r="E1468" t="s">
        <v>74</v>
      </c>
      <c r="F1468" s="1">
        <v>45876</v>
      </c>
      <c r="G1468">
        <v>45921</v>
      </c>
      <c r="H1468" t="s">
        <v>9</v>
      </c>
      <c r="I1468">
        <v>3517180.07</v>
      </c>
      <c r="J1468" t="s">
        <v>75</v>
      </c>
      <c r="K1468" t="s">
        <v>3019</v>
      </c>
      <c r="L1468">
        <v>45</v>
      </c>
      <c r="M1468" t="s">
        <v>28</v>
      </c>
      <c r="N1468">
        <v>1.1642999999999999</v>
      </c>
      <c r="O1468">
        <v>1.3424420615703907</v>
      </c>
      <c r="P1468">
        <v>6.7849650349650348E-3</v>
      </c>
      <c r="Q1468">
        <v>6.7849650349650348E-3</v>
      </c>
      <c r="R1468">
        <v>23863.943796625874</v>
      </c>
      <c r="S1468" t="s">
        <v>13</v>
      </c>
      <c r="T1468">
        <v>6.8399999999999997E-3</v>
      </c>
      <c r="U1468">
        <v>24057.511678799998</v>
      </c>
      <c r="V1468">
        <v>-193.56788217412395</v>
      </c>
      <c r="W1468">
        <v>-8.0460475197316507E-3</v>
      </c>
    </row>
    <row r="1469" spans="1:23" x14ac:dyDescent="0.25">
      <c r="A1469" t="s">
        <v>3020</v>
      </c>
      <c r="B1469" t="s">
        <v>42</v>
      </c>
      <c r="C1469" t="s">
        <v>151</v>
      </c>
      <c r="D1469" t="s">
        <v>35</v>
      </c>
      <c r="E1469" t="s">
        <v>152</v>
      </c>
      <c r="F1469" s="1">
        <v>46304</v>
      </c>
      <c r="G1469">
        <v>46334</v>
      </c>
      <c r="H1469" t="s">
        <v>8</v>
      </c>
      <c r="I1469">
        <v>11411.72</v>
      </c>
      <c r="J1469" t="s">
        <v>84</v>
      </c>
      <c r="K1469" t="s">
        <v>3021</v>
      </c>
      <c r="L1469">
        <v>30</v>
      </c>
      <c r="M1469" t="s">
        <v>42</v>
      </c>
      <c r="N1469">
        <v>1.1176999999999999</v>
      </c>
      <c r="O1469">
        <v>1.320456022210408</v>
      </c>
      <c r="P1469">
        <v>6.3200452360757699E-3</v>
      </c>
      <c r="Q1469">
        <v>1.320456022210408</v>
      </c>
      <c r="R1469">
        <v>15068.674397778957</v>
      </c>
      <c r="S1469" t="s">
        <v>23</v>
      </c>
      <c r="T1469">
        <v>1.3149999999999999</v>
      </c>
      <c r="U1469">
        <v>15006.411799999998</v>
      </c>
      <c r="V1469">
        <v>62.262597778959389</v>
      </c>
      <c r="W1469">
        <v>4.1490663197020486E-3</v>
      </c>
    </row>
    <row r="1470" spans="1:23" x14ac:dyDescent="0.25">
      <c r="A1470" t="s">
        <v>3022</v>
      </c>
      <c r="B1470" t="s">
        <v>30</v>
      </c>
      <c r="C1470" t="s">
        <v>103</v>
      </c>
      <c r="D1470" t="s">
        <v>31</v>
      </c>
      <c r="E1470" t="s">
        <v>74</v>
      </c>
      <c r="F1470" s="1">
        <v>45924</v>
      </c>
      <c r="G1470">
        <v>45954</v>
      </c>
      <c r="H1470" t="s">
        <v>9</v>
      </c>
      <c r="I1470">
        <v>995461.14</v>
      </c>
      <c r="J1470" t="s">
        <v>75</v>
      </c>
      <c r="K1470" t="s">
        <v>3023</v>
      </c>
      <c r="L1470">
        <v>30</v>
      </c>
      <c r="M1470" t="s">
        <v>30</v>
      </c>
      <c r="N1470">
        <v>1.1756</v>
      </c>
      <c r="O1470">
        <v>1.3464666132172718</v>
      </c>
      <c r="P1470">
        <v>6.7365767004756178E-3</v>
      </c>
      <c r="Q1470">
        <v>6.7365767004756178E-3</v>
      </c>
      <c r="R1470">
        <v>6706.0003219528971</v>
      </c>
      <c r="S1470" t="s">
        <v>13</v>
      </c>
      <c r="T1470">
        <v>6.8399999999999997E-3</v>
      </c>
      <c r="U1470">
        <v>6808.9541976</v>
      </c>
      <c r="V1470">
        <v>-102.9538756471029</v>
      </c>
      <c r="W1470">
        <v>-1.5120365427541249E-2</v>
      </c>
    </row>
    <row r="1471" spans="1:23" x14ac:dyDescent="0.25">
      <c r="A1471" t="s">
        <v>3024</v>
      </c>
      <c r="B1471" t="s">
        <v>38</v>
      </c>
      <c r="C1471" t="s">
        <v>87</v>
      </c>
      <c r="D1471" t="s">
        <v>33</v>
      </c>
      <c r="E1471" t="s">
        <v>88</v>
      </c>
      <c r="F1471" s="1">
        <v>46215</v>
      </c>
      <c r="G1471">
        <v>46245</v>
      </c>
      <c r="H1471" t="s">
        <v>6</v>
      </c>
      <c r="I1471">
        <v>4515.47</v>
      </c>
      <c r="J1471" t="s">
        <v>75</v>
      </c>
      <c r="K1471" t="s">
        <v>3025</v>
      </c>
      <c r="L1471">
        <v>30</v>
      </c>
      <c r="M1471" t="s">
        <v>38</v>
      </c>
      <c r="N1471">
        <v>1.143</v>
      </c>
      <c r="O1471">
        <v>1.3422582349832657</v>
      </c>
      <c r="P1471">
        <v>6.1777105177818611E-3</v>
      </c>
      <c r="Q1471">
        <v>1.143</v>
      </c>
      <c r="R1471">
        <v>5161.1822099999999</v>
      </c>
      <c r="S1471" t="s">
        <v>21</v>
      </c>
      <c r="T1471">
        <v>1.101</v>
      </c>
      <c r="U1471">
        <v>4971.5324700000001</v>
      </c>
      <c r="V1471">
        <v>189.64973999999984</v>
      </c>
      <c r="W1471">
        <v>3.8147138964577623E-2</v>
      </c>
    </row>
    <row r="1472" spans="1:23" x14ac:dyDescent="0.25">
      <c r="A1472" t="s">
        <v>3026</v>
      </c>
      <c r="B1472" t="s">
        <v>40</v>
      </c>
      <c r="C1472" t="s">
        <v>78</v>
      </c>
      <c r="D1472" t="s">
        <v>33</v>
      </c>
      <c r="E1472" t="s">
        <v>79</v>
      </c>
      <c r="F1472" s="1">
        <v>46014</v>
      </c>
      <c r="G1472">
        <v>46044</v>
      </c>
      <c r="H1472" t="s">
        <v>9</v>
      </c>
      <c r="I1472">
        <v>1409433.31</v>
      </c>
      <c r="J1472" t="s">
        <v>75</v>
      </c>
      <c r="K1472" t="s">
        <v>3027</v>
      </c>
      <c r="L1472">
        <v>30</v>
      </c>
      <c r="M1472" t="s">
        <v>40</v>
      </c>
      <c r="N1472">
        <v>1.1786000000000001</v>
      </c>
      <c r="O1472">
        <v>1.3502119372207584</v>
      </c>
      <c r="P1472">
        <v>6.4092664092664101E-3</v>
      </c>
      <c r="Q1472">
        <v>6.4092664092664101E-3</v>
      </c>
      <c r="R1472">
        <v>9033.4335698841714</v>
      </c>
      <c r="S1472" t="s">
        <v>14</v>
      </c>
      <c r="T1472">
        <v>6.9800000000000001E-3</v>
      </c>
      <c r="U1472">
        <v>9837.8445038000009</v>
      </c>
      <c r="V1472">
        <v>-804.41093391582945</v>
      </c>
      <c r="W1472">
        <v>-8.1766990076445584E-2</v>
      </c>
    </row>
    <row r="1473" spans="1:23" x14ac:dyDescent="0.25">
      <c r="A1473" t="s">
        <v>3028</v>
      </c>
      <c r="B1473" t="s">
        <v>28</v>
      </c>
      <c r="C1473" t="s">
        <v>111</v>
      </c>
      <c r="D1473" t="s">
        <v>31</v>
      </c>
      <c r="E1473" t="s">
        <v>74</v>
      </c>
      <c r="F1473" s="1">
        <v>46111</v>
      </c>
      <c r="G1473">
        <v>46156</v>
      </c>
      <c r="H1473" t="s">
        <v>9</v>
      </c>
      <c r="I1473">
        <v>2562853.7599999998</v>
      </c>
      <c r="J1473" t="s">
        <v>75</v>
      </c>
      <c r="K1473" t="s">
        <v>3029</v>
      </c>
      <c r="L1473">
        <v>45</v>
      </c>
      <c r="M1473" t="s">
        <v>28</v>
      </c>
      <c r="N1473">
        <v>1.1484000000000001</v>
      </c>
      <c r="O1473">
        <v>1.3229957489948505</v>
      </c>
      <c r="P1473">
        <v>6.2712975098296198E-3</v>
      </c>
      <c r="Q1473">
        <v>6.2712975098296198E-3</v>
      </c>
      <c r="R1473">
        <v>16072.418403145477</v>
      </c>
      <c r="S1473" t="s">
        <v>16</v>
      </c>
      <c r="T1473">
        <v>6.4599999999999996E-3</v>
      </c>
      <c r="U1473">
        <v>16556.035289599997</v>
      </c>
      <c r="V1473">
        <v>-483.61688645451977</v>
      </c>
      <c r="W1473">
        <v>-2.9210911791080402E-2</v>
      </c>
    </row>
    <row r="1474" spans="1:23" x14ac:dyDescent="0.25">
      <c r="A1474" t="s">
        <v>3030</v>
      </c>
      <c r="B1474" t="s">
        <v>20</v>
      </c>
      <c r="C1474" t="s">
        <v>123</v>
      </c>
      <c r="D1474" t="s">
        <v>31</v>
      </c>
      <c r="E1474" t="s">
        <v>124</v>
      </c>
      <c r="F1474" s="1">
        <v>45857</v>
      </c>
      <c r="G1474">
        <v>45902</v>
      </c>
      <c r="H1474" t="s">
        <v>6</v>
      </c>
      <c r="I1474">
        <v>49818.57</v>
      </c>
      <c r="J1474" t="s">
        <v>75</v>
      </c>
      <c r="K1474" t="s">
        <v>3031</v>
      </c>
      <c r="L1474">
        <v>45</v>
      </c>
      <c r="M1474" t="s">
        <v>20</v>
      </c>
      <c r="N1474">
        <v>1.1655</v>
      </c>
      <c r="O1474">
        <v>1.3410424577148774</v>
      </c>
      <c r="P1474">
        <v>6.6330886119173637E-3</v>
      </c>
      <c r="Q1474">
        <v>1.1655</v>
      </c>
      <c r="R1474">
        <v>58063.543335000002</v>
      </c>
      <c r="S1474" t="s">
        <v>13</v>
      </c>
      <c r="T1474">
        <v>1.0880000000000001</v>
      </c>
      <c r="U1474">
        <v>54202.604160000003</v>
      </c>
      <c r="V1474">
        <v>3860.9391749999995</v>
      </c>
      <c r="W1474">
        <v>7.1231617647058806E-2</v>
      </c>
    </row>
    <row r="1475" spans="1:23" x14ac:dyDescent="0.25">
      <c r="A1475" t="s">
        <v>3032</v>
      </c>
      <c r="B1475" t="s">
        <v>41</v>
      </c>
      <c r="C1475" t="s">
        <v>172</v>
      </c>
      <c r="D1475" t="s">
        <v>33</v>
      </c>
      <c r="E1475" t="s">
        <v>83</v>
      </c>
      <c r="F1475" s="1">
        <v>46312</v>
      </c>
      <c r="G1475">
        <v>46342</v>
      </c>
      <c r="H1475" t="s">
        <v>9</v>
      </c>
      <c r="I1475">
        <v>443336.67</v>
      </c>
      <c r="J1475" t="s">
        <v>84</v>
      </c>
      <c r="K1475" t="s">
        <v>3033</v>
      </c>
      <c r="L1475">
        <v>30</v>
      </c>
      <c r="M1475" t="s">
        <v>41</v>
      </c>
      <c r="N1475">
        <v>1.1176999999999999</v>
      </c>
      <c r="O1475">
        <v>1.320456022210408</v>
      </c>
      <c r="P1475">
        <v>6.3200452360757699E-3</v>
      </c>
      <c r="Q1475">
        <v>6.3200452360757699E-3</v>
      </c>
      <c r="R1475">
        <v>2801.9078092111954</v>
      </c>
      <c r="S1475" t="s">
        <v>23</v>
      </c>
      <c r="T1475">
        <v>6.8799999999999998E-3</v>
      </c>
      <c r="U1475">
        <v>3050.1562896</v>
      </c>
      <c r="V1475">
        <v>-248.24848038880464</v>
      </c>
      <c r="W1475">
        <v>-8.1388773826196345E-2</v>
      </c>
    </row>
    <row r="1476" spans="1:23" x14ac:dyDescent="0.25">
      <c r="A1476" t="s">
        <v>3034</v>
      </c>
      <c r="B1476" t="s">
        <v>40</v>
      </c>
      <c r="C1476" t="s">
        <v>78</v>
      </c>
      <c r="D1476" t="s">
        <v>33</v>
      </c>
      <c r="E1476" t="s">
        <v>79</v>
      </c>
      <c r="F1476" s="1">
        <v>45816</v>
      </c>
      <c r="G1476">
        <v>45846</v>
      </c>
      <c r="H1476" t="s">
        <v>9</v>
      </c>
      <c r="I1476">
        <v>884547.13</v>
      </c>
      <c r="J1476" t="s">
        <v>75</v>
      </c>
      <c r="K1476" t="s">
        <v>3035</v>
      </c>
      <c r="L1476">
        <v>30</v>
      </c>
      <c r="M1476" t="s">
        <v>40</v>
      </c>
      <c r="N1476">
        <v>1.1608000000000001</v>
      </c>
      <c r="O1476">
        <v>1.3415000577834277</v>
      </c>
      <c r="P1476">
        <v>6.725376593279259E-3</v>
      </c>
      <c r="Q1476">
        <v>6.725376593279259E-3</v>
      </c>
      <c r="R1476">
        <v>5948.9125637543457</v>
      </c>
      <c r="S1476" t="s">
        <v>12</v>
      </c>
      <c r="T1476">
        <v>6.7000000000000002E-3</v>
      </c>
      <c r="U1476">
        <v>5926.4657710000001</v>
      </c>
      <c r="V1476">
        <v>22.446792754345552</v>
      </c>
      <c r="W1476">
        <v>3.7875512357102505E-3</v>
      </c>
    </row>
    <row r="1477" spans="1:23" x14ac:dyDescent="0.25">
      <c r="A1477" t="s">
        <v>3036</v>
      </c>
      <c r="B1477" t="s">
        <v>38</v>
      </c>
      <c r="C1477" t="s">
        <v>87</v>
      </c>
      <c r="D1477" t="s">
        <v>33</v>
      </c>
      <c r="E1477" t="s">
        <v>88</v>
      </c>
      <c r="F1477" s="1">
        <v>45730</v>
      </c>
      <c r="G1477">
        <v>45760</v>
      </c>
      <c r="H1477" t="s">
        <v>6</v>
      </c>
      <c r="I1477">
        <v>4066.62</v>
      </c>
      <c r="J1477" t="s">
        <v>75</v>
      </c>
      <c r="K1477" t="s">
        <v>3037</v>
      </c>
      <c r="L1477">
        <v>30</v>
      </c>
      <c r="M1477" t="s">
        <v>38</v>
      </c>
      <c r="N1477">
        <v>1.0889</v>
      </c>
      <c r="O1477">
        <v>1.2934915600536925</v>
      </c>
      <c r="P1477">
        <v>6.7265875957499381E-3</v>
      </c>
      <c r="Q1477">
        <v>1.0889</v>
      </c>
      <c r="R1477">
        <v>4428.1425179999997</v>
      </c>
      <c r="S1477" t="s">
        <v>11</v>
      </c>
      <c r="T1477">
        <v>1.052</v>
      </c>
      <c r="U1477">
        <v>4278.0842400000001</v>
      </c>
      <c r="V1477">
        <v>150.05827799999952</v>
      </c>
      <c r="W1477">
        <v>3.5076045627376311E-2</v>
      </c>
    </row>
    <row r="1478" spans="1:23" x14ac:dyDescent="0.25">
      <c r="A1478" t="s">
        <v>3038</v>
      </c>
      <c r="B1478" t="s">
        <v>34</v>
      </c>
      <c r="C1478" t="s">
        <v>177</v>
      </c>
      <c r="D1478" t="s">
        <v>31</v>
      </c>
      <c r="E1478" t="s">
        <v>74</v>
      </c>
      <c r="F1478" s="1">
        <v>46076</v>
      </c>
      <c r="G1478">
        <v>46136</v>
      </c>
      <c r="H1478" t="s">
        <v>8</v>
      </c>
      <c r="I1478">
        <v>20544.900000000001</v>
      </c>
      <c r="J1478" t="s">
        <v>75</v>
      </c>
      <c r="K1478" t="s">
        <v>3039</v>
      </c>
      <c r="L1478">
        <v>60</v>
      </c>
      <c r="M1478" t="s">
        <v>34</v>
      </c>
      <c r="N1478">
        <v>1.1783999999999999</v>
      </c>
      <c r="O1478">
        <v>1.3492099839706893</v>
      </c>
      <c r="P1478">
        <v>6.4591098443323829E-3</v>
      </c>
      <c r="Q1478">
        <v>1.3492099839706893</v>
      </c>
      <c r="R1478">
        <v>27719.384199679414</v>
      </c>
      <c r="S1478" t="s">
        <v>16</v>
      </c>
      <c r="T1478">
        <v>1.2490000000000001</v>
      </c>
      <c r="U1478">
        <v>25660.580100000003</v>
      </c>
      <c r="V1478">
        <v>2058.8040996794116</v>
      </c>
      <c r="W1478">
        <v>8.0232172914883215E-2</v>
      </c>
    </row>
    <row r="1479" spans="1:23" x14ac:dyDescent="0.25">
      <c r="A1479" t="s">
        <v>3040</v>
      </c>
      <c r="B1479" t="s">
        <v>28</v>
      </c>
      <c r="C1479" t="s">
        <v>111</v>
      </c>
      <c r="D1479" t="s">
        <v>31</v>
      </c>
      <c r="E1479" t="s">
        <v>74</v>
      </c>
      <c r="F1479" s="1">
        <v>46195</v>
      </c>
      <c r="G1479">
        <v>46240</v>
      </c>
      <c r="H1479" t="s">
        <v>9</v>
      </c>
      <c r="I1479">
        <v>1401192.49</v>
      </c>
      <c r="J1479" t="s">
        <v>75</v>
      </c>
      <c r="K1479" t="s">
        <v>3041</v>
      </c>
      <c r="L1479">
        <v>45</v>
      </c>
      <c r="M1479" t="s">
        <v>28</v>
      </c>
      <c r="N1479">
        <v>1.1456</v>
      </c>
      <c r="O1479">
        <v>1.3248831937826711</v>
      </c>
      <c r="P1479">
        <v>6.1814061403982082E-3</v>
      </c>
      <c r="Q1479">
        <v>6.1814061403982082E-3</v>
      </c>
      <c r="R1479">
        <v>8661.3398615658552</v>
      </c>
      <c r="S1479" t="s">
        <v>19</v>
      </c>
      <c r="T1479">
        <v>6.6E-3</v>
      </c>
      <c r="U1479">
        <v>9247.8704340000004</v>
      </c>
      <c r="V1479">
        <v>-586.53057243414514</v>
      </c>
      <c r="W1479">
        <v>-6.3423312060877549E-2</v>
      </c>
    </row>
    <row r="1480" spans="1:23" x14ac:dyDescent="0.25">
      <c r="A1480" t="s">
        <v>3042</v>
      </c>
      <c r="B1480" t="s">
        <v>30</v>
      </c>
      <c r="C1480" t="s">
        <v>103</v>
      </c>
      <c r="D1480" t="s">
        <v>31</v>
      </c>
      <c r="E1480" t="s">
        <v>74</v>
      </c>
      <c r="F1480" s="1">
        <v>45827</v>
      </c>
      <c r="G1480">
        <v>45857</v>
      </c>
      <c r="H1480" t="s">
        <v>9</v>
      </c>
      <c r="I1480">
        <v>3006666.84</v>
      </c>
      <c r="J1480" t="s">
        <v>75</v>
      </c>
      <c r="K1480" t="s">
        <v>3043</v>
      </c>
      <c r="L1480">
        <v>30</v>
      </c>
      <c r="M1480" t="s">
        <v>30</v>
      </c>
      <c r="N1480">
        <v>1.1477999999999999</v>
      </c>
      <c r="O1480">
        <v>1.3438707411310151</v>
      </c>
      <c r="P1480">
        <v>6.8648325358851674E-3</v>
      </c>
      <c r="Q1480">
        <v>6.8648325358851674E-3</v>
      </c>
      <c r="R1480">
        <v>20640.264347799042</v>
      </c>
      <c r="S1480" t="s">
        <v>12</v>
      </c>
      <c r="T1480">
        <v>6.7000000000000002E-3</v>
      </c>
      <c r="U1480">
        <v>20144.667828000001</v>
      </c>
      <c r="V1480">
        <v>495.59651979904083</v>
      </c>
      <c r="W1480">
        <v>2.4601871027636824E-2</v>
      </c>
    </row>
    <row r="1481" spans="1:23" x14ac:dyDescent="0.25">
      <c r="A1481" t="s">
        <v>3044</v>
      </c>
      <c r="B1481" t="s">
        <v>24</v>
      </c>
      <c r="C1481" t="s">
        <v>73</v>
      </c>
      <c r="D1481" t="s">
        <v>31</v>
      </c>
      <c r="E1481" t="s">
        <v>74</v>
      </c>
      <c r="F1481" s="1">
        <v>46114</v>
      </c>
      <c r="G1481">
        <v>46144</v>
      </c>
      <c r="H1481" t="s">
        <v>6</v>
      </c>
      <c r="I1481">
        <v>10824.2</v>
      </c>
      <c r="J1481" t="s">
        <v>75</v>
      </c>
      <c r="K1481" t="s">
        <v>3045</v>
      </c>
      <c r="L1481">
        <v>30</v>
      </c>
      <c r="M1481" t="s">
        <v>24</v>
      </c>
      <c r="N1481">
        <v>1.1525000000000001</v>
      </c>
      <c r="O1481">
        <v>1.3208714886594157</v>
      </c>
      <c r="P1481">
        <v>6.2656300967706864E-3</v>
      </c>
      <c r="Q1481">
        <v>1.1525000000000001</v>
      </c>
      <c r="R1481">
        <v>12474.890500000001</v>
      </c>
      <c r="S1481" t="s">
        <v>19</v>
      </c>
      <c r="T1481">
        <v>1.083</v>
      </c>
      <c r="U1481">
        <v>11722.6086</v>
      </c>
      <c r="V1481">
        <v>752.28190000000177</v>
      </c>
      <c r="W1481">
        <v>6.417359187442305E-2</v>
      </c>
    </row>
    <row r="1482" spans="1:23" x14ac:dyDescent="0.25">
      <c r="A1482" t="s">
        <v>3046</v>
      </c>
      <c r="B1482" t="s">
        <v>41</v>
      </c>
      <c r="C1482" t="s">
        <v>172</v>
      </c>
      <c r="D1482" t="s">
        <v>33</v>
      </c>
      <c r="E1482" t="s">
        <v>83</v>
      </c>
      <c r="F1482" s="1">
        <v>46117</v>
      </c>
      <c r="G1482">
        <v>46147</v>
      </c>
      <c r="H1482" t="s">
        <v>9</v>
      </c>
      <c r="I1482">
        <v>1988529.16</v>
      </c>
      <c r="J1482" t="s">
        <v>75</v>
      </c>
      <c r="K1482" t="s">
        <v>3047</v>
      </c>
      <c r="L1482">
        <v>30</v>
      </c>
      <c r="M1482" t="s">
        <v>41</v>
      </c>
      <c r="N1482">
        <v>1.1525000000000001</v>
      </c>
      <c r="O1482">
        <v>1.3208714886594157</v>
      </c>
      <c r="P1482">
        <v>6.2656300967706864E-3</v>
      </c>
      <c r="Q1482">
        <v>6.2656300967706864E-3</v>
      </c>
      <c r="R1482">
        <v>12459.388153202131</v>
      </c>
      <c r="S1482" t="s">
        <v>19</v>
      </c>
      <c r="T1482">
        <v>6.6E-3</v>
      </c>
      <c r="U1482">
        <v>13124.292455999999</v>
      </c>
      <c r="V1482">
        <v>-664.90430279786779</v>
      </c>
      <c r="W1482">
        <v>-5.0662106549895967E-2</v>
      </c>
    </row>
    <row r="1483" spans="1:23" x14ac:dyDescent="0.25">
      <c r="A1483" t="s">
        <v>3048</v>
      </c>
      <c r="B1483" t="s">
        <v>42</v>
      </c>
      <c r="C1483" t="s">
        <v>151</v>
      </c>
      <c r="D1483" t="s">
        <v>35</v>
      </c>
      <c r="E1483" t="s">
        <v>152</v>
      </c>
      <c r="F1483" s="1">
        <v>45830</v>
      </c>
      <c r="G1483">
        <v>45860</v>
      </c>
      <c r="H1483" t="s">
        <v>8</v>
      </c>
      <c r="I1483">
        <v>1793.48</v>
      </c>
      <c r="J1483" t="s">
        <v>75</v>
      </c>
      <c r="K1483" t="s">
        <v>3049</v>
      </c>
      <c r="L1483">
        <v>30</v>
      </c>
      <c r="M1483" t="s">
        <v>42</v>
      </c>
      <c r="N1483">
        <v>1.1685000000000001</v>
      </c>
      <c r="O1483">
        <v>1.3513357233722678</v>
      </c>
      <c r="P1483">
        <v>6.7590236001850998E-3</v>
      </c>
      <c r="Q1483">
        <v>1.3513357233722678</v>
      </c>
      <c r="R1483">
        <v>2423.5935931536951</v>
      </c>
      <c r="S1483" t="s">
        <v>12</v>
      </c>
      <c r="T1483">
        <v>1.26</v>
      </c>
      <c r="U1483">
        <v>2259.7847999999999</v>
      </c>
      <c r="V1483">
        <v>163.80879315369521</v>
      </c>
      <c r="W1483">
        <v>7.2488669343069842E-2</v>
      </c>
    </row>
    <row r="1484" spans="1:23" x14ac:dyDescent="0.25">
      <c r="A1484" t="s">
        <v>3050</v>
      </c>
      <c r="B1484" t="s">
        <v>24</v>
      </c>
      <c r="C1484" t="s">
        <v>73</v>
      </c>
      <c r="D1484" t="s">
        <v>31</v>
      </c>
      <c r="E1484" t="s">
        <v>74</v>
      </c>
      <c r="F1484" s="1">
        <v>45801</v>
      </c>
      <c r="G1484">
        <v>45831</v>
      </c>
      <c r="H1484" t="s">
        <v>6</v>
      </c>
      <c r="I1484">
        <v>42954.65</v>
      </c>
      <c r="J1484" t="s">
        <v>75</v>
      </c>
      <c r="K1484" t="s">
        <v>3051</v>
      </c>
      <c r="L1484">
        <v>30</v>
      </c>
      <c r="M1484" t="s">
        <v>24</v>
      </c>
      <c r="N1484">
        <v>1.1404000000000001</v>
      </c>
      <c r="O1484">
        <v>1.3160992498557416</v>
      </c>
      <c r="P1484">
        <v>6.6453003904201387E-3</v>
      </c>
      <c r="Q1484">
        <v>1.1404000000000001</v>
      </c>
      <c r="R1484">
        <v>48985.482860000004</v>
      </c>
      <c r="S1484" t="s">
        <v>12</v>
      </c>
      <c r="T1484">
        <v>1.07</v>
      </c>
      <c r="U1484">
        <v>45961.475500000008</v>
      </c>
      <c r="V1484">
        <v>3024.007359999996</v>
      </c>
      <c r="W1484">
        <v>6.5794392523364387E-2</v>
      </c>
    </row>
    <row r="1485" spans="1:23" x14ac:dyDescent="0.25">
      <c r="A1485" t="s">
        <v>3052</v>
      </c>
      <c r="B1485" t="s">
        <v>30</v>
      </c>
      <c r="C1485" t="s">
        <v>103</v>
      </c>
      <c r="D1485" t="s">
        <v>31</v>
      </c>
      <c r="E1485" t="s">
        <v>74</v>
      </c>
      <c r="F1485" s="1">
        <v>45703</v>
      </c>
      <c r="G1485">
        <v>45733</v>
      </c>
      <c r="H1485" t="s">
        <v>9</v>
      </c>
      <c r="I1485">
        <v>1202482.6100000001</v>
      </c>
      <c r="J1485" t="s">
        <v>75</v>
      </c>
      <c r="K1485" t="s">
        <v>3053</v>
      </c>
      <c r="L1485">
        <v>30</v>
      </c>
      <c r="M1485" t="s">
        <v>30</v>
      </c>
      <c r="N1485">
        <v>1.083</v>
      </c>
      <c r="O1485">
        <v>1.2927021413736304</v>
      </c>
      <c r="P1485">
        <v>6.741782868525897E-3</v>
      </c>
      <c r="Q1485">
        <v>6.741782868525897E-3</v>
      </c>
      <c r="R1485">
        <v>8106.8766597983085</v>
      </c>
      <c r="S1485" t="s">
        <v>11</v>
      </c>
      <c r="T1485">
        <v>6.5599999999999999E-3</v>
      </c>
      <c r="U1485">
        <v>7888.2859216000006</v>
      </c>
      <c r="V1485">
        <v>218.59073819830792</v>
      </c>
      <c r="W1485">
        <v>2.7710803128947768E-2</v>
      </c>
    </row>
    <row r="1486" spans="1:23" x14ac:dyDescent="0.25">
      <c r="A1486" t="s">
        <v>3054</v>
      </c>
      <c r="B1486" t="s">
        <v>37</v>
      </c>
      <c r="C1486" t="s">
        <v>91</v>
      </c>
      <c r="D1486" t="s">
        <v>31</v>
      </c>
      <c r="E1486" t="s">
        <v>74</v>
      </c>
      <c r="F1486" s="1">
        <v>45903</v>
      </c>
      <c r="G1486">
        <v>45933</v>
      </c>
      <c r="H1486" t="s">
        <v>6</v>
      </c>
      <c r="I1486">
        <v>2877.21</v>
      </c>
      <c r="J1486" t="s">
        <v>75</v>
      </c>
      <c r="K1486" t="s">
        <v>3055</v>
      </c>
      <c r="L1486">
        <v>30</v>
      </c>
      <c r="M1486" t="s">
        <v>37</v>
      </c>
      <c r="N1486">
        <v>1.1653</v>
      </c>
      <c r="O1486">
        <v>1.3414297225739611</v>
      </c>
      <c r="P1486">
        <v>6.7292256164462674E-3</v>
      </c>
      <c r="Q1486">
        <v>1.1653</v>
      </c>
      <c r="R1486">
        <v>3352.812813</v>
      </c>
      <c r="S1486" t="s">
        <v>13</v>
      </c>
      <c r="T1486">
        <v>1.0880000000000001</v>
      </c>
      <c r="U1486">
        <v>3130.4044800000001</v>
      </c>
      <c r="V1486">
        <v>222.40833299999986</v>
      </c>
      <c r="W1486">
        <v>7.1047794117647015E-2</v>
      </c>
    </row>
    <row r="1487" spans="1:23" x14ac:dyDescent="0.25">
      <c r="A1487" t="s">
        <v>3056</v>
      </c>
      <c r="B1487" t="s">
        <v>30</v>
      </c>
      <c r="C1487" t="s">
        <v>103</v>
      </c>
      <c r="D1487" t="s">
        <v>31</v>
      </c>
      <c r="E1487" t="s">
        <v>74</v>
      </c>
      <c r="F1487" s="1">
        <v>46060</v>
      </c>
      <c r="G1487">
        <v>46090</v>
      </c>
      <c r="H1487" t="s">
        <v>9</v>
      </c>
      <c r="I1487">
        <v>3075447.86</v>
      </c>
      <c r="J1487" t="s">
        <v>75</v>
      </c>
      <c r="K1487" t="s">
        <v>3057</v>
      </c>
      <c r="L1487">
        <v>30</v>
      </c>
      <c r="M1487" t="s">
        <v>30</v>
      </c>
      <c r="N1487">
        <v>1.1555</v>
      </c>
      <c r="O1487">
        <v>1.3367963164349013</v>
      </c>
      <c r="P1487">
        <v>6.2983756677204832E-3</v>
      </c>
      <c r="Q1487">
        <v>6.2983756677204832E-3</v>
      </c>
      <c r="R1487">
        <v>19370.325968767029</v>
      </c>
      <c r="S1487" t="s">
        <v>16</v>
      </c>
      <c r="T1487">
        <v>6.4599999999999996E-3</v>
      </c>
      <c r="U1487">
        <v>19867.393175599998</v>
      </c>
      <c r="V1487">
        <v>-497.06720683296953</v>
      </c>
      <c r="W1487">
        <v>-2.5019246482897373E-2</v>
      </c>
    </row>
    <row r="1488" spans="1:23" x14ac:dyDescent="0.25">
      <c r="A1488" t="s">
        <v>3058</v>
      </c>
      <c r="B1488" t="s">
        <v>39</v>
      </c>
      <c r="C1488" t="s">
        <v>82</v>
      </c>
      <c r="D1488" t="s">
        <v>33</v>
      </c>
      <c r="E1488" t="s">
        <v>83</v>
      </c>
      <c r="F1488" s="1">
        <v>45884</v>
      </c>
      <c r="G1488">
        <v>45929</v>
      </c>
      <c r="H1488" t="s">
        <v>8</v>
      </c>
      <c r="I1488">
        <v>14300.54</v>
      </c>
      <c r="J1488" t="s">
        <v>75</v>
      </c>
      <c r="K1488" t="s">
        <v>3059</v>
      </c>
      <c r="L1488">
        <v>45</v>
      </c>
      <c r="M1488" t="s">
        <v>39</v>
      </c>
      <c r="N1488">
        <v>1.1688000000000001</v>
      </c>
      <c r="O1488">
        <v>1.3556019485038275</v>
      </c>
      <c r="P1488">
        <v>6.8028636284267509E-3</v>
      </c>
      <c r="Q1488">
        <v>1.3556019485038275</v>
      </c>
      <c r="R1488">
        <v>19385.839888656927</v>
      </c>
      <c r="S1488" t="s">
        <v>13</v>
      </c>
      <c r="T1488">
        <v>1.282</v>
      </c>
      <c r="U1488">
        <v>18333.292280000001</v>
      </c>
      <c r="V1488">
        <v>1052.5476086569251</v>
      </c>
      <c r="W1488">
        <v>5.7411816305637658E-2</v>
      </c>
    </row>
    <row r="1489" spans="1:23" x14ac:dyDescent="0.25">
      <c r="A1489" t="s">
        <v>3060</v>
      </c>
      <c r="B1489" t="s">
        <v>38</v>
      </c>
      <c r="C1489" t="s">
        <v>87</v>
      </c>
      <c r="D1489" t="s">
        <v>33</v>
      </c>
      <c r="E1489" t="s">
        <v>88</v>
      </c>
      <c r="F1489" s="1">
        <v>45908</v>
      </c>
      <c r="G1489">
        <v>45938</v>
      </c>
      <c r="H1489" t="s">
        <v>6</v>
      </c>
      <c r="I1489">
        <v>11713.8</v>
      </c>
      <c r="J1489" t="s">
        <v>75</v>
      </c>
      <c r="K1489" t="s">
        <v>3061</v>
      </c>
      <c r="L1489">
        <v>30</v>
      </c>
      <c r="M1489" t="s">
        <v>38</v>
      </c>
      <c r="N1489">
        <v>1.1728000000000001</v>
      </c>
      <c r="O1489">
        <v>1.3528665359326335</v>
      </c>
      <c r="P1489">
        <v>6.7639425572409029E-3</v>
      </c>
      <c r="Q1489">
        <v>1.1728000000000001</v>
      </c>
      <c r="R1489">
        <v>13737.94464</v>
      </c>
      <c r="S1489" t="s">
        <v>13</v>
      </c>
      <c r="T1489">
        <v>1.0880000000000001</v>
      </c>
      <c r="U1489">
        <v>12744.6144</v>
      </c>
      <c r="V1489">
        <v>993.33023999999932</v>
      </c>
      <c r="W1489">
        <v>7.794117647058818E-2</v>
      </c>
    </row>
    <row r="1490" spans="1:23" x14ac:dyDescent="0.25">
      <c r="A1490" t="s">
        <v>3062</v>
      </c>
      <c r="B1490" t="s">
        <v>40</v>
      </c>
      <c r="C1490" t="s">
        <v>78</v>
      </c>
      <c r="D1490" t="s">
        <v>33</v>
      </c>
      <c r="E1490" t="s">
        <v>79</v>
      </c>
      <c r="F1490" s="1">
        <v>46203</v>
      </c>
      <c r="G1490">
        <v>46233</v>
      </c>
      <c r="H1490" t="s">
        <v>9</v>
      </c>
      <c r="I1490">
        <v>250092.87</v>
      </c>
      <c r="J1490" t="s">
        <v>75</v>
      </c>
      <c r="K1490" t="s">
        <v>3063</v>
      </c>
      <c r="L1490">
        <v>30</v>
      </c>
      <c r="M1490" t="s">
        <v>40</v>
      </c>
      <c r="N1490">
        <v>1.1394</v>
      </c>
      <c r="O1490">
        <v>1.3221471837359884</v>
      </c>
      <c r="P1490">
        <v>6.1562567538361781E-3</v>
      </c>
      <c r="Q1490">
        <v>6.1562567538361781E-3</v>
      </c>
      <c r="R1490">
        <v>1539.6359200237732</v>
      </c>
      <c r="S1490" t="s">
        <v>19</v>
      </c>
      <c r="T1490">
        <v>6.6E-3</v>
      </c>
      <c r="U1490">
        <v>1650.612942</v>
      </c>
      <c r="V1490">
        <v>-110.97702197622675</v>
      </c>
      <c r="W1490">
        <v>-6.7233825176336678E-2</v>
      </c>
    </row>
    <row r="1491" spans="1:23" x14ac:dyDescent="0.25">
      <c r="A1491" t="s">
        <v>3064</v>
      </c>
      <c r="B1491" t="s">
        <v>26</v>
      </c>
      <c r="C1491" t="s">
        <v>94</v>
      </c>
      <c r="D1491" t="s">
        <v>31</v>
      </c>
      <c r="E1491" t="s">
        <v>74</v>
      </c>
      <c r="F1491" s="1">
        <v>46328</v>
      </c>
      <c r="G1491">
        <v>46358</v>
      </c>
      <c r="H1491" t="s">
        <v>8</v>
      </c>
      <c r="I1491">
        <v>11312.33</v>
      </c>
      <c r="J1491" t="s">
        <v>84</v>
      </c>
      <c r="K1491" t="s">
        <v>3065</v>
      </c>
      <c r="L1491">
        <v>30</v>
      </c>
      <c r="M1491" t="s">
        <v>26</v>
      </c>
      <c r="N1491">
        <v>1.1176999999999999</v>
      </c>
      <c r="O1491">
        <v>1.320456022210408</v>
      </c>
      <c r="P1491">
        <v>6.3200452360757699E-3</v>
      </c>
      <c r="Q1491">
        <v>1.320456022210408</v>
      </c>
      <c r="R1491">
        <v>14937.434273731466</v>
      </c>
      <c r="S1491" t="s">
        <v>23</v>
      </c>
      <c r="T1491">
        <v>1.3149999999999999</v>
      </c>
      <c r="U1491">
        <v>14875.713949999999</v>
      </c>
      <c r="V1491">
        <v>61.720323731466124</v>
      </c>
      <c r="W1491">
        <v>4.1490663197019948E-3</v>
      </c>
    </row>
    <row r="1492" spans="1:23" x14ac:dyDescent="0.25">
      <c r="A1492" t="s">
        <v>3066</v>
      </c>
      <c r="B1492" t="s">
        <v>36</v>
      </c>
      <c r="C1492" t="s">
        <v>116</v>
      </c>
      <c r="D1492" t="s">
        <v>31</v>
      </c>
      <c r="E1492" t="s">
        <v>74</v>
      </c>
      <c r="F1492" s="1">
        <v>46169</v>
      </c>
      <c r="G1492">
        <v>46214</v>
      </c>
      <c r="H1492" t="s">
        <v>6</v>
      </c>
      <c r="I1492">
        <v>25734.78</v>
      </c>
      <c r="J1492" t="s">
        <v>75</v>
      </c>
      <c r="K1492" t="s">
        <v>3067</v>
      </c>
      <c r="L1492">
        <v>45</v>
      </c>
      <c r="M1492" t="s">
        <v>36</v>
      </c>
      <c r="N1492">
        <v>1.1637</v>
      </c>
      <c r="O1492">
        <v>1.3434851878362466</v>
      </c>
      <c r="P1492">
        <v>6.2726390685640355E-3</v>
      </c>
      <c r="Q1492">
        <v>1.1637</v>
      </c>
      <c r="R1492">
        <v>29947.563485999999</v>
      </c>
      <c r="S1492" t="s">
        <v>19</v>
      </c>
      <c r="T1492">
        <v>1.083</v>
      </c>
      <c r="U1492">
        <v>27870.766739999999</v>
      </c>
      <c r="V1492">
        <v>2076.796746</v>
      </c>
      <c r="W1492">
        <v>7.4515235457063719E-2</v>
      </c>
    </row>
    <row r="1493" spans="1:23" x14ac:dyDescent="0.25">
      <c r="A1493" t="s">
        <v>3068</v>
      </c>
      <c r="B1493" t="s">
        <v>24</v>
      </c>
      <c r="C1493" t="s">
        <v>73</v>
      </c>
      <c r="D1493" t="s">
        <v>31</v>
      </c>
      <c r="E1493" t="s">
        <v>74</v>
      </c>
      <c r="F1493" s="1">
        <v>46349</v>
      </c>
      <c r="G1493">
        <v>46379</v>
      </c>
      <c r="H1493" t="s">
        <v>6</v>
      </c>
      <c r="I1493">
        <v>10654.3</v>
      </c>
      <c r="J1493" t="s">
        <v>84</v>
      </c>
      <c r="K1493" t="s">
        <v>3069</v>
      </c>
      <c r="L1493">
        <v>30</v>
      </c>
      <c r="M1493" t="s">
        <v>24</v>
      </c>
      <c r="N1493">
        <v>1.1176999999999999</v>
      </c>
      <c r="O1493">
        <v>1.320456022210408</v>
      </c>
      <c r="P1493">
        <v>6.3200452360757699E-3</v>
      </c>
      <c r="Q1493">
        <v>1.1176999999999999</v>
      </c>
      <c r="R1493">
        <v>11908.311109999999</v>
      </c>
      <c r="S1493" t="s">
        <v>23</v>
      </c>
      <c r="T1493">
        <v>1.119</v>
      </c>
      <c r="U1493">
        <v>11922.161699999999</v>
      </c>
      <c r="V1493">
        <v>-13.850590000000011</v>
      </c>
      <c r="W1493">
        <v>-1.1617515638963371E-3</v>
      </c>
    </row>
    <row r="1494" spans="1:23" x14ac:dyDescent="0.25">
      <c r="A1494" t="s">
        <v>3070</v>
      </c>
      <c r="B1494" t="s">
        <v>42</v>
      </c>
      <c r="C1494" t="s">
        <v>151</v>
      </c>
      <c r="D1494" t="s">
        <v>35</v>
      </c>
      <c r="E1494" t="s">
        <v>152</v>
      </c>
      <c r="F1494" s="1">
        <v>46248</v>
      </c>
      <c r="G1494">
        <v>46278</v>
      </c>
      <c r="H1494" t="s">
        <v>8</v>
      </c>
      <c r="I1494">
        <v>1873.06</v>
      </c>
      <c r="J1494" t="s">
        <v>75</v>
      </c>
      <c r="K1494" t="s">
        <v>3071</v>
      </c>
      <c r="L1494">
        <v>30</v>
      </c>
      <c r="M1494" t="s">
        <v>42</v>
      </c>
      <c r="N1494">
        <v>1.1567000000000001</v>
      </c>
      <c r="O1494">
        <v>1.3536571094207139</v>
      </c>
      <c r="P1494">
        <v>6.2888055238405913E-3</v>
      </c>
      <c r="Q1494">
        <v>1.3536571094207139</v>
      </c>
      <c r="R1494">
        <v>2535.4809853715624</v>
      </c>
      <c r="S1494" t="s">
        <v>21</v>
      </c>
      <c r="T1494">
        <v>1.2929999999999999</v>
      </c>
      <c r="U1494">
        <v>2421.8665799999999</v>
      </c>
      <c r="V1494">
        <v>113.6144053715625</v>
      </c>
      <c r="W1494">
        <v>4.6911917572091233E-2</v>
      </c>
    </row>
    <row r="1495" spans="1:23" x14ac:dyDescent="0.25">
      <c r="A1495" t="s">
        <v>3072</v>
      </c>
      <c r="B1495" t="s">
        <v>30</v>
      </c>
      <c r="C1495" t="s">
        <v>103</v>
      </c>
      <c r="D1495" t="s">
        <v>31</v>
      </c>
      <c r="E1495" t="s">
        <v>74</v>
      </c>
      <c r="F1495" s="1">
        <v>46251</v>
      </c>
      <c r="G1495">
        <v>46281</v>
      </c>
      <c r="H1495" t="s">
        <v>9</v>
      </c>
      <c r="I1495">
        <v>3270909.62</v>
      </c>
      <c r="J1495" t="s">
        <v>75</v>
      </c>
      <c r="K1495" t="s">
        <v>3073</v>
      </c>
      <c r="L1495">
        <v>30</v>
      </c>
      <c r="M1495" t="s">
        <v>30</v>
      </c>
      <c r="N1495">
        <v>1.1593</v>
      </c>
      <c r="O1495">
        <v>1.3559064327485379</v>
      </c>
      <c r="P1495">
        <v>6.2804052223847445E-3</v>
      </c>
      <c r="Q1495">
        <v>6.2804052223847445E-3</v>
      </c>
      <c r="R1495">
        <v>20542.637859396502</v>
      </c>
      <c r="S1495" t="s">
        <v>21</v>
      </c>
      <c r="T1495">
        <v>6.7400000000000003E-3</v>
      </c>
      <c r="U1495">
        <v>22045.930838800003</v>
      </c>
      <c r="V1495">
        <v>-1503.2929794035008</v>
      </c>
      <c r="W1495">
        <v>-6.8189136144696696E-2</v>
      </c>
    </row>
    <row r="1496" spans="1:23" x14ac:dyDescent="0.25">
      <c r="A1496" t="s">
        <v>3074</v>
      </c>
      <c r="B1496" t="s">
        <v>20</v>
      </c>
      <c r="C1496" t="s">
        <v>123</v>
      </c>
      <c r="D1496" t="s">
        <v>31</v>
      </c>
      <c r="E1496" t="s">
        <v>124</v>
      </c>
      <c r="F1496" s="1">
        <v>45923</v>
      </c>
      <c r="G1496">
        <v>45968</v>
      </c>
      <c r="H1496" t="s">
        <v>6</v>
      </c>
      <c r="I1496">
        <v>75929.350000000006</v>
      </c>
      <c r="J1496" t="s">
        <v>75</v>
      </c>
      <c r="K1496" t="s">
        <v>3075</v>
      </c>
      <c r="L1496">
        <v>45</v>
      </c>
      <c r="M1496" t="s">
        <v>20</v>
      </c>
      <c r="N1496">
        <v>1.1793</v>
      </c>
      <c r="O1496">
        <v>1.3510138618398442</v>
      </c>
      <c r="P1496">
        <v>6.7659208261617899E-3</v>
      </c>
      <c r="Q1496">
        <v>1.1793</v>
      </c>
      <c r="R1496">
        <v>89543.482455000005</v>
      </c>
      <c r="S1496" t="s">
        <v>13</v>
      </c>
      <c r="T1496">
        <v>1.0880000000000001</v>
      </c>
      <c r="U1496">
        <v>82611.132800000007</v>
      </c>
      <c r="V1496">
        <v>6932.3496549999982</v>
      </c>
      <c r="W1496">
        <v>8.3915441176470554E-2</v>
      </c>
    </row>
    <row r="1497" spans="1:23" x14ac:dyDescent="0.25">
      <c r="A1497" t="s">
        <v>3076</v>
      </c>
      <c r="B1497" t="s">
        <v>20</v>
      </c>
      <c r="C1497" t="s">
        <v>123</v>
      </c>
      <c r="D1497" t="s">
        <v>31</v>
      </c>
      <c r="E1497" t="s">
        <v>124</v>
      </c>
      <c r="F1497" s="1">
        <v>46132</v>
      </c>
      <c r="G1497">
        <v>46177</v>
      </c>
      <c r="H1497" t="s">
        <v>6</v>
      </c>
      <c r="I1497">
        <v>38286.949999999997</v>
      </c>
      <c r="J1497" t="s">
        <v>75</v>
      </c>
      <c r="K1497" t="s">
        <v>3077</v>
      </c>
      <c r="L1497">
        <v>45</v>
      </c>
      <c r="M1497" t="s">
        <v>20</v>
      </c>
      <c r="N1497">
        <v>1.1759999999999999</v>
      </c>
      <c r="O1497">
        <v>1.3510253317249699</v>
      </c>
      <c r="P1497">
        <v>6.2928082191780824E-3</v>
      </c>
      <c r="Q1497">
        <v>1.1759999999999999</v>
      </c>
      <c r="R1497">
        <v>45025.453199999996</v>
      </c>
      <c r="S1497" t="s">
        <v>19</v>
      </c>
      <c r="T1497">
        <v>1.083</v>
      </c>
      <c r="U1497">
        <v>41464.766849999993</v>
      </c>
      <c r="V1497">
        <v>3560.6863500000036</v>
      </c>
      <c r="W1497">
        <v>8.5872576177285415E-2</v>
      </c>
    </row>
    <row r="1498" spans="1:23" x14ac:dyDescent="0.25">
      <c r="A1498" t="s">
        <v>3078</v>
      </c>
      <c r="B1498" t="s">
        <v>24</v>
      </c>
      <c r="C1498" t="s">
        <v>73</v>
      </c>
      <c r="D1498" t="s">
        <v>31</v>
      </c>
      <c r="E1498" t="s">
        <v>74</v>
      </c>
      <c r="F1498" s="1">
        <v>45955</v>
      </c>
      <c r="G1498">
        <v>45985</v>
      </c>
      <c r="H1498" t="s">
        <v>6</v>
      </c>
      <c r="I1498">
        <v>8072.58</v>
      </c>
      <c r="J1498" t="s">
        <v>75</v>
      </c>
      <c r="K1498" t="s">
        <v>3079</v>
      </c>
      <c r="L1498">
        <v>30</v>
      </c>
      <c r="M1498" t="s">
        <v>24</v>
      </c>
      <c r="N1498">
        <v>1.1640999999999999</v>
      </c>
      <c r="O1498">
        <v>1.345080593910682</v>
      </c>
      <c r="P1498">
        <v>6.3379974955082487E-3</v>
      </c>
      <c r="Q1498">
        <v>1.1640999999999999</v>
      </c>
      <c r="R1498">
        <v>9397.2903779999997</v>
      </c>
      <c r="S1498" t="s">
        <v>14</v>
      </c>
      <c r="T1498">
        <v>1.1060000000000001</v>
      </c>
      <c r="U1498">
        <v>8928.2734799999998</v>
      </c>
      <c r="V1498">
        <v>469.01689799999986</v>
      </c>
      <c r="W1498">
        <v>5.2531645569620235E-2</v>
      </c>
    </row>
    <row r="1499" spans="1:23" x14ac:dyDescent="0.25">
      <c r="A1499" t="s">
        <v>3080</v>
      </c>
      <c r="B1499" t="s">
        <v>39</v>
      </c>
      <c r="C1499" t="s">
        <v>82</v>
      </c>
      <c r="D1499" t="s">
        <v>33</v>
      </c>
      <c r="E1499" t="s">
        <v>83</v>
      </c>
      <c r="F1499" s="1">
        <v>46228</v>
      </c>
      <c r="G1499">
        <v>46273</v>
      </c>
      <c r="H1499" t="s">
        <v>8</v>
      </c>
      <c r="I1499">
        <v>1308.01</v>
      </c>
      <c r="J1499" t="s">
        <v>75</v>
      </c>
      <c r="K1499" t="s">
        <v>3081</v>
      </c>
      <c r="L1499">
        <v>45</v>
      </c>
      <c r="M1499" t="s">
        <v>39</v>
      </c>
      <c r="N1499">
        <v>1.1376999999999999</v>
      </c>
      <c r="O1499">
        <v>1.3323886260364455</v>
      </c>
      <c r="P1499">
        <v>6.1041957291554884E-3</v>
      </c>
      <c r="Q1499">
        <v>1.3323886260364455</v>
      </c>
      <c r="R1499">
        <v>1742.777646741931</v>
      </c>
      <c r="S1499" t="s">
        <v>21</v>
      </c>
      <c r="T1499">
        <v>1.2929999999999999</v>
      </c>
      <c r="U1499">
        <v>1691.2569299999998</v>
      </c>
      <c r="V1499">
        <v>51.52071674193121</v>
      </c>
      <c r="W1499">
        <v>3.0462974506145095E-2</v>
      </c>
    </row>
    <row r="1500" spans="1:23" x14ac:dyDescent="0.25">
      <c r="A1500" t="s">
        <v>3082</v>
      </c>
      <c r="B1500" t="s">
        <v>25</v>
      </c>
      <c r="C1500" t="s">
        <v>169</v>
      </c>
      <c r="D1500" t="s">
        <v>31</v>
      </c>
      <c r="E1500" t="s">
        <v>124</v>
      </c>
      <c r="F1500" s="1">
        <v>46142</v>
      </c>
      <c r="G1500">
        <v>46202</v>
      </c>
      <c r="H1500" t="s">
        <v>6</v>
      </c>
      <c r="I1500">
        <v>25029.56</v>
      </c>
      <c r="J1500" t="s">
        <v>75</v>
      </c>
      <c r="K1500" t="s">
        <v>3083</v>
      </c>
      <c r="L1500">
        <v>60</v>
      </c>
      <c r="M1500" t="s">
        <v>25</v>
      </c>
      <c r="N1500">
        <v>1.1701999999999999</v>
      </c>
      <c r="O1500">
        <v>1.3508802308802308</v>
      </c>
      <c r="P1500">
        <v>6.3872059385404719E-3</v>
      </c>
      <c r="Q1500">
        <v>1.1701999999999999</v>
      </c>
      <c r="R1500">
        <v>29289.591111999998</v>
      </c>
      <c r="S1500" t="s">
        <v>19</v>
      </c>
      <c r="T1500">
        <v>1.083</v>
      </c>
      <c r="U1500">
        <v>27107.013480000001</v>
      </c>
      <c r="V1500">
        <v>2182.5776319999968</v>
      </c>
      <c r="W1500">
        <v>8.0517082179131921E-2</v>
      </c>
    </row>
    <row r="1501" spans="1:23" x14ac:dyDescent="0.25">
      <c r="A1501" t="s">
        <v>3084</v>
      </c>
      <c r="B1501" t="s">
        <v>24</v>
      </c>
      <c r="C1501" t="s">
        <v>73</v>
      </c>
      <c r="D1501" t="s">
        <v>31</v>
      </c>
      <c r="E1501" t="s">
        <v>74</v>
      </c>
      <c r="F1501" s="1">
        <v>46143</v>
      </c>
      <c r="G1501">
        <v>46173</v>
      </c>
      <c r="H1501" t="s">
        <v>6</v>
      </c>
      <c r="I1501">
        <v>48002.75</v>
      </c>
      <c r="J1501" t="s">
        <v>75</v>
      </c>
      <c r="K1501" t="s">
        <v>3085</v>
      </c>
      <c r="L1501">
        <v>30</v>
      </c>
      <c r="M1501" t="s">
        <v>24</v>
      </c>
      <c r="N1501">
        <v>1.1701999999999999</v>
      </c>
      <c r="O1501">
        <v>1.3508802308802308</v>
      </c>
      <c r="P1501">
        <v>6.3872059385404719E-3</v>
      </c>
      <c r="Q1501">
        <v>1.1701999999999999</v>
      </c>
      <c r="R1501">
        <v>56172.818049999994</v>
      </c>
      <c r="S1501" t="s">
        <v>19</v>
      </c>
      <c r="T1501">
        <v>1.083</v>
      </c>
      <c r="U1501">
        <v>51986.97825</v>
      </c>
      <c r="V1501">
        <v>4185.8397999999943</v>
      </c>
      <c r="W1501">
        <v>8.0517082179131935E-2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3"/>
  <sheetViews>
    <sheetView workbookViewId="0"/>
  </sheetViews>
  <sheetFormatPr defaultRowHeight="15" x14ac:dyDescent="0.25"/>
  <cols>
    <col min="1" max="1" width="12.5703125" customWidth="1"/>
    <col min="2" max="3" width="14.42578125" customWidth="1"/>
    <col min="4" max="4" width="13.7109375" customWidth="1"/>
  </cols>
  <sheetData>
    <row r="1" spans="1:4" x14ac:dyDescent="0.25">
      <c r="A1" t="s">
        <v>3086</v>
      </c>
      <c r="B1" t="s">
        <v>62</v>
      </c>
      <c r="C1" t="s">
        <v>63</v>
      </c>
      <c r="D1" t="s">
        <v>64</v>
      </c>
    </row>
    <row r="2" spans="1:4" x14ac:dyDescent="0.25">
      <c r="A2">
        <v>45646</v>
      </c>
      <c r="B2">
        <v>1.0389999999999999</v>
      </c>
      <c r="C2">
        <v>1.252335322123787</v>
      </c>
      <c r="D2">
        <v>6.3785376634538649E-3</v>
      </c>
    </row>
    <row r="3" spans="1:4" x14ac:dyDescent="0.25">
      <c r="A3">
        <v>45647</v>
      </c>
      <c r="B3">
        <v>1.0389999999999999</v>
      </c>
      <c r="C3">
        <v>1.252335322123787</v>
      </c>
      <c r="D3">
        <v>6.3785376634538649E-3</v>
      </c>
    </row>
    <row r="4" spans="1:4" x14ac:dyDescent="0.25">
      <c r="A4">
        <v>45648</v>
      </c>
      <c r="B4">
        <v>1.0392999999999999</v>
      </c>
      <c r="C4">
        <v>1.2522441110910294</v>
      </c>
      <c r="D4">
        <v>6.3620225269343765E-3</v>
      </c>
    </row>
    <row r="5" spans="1:4" x14ac:dyDescent="0.25">
      <c r="A5">
        <v>45649</v>
      </c>
      <c r="B5">
        <v>1.0392999999999999</v>
      </c>
      <c r="C5">
        <v>1.2522441110910294</v>
      </c>
      <c r="D5">
        <v>6.3620225269343765E-3</v>
      </c>
    </row>
    <row r="6" spans="1:4" x14ac:dyDescent="0.25">
      <c r="A6">
        <v>45650</v>
      </c>
      <c r="B6">
        <v>1.0395000000000001</v>
      </c>
      <c r="C6">
        <v>1.2553589759072521</v>
      </c>
      <c r="D6">
        <v>6.3675344563552836E-3</v>
      </c>
    </row>
    <row r="7" spans="1:4" x14ac:dyDescent="0.25">
      <c r="A7">
        <v>45651</v>
      </c>
      <c r="B7">
        <v>1.0444</v>
      </c>
      <c r="C7">
        <v>1.2590717299578058</v>
      </c>
      <c r="D7">
        <v>6.3462356444066361E-3</v>
      </c>
    </row>
    <row r="8" spans="1:4" x14ac:dyDescent="0.25">
      <c r="A8">
        <v>45652</v>
      </c>
      <c r="B8">
        <v>1.0388999999999999</v>
      </c>
      <c r="C8">
        <v>1.2529245760872185</v>
      </c>
      <c r="D8">
        <v>6.3712743775297433E-3</v>
      </c>
    </row>
    <row r="9" spans="1:4" x14ac:dyDescent="0.25">
      <c r="A9">
        <v>45653</v>
      </c>
      <c r="B9">
        <v>1.0435000000000001</v>
      </c>
      <c r="C9">
        <v>1.2557462273460251</v>
      </c>
      <c r="D9">
        <v>6.3376860006073496E-3</v>
      </c>
    </row>
    <row r="10" spans="1:4" x14ac:dyDescent="0.25">
      <c r="A10">
        <v>45654</v>
      </c>
      <c r="B10">
        <v>1.0299</v>
      </c>
      <c r="C10">
        <v>1.240948031761715</v>
      </c>
      <c r="D10">
        <v>6.3664461890338133E-3</v>
      </c>
    </row>
    <row r="11" spans="1:4" x14ac:dyDescent="0.25">
      <c r="A11">
        <v>45655</v>
      </c>
      <c r="B11">
        <v>1.0426</v>
      </c>
      <c r="C11">
        <v>1.2546631687886591</v>
      </c>
      <c r="D11">
        <v>6.3865237366003058E-3</v>
      </c>
    </row>
    <row r="12" spans="1:4" x14ac:dyDescent="0.25">
      <c r="A12">
        <v>45656</v>
      </c>
      <c r="B12">
        <v>1.0444</v>
      </c>
      <c r="C12">
        <v>1.2590717299578058</v>
      </c>
      <c r="D12">
        <v>6.3462356444066361E-3</v>
      </c>
    </row>
    <row r="13" spans="1:4" x14ac:dyDescent="0.25">
      <c r="A13">
        <v>45657</v>
      </c>
      <c r="B13">
        <v>1.0388999999999999</v>
      </c>
      <c r="C13">
        <v>1.2529245760872185</v>
      </c>
      <c r="D13">
        <v>6.3712743775297433E-3</v>
      </c>
    </row>
    <row r="14" spans="1:4" x14ac:dyDescent="0.25">
      <c r="A14">
        <v>45658</v>
      </c>
      <c r="B14">
        <v>1.0305</v>
      </c>
      <c r="C14">
        <v>1.2295962199312713</v>
      </c>
      <c r="D14">
        <v>6.339197834645669E-3</v>
      </c>
    </row>
    <row r="15" spans="1:4" x14ac:dyDescent="0.25">
      <c r="A15">
        <v>45659</v>
      </c>
      <c r="B15">
        <v>1.0321</v>
      </c>
      <c r="C15">
        <v>1.2417286267715777</v>
      </c>
      <c r="D15">
        <v>6.3694149592693162E-3</v>
      </c>
    </row>
    <row r="16" spans="1:4" x14ac:dyDescent="0.25">
      <c r="A16">
        <v>45660</v>
      </c>
      <c r="B16">
        <v>1.0299</v>
      </c>
      <c r="C16">
        <v>1.240948031761715</v>
      </c>
      <c r="D16">
        <v>6.3664461890338133E-3</v>
      </c>
    </row>
    <row r="17" spans="1:4" x14ac:dyDescent="0.25">
      <c r="A17">
        <v>45661</v>
      </c>
      <c r="B17">
        <v>1.0245</v>
      </c>
      <c r="C17">
        <v>1.2154755125284737</v>
      </c>
      <c r="D17">
        <v>6.3385510115696346E-3</v>
      </c>
    </row>
    <row r="18" spans="1:4" x14ac:dyDescent="0.25">
      <c r="A18">
        <v>45662</v>
      </c>
      <c r="B18">
        <v>1.03</v>
      </c>
      <c r="C18">
        <v>1.2216384187491844</v>
      </c>
      <c r="D18">
        <v>6.3678516228748072E-3</v>
      </c>
    </row>
    <row r="19" spans="1:4" x14ac:dyDescent="0.25">
      <c r="A19">
        <v>45663</v>
      </c>
      <c r="B19">
        <v>1.0426</v>
      </c>
      <c r="C19">
        <v>1.2546631687886591</v>
      </c>
      <c r="D19">
        <v>6.3865237366003058E-3</v>
      </c>
    </row>
    <row r="20" spans="1:4" x14ac:dyDescent="0.25">
      <c r="A20">
        <v>45664</v>
      </c>
      <c r="B20">
        <v>1.0392999999999999</v>
      </c>
      <c r="C20">
        <v>1.2534523307001144</v>
      </c>
      <c r="D20">
        <v>6.3426095447333079E-3</v>
      </c>
    </row>
    <row r="21" spans="1:4" x14ac:dyDescent="0.25">
      <c r="A21">
        <v>45665</v>
      </c>
      <c r="B21">
        <v>1.0286</v>
      </c>
      <c r="C21">
        <v>1.2332889704207282</v>
      </c>
      <c r="D21">
        <v>6.3127531606726401E-3</v>
      </c>
    </row>
    <row r="22" spans="1:4" x14ac:dyDescent="0.25">
      <c r="A22">
        <v>45666</v>
      </c>
      <c r="B22">
        <v>1.0305</v>
      </c>
      <c r="C22">
        <v>1.2295962199312713</v>
      </c>
      <c r="D22">
        <v>6.339197834645669E-3</v>
      </c>
    </row>
    <row r="23" spans="1:4" x14ac:dyDescent="0.25">
      <c r="A23">
        <v>45667</v>
      </c>
      <c r="B23">
        <v>1.0304</v>
      </c>
      <c r="C23">
        <v>1.2311662863082935</v>
      </c>
      <c r="D23">
        <v>6.3269065454992016E-3</v>
      </c>
    </row>
    <row r="24" spans="1:4" x14ac:dyDescent="0.25">
      <c r="A24">
        <v>45668</v>
      </c>
      <c r="B24">
        <v>1.0404</v>
      </c>
      <c r="C24">
        <v>1.2317090495809064</v>
      </c>
      <c r="D24">
        <v>6.3993111083774134E-3</v>
      </c>
    </row>
    <row r="25" spans="1:4" x14ac:dyDescent="0.25">
      <c r="A25">
        <v>45669</v>
      </c>
      <c r="B25">
        <v>1.0471999999999999</v>
      </c>
      <c r="C25">
        <v>1.2405672112115431</v>
      </c>
      <c r="D25">
        <v>6.3892617449664421E-3</v>
      </c>
    </row>
    <row r="26" spans="1:4" x14ac:dyDescent="0.25">
      <c r="A26">
        <v>45670</v>
      </c>
      <c r="B26">
        <v>1.0198</v>
      </c>
      <c r="C26">
        <v>1.2117395437262357</v>
      </c>
      <c r="D26">
        <v>6.3649981275745856E-3</v>
      </c>
    </row>
    <row r="27" spans="1:4" x14ac:dyDescent="0.25">
      <c r="A27">
        <v>45671</v>
      </c>
      <c r="B27">
        <v>1.0245</v>
      </c>
      <c r="C27">
        <v>1.2154755125284737</v>
      </c>
      <c r="D27">
        <v>6.3385510115696346E-3</v>
      </c>
    </row>
    <row r="28" spans="1:4" x14ac:dyDescent="0.25">
      <c r="A28">
        <v>45672</v>
      </c>
      <c r="B28">
        <v>1.03</v>
      </c>
      <c r="C28">
        <v>1.2216384187491844</v>
      </c>
      <c r="D28">
        <v>6.3678516228748072E-3</v>
      </c>
    </row>
    <row r="29" spans="1:4" x14ac:dyDescent="0.25">
      <c r="A29">
        <v>45673</v>
      </c>
      <c r="B29">
        <v>1.0271999999999999</v>
      </c>
      <c r="C29">
        <v>1.2191127252011678</v>
      </c>
      <c r="D29">
        <v>6.4015954131870865E-3</v>
      </c>
    </row>
    <row r="30" spans="1:4" x14ac:dyDescent="0.25">
      <c r="A30">
        <v>45674</v>
      </c>
      <c r="B30">
        <v>1.0298</v>
      </c>
      <c r="C30">
        <v>1.2193764579115012</v>
      </c>
      <c r="D30">
        <v>6.4270111714410539E-3</v>
      </c>
    </row>
    <row r="31" spans="1:4" x14ac:dyDescent="0.25">
      <c r="A31">
        <v>45675</v>
      </c>
      <c r="B31">
        <v>1.0274000000000001</v>
      </c>
      <c r="C31">
        <v>1.2358063895304081</v>
      </c>
      <c r="D31">
        <v>6.4669226411531444E-3</v>
      </c>
    </row>
    <row r="32" spans="1:4" x14ac:dyDescent="0.25">
      <c r="A32">
        <v>45676</v>
      </c>
      <c r="B32">
        <v>1.0335000000000001</v>
      </c>
      <c r="C32">
        <v>1.2423666875030055</v>
      </c>
      <c r="D32">
        <v>6.4384500373785196E-3</v>
      </c>
    </row>
    <row r="33" spans="1:4" x14ac:dyDescent="0.25">
      <c r="A33">
        <v>45677</v>
      </c>
      <c r="B33">
        <v>1.0316000000000001</v>
      </c>
      <c r="C33">
        <v>1.2195583297867312</v>
      </c>
      <c r="D33">
        <v>6.3931581556767479E-3</v>
      </c>
    </row>
    <row r="34" spans="1:4" x14ac:dyDescent="0.25">
      <c r="A34">
        <v>45678</v>
      </c>
      <c r="B34">
        <v>1.0357000000000001</v>
      </c>
      <c r="C34">
        <v>1.2249121852565847</v>
      </c>
      <c r="D34">
        <v>6.4225474389185177E-3</v>
      </c>
    </row>
    <row r="35" spans="1:4" x14ac:dyDescent="0.25">
      <c r="A35">
        <v>45679</v>
      </c>
      <c r="B35">
        <v>1.0443</v>
      </c>
      <c r="C35">
        <v>1.2363554566334383</v>
      </c>
      <c r="D35">
        <v>6.4177728613569324E-3</v>
      </c>
    </row>
    <row r="36" spans="1:4" x14ac:dyDescent="0.25">
      <c r="A36">
        <v>45680</v>
      </c>
      <c r="B36">
        <v>1.0404</v>
      </c>
      <c r="C36">
        <v>1.2317090495809064</v>
      </c>
      <c r="D36">
        <v>6.3993111083774134E-3</v>
      </c>
    </row>
    <row r="37" spans="1:4" x14ac:dyDescent="0.25">
      <c r="A37">
        <v>45681</v>
      </c>
      <c r="B37">
        <v>1.0471999999999999</v>
      </c>
      <c r="C37">
        <v>1.2405672112115431</v>
      </c>
      <c r="D37">
        <v>6.3892617449664421E-3</v>
      </c>
    </row>
    <row r="38" spans="1:4" x14ac:dyDescent="0.25">
      <c r="A38">
        <v>45682</v>
      </c>
      <c r="B38">
        <v>1.0369999999999999</v>
      </c>
      <c r="C38">
        <v>1.2443303175022198</v>
      </c>
      <c r="D38">
        <v>6.5130008792865218E-3</v>
      </c>
    </row>
    <row r="39" spans="1:4" x14ac:dyDescent="0.25">
      <c r="A39">
        <v>45683</v>
      </c>
      <c r="B39">
        <v>1.0389999999999999</v>
      </c>
      <c r="C39">
        <v>1.2471042934476011</v>
      </c>
      <c r="D39">
        <v>6.5022842480755988E-3</v>
      </c>
    </row>
    <row r="40" spans="1:4" x14ac:dyDescent="0.25">
      <c r="A40">
        <v>45684</v>
      </c>
      <c r="B40">
        <v>1.0529999999999999</v>
      </c>
      <c r="C40">
        <v>1.2519915344921884</v>
      </c>
      <c r="D40">
        <v>6.4915849824301822E-3</v>
      </c>
    </row>
    <row r="41" spans="1:4" x14ac:dyDescent="0.25">
      <c r="A41">
        <v>45685</v>
      </c>
      <c r="B41">
        <v>1.0421</v>
      </c>
      <c r="C41">
        <v>1.2425478132303143</v>
      </c>
      <c r="D41">
        <v>6.4382799950574564E-3</v>
      </c>
    </row>
    <row r="42" spans="1:4" x14ac:dyDescent="0.25">
      <c r="A42">
        <v>45686</v>
      </c>
      <c r="B42">
        <v>1.0396000000000001</v>
      </c>
      <c r="C42">
        <v>1.2417137465212666</v>
      </c>
      <c r="D42">
        <v>6.437151702786378E-3</v>
      </c>
    </row>
    <row r="43" spans="1:4" x14ac:dyDescent="0.25">
      <c r="A43">
        <v>45687</v>
      </c>
      <c r="B43">
        <v>1.0403</v>
      </c>
      <c r="C43">
        <v>1.2431140586724025</v>
      </c>
      <c r="D43">
        <v>6.4888972055888224E-3</v>
      </c>
    </row>
    <row r="44" spans="1:4" x14ac:dyDescent="0.25">
      <c r="A44">
        <v>45688</v>
      </c>
      <c r="B44">
        <v>1.0392999999999999</v>
      </c>
      <c r="C44">
        <v>1.2430628647976267</v>
      </c>
      <c r="D44">
        <v>6.455680477048263E-3</v>
      </c>
    </row>
    <row r="45" spans="1:4" x14ac:dyDescent="0.25">
      <c r="A45">
        <v>45689</v>
      </c>
      <c r="B45">
        <v>1.0465</v>
      </c>
      <c r="C45">
        <v>1.2644997583373609</v>
      </c>
      <c r="D45">
        <v>6.6461323510732884E-3</v>
      </c>
    </row>
    <row r="46" spans="1:4" x14ac:dyDescent="0.25">
      <c r="A46">
        <v>45690</v>
      </c>
      <c r="B46">
        <v>1.0466</v>
      </c>
      <c r="C46">
        <v>1.2635518531932874</v>
      </c>
      <c r="D46">
        <v>6.6743192398443976E-3</v>
      </c>
    </row>
    <row r="47" spans="1:4" x14ac:dyDescent="0.25">
      <c r="A47">
        <v>45691</v>
      </c>
      <c r="B47">
        <v>1.0274000000000001</v>
      </c>
      <c r="C47">
        <v>1.2358063895304081</v>
      </c>
      <c r="D47">
        <v>6.4669226411531444E-3</v>
      </c>
    </row>
    <row r="48" spans="1:4" x14ac:dyDescent="0.25">
      <c r="A48">
        <v>45692</v>
      </c>
      <c r="B48">
        <v>1.0335000000000001</v>
      </c>
      <c r="C48">
        <v>1.2423666875030055</v>
      </c>
      <c r="D48">
        <v>6.4384500373785196E-3</v>
      </c>
    </row>
    <row r="49" spans="1:4" x14ac:dyDescent="0.25">
      <c r="A49">
        <v>45693</v>
      </c>
      <c r="B49">
        <v>1.0422</v>
      </c>
      <c r="C49">
        <v>1.2543780465788048</v>
      </c>
      <c r="D49">
        <v>6.5444270015698591E-3</v>
      </c>
    </row>
    <row r="50" spans="1:4" x14ac:dyDescent="0.25">
      <c r="A50">
        <v>45694</v>
      </c>
      <c r="B50">
        <v>1.036</v>
      </c>
      <c r="C50">
        <v>1.2379313641143295</v>
      </c>
      <c r="D50">
        <v>6.5590376701487822E-3</v>
      </c>
    </row>
    <row r="51" spans="1:4" x14ac:dyDescent="0.25">
      <c r="A51">
        <v>45695</v>
      </c>
      <c r="B51">
        <v>1.0377000000000001</v>
      </c>
      <c r="C51">
        <v>1.2449461926985232</v>
      </c>
      <c r="D51">
        <v>6.5772960638904735E-3</v>
      </c>
    </row>
    <row r="52" spans="1:4" x14ac:dyDescent="0.25">
      <c r="A52">
        <v>45696</v>
      </c>
      <c r="B52">
        <v>1.0557000000000001</v>
      </c>
      <c r="C52">
        <v>1.2751848093926659</v>
      </c>
      <c r="D52">
        <v>6.7456869009584666E-3</v>
      </c>
    </row>
    <row r="53" spans="1:4" x14ac:dyDescent="0.25">
      <c r="A53">
        <v>45697</v>
      </c>
      <c r="B53">
        <v>1.0693999999999999</v>
      </c>
      <c r="C53">
        <v>1.2807185628742515</v>
      </c>
      <c r="D53">
        <v>6.6799925042163779E-3</v>
      </c>
    </row>
    <row r="54" spans="1:4" x14ac:dyDescent="0.25">
      <c r="A54">
        <v>45698</v>
      </c>
      <c r="B54">
        <v>1.032</v>
      </c>
      <c r="C54">
        <v>1.2391484456611794</v>
      </c>
      <c r="D54">
        <v>6.5765995411674744E-3</v>
      </c>
    </row>
    <row r="55" spans="1:4" x14ac:dyDescent="0.25">
      <c r="A55">
        <v>45699</v>
      </c>
      <c r="B55">
        <v>1.0324</v>
      </c>
      <c r="C55">
        <v>1.238557974926519</v>
      </c>
      <c r="D55">
        <v>6.5640895218718204E-3</v>
      </c>
    </row>
    <row r="56" spans="1:4" x14ac:dyDescent="0.25">
      <c r="A56">
        <v>45700</v>
      </c>
      <c r="B56">
        <v>1.0369999999999999</v>
      </c>
      <c r="C56">
        <v>1.2443303175022198</v>
      </c>
      <c r="D56">
        <v>6.5130008792865218E-3</v>
      </c>
    </row>
    <row r="57" spans="1:4" x14ac:dyDescent="0.25">
      <c r="A57">
        <v>45701</v>
      </c>
      <c r="B57">
        <v>1.0389999999999999</v>
      </c>
      <c r="C57">
        <v>1.2471042934476011</v>
      </c>
      <c r="D57">
        <v>6.5022842480755988E-3</v>
      </c>
    </row>
    <row r="58" spans="1:4" x14ac:dyDescent="0.25">
      <c r="A58">
        <v>45702</v>
      </c>
      <c r="B58">
        <v>1.0478000000000001</v>
      </c>
      <c r="C58">
        <v>1.2591479901460074</v>
      </c>
      <c r="D58">
        <v>6.5450683990255481E-3</v>
      </c>
    </row>
    <row r="59" spans="1:4" x14ac:dyDescent="0.25">
      <c r="A59">
        <v>45703</v>
      </c>
      <c r="B59">
        <v>1.083</v>
      </c>
      <c r="C59">
        <v>1.2927021413736304</v>
      </c>
      <c r="D59">
        <v>6.741782868525897E-3</v>
      </c>
    </row>
    <row r="60" spans="1:4" x14ac:dyDescent="0.25">
      <c r="A60">
        <v>45704</v>
      </c>
      <c r="B60">
        <v>1.0889</v>
      </c>
      <c r="C60">
        <v>1.2934915600536925</v>
      </c>
      <c r="D60">
        <v>6.7265875957499381E-3</v>
      </c>
    </row>
    <row r="61" spans="1:4" x14ac:dyDescent="0.25">
      <c r="A61">
        <v>45705</v>
      </c>
      <c r="B61">
        <v>1.0472999999999999</v>
      </c>
      <c r="C61">
        <v>1.2597885316300386</v>
      </c>
      <c r="D61">
        <v>6.6004915863112123E-3</v>
      </c>
    </row>
    <row r="62" spans="1:4" x14ac:dyDescent="0.25">
      <c r="A62">
        <v>45706</v>
      </c>
      <c r="B62">
        <v>1.0447</v>
      </c>
      <c r="C62">
        <v>1.2582956940680516</v>
      </c>
      <c r="D62">
        <v>6.5890886155786808E-3</v>
      </c>
    </row>
    <row r="63" spans="1:4" x14ac:dyDescent="0.25">
      <c r="A63">
        <v>45707</v>
      </c>
      <c r="B63">
        <v>1.0434000000000001</v>
      </c>
      <c r="C63">
        <v>1.2595668654482244</v>
      </c>
      <c r="D63">
        <v>6.5867053847610641E-3</v>
      </c>
    </row>
    <row r="64" spans="1:4" x14ac:dyDescent="0.25">
      <c r="A64">
        <v>45708</v>
      </c>
      <c r="B64">
        <v>1.0443</v>
      </c>
      <c r="C64">
        <v>1.2608816391582047</v>
      </c>
      <c r="D64">
        <v>6.6685823754789276E-3</v>
      </c>
    </row>
    <row r="65" spans="1:4" x14ac:dyDescent="0.25">
      <c r="A65">
        <v>45709</v>
      </c>
      <c r="B65">
        <v>1.0465</v>
      </c>
      <c r="C65">
        <v>1.2644997583373609</v>
      </c>
      <c r="D65">
        <v>6.6461323510732884E-3</v>
      </c>
    </row>
    <row r="66" spans="1:4" x14ac:dyDescent="0.25">
      <c r="A66">
        <v>45710</v>
      </c>
      <c r="B66">
        <v>1.0824</v>
      </c>
      <c r="C66">
        <v>1.2937618780105902</v>
      </c>
      <c r="D66">
        <v>6.6753006475485663E-3</v>
      </c>
    </row>
    <row r="67" spans="1:4" x14ac:dyDescent="0.25">
      <c r="A67">
        <v>45711</v>
      </c>
      <c r="B67">
        <v>1.0825</v>
      </c>
      <c r="C67">
        <v>1.2953987913600191</v>
      </c>
      <c r="D67">
        <v>6.6689255791030069E-3</v>
      </c>
    </row>
    <row r="68" spans="1:4" x14ac:dyDescent="0.25">
      <c r="A68">
        <v>45712</v>
      </c>
      <c r="B68">
        <v>1.0466</v>
      </c>
      <c r="C68">
        <v>1.2635518531932874</v>
      </c>
      <c r="D68">
        <v>6.6743192398443976E-3</v>
      </c>
    </row>
    <row r="69" spans="1:4" x14ac:dyDescent="0.25">
      <c r="A69">
        <v>45713</v>
      </c>
      <c r="B69">
        <v>1.0497000000000001</v>
      </c>
      <c r="C69">
        <v>1.2661021855550731</v>
      </c>
      <c r="D69">
        <v>6.6779057191933338E-3</v>
      </c>
    </row>
    <row r="70" spans="1:4" x14ac:dyDescent="0.25">
      <c r="A70">
        <v>45714</v>
      </c>
      <c r="B70">
        <v>1.0487</v>
      </c>
      <c r="C70">
        <v>1.2655065887918135</v>
      </c>
      <c r="D70">
        <v>6.6924058710912575E-3</v>
      </c>
    </row>
    <row r="71" spans="1:4" x14ac:dyDescent="0.25">
      <c r="A71">
        <v>45715</v>
      </c>
      <c r="B71">
        <v>1.0477000000000001</v>
      </c>
      <c r="C71">
        <v>1.267281942109274</v>
      </c>
      <c r="D71">
        <v>6.6847444650035099E-3</v>
      </c>
    </row>
    <row r="72" spans="1:4" x14ac:dyDescent="0.25">
      <c r="A72">
        <v>45716</v>
      </c>
      <c r="B72">
        <v>1.0410999999999999</v>
      </c>
      <c r="C72">
        <v>1.2602895603331394</v>
      </c>
      <c r="D72">
        <v>6.6329001019367981E-3</v>
      </c>
    </row>
    <row r="73" spans="1:4" x14ac:dyDescent="0.25">
      <c r="A73">
        <v>45717</v>
      </c>
      <c r="B73">
        <v>1.0803</v>
      </c>
      <c r="C73">
        <v>1.2944700736924091</v>
      </c>
      <c r="D73">
        <v>6.7007815407517683E-3</v>
      </c>
    </row>
    <row r="74" spans="1:4" x14ac:dyDescent="0.25">
      <c r="A74">
        <v>45718</v>
      </c>
      <c r="B74">
        <v>1.1096999999999999</v>
      </c>
      <c r="C74">
        <v>1.3185128857098725</v>
      </c>
      <c r="D74">
        <v>6.8428192637355863E-3</v>
      </c>
    </row>
    <row r="75" spans="1:4" x14ac:dyDescent="0.25">
      <c r="A75">
        <v>45719</v>
      </c>
      <c r="B75">
        <v>1.0465</v>
      </c>
      <c r="C75">
        <v>1.2680237489397794</v>
      </c>
      <c r="D75">
        <v>6.6096128339543985E-3</v>
      </c>
    </row>
    <row r="76" spans="1:4" x14ac:dyDescent="0.25">
      <c r="A76">
        <v>45720</v>
      </c>
      <c r="B76">
        <v>1.0557000000000001</v>
      </c>
      <c r="C76">
        <v>1.2751848093926659</v>
      </c>
      <c r="D76">
        <v>6.7456869009584666E-3</v>
      </c>
    </row>
    <row r="77" spans="1:4" x14ac:dyDescent="0.25">
      <c r="A77">
        <v>45721</v>
      </c>
      <c r="B77">
        <v>1.0693999999999999</v>
      </c>
      <c r="C77">
        <v>1.2807185628742515</v>
      </c>
      <c r="D77">
        <v>6.6799925042163779E-3</v>
      </c>
    </row>
    <row r="78" spans="1:4" x14ac:dyDescent="0.25">
      <c r="A78">
        <v>45722</v>
      </c>
      <c r="B78">
        <v>1.0795999999999999</v>
      </c>
      <c r="C78">
        <v>1.2884592433464612</v>
      </c>
      <c r="D78">
        <v>6.7797035920622948E-3</v>
      </c>
    </row>
    <row r="79" spans="1:4" x14ac:dyDescent="0.25">
      <c r="A79">
        <v>45723</v>
      </c>
      <c r="B79">
        <v>1.0857000000000001</v>
      </c>
      <c r="C79">
        <v>1.29114736942251</v>
      </c>
      <c r="D79">
        <v>6.7708138447146876E-3</v>
      </c>
    </row>
    <row r="80" spans="1:4" x14ac:dyDescent="0.25">
      <c r="A80">
        <v>45724</v>
      </c>
      <c r="B80">
        <v>1.1346000000000001</v>
      </c>
      <c r="C80">
        <v>1.3089826714968043</v>
      </c>
      <c r="D80">
        <v>7.0006787190720066E-3</v>
      </c>
    </row>
    <row r="81" spans="1:4" x14ac:dyDescent="0.25">
      <c r="A81">
        <v>45725</v>
      </c>
      <c r="B81">
        <v>1.1376999999999999</v>
      </c>
      <c r="C81">
        <v>1.3170415475267123</v>
      </c>
      <c r="D81">
        <v>6.981039455114438E-3</v>
      </c>
    </row>
    <row r="82" spans="1:4" x14ac:dyDescent="0.25">
      <c r="A82">
        <v>45726</v>
      </c>
      <c r="B82">
        <v>1.0845</v>
      </c>
      <c r="C82">
        <v>1.2933964626888812</v>
      </c>
      <c r="D82">
        <v>6.8040654997176741E-3</v>
      </c>
    </row>
    <row r="83" spans="1:4" x14ac:dyDescent="0.25">
      <c r="A83">
        <v>45727</v>
      </c>
      <c r="B83">
        <v>1.0911999999999999</v>
      </c>
      <c r="C83">
        <v>1.2932894019484673</v>
      </c>
      <c r="D83">
        <v>6.7558197127290734E-3</v>
      </c>
    </row>
    <row r="84" spans="1:4" x14ac:dyDescent="0.25">
      <c r="A84">
        <v>45728</v>
      </c>
      <c r="B84">
        <v>1.0886</v>
      </c>
      <c r="C84">
        <v>1.2947501129903185</v>
      </c>
      <c r="D84">
        <v>6.710226222030451E-3</v>
      </c>
    </row>
    <row r="85" spans="1:4" x14ac:dyDescent="0.25">
      <c r="A85">
        <v>45729</v>
      </c>
      <c r="B85">
        <v>1.083</v>
      </c>
      <c r="C85">
        <v>1.2927021413736304</v>
      </c>
      <c r="D85">
        <v>6.741782868525897E-3</v>
      </c>
    </row>
    <row r="86" spans="1:4" x14ac:dyDescent="0.25">
      <c r="A86">
        <v>45730</v>
      </c>
      <c r="B86">
        <v>1.0889</v>
      </c>
      <c r="C86">
        <v>1.2934915600536925</v>
      </c>
      <c r="D86">
        <v>6.7265875957499381E-3</v>
      </c>
    </row>
    <row r="87" spans="1:4" x14ac:dyDescent="0.25">
      <c r="A87">
        <v>45731</v>
      </c>
      <c r="B87">
        <v>1.1375999999999999</v>
      </c>
      <c r="C87">
        <v>1.3305263157894736</v>
      </c>
      <c r="D87">
        <v>7.0152935372471631E-3</v>
      </c>
    </row>
    <row r="88" spans="1:4" x14ac:dyDescent="0.25">
      <c r="A88">
        <v>45732</v>
      </c>
      <c r="B88">
        <v>1.1356999999999999</v>
      </c>
      <c r="C88">
        <v>1.3312624545774234</v>
      </c>
      <c r="D88">
        <v>6.9760442260442248E-3</v>
      </c>
    </row>
    <row r="89" spans="1:4" x14ac:dyDescent="0.25">
      <c r="A89">
        <v>45733</v>
      </c>
      <c r="B89">
        <v>1.0903</v>
      </c>
      <c r="C89">
        <v>1.2975745602551592</v>
      </c>
      <c r="D89">
        <v>6.7194625909034892E-3</v>
      </c>
    </row>
    <row r="90" spans="1:4" x14ac:dyDescent="0.25">
      <c r="A90">
        <v>45734</v>
      </c>
      <c r="B90">
        <v>1.0918000000000001</v>
      </c>
      <c r="C90">
        <v>1.2970905159611754</v>
      </c>
      <c r="D90">
        <v>6.6776758409785942E-3</v>
      </c>
    </row>
    <row r="91" spans="1:4" x14ac:dyDescent="0.25">
      <c r="A91">
        <v>45735</v>
      </c>
      <c r="B91">
        <v>1.0896999999999999</v>
      </c>
      <c r="C91">
        <v>1.2960584219415303</v>
      </c>
      <c r="D91">
        <v>6.6742206161572847E-3</v>
      </c>
    </row>
    <row r="92" spans="1:4" x14ac:dyDescent="0.25">
      <c r="A92">
        <v>45736</v>
      </c>
      <c r="B92">
        <v>1.0832999999999999</v>
      </c>
      <c r="C92">
        <v>1.2944198829011828</v>
      </c>
      <c r="D92">
        <v>6.7348461299347219E-3</v>
      </c>
    </row>
    <row r="93" spans="1:4" x14ac:dyDescent="0.25">
      <c r="A93">
        <v>45737</v>
      </c>
      <c r="B93">
        <v>1.0827</v>
      </c>
      <c r="C93">
        <v>1.2925446188742316</v>
      </c>
      <c r="D93">
        <v>6.7252624386607857E-3</v>
      </c>
    </row>
    <row r="94" spans="1:4" x14ac:dyDescent="0.25">
      <c r="A94">
        <v>45738</v>
      </c>
      <c r="B94">
        <v>1.1325000000000001</v>
      </c>
      <c r="C94">
        <v>1.3372298972724053</v>
      </c>
      <c r="D94">
        <v>7.0063103192279149E-3</v>
      </c>
    </row>
    <row r="95" spans="1:4" x14ac:dyDescent="0.25">
      <c r="A95">
        <v>45739</v>
      </c>
      <c r="B95">
        <v>1.1359999999999999</v>
      </c>
      <c r="C95">
        <v>1.3347432734108799</v>
      </c>
      <c r="D95">
        <v>6.9740315550371416E-3</v>
      </c>
    </row>
    <row r="96" spans="1:4" x14ac:dyDescent="0.25">
      <c r="A96">
        <v>45740</v>
      </c>
      <c r="B96">
        <v>1.0824</v>
      </c>
      <c r="C96">
        <v>1.2937618780105902</v>
      </c>
      <c r="D96">
        <v>6.6753006475485663E-3</v>
      </c>
    </row>
    <row r="97" spans="1:4" x14ac:dyDescent="0.25">
      <c r="A97">
        <v>45741</v>
      </c>
      <c r="B97">
        <v>1.0825</v>
      </c>
      <c r="C97">
        <v>1.2953987913600191</v>
      </c>
      <c r="D97">
        <v>6.6689255791030069E-3</v>
      </c>
    </row>
    <row r="98" spans="1:4" x14ac:dyDescent="0.25">
      <c r="A98">
        <v>45742</v>
      </c>
      <c r="B98">
        <v>1.0788</v>
      </c>
      <c r="C98">
        <v>1.2900756968776532</v>
      </c>
      <c r="D98">
        <v>6.6510480887792848E-3</v>
      </c>
    </row>
    <row r="99" spans="1:4" x14ac:dyDescent="0.25">
      <c r="A99">
        <v>45743</v>
      </c>
      <c r="B99">
        <v>1.0785</v>
      </c>
      <c r="C99">
        <v>1.2944381766244988</v>
      </c>
      <c r="D99">
        <v>6.63488157490003E-3</v>
      </c>
    </row>
    <row r="100" spans="1:4" x14ac:dyDescent="0.25">
      <c r="A100">
        <v>45744</v>
      </c>
      <c r="B100">
        <v>1.0797000000000001</v>
      </c>
      <c r="C100">
        <v>1.2952566040452027</v>
      </c>
      <c r="D100">
        <v>6.6385882931628152E-3</v>
      </c>
    </row>
    <row r="101" spans="1:4" x14ac:dyDescent="0.25">
      <c r="A101">
        <v>45745</v>
      </c>
      <c r="B101">
        <v>1.1185</v>
      </c>
      <c r="C101">
        <v>1.3277540360873694</v>
      </c>
      <c r="D101">
        <v>6.8493570116350275E-3</v>
      </c>
    </row>
    <row r="102" spans="1:4" x14ac:dyDescent="0.25">
      <c r="A102">
        <v>45746</v>
      </c>
      <c r="B102">
        <v>1.1194</v>
      </c>
      <c r="C102">
        <v>1.3283493532692536</v>
      </c>
      <c r="D102">
        <v>6.8653787181846048E-3</v>
      </c>
    </row>
    <row r="103" spans="1:4" x14ac:dyDescent="0.25">
      <c r="A103">
        <v>45747</v>
      </c>
      <c r="B103">
        <v>1.0814999999999999</v>
      </c>
      <c r="C103">
        <v>1.2946514077762881</v>
      </c>
      <c r="D103">
        <v>6.6924504950495048E-3</v>
      </c>
    </row>
    <row r="104" spans="1:4" x14ac:dyDescent="0.25">
      <c r="A104">
        <v>45748</v>
      </c>
      <c r="B104">
        <v>1.0788</v>
      </c>
      <c r="C104">
        <v>1.2894280762564991</v>
      </c>
      <c r="D104">
        <v>6.7035356987510094E-3</v>
      </c>
    </row>
    <row r="105" spans="1:4" x14ac:dyDescent="0.25">
      <c r="A105">
        <v>45749</v>
      </c>
      <c r="B105">
        <v>1.0803</v>
      </c>
      <c r="C105">
        <v>1.2944700736924091</v>
      </c>
      <c r="D105">
        <v>6.7007815407517683E-3</v>
      </c>
    </row>
    <row r="106" spans="1:4" x14ac:dyDescent="0.25">
      <c r="A106">
        <v>45750</v>
      </c>
      <c r="B106">
        <v>1.1096999999999999</v>
      </c>
      <c r="C106">
        <v>1.3185128857098725</v>
      </c>
      <c r="D106">
        <v>6.8428192637355863E-3</v>
      </c>
    </row>
    <row r="107" spans="1:4" x14ac:dyDescent="0.25">
      <c r="A107">
        <v>45751</v>
      </c>
      <c r="B107">
        <v>1.1056999999999999</v>
      </c>
      <c r="C107">
        <v>1.3010531270224157</v>
      </c>
      <c r="D107">
        <v>6.8865221723966108E-3</v>
      </c>
    </row>
    <row r="108" spans="1:4" x14ac:dyDescent="0.25">
      <c r="A108">
        <v>45752</v>
      </c>
      <c r="B108">
        <v>1.1380999999999999</v>
      </c>
      <c r="C108">
        <v>1.3561725452812201</v>
      </c>
      <c r="D108">
        <v>6.9980938326262062E-3</v>
      </c>
    </row>
    <row r="109" spans="1:4" x14ac:dyDescent="0.25">
      <c r="A109">
        <v>45753</v>
      </c>
      <c r="B109">
        <v>1.1355999999999999</v>
      </c>
      <c r="C109">
        <v>1.3549695740365111</v>
      </c>
      <c r="D109">
        <v>6.9362325922306374E-3</v>
      </c>
    </row>
    <row r="110" spans="1:4" x14ac:dyDescent="0.25">
      <c r="A110">
        <v>45754</v>
      </c>
      <c r="B110">
        <v>1.0967</v>
      </c>
      <c r="C110">
        <v>1.2813712202645231</v>
      </c>
      <c r="D110">
        <v>6.8296176360692481E-3</v>
      </c>
    </row>
    <row r="111" spans="1:4" x14ac:dyDescent="0.25">
      <c r="A111">
        <v>45755</v>
      </c>
      <c r="B111">
        <v>1.095</v>
      </c>
      <c r="C111">
        <v>1.2785484096959507</v>
      </c>
      <c r="D111">
        <v>6.816059757236227E-3</v>
      </c>
    </row>
    <row r="112" spans="1:4" x14ac:dyDescent="0.25">
      <c r="A112">
        <v>45756</v>
      </c>
      <c r="B112">
        <v>1.1045</v>
      </c>
      <c r="C112">
        <v>1.2778388384335051</v>
      </c>
      <c r="D112">
        <v>6.9199924816740806E-3</v>
      </c>
    </row>
    <row r="113" spans="1:4" x14ac:dyDescent="0.25">
      <c r="A113">
        <v>45757</v>
      </c>
      <c r="B113">
        <v>1.1082000000000001</v>
      </c>
      <c r="C113">
        <v>1.2922861640720658</v>
      </c>
      <c r="D113">
        <v>6.8712797619047625E-3</v>
      </c>
    </row>
    <row r="114" spans="1:4" x14ac:dyDescent="0.25">
      <c r="A114">
        <v>45758</v>
      </c>
      <c r="B114">
        <v>1.1346000000000001</v>
      </c>
      <c r="C114">
        <v>1.3089826714968043</v>
      </c>
      <c r="D114">
        <v>7.0006787190720066E-3</v>
      </c>
    </row>
    <row r="115" spans="1:4" x14ac:dyDescent="0.25">
      <c r="A115">
        <v>45759</v>
      </c>
      <c r="B115">
        <v>1.1384000000000001</v>
      </c>
      <c r="C115">
        <v>1.3518584491153072</v>
      </c>
      <c r="D115">
        <v>6.9351203167834297E-3</v>
      </c>
    </row>
    <row r="116" spans="1:4" x14ac:dyDescent="0.25">
      <c r="A116">
        <v>45760</v>
      </c>
      <c r="B116">
        <v>1.1423000000000001</v>
      </c>
      <c r="C116">
        <v>1.3568119729183989</v>
      </c>
      <c r="D116">
        <v>6.9797140413051456E-3</v>
      </c>
    </row>
    <row r="117" spans="1:4" x14ac:dyDescent="0.25">
      <c r="A117">
        <v>45761</v>
      </c>
      <c r="B117">
        <v>1.1376999999999999</v>
      </c>
      <c r="C117">
        <v>1.3170415475267123</v>
      </c>
      <c r="D117">
        <v>6.981039455114438E-3</v>
      </c>
    </row>
    <row r="118" spans="1:4" x14ac:dyDescent="0.25">
      <c r="A118">
        <v>45762</v>
      </c>
      <c r="B118">
        <v>1.1324000000000001</v>
      </c>
      <c r="C118">
        <v>1.3233609910015194</v>
      </c>
      <c r="D118">
        <v>6.9966017917825153E-3</v>
      </c>
    </row>
    <row r="119" spans="1:4" x14ac:dyDescent="0.25">
      <c r="A119">
        <v>45763</v>
      </c>
      <c r="B119">
        <v>1.1355</v>
      </c>
      <c r="C119">
        <v>1.3262398093858767</v>
      </c>
      <c r="D119">
        <v>7.0053673884878766E-3</v>
      </c>
    </row>
    <row r="120" spans="1:4" x14ac:dyDescent="0.25">
      <c r="A120">
        <v>45764</v>
      </c>
      <c r="B120">
        <v>1.1359999999999999</v>
      </c>
      <c r="C120">
        <v>1.322883793509019</v>
      </c>
      <c r="D120">
        <v>7.0132115075935298E-3</v>
      </c>
    </row>
    <row r="121" spans="1:4" x14ac:dyDescent="0.25">
      <c r="A121">
        <v>45765</v>
      </c>
      <c r="B121">
        <v>1.1594</v>
      </c>
      <c r="C121">
        <v>1.3579292574373389</v>
      </c>
      <c r="D121">
        <v>6.9575132021123384E-3</v>
      </c>
    </row>
    <row r="122" spans="1:4" x14ac:dyDescent="0.25">
      <c r="A122">
        <v>45766</v>
      </c>
      <c r="B122">
        <v>1.1512</v>
      </c>
      <c r="C122">
        <v>1.3535567313345092</v>
      </c>
      <c r="D122">
        <v>6.9374472700976259E-3</v>
      </c>
    </row>
    <row r="123" spans="1:4" x14ac:dyDescent="0.25">
      <c r="A123">
        <v>45767</v>
      </c>
      <c r="B123">
        <v>1.1574</v>
      </c>
      <c r="C123">
        <v>1.357972544878564</v>
      </c>
      <c r="D123">
        <v>6.9351069566780518E-3</v>
      </c>
    </row>
    <row r="124" spans="1:4" x14ac:dyDescent="0.25">
      <c r="A124">
        <v>45768</v>
      </c>
      <c r="B124">
        <v>1.1568000000000001</v>
      </c>
      <c r="C124">
        <v>1.356950146627566</v>
      </c>
      <c r="D124">
        <v>6.9124589184344195E-3</v>
      </c>
    </row>
    <row r="125" spans="1:4" x14ac:dyDescent="0.25">
      <c r="A125">
        <v>45769</v>
      </c>
      <c r="B125">
        <v>1.1476</v>
      </c>
      <c r="C125">
        <v>1.3366255910922686</v>
      </c>
      <c r="D125">
        <v>7.1257373486494869E-3</v>
      </c>
    </row>
    <row r="126" spans="1:4" x14ac:dyDescent="0.25">
      <c r="A126">
        <v>45770</v>
      </c>
      <c r="B126">
        <v>1.1415</v>
      </c>
      <c r="C126">
        <v>1.3305281316657536</v>
      </c>
      <c r="D126">
        <v>7.0602424542305781E-3</v>
      </c>
    </row>
    <row r="127" spans="1:4" x14ac:dyDescent="0.25">
      <c r="A127">
        <v>45771</v>
      </c>
      <c r="B127">
        <v>1.1375999999999999</v>
      </c>
      <c r="C127">
        <v>1.3305263157894736</v>
      </c>
      <c r="D127">
        <v>7.0152935372471631E-3</v>
      </c>
    </row>
    <row r="128" spans="1:4" x14ac:dyDescent="0.25">
      <c r="A128">
        <v>45772</v>
      </c>
      <c r="B128">
        <v>1.1356999999999999</v>
      </c>
      <c r="C128">
        <v>1.3312624545774234</v>
      </c>
      <c r="D128">
        <v>6.9760442260442248E-3</v>
      </c>
    </row>
    <row r="129" spans="1:4" x14ac:dyDescent="0.25">
      <c r="A129">
        <v>45773</v>
      </c>
      <c r="B129">
        <v>1.1607000000000001</v>
      </c>
      <c r="C129">
        <v>1.3612055822680897</v>
      </c>
      <c r="D129">
        <v>6.8978427527188451E-3</v>
      </c>
    </row>
    <row r="130" spans="1:4" x14ac:dyDescent="0.25">
      <c r="A130">
        <v>45774</v>
      </c>
      <c r="B130">
        <v>1.1597999999999999</v>
      </c>
      <c r="C130">
        <v>1.3603096410978184</v>
      </c>
      <c r="D130">
        <v>6.8598805228603536E-3</v>
      </c>
    </row>
    <row r="131" spans="1:4" x14ac:dyDescent="0.25">
      <c r="A131">
        <v>45775</v>
      </c>
      <c r="B131">
        <v>1.1357999999999999</v>
      </c>
      <c r="C131">
        <v>1.3340380549682873</v>
      </c>
      <c r="D131">
        <v>6.9766584766584759E-3</v>
      </c>
    </row>
    <row r="132" spans="1:4" x14ac:dyDescent="0.25">
      <c r="A132">
        <v>45776</v>
      </c>
      <c r="B132">
        <v>1.1373</v>
      </c>
      <c r="C132">
        <v>1.3383148976229702</v>
      </c>
      <c r="D132">
        <v>7.0082573330046832E-3</v>
      </c>
    </row>
    <row r="133" spans="1:4" x14ac:dyDescent="0.25">
      <c r="A133">
        <v>45777</v>
      </c>
      <c r="B133">
        <v>1.1373</v>
      </c>
      <c r="C133">
        <v>1.3351725757220005</v>
      </c>
      <c r="D133">
        <v>6.9910253257929669E-3</v>
      </c>
    </row>
    <row r="134" spans="1:4" x14ac:dyDescent="0.25">
      <c r="A134">
        <v>45778</v>
      </c>
      <c r="B134">
        <v>1.181</v>
      </c>
      <c r="C134">
        <v>1.3751746623195156</v>
      </c>
      <c r="D134">
        <v>7.0005927682276238E-3</v>
      </c>
    </row>
    <row r="135" spans="1:4" x14ac:dyDescent="0.25">
      <c r="A135">
        <v>45779</v>
      </c>
      <c r="B135">
        <v>1.1343000000000001</v>
      </c>
      <c r="C135">
        <v>1.3293097386616666</v>
      </c>
      <c r="D135">
        <v>6.9194168242542554E-3</v>
      </c>
    </row>
    <row r="136" spans="1:4" x14ac:dyDescent="0.25">
      <c r="A136">
        <v>45780</v>
      </c>
      <c r="B136">
        <v>1.1781999999999999</v>
      </c>
      <c r="C136">
        <v>1.3653957584888168</v>
      </c>
      <c r="D136">
        <v>6.9477532727916019E-3</v>
      </c>
    </row>
    <row r="137" spans="1:4" x14ac:dyDescent="0.25">
      <c r="A137">
        <v>45781</v>
      </c>
      <c r="B137">
        <v>1.1767000000000001</v>
      </c>
      <c r="C137">
        <v>1.3642898550724638</v>
      </c>
      <c r="D137">
        <v>6.9250235404896433E-3</v>
      </c>
    </row>
    <row r="138" spans="1:4" x14ac:dyDescent="0.25">
      <c r="A138">
        <v>45782</v>
      </c>
      <c r="B138">
        <v>1.1343000000000001</v>
      </c>
      <c r="C138">
        <v>1.3321197886083382</v>
      </c>
      <c r="D138">
        <v>6.9507935535265651E-3</v>
      </c>
    </row>
    <row r="139" spans="1:4" x14ac:dyDescent="0.25">
      <c r="A139">
        <v>45783</v>
      </c>
      <c r="B139">
        <v>1.1325000000000001</v>
      </c>
      <c r="C139">
        <v>1.3372298972724053</v>
      </c>
      <c r="D139">
        <v>7.0063103192279149E-3</v>
      </c>
    </row>
    <row r="140" spans="1:4" x14ac:dyDescent="0.25">
      <c r="A140">
        <v>45784</v>
      </c>
      <c r="B140">
        <v>1.1359999999999999</v>
      </c>
      <c r="C140">
        <v>1.3347432734108799</v>
      </c>
      <c r="D140">
        <v>6.9740315550371416E-3</v>
      </c>
    </row>
    <row r="141" spans="1:4" x14ac:dyDescent="0.25">
      <c r="A141">
        <v>45785</v>
      </c>
      <c r="B141">
        <v>1.1296999999999999</v>
      </c>
      <c r="C141">
        <v>1.3328220858895705</v>
      </c>
      <c r="D141">
        <v>6.9115937595594984E-3</v>
      </c>
    </row>
    <row r="142" spans="1:4" x14ac:dyDescent="0.25">
      <c r="A142">
        <v>45786</v>
      </c>
      <c r="B142">
        <v>1.1252</v>
      </c>
      <c r="C142">
        <v>1.3273563760764422</v>
      </c>
      <c r="D142">
        <v>6.887855044074436E-3</v>
      </c>
    </row>
    <row r="143" spans="1:4" x14ac:dyDescent="0.25">
      <c r="A143">
        <v>45787</v>
      </c>
      <c r="B143">
        <v>1.169</v>
      </c>
      <c r="C143">
        <v>1.3487942771431869</v>
      </c>
      <c r="D143">
        <v>6.7858594067452252E-3</v>
      </c>
    </row>
    <row r="144" spans="1:4" x14ac:dyDescent="0.25">
      <c r="A144">
        <v>45788</v>
      </c>
      <c r="B144">
        <v>1.1665000000000001</v>
      </c>
      <c r="C144">
        <v>1.3440488535545572</v>
      </c>
      <c r="D144">
        <v>6.7591841464827909E-3</v>
      </c>
    </row>
    <row r="145" spans="1:4" x14ac:dyDescent="0.25">
      <c r="A145">
        <v>45789</v>
      </c>
      <c r="B145">
        <v>1.1106</v>
      </c>
      <c r="C145">
        <v>1.3175940206430181</v>
      </c>
      <c r="D145">
        <v>6.753009850419555E-3</v>
      </c>
    </row>
    <row r="146" spans="1:4" x14ac:dyDescent="0.25">
      <c r="A146">
        <v>45790</v>
      </c>
      <c r="B146">
        <v>1.1112</v>
      </c>
      <c r="C146">
        <v>1.3219129193433261</v>
      </c>
      <c r="D146">
        <v>6.7505011846181878E-3</v>
      </c>
    </row>
    <row r="147" spans="1:4" x14ac:dyDescent="0.25">
      <c r="A147">
        <v>45791</v>
      </c>
      <c r="B147">
        <v>1.1214</v>
      </c>
      <c r="C147">
        <v>1.3326203208556149</v>
      </c>
      <c r="D147">
        <v>6.8373879641485278E-3</v>
      </c>
    </row>
    <row r="148" spans="1:4" x14ac:dyDescent="0.25">
      <c r="A148">
        <v>45792</v>
      </c>
      <c r="B148">
        <v>1.1185</v>
      </c>
      <c r="C148">
        <v>1.3277540360873694</v>
      </c>
      <c r="D148">
        <v>6.8493570116350275E-3</v>
      </c>
    </row>
    <row r="149" spans="1:4" x14ac:dyDescent="0.25">
      <c r="A149">
        <v>45793</v>
      </c>
      <c r="B149">
        <v>1.1194</v>
      </c>
      <c r="C149">
        <v>1.3283493532692536</v>
      </c>
      <c r="D149">
        <v>6.8653787181846048E-3</v>
      </c>
    </row>
    <row r="150" spans="1:4" x14ac:dyDescent="0.25">
      <c r="A150">
        <v>45794</v>
      </c>
      <c r="B150">
        <v>1.1726000000000001</v>
      </c>
      <c r="C150">
        <v>1.353260242354299</v>
      </c>
      <c r="D150">
        <v>6.8361219611729734E-3</v>
      </c>
    </row>
    <row r="151" spans="1:4" x14ac:dyDescent="0.25">
      <c r="A151">
        <v>45795</v>
      </c>
      <c r="B151">
        <v>1.1756</v>
      </c>
      <c r="C151">
        <v>1.355158501440922</v>
      </c>
      <c r="D151">
        <v>6.8261525955173614E-3</v>
      </c>
    </row>
    <row r="152" spans="1:4" x14ac:dyDescent="0.25">
      <c r="A152">
        <v>45796</v>
      </c>
      <c r="B152">
        <v>1.1262000000000001</v>
      </c>
      <c r="C152">
        <v>1.337688561586887</v>
      </c>
      <c r="D152">
        <v>6.8981991914737239E-3</v>
      </c>
    </row>
    <row r="153" spans="1:4" x14ac:dyDescent="0.25">
      <c r="A153">
        <v>45797</v>
      </c>
      <c r="B153">
        <v>1.1241000000000001</v>
      </c>
      <c r="C153">
        <v>1.3353528153955809</v>
      </c>
      <c r="D153">
        <v>6.9137093302171111E-3</v>
      </c>
    </row>
    <row r="154" spans="1:4" x14ac:dyDescent="0.25">
      <c r="A154">
        <v>45798</v>
      </c>
      <c r="B154">
        <v>1.1321000000000001</v>
      </c>
      <c r="C154">
        <v>1.3403978214539427</v>
      </c>
      <c r="D154">
        <v>6.9556402064389292E-3</v>
      </c>
    </row>
    <row r="155" spans="1:4" x14ac:dyDescent="0.25">
      <c r="A155">
        <v>45799</v>
      </c>
      <c r="B155">
        <v>1.1309</v>
      </c>
      <c r="C155">
        <v>1.341995965349472</v>
      </c>
      <c r="D155">
        <v>6.9726863555089709E-3</v>
      </c>
    </row>
    <row r="156" spans="1:4" x14ac:dyDescent="0.25">
      <c r="A156">
        <v>45800</v>
      </c>
      <c r="B156">
        <v>1.1301000000000001</v>
      </c>
      <c r="C156">
        <v>1.3482462419470296</v>
      </c>
      <c r="D156">
        <v>7.0135915099609021E-3</v>
      </c>
    </row>
    <row r="157" spans="1:4" x14ac:dyDescent="0.25">
      <c r="A157">
        <v>45801</v>
      </c>
      <c r="B157">
        <v>1.1404000000000001</v>
      </c>
      <c r="C157">
        <v>1.3160992498557416</v>
      </c>
      <c r="D157">
        <v>6.6453003904201387E-3</v>
      </c>
    </row>
    <row r="158" spans="1:4" x14ac:dyDescent="0.25">
      <c r="A158">
        <v>45802</v>
      </c>
      <c r="B158">
        <v>1.1565000000000001</v>
      </c>
      <c r="C158">
        <v>1.3286994485294119</v>
      </c>
      <c r="D158">
        <v>6.7849809328248759E-3</v>
      </c>
    </row>
    <row r="159" spans="1:4" x14ac:dyDescent="0.25">
      <c r="A159">
        <v>45803</v>
      </c>
      <c r="B159">
        <v>1.1380999999999999</v>
      </c>
      <c r="C159">
        <v>1.3561725452812201</v>
      </c>
      <c r="D159">
        <v>6.9980938326262062E-3</v>
      </c>
    </row>
    <row r="160" spans="1:4" x14ac:dyDescent="0.25">
      <c r="A160">
        <v>45804</v>
      </c>
      <c r="B160">
        <v>1.1355999999999999</v>
      </c>
      <c r="C160">
        <v>1.3549695740365111</v>
      </c>
      <c r="D160">
        <v>6.9362325922306374E-3</v>
      </c>
    </row>
    <row r="161" spans="1:4" x14ac:dyDescent="0.25">
      <c r="A161">
        <v>45805</v>
      </c>
      <c r="B161">
        <v>1.1316999999999999</v>
      </c>
      <c r="C161">
        <v>1.3475827577994759</v>
      </c>
      <c r="D161">
        <v>6.9246772318423784E-3</v>
      </c>
    </row>
    <row r="162" spans="1:4" x14ac:dyDescent="0.25">
      <c r="A162">
        <v>45806</v>
      </c>
      <c r="B162">
        <v>1.1281000000000001</v>
      </c>
      <c r="C162">
        <v>1.3466634833472604</v>
      </c>
      <c r="D162">
        <v>6.900960420872332E-3</v>
      </c>
    </row>
    <row r="163" spans="1:4" x14ac:dyDescent="0.25">
      <c r="A163">
        <v>45807</v>
      </c>
      <c r="B163">
        <v>1.1338999999999999</v>
      </c>
      <c r="C163">
        <v>1.3479553019495958</v>
      </c>
      <c r="D163">
        <v>6.9581492390770735E-3</v>
      </c>
    </row>
    <row r="164" spans="1:4" x14ac:dyDescent="0.25">
      <c r="A164">
        <v>45808</v>
      </c>
      <c r="B164">
        <v>1.1606000000000001</v>
      </c>
      <c r="C164">
        <v>1.3462475350887368</v>
      </c>
      <c r="D164">
        <v>6.7359257109692395E-3</v>
      </c>
    </row>
    <row r="165" spans="1:4" x14ac:dyDescent="0.25">
      <c r="A165">
        <v>45809</v>
      </c>
      <c r="B165">
        <v>1.1711</v>
      </c>
      <c r="C165">
        <v>1.3568532035685321</v>
      </c>
      <c r="D165">
        <v>6.790166405751725E-3</v>
      </c>
    </row>
    <row r="166" spans="1:4" x14ac:dyDescent="0.25">
      <c r="A166">
        <v>45810</v>
      </c>
      <c r="B166">
        <v>1.1418999999999999</v>
      </c>
      <c r="C166">
        <v>1.3539245909414275</v>
      </c>
      <c r="D166">
        <v>7.0063811510614801E-3</v>
      </c>
    </row>
    <row r="167" spans="1:4" x14ac:dyDescent="0.25">
      <c r="A167">
        <v>45811</v>
      </c>
      <c r="B167">
        <v>1.1386000000000001</v>
      </c>
      <c r="C167">
        <v>1.3496917970602182</v>
      </c>
      <c r="D167">
        <v>6.9852760736196324E-3</v>
      </c>
    </row>
    <row r="168" spans="1:4" x14ac:dyDescent="0.25">
      <c r="A168">
        <v>45812</v>
      </c>
      <c r="B168">
        <v>1.1384000000000001</v>
      </c>
      <c r="C168">
        <v>1.3518584491153072</v>
      </c>
      <c r="D168">
        <v>6.9351203167834297E-3</v>
      </c>
    </row>
    <row r="169" spans="1:4" x14ac:dyDescent="0.25">
      <c r="A169">
        <v>45813</v>
      </c>
      <c r="B169">
        <v>1.1423000000000001</v>
      </c>
      <c r="C169">
        <v>1.3568119729183989</v>
      </c>
      <c r="D169">
        <v>6.9797140413051456E-3</v>
      </c>
    </row>
    <row r="170" spans="1:4" x14ac:dyDescent="0.25">
      <c r="A170">
        <v>45814</v>
      </c>
      <c r="B170">
        <v>1.1411</v>
      </c>
      <c r="C170">
        <v>1.3542606218846427</v>
      </c>
      <c r="D170">
        <v>6.9317215405175553E-3</v>
      </c>
    </row>
    <row r="171" spans="1:4" x14ac:dyDescent="0.25">
      <c r="A171">
        <v>45815</v>
      </c>
      <c r="B171">
        <v>1.1638999999999999</v>
      </c>
      <c r="C171">
        <v>1.3449272012941993</v>
      </c>
      <c r="D171">
        <v>6.7633215178104474E-3</v>
      </c>
    </row>
    <row r="172" spans="1:4" x14ac:dyDescent="0.25">
      <c r="A172">
        <v>45816</v>
      </c>
      <c r="B172">
        <v>1.1608000000000001</v>
      </c>
      <c r="C172">
        <v>1.3415000577834277</v>
      </c>
      <c r="D172">
        <v>6.725376593279259E-3</v>
      </c>
    </row>
    <row r="173" spans="1:4" x14ac:dyDescent="0.25">
      <c r="A173">
        <v>45817</v>
      </c>
      <c r="B173">
        <v>1.141</v>
      </c>
      <c r="C173">
        <v>1.354463437796771</v>
      </c>
      <c r="D173">
        <v>6.9201843765162542E-3</v>
      </c>
    </row>
    <row r="174" spans="1:4" x14ac:dyDescent="0.25">
      <c r="A174">
        <v>45818</v>
      </c>
      <c r="B174">
        <v>1.1429</v>
      </c>
      <c r="C174">
        <v>1.3503071833648392</v>
      </c>
      <c r="D174">
        <v>6.9170247533740853E-3</v>
      </c>
    </row>
    <row r="175" spans="1:4" x14ac:dyDescent="0.25">
      <c r="A175">
        <v>45819</v>
      </c>
      <c r="B175">
        <v>1.1433</v>
      </c>
      <c r="C175">
        <v>1.3488673902784332</v>
      </c>
      <c r="D175">
        <v>6.88030330384546E-3</v>
      </c>
    </row>
    <row r="176" spans="1:4" x14ac:dyDescent="0.25">
      <c r="A176">
        <v>45820</v>
      </c>
      <c r="B176">
        <v>1.1594</v>
      </c>
      <c r="C176">
        <v>1.3579292574373389</v>
      </c>
      <c r="D176">
        <v>6.9575132021123384E-3</v>
      </c>
    </row>
    <row r="177" spans="1:4" x14ac:dyDescent="0.25">
      <c r="A177">
        <v>45821</v>
      </c>
      <c r="B177">
        <v>1.1512</v>
      </c>
      <c r="C177">
        <v>1.3535567313345092</v>
      </c>
      <c r="D177">
        <v>6.9374472700976259E-3</v>
      </c>
    </row>
    <row r="178" spans="1:4" x14ac:dyDescent="0.25">
      <c r="A178">
        <v>45822</v>
      </c>
      <c r="B178">
        <v>1.1715</v>
      </c>
      <c r="C178">
        <v>1.3524590163934427</v>
      </c>
      <c r="D178">
        <v>6.7924856496782045E-3</v>
      </c>
    </row>
    <row r="179" spans="1:4" x14ac:dyDescent="0.25">
      <c r="A179">
        <v>45823</v>
      </c>
      <c r="B179">
        <v>1.1646000000000001</v>
      </c>
      <c r="C179">
        <v>1.3383130314870146</v>
      </c>
      <c r="D179">
        <v>6.727902946273831E-3</v>
      </c>
    </row>
    <row r="180" spans="1:4" x14ac:dyDescent="0.25">
      <c r="A180">
        <v>45824</v>
      </c>
      <c r="B180">
        <v>1.1574</v>
      </c>
      <c r="C180">
        <v>1.357972544878564</v>
      </c>
      <c r="D180">
        <v>6.9351069566780518E-3</v>
      </c>
    </row>
    <row r="181" spans="1:4" x14ac:dyDescent="0.25">
      <c r="A181">
        <v>45825</v>
      </c>
      <c r="B181">
        <v>1.1568000000000001</v>
      </c>
      <c r="C181">
        <v>1.356950146627566</v>
      </c>
      <c r="D181">
        <v>6.9124589184344195E-3</v>
      </c>
    </row>
    <row r="182" spans="1:4" x14ac:dyDescent="0.25">
      <c r="A182">
        <v>45826</v>
      </c>
      <c r="B182">
        <v>1.1508</v>
      </c>
      <c r="C182">
        <v>1.3456501403180543</v>
      </c>
      <c r="D182">
        <v>6.9046619067618656E-3</v>
      </c>
    </row>
    <row r="183" spans="1:4" x14ac:dyDescent="0.25">
      <c r="A183">
        <v>45827</v>
      </c>
      <c r="B183">
        <v>1.1477999999999999</v>
      </c>
      <c r="C183">
        <v>1.3438707411310151</v>
      </c>
      <c r="D183">
        <v>6.8648325358851674E-3</v>
      </c>
    </row>
    <row r="184" spans="1:4" x14ac:dyDescent="0.25">
      <c r="A184">
        <v>45828</v>
      </c>
      <c r="B184">
        <v>1.1515</v>
      </c>
      <c r="C184">
        <v>1.3488344851821483</v>
      </c>
      <c r="D184">
        <v>6.8676567066261116E-3</v>
      </c>
    </row>
    <row r="185" spans="1:4" x14ac:dyDescent="0.25">
      <c r="A185">
        <v>45829</v>
      </c>
      <c r="B185">
        <v>1.1707000000000001</v>
      </c>
      <c r="C185">
        <v>1.3534104046242776</v>
      </c>
      <c r="D185">
        <v>6.7799849423756308E-3</v>
      </c>
    </row>
    <row r="186" spans="1:4" x14ac:dyDescent="0.25">
      <c r="A186">
        <v>45830</v>
      </c>
      <c r="B186">
        <v>1.1685000000000001</v>
      </c>
      <c r="C186">
        <v>1.3513357233722678</v>
      </c>
      <c r="D186">
        <v>6.7590236001850998E-3</v>
      </c>
    </row>
    <row r="187" spans="1:4" x14ac:dyDescent="0.25">
      <c r="A187">
        <v>45831</v>
      </c>
      <c r="B187">
        <v>1.1472</v>
      </c>
      <c r="C187">
        <v>1.3390918641298004</v>
      </c>
      <c r="D187">
        <v>6.7773379807408276E-3</v>
      </c>
    </row>
    <row r="188" spans="1:4" x14ac:dyDescent="0.25">
      <c r="A188">
        <v>45832</v>
      </c>
      <c r="B188">
        <v>1.1607000000000001</v>
      </c>
      <c r="C188">
        <v>1.3612055822680897</v>
      </c>
      <c r="D188">
        <v>6.8978427527188451E-3</v>
      </c>
    </row>
    <row r="189" spans="1:4" x14ac:dyDescent="0.25">
      <c r="A189">
        <v>45833</v>
      </c>
      <c r="B189">
        <v>1.1597999999999999</v>
      </c>
      <c r="C189">
        <v>1.3603096410978184</v>
      </c>
      <c r="D189">
        <v>6.8598805228603536E-3</v>
      </c>
    </row>
    <row r="190" spans="1:4" x14ac:dyDescent="0.25">
      <c r="A190">
        <v>45834</v>
      </c>
      <c r="B190">
        <v>1.1695</v>
      </c>
      <c r="C190">
        <v>1.3702401874633861</v>
      </c>
      <c r="D190">
        <v>6.9233956902675824E-3</v>
      </c>
    </row>
    <row r="191" spans="1:4" x14ac:dyDescent="0.25">
      <c r="A191">
        <v>45835</v>
      </c>
      <c r="B191">
        <v>1.1704000000000001</v>
      </c>
      <c r="C191">
        <v>1.3722593504514013</v>
      </c>
      <c r="D191">
        <v>6.9156227842117708E-3</v>
      </c>
    </row>
    <row r="192" spans="1:4" x14ac:dyDescent="0.25">
      <c r="A192">
        <v>45836</v>
      </c>
      <c r="B192">
        <v>1.1736</v>
      </c>
      <c r="C192">
        <v>1.3477262287551677</v>
      </c>
      <c r="D192">
        <v>6.7529777317452098E-3</v>
      </c>
    </row>
    <row r="193" spans="1:4" x14ac:dyDescent="0.25">
      <c r="A193">
        <v>45837</v>
      </c>
      <c r="B193">
        <v>1.1780999999999999</v>
      </c>
      <c r="C193">
        <v>1.3496391339214113</v>
      </c>
      <c r="D193">
        <v>6.7640810702187517E-3</v>
      </c>
    </row>
    <row r="194" spans="1:4" x14ac:dyDescent="0.25">
      <c r="A194">
        <v>45838</v>
      </c>
      <c r="B194">
        <v>1.1719999999999999</v>
      </c>
      <c r="C194">
        <v>1.3699590882524837</v>
      </c>
      <c r="D194">
        <v>6.9279423065555356E-3</v>
      </c>
    </row>
    <row r="195" spans="1:4" x14ac:dyDescent="0.25">
      <c r="A195">
        <v>45839</v>
      </c>
      <c r="B195">
        <v>1.181</v>
      </c>
      <c r="C195">
        <v>1.3751746623195156</v>
      </c>
      <c r="D195">
        <v>7.0005927682276238E-3</v>
      </c>
    </row>
    <row r="196" spans="1:4" x14ac:dyDescent="0.25">
      <c r="A196">
        <v>45840</v>
      </c>
      <c r="B196">
        <v>1.1755</v>
      </c>
      <c r="C196">
        <v>1.3660662405578152</v>
      </c>
      <c r="D196">
        <v>6.9371496016524051E-3</v>
      </c>
    </row>
    <row r="197" spans="1:4" x14ac:dyDescent="0.25">
      <c r="A197">
        <v>45841</v>
      </c>
      <c r="B197">
        <v>1.1781999999999999</v>
      </c>
      <c r="C197">
        <v>1.3653957584888168</v>
      </c>
      <c r="D197">
        <v>6.9477532727916019E-3</v>
      </c>
    </row>
    <row r="198" spans="1:4" x14ac:dyDescent="0.25">
      <c r="A198">
        <v>45842</v>
      </c>
      <c r="B198">
        <v>1.1767000000000001</v>
      </c>
      <c r="C198">
        <v>1.3642898550724638</v>
      </c>
      <c r="D198">
        <v>6.9250235404896433E-3</v>
      </c>
    </row>
    <row r="199" spans="1:4" x14ac:dyDescent="0.25">
      <c r="A199">
        <v>45843</v>
      </c>
      <c r="B199">
        <v>1.1740999999999999</v>
      </c>
      <c r="C199">
        <v>1.344286695672086</v>
      </c>
      <c r="D199">
        <v>6.7570211786372007E-3</v>
      </c>
    </row>
    <row r="200" spans="1:4" x14ac:dyDescent="0.25">
      <c r="A200">
        <v>45844</v>
      </c>
      <c r="B200">
        <v>1.1724000000000001</v>
      </c>
      <c r="C200">
        <v>1.3469669117647061</v>
      </c>
      <c r="D200">
        <v>6.7977039485127852E-3</v>
      </c>
    </row>
    <row r="201" spans="1:4" x14ac:dyDescent="0.25">
      <c r="A201">
        <v>45845</v>
      </c>
      <c r="B201">
        <v>1.1728000000000001</v>
      </c>
      <c r="C201">
        <v>1.3619788642434096</v>
      </c>
      <c r="D201">
        <v>6.8701306308944993E-3</v>
      </c>
    </row>
    <row r="202" spans="1:4" x14ac:dyDescent="0.25">
      <c r="A202">
        <v>45846</v>
      </c>
      <c r="B202">
        <v>1.1718</v>
      </c>
      <c r="C202">
        <v>1.3575069508804449</v>
      </c>
      <c r="D202">
        <v>6.8246942341292959E-3</v>
      </c>
    </row>
    <row r="203" spans="1:4" x14ac:dyDescent="0.25">
      <c r="A203">
        <v>45847</v>
      </c>
      <c r="B203">
        <v>1.1698</v>
      </c>
      <c r="C203">
        <v>1.3581794961105307</v>
      </c>
      <c r="D203">
        <v>6.815824739264697E-3</v>
      </c>
    </row>
    <row r="204" spans="1:4" x14ac:dyDescent="0.25">
      <c r="A204">
        <v>45848</v>
      </c>
      <c r="B204">
        <v>1.1709000000000001</v>
      </c>
      <c r="C204">
        <v>1.357250492639388</v>
      </c>
      <c r="D204">
        <v>6.8341796533006481E-3</v>
      </c>
    </row>
    <row r="205" spans="1:4" x14ac:dyDescent="0.25">
      <c r="A205">
        <v>45849</v>
      </c>
      <c r="B205">
        <v>1.1682999999999999</v>
      </c>
      <c r="C205">
        <v>1.3495437218435946</v>
      </c>
      <c r="D205">
        <v>6.7999534369361497E-3</v>
      </c>
    </row>
    <row r="206" spans="1:4" x14ac:dyDescent="0.25">
      <c r="A206">
        <v>45850</v>
      </c>
      <c r="B206">
        <v>1.1611</v>
      </c>
      <c r="C206">
        <v>1.3372106414833584</v>
      </c>
      <c r="D206">
        <v>6.5450958286358508E-3</v>
      </c>
    </row>
    <row r="207" spans="1:4" x14ac:dyDescent="0.25">
      <c r="A207">
        <v>45851</v>
      </c>
      <c r="B207">
        <v>1.1568000000000001</v>
      </c>
      <c r="C207">
        <v>1.3282810885291079</v>
      </c>
      <c r="D207">
        <v>6.5555933356001364E-3</v>
      </c>
    </row>
    <row r="208" spans="1:4" x14ac:dyDescent="0.25">
      <c r="A208">
        <v>45852</v>
      </c>
      <c r="B208">
        <v>1.169</v>
      </c>
      <c r="C208">
        <v>1.3487942771431869</v>
      </c>
      <c r="D208">
        <v>6.7858594067452252E-3</v>
      </c>
    </row>
    <row r="209" spans="1:4" x14ac:dyDescent="0.25">
      <c r="A209">
        <v>45853</v>
      </c>
      <c r="B209">
        <v>1.1665000000000001</v>
      </c>
      <c r="C209">
        <v>1.3440488535545572</v>
      </c>
      <c r="D209">
        <v>6.7591841464827909E-3</v>
      </c>
    </row>
    <row r="210" spans="1:4" x14ac:dyDescent="0.25">
      <c r="A210">
        <v>45854</v>
      </c>
      <c r="B210">
        <v>1.1601999999999999</v>
      </c>
      <c r="C210">
        <v>1.3398775840166299</v>
      </c>
      <c r="D210">
        <v>6.723458507185906E-3</v>
      </c>
    </row>
    <row r="211" spans="1:4" x14ac:dyDescent="0.25">
      <c r="A211">
        <v>45855</v>
      </c>
      <c r="B211">
        <v>1.1578999999999999</v>
      </c>
      <c r="C211">
        <v>1.3395418787598334</v>
      </c>
      <c r="D211">
        <v>6.7210355235662869E-3</v>
      </c>
    </row>
    <row r="212" spans="1:4" x14ac:dyDescent="0.25">
      <c r="A212">
        <v>45856</v>
      </c>
      <c r="B212">
        <v>1.165</v>
      </c>
      <c r="C212">
        <v>1.3458872458410351</v>
      </c>
      <c r="D212">
        <v>6.7364403839481907E-3</v>
      </c>
    </row>
    <row r="213" spans="1:4" x14ac:dyDescent="0.25">
      <c r="A213">
        <v>45857</v>
      </c>
      <c r="B213">
        <v>1.1655</v>
      </c>
      <c r="C213">
        <v>1.3410424577148774</v>
      </c>
      <c r="D213">
        <v>6.6330886119173637E-3</v>
      </c>
    </row>
    <row r="214" spans="1:4" x14ac:dyDescent="0.25">
      <c r="A214">
        <v>45858</v>
      </c>
      <c r="B214">
        <v>1.1607000000000001</v>
      </c>
      <c r="C214">
        <v>1.3375201659368519</v>
      </c>
      <c r="D214">
        <v>6.5780674412014746E-3</v>
      </c>
    </row>
    <row r="215" spans="1:4" x14ac:dyDescent="0.25">
      <c r="A215">
        <v>45859</v>
      </c>
      <c r="B215">
        <v>1.1667000000000001</v>
      </c>
      <c r="C215">
        <v>1.3478512014787432</v>
      </c>
      <c r="D215">
        <v>6.7823508894314611E-3</v>
      </c>
    </row>
    <row r="216" spans="1:4" x14ac:dyDescent="0.25">
      <c r="A216">
        <v>45860</v>
      </c>
      <c r="B216">
        <v>1.1698999999999999</v>
      </c>
      <c r="C216">
        <v>1.3485878962536022</v>
      </c>
      <c r="D216">
        <v>6.795028169832143E-3</v>
      </c>
    </row>
    <row r="217" spans="1:4" x14ac:dyDescent="0.25">
      <c r="A217">
        <v>45861</v>
      </c>
      <c r="B217">
        <v>1.1726000000000001</v>
      </c>
      <c r="C217">
        <v>1.353260242354299</v>
      </c>
      <c r="D217">
        <v>6.8361219611729734E-3</v>
      </c>
    </row>
    <row r="218" spans="1:4" x14ac:dyDescent="0.25">
      <c r="A218">
        <v>45862</v>
      </c>
      <c r="B218">
        <v>1.1756</v>
      </c>
      <c r="C218">
        <v>1.355158501440922</v>
      </c>
      <c r="D218">
        <v>6.8261525955173614E-3</v>
      </c>
    </row>
    <row r="219" spans="1:4" x14ac:dyDescent="0.25">
      <c r="A219">
        <v>45863</v>
      </c>
      <c r="B219">
        <v>1.1724000000000001</v>
      </c>
      <c r="C219">
        <v>1.3452667814113597</v>
      </c>
      <c r="D219">
        <v>6.7725723528392354E-3</v>
      </c>
    </row>
    <row r="220" spans="1:4" x14ac:dyDescent="0.25">
      <c r="A220">
        <v>45864</v>
      </c>
      <c r="B220">
        <v>1.1636</v>
      </c>
      <c r="C220">
        <v>1.3212217554218235</v>
      </c>
      <c r="D220">
        <v>6.5714124357598687E-3</v>
      </c>
    </row>
    <row r="221" spans="1:4" x14ac:dyDescent="0.25">
      <c r="A221">
        <v>45865</v>
      </c>
      <c r="B221">
        <v>1.155</v>
      </c>
      <c r="C221">
        <v>1.312350869219407</v>
      </c>
      <c r="D221">
        <v>6.4753041430733868E-3</v>
      </c>
    </row>
    <row r="222" spans="1:4" x14ac:dyDescent="0.25">
      <c r="A222">
        <v>45866</v>
      </c>
      <c r="B222">
        <v>1.1654</v>
      </c>
      <c r="C222">
        <v>1.3427814264316165</v>
      </c>
      <c r="D222">
        <v>6.750072400810889E-3</v>
      </c>
    </row>
    <row r="223" spans="1:4" x14ac:dyDescent="0.25">
      <c r="A223">
        <v>45867</v>
      </c>
      <c r="B223">
        <v>1.1533</v>
      </c>
      <c r="C223">
        <v>1.3332947976878613</v>
      </c>
      <c r="D223">
        <v>6.7216458794731315E-3</v>
      </c>
    </row>
    <row r="224" spans="1:4" x14ac:dyDescent="0.25">
      <c r="A224">
        <v>45868</v>
      </c>
      <c r="B224">
        <v>1.1527000000000001</v>
      </c>
      <c r="C224">
        <v>1.3369287868244029</v>
      </c>
      <c r="D224">
        <v>6.7425128685072531E-3</v>
      </c>
    </row>
    <row r="225" spans="1:4" x14ac:dyDescent="0.25">
      <c r="A225">
        <v>45869</v>
      </c>
      <c r="B225">
        <v>1.1446000000000001</v>
      </c>
      <c r="C225">
        <v>1.3233899872817667</v>
      </c>
      <c r="D225">
        <v>6.6732742537313431E-3</v>
      </c>
    </row>
    <row r="226" spans="1:4" x14ac:dyDescent="0.25">
      <c r="A226">
        <v>45870</v>
      </c>
      <c r="B226">
        <v>1.1404000000000001</v>
      </c>
      <c r="C226">
        <v>1.3160992498557416</v>
      </c>
      <c r="D226">
        <v>6.6453003904201387E-3</v>
      </c>
    </row>
    <row r="227" spans="1:4" x14ac:dyDescent="0.25">
      <c r="A227">
        <v>45871</v>
      </c>
      <c r="B227">
        <v>1.1560999999999999</v>
      </c>
      <c r="C227">
        <v>1.3121098626716603</v>
      </c>
      <c r="D227">
        <v>6.5320074580484761E-3</v>
      </c>
    </row>
    <row r="228" spans="1:4" x14ac:dyDescent="0.25">
      <c r="A228">
        <v>45872</v>
      </c>
      <c r="B228">
        <v>1.1571</v>
      </c>
      <c r="C228">
        <v>1.3181818181818181</v>
      </c>
      <c r="D228">
        <v>6.489260277045595E-3</v>
      </c>
    </row>
    <row r="229" spans="1:4" x14ac:dyDescent="0.25">
      <c r="A229">
        <v>45873</v>
      </c>
      <c r="B229">
        <v>1.1565000000000001</v>
      </c>
      <c r="C229">
        <v>1.3286994485294119</v>
      </c>
      <c r="D229">
        <v>6.7849809328248759E-3</v>
      </c>
    </row>
    <row r="230" spans="1:4" x14ac:dyDescent="0.25">
      <c r="A230">
        <v>45874</v>
      </c>
      <c r="B230">
        <v>1.1546000000000001</v>
      </c>
      <c r="C230">
        <v>1.3281950995053493</v>
      </c>
      <c r="D230">
        <v>6.7750264053514858E-3</v>
      </c>
    </row>
    <row r="231" spans="1:4" x14ac:dyDescent="0.25">
      <c r="A231">
        <v>45875</v>
      </c>
      <c r="B231">
        <v>1.1604000000000001</v>
      </c>
      <c r="C231">
        <v>1.3311919238270047</v>
      </c>
      <c r="D231">
        <v>6.7772456488727961E-3</v>
      </c>
    </row>
    <row r="232" spans="1:4" x14ac:dyDescent="0.25">
      <c r="A232">
        <v>45876</v>
      </c>
      <c r="B232">
        <v>1.1642999999999999</v>
      </c>
      <c r="C232">
        <v>1.3424420615703907</v>
      </c>
      <c r="D232">
        <v>6.7849650349650348E-3</v>
      </c>
    </row>
    <row r="233" spans="1:4" x14ac:dyDescent="0.25">
      <c r="A233">
        <v>45877</v>
      </c>
      <c r="B233">
        <v>1.1648000000000001</v>
      </c>
      <c r="C233">
        <v>1.343328335832084</v>
      </c>
      <c r="D233">
        <v>6.7650133581136024E-3</v>
      </c>
    </row>
    <row r="234" spans="1:4" x14ac:dyDescent="0.25">
      <c r="A234">
        <v>45878</v>
      </c>
      <c r="B234">
        <v>1.159</v>
      </c>
      <c r="C234">
        <v>1.3139099875297586</v>
      </c>
      <c r="D234">
        <v>6.4410359008558408E-3</v>
      </c>
    </row>
    <row r="235" spans="1:4" x14ac:dyDescent="0.25">
      <c r="A235">
        <v>45879</v>
      </c>
      <c r="B235">
        <v>1.1583000000000001</v>
      </c>
      <c r="C235">
        <v>1.3122238586156112</v>
      </c>
      <c r="D235">
        <v>6.4047553220901304E-3</v>
      </c>
    </row>
    <row r="236" spans="1:4" x14ac:dyDescent="0.25">
      <c r="A236">
        <v>45880</v>
      </c>
      <c r="B236">
        <v>1.1621999999999999</v>
      </c>
      <c r="C236">
        <v>1.3426524953789278</v>
      </c>
      <c r="D236">
        <v>6.7624810892586975E-3</v>
      </c>
    </row>
    <row r="237" spans="1:4" x14ac:dyDescent="0.25">
      <c r="A237">
        <v>45881</v>
      </c>
      <c r="B237">
        <v>1.1606000000000001</v>
      </c>
      <c r="C237">
        <v>1.3462475350887368</v>
      </c>
      <c r="D237">
        <v>6.7359257109692395E-3</v>
      </c>
    </row>
    <row r="238" spans="1:4" x14ac:dyDescent="0.25">
      <c r="A238">
        <v>45882</v>
      </c>
      <c r="B238">
        <v>1.1711</v>
      </c>
      <c r="C238">
        <v>1.3568532035685321</v>
      </c>
      <c r="D238">
        <v>6.790166405751725E-3</v>
      </c>
    </row>
    <row r="239" spans="1:4" x14ac:dyDescent="0.25">
      <c r="A239">
        <v>45883</v>
      </c>
      <c r="B239">
        <v>1.169</v>
      </c>
      <c r="C239">
        <v>1.3577235772357725</v>
      </c>
      <c r="D239">
        <v>6.824284880326912E-3</v>
      </c>
    </row>
    <row r="240" spans="1:4" x14ac:dyDescent="0.25">
      <c r="A240">
        <v>45884</v>
      </c>
      <c r="B240">
        <v>1.1688000000000001</v>
      </c>
      <c r="C240">
        <v>1.3556019485038275</v>
      </c>
      <c r="D240">
        <v>6.8028636284267509E-3</v>
      </c>
    </row>
    <row r="241" spans="1:4" x14ac:dyDescent="0.25">
      <c r="A241">
        <v>45885</v>
      </c>
      <c r="B241">
        <v>1.1586000000000001</v>
      </c>
      <c r="C241">
        <v>1.3235092529129542</v>
      </c>
      <c r="D241">
        <v>6.3972171608414775E-3</v>
      </c>
    </row>
    <row r="242" spans="1:4" x14ac:dyDescent="0.25">
      <c r="A242">
        <v>45886</v>
      </c>
      <c r="B242">
        <v>1.1566000000000001</v>
      </c>
      <c r="C242">
        <v>1.3215265082266912</v>
      </c>
      <c r="D242">
        <v>6.405272193609127E-3</v>
      </c>
    </row>
    <row r="243" spans="1:4" x14ac:dyDescent="0.25">
      <c r="A243">
        <v>45887</v>
      </c>
      <c r="B243">
        <v>1.1673</v>
      </c>
      <c r="C243">
        <v>1.3540192553068089</v>
      </c>
      <c r="D243">
        <v>6.7759911766413182E-3</v>
      </c>
    </row>
    <row r="244" spans="1:4" x14ac:dyDescent="0.25">
      <c r="A244">
        <v>45888</v>
      </c>
      <c r="B244">
        <v>1.1681999999999999</v>
      </c>
      <c r="C244">
        <v>1.3520833333333333</v>
      </c>
      <c r="D244">
        <v>6.7655064574042969E-3</v>
      </c>
    </row>
    <row r="245" spans="1:4" x14ac:dyDescent="0.25">
      <c r="A245">
        <v>45889</v>
      </c>
      <c r="B245">
        <v>1.1651</v>
      </c>
      <c r="C245">
        <v>1.3477154424522846</v>
      </c>
      <c r="D245">
        <v>6.7829073761425159E-3</v>
      </c>
    </row>
    <row r="246" spans="1:4" x14ac:dyDescent="0.25">
      <c r="A246">
        <v>45890</v>
      </c>
      <c r="B246">
        <v>1.1638999999999999</v>
      </c>
      <c r="C246">
        <v>1.3449272012941993</v>
      </c>
      <c r="D246">
        <v>6.7633215178104474E-3</v>
      </c>
    </row>
    <row r="247" spans="1:4" x14ac:dyDescent="0.25">
      <c r="A247">
        <v>45891</v>
      </c>
      <c r="B247">
        <v>1.1608000000000001</v>
      </c>
      <c r="C247">
        <v>1.3415000577834277</v>
      </c>
      <c r="D247">
        <v>6.725376593279259E-3</v>
      </c>
    </row>
    <row r="248" spans="1:4" x14ac:dyDescent="0.25">
      <c r="A248">
        <v>45892</v>
      </c>
      <c r="B248">
        <v>1.1655</v>
      </c>
      <c r="C248">
        <v>1.3326091927738395</v>
      </c>
      <c r="D248">
        <v>6.4289260301174916E-3</v>
      </c>
    </row>
    <row r="249" spans="1:4" x14ac:dyDescent="0.25">
      <c r="A249">
        <v>45893</v>
      </c>
      <c r="B249">
        <v>1.1637</v>
      </c>
      <c r="C249">
        <v>1.3322266742987978</v>
      </c>
      <c r="D249">
        <v>6.3953616179380076E-3</v>
      </c>
    </row>
    <row r="250" spans="1:4" x14ac:dyDescent="0.25">
      <c r="A250">
        <v>45894</v>
      </c>
      <c r="B250">
        <v>1.1697</v>
      </c>
      <c r="C250">
        <v>1.3508488278092159</v>
      </c>
      <c r="D250">
        <v>6.7863773497331163E-3</v>
      </c>
    </row>
    <row r="251" spans="1:4" x14ac:dyDescent="0.25">
      <c r="A251">
        <v>45895</v>
      </c>
      <c r="B251">
        <v>1.1656</v>
      </c>
      <c r="C251">
        <v>1.3487618606803982</v>
      </c>
      <c r="D251">
        <v>6.7858182453280546E-3</v>
      </c>
    </row>
    <row r="252" spans="1:4" x14ac:dyDescent="0.25">
      <c r="A252">
        <v>45896</v>
      </c>
      <c r="B252">
        <v>1.1593</v>
      </c>
      <c r="C252">
        <v>1.3439601205657314</v>
      </c>
      <c r="D252">
        <v>6.7546466235506612E-3</v>
      </c>
    </row>
    <row r="253" spans="1:4" x14ac:dyDescent="0.25">
      <c r="A253">
        <v>45897</v>
      </c>
      <c r="B253">
        <v>1.1676</v>
      </c>
      <c r="C253">
        <v>1.3518582841264328</v>
      </c>
      <c r="D253">
        <v>6.8089573128061586E-3</v>
      </c>
    </row>
    <row r="254" spans="1:4" x14ac:dyDescent="0.25">
      <c r="A254">
        <v>45898</v>
      </c>
      <c r="B254">
        <v>1.1657999999999999</v>
      </c>
      <c r="C254">
        <v>1.3449469312413473</v>
      </c>
      <c r="D254">
        <v>6.7889587700908456E-3</v>
      </c>
    </row>
    <row r="255" spans="1:4" x14ac:dyDescent="0.25">
      <c r="A255">
        <v>45899</v>
      </c>
      <c r="B255">
        <v>1.1721999999999999</v>
      </c>
      <c r="C255">
        <v>1.3343198634035287</v>
      </c>
      <c r="D255">
        <v>6.4272398289286102E-3</v>
      </c>
    </row>
    <row r="256" spans="1:4" x14ac:dyDescent="0.25">
      <c r="A256">
        <v>45900</v>
      </c>
      <c r="B256">
        <v>1.1718999999999999</v>
      </c>
      <c r="C256">
        <v>1.3399268236908299</v>
      </c>
      <c r="D256">
        <v>6.4196110654615168E-3</v>
      </c>
    </row>
    <row r="257" spans="1:4" x14ac:dyDescent="0.25">
      <c r="A257">
        <v>45901</v>
      </c>
      <c r="B257">
        <v>1.1715</v>
      </c>
      <c r="C257">
        <v>1.3524590163934427</v>
      </c>
      <c r="D257">
        <v>6.7924856496782045E-3</v>
      </c>
    </row>
    <row r="258" spans="1:4" x14ac:dyDescent="0.25">
      <c r="A258">
        <v>45902</v>
      </c>
      <c r="B258">
        <v>1.1646000000000001</v>
      </c>
      <c r="C258">
        <v>1.3383130314870146</v>
      </c>
      <c r="D258">
        <v>6.727902946273831E-3</v>
      </c>
    </row>
    <row r="259" spans="1:4" x14ac:dyDescent="0.25">
      <c r="A259">
        <v>45903</v>
      </c>
      <c r="B259">
        <v>1.1653</v>
      </c>
      <c r="C259">
        <v>1.3414297225739611</v>
      </c>
      <c r="D259">
        <v>6.7292256164462674E-3</v>
      </c>
    </row>
    <row r="260" spans="1:4" x14ac:dyDescent="0.25">
      <c r="A260">
        <v>45904</v>
      </c>
      <c r="B260">
        <v>1.1647000000000001</v>
      </c>
      <c r="C260">
        <v>1.3444534226018701</v>
      </c>
      <c r="D260">
        <v>6.7417226209770791E-3</v>
      </c>
    </row>
    <row r="261" spans="1:4" x14ac:dyDescent="0.25">
      <c r="A261">
        <v>45905</v>
      </c>
      <c r="B261">
        <v>1.1697</v>
      </c>
      <c r="C261">
        <v>1.347891219174925</v>
      </c>
      <c r="D261">
        <v>6.7577560806516834E-3</v>
      </c>
    </row>
    <row r="262" spans="1:4" x14ac:dyDescent="0.25">
      <c r="A262">
        <v>45906</v>
      </c>
      <c r="B262">
        <v>1.1757</v>
      </c>
      <c r="C262">
        <v>1.3495179063360883</v>
      </c>
      <c r="D262">
        <v>6.4077828646173975E-3</v>
      </c>
    </row>
    <row r="263" spans="1:4" x14ac:dyDescent="0.25">
      <c r="A263">
        <v>45907</v>
      </c>
      <c r="B263">
        <v>1.175</v>
      </c>
      <c r="C263">
        <v>1.3465505386202155</v>
      </c>
      <c r="D263">
        <v>6.3827475691237987E-3</v>
      </c>
    </row>
    <row r="264" spans="1:4" x14ac:dyDescent="0.25">
      <c r="A264">
        <v>45908</v>
      </c>
      <c r="B264">
        <v>1.1728000000000001</v>
      </c>
      <c r="C264">
        <v>1.3528665359326335</v>
      </c>
      <c r="D264">
        <v>6.7639425572409029E-3</v>
      </c>
    </row>
    <row r="265" spans="1:4" x14ac:dyDescent="0.25">
      <c r="A265">
        <v>45909</v>
      </c>
      <c r="B265">
        <v>1.1744000000000001</v>
      </c>
      <c r="C265">
        <v>1.3556504675054832</v>
      </c>
      <c r="D265">
        <v>6.8136458575075425E-3</v>
      </c>
    </row>
    <row r="266" spans="1:4" x14ac:dyDescent="0.25">
      <c r="A266">
        <v>45910</v>
      </c>
      <c r="B266">
        <v>1.1707000000000001</v>
      </c>
      <c r="C266">
        <v>1.3534104046242776</v>
      </c>
      <c r="D266">
        <v>6.7799849423756308E-3</v>
      </c>
    </row>
    <row r="267" spans="1:4" x14ac:dyDescent="0.25">
      <c r="A267">
        <v>45911</v>
      </c>
      <c r="B267">
        <v>1.1685000000000001</v>
      </c>
      <c r="C267">
        <v>1.3513357233722678</v>
      </c>
      <c r="D267">
        <v>6.7590236001850998E-3</v>
      </c>
    </row>
    <row r="268" spans="1:4" x14ac:dyDescent="0.25">
      <c r="A268">
        <v>45912</v>
      </c>
      <c r="B268">
        <v>1.1718</v>
      </c>
      <c r="C268">
        <v>1.3542124118802727</v>
      </c>
      <c r="D268">
        <v>6.7605146252812543E-3</v>
      </c>
    </row>
    <row r="269" spans="1:4" x14ac:dyDescent="0.25">
      <c r="A269">
        <v>45913</v>
      </c>
      <c r="B269">
        <v>1.1641999999999999</v>
      </c>
      <c r="C269">
        <v>1.3417079635818829</v>
      </c>
      <c r="D269">
        <v>6.3437227550130768E-3</v>
      </c>
    </row>
    <row r="270" spans="1:4" x14ac:dyDescent="0.25">
      <c r="A270">
        <v>45914</v>
      </c>
      <c r="B270">
        <v>1.1692</v>
      </c>
      <c r="C270">
        <v>1.3479363615402353</v>
      </c>
      <c r="D270">
        <v>6.3398763691573587E-3</v>
      </c>
    </row>
    <row r="271" spans="1:4" x14ac:dyDescent="0.25">
      <c r="A271">
        <v>45915</v>
      </c>
      <c r="B271">
        <v>1.1766000000000001</v>
      </c>
      <c r="C271">
        <v>1.3616479574123366</v>
      </c>
      <c r="D271">
        <v>6.7862498558080523E-3</v>
      </c>
    </row>
    <row r="272" spans="1:4" x14ac:dyDescent="0.25">
      <c r="A272">
        <v>45916</v>
      </c>
      <c r="B272">
        <v>1.1807000000000001</v>
      </c>
      <c r="C272">
        <v>1.3640249537892792</v>
      </c>
      <c r="D272">
        <v>6.8032267358110058E-3</v>
      </c>
    </row>
    <row r="273" spans="1:4" x14ac:dyDescent="0.25">
      <c r="A273">
        <v>45917</v>
      </c>
      <c r="B273">
        <v>1.1837</v>
      </c>
      <c r="C273">
        <v>1.3644956772334293</v>
      </c>
      <c r="D273">
        <v>6.8311403508771931E-3</v>
      </c>
    </row>
    <row r="274" spans="1:4" x14ac:dyDescent="0.25">
      <c r="A274">
        <v>45918</v>
      </c>
      <c r="B274">
        <v>1.1818</v>
      </c>
      <c r="C274">
        <v>1.3615207373271889</v>
      </c>
      <c r="D274">
        <v>6.7825987144168954E-3</v>
      </c>
    </row>
    <row r="275" spans="1:4" x14ac:dyDescent="0.25">
      <c r="A275">
        <v>45919</v>
      </c>
      <c r="B275">
        <v>1.1736</v>
      </c>
      <c r="C275">
        <v>1.3477262287551677</v>
      </c>
      <c r="D275">
        <v>6.7529777317452098E-3</v>
      </c>
    </row>
    <row r="276" spans="1:4" x14ac:dyDescent="0.25">
      <c r="A276">
        <v>45920</v>
      </c>
      <c r="B276">
        <v>1.1728000000000001</v>
      </c>
      <c r="C276">
        <v>1.3446457234579225</v>
      </c>
      <c r="D276">
        <v>6.3332973323253052E-3</v>
      </c>
    </row>
    <row r="277" spans="1:4" x14ac:dyDescent="0.25">
      <c r="A277">
        <v>45921</v>
      </c>
      <c r="B277">
        <v>1.1738999999999999</v>
      </c>
      <c r="C277">
        <v>1.3425205855443734</v>
      </c>
      <c r="D277">
        <v>6.3375263186308912E-3</v>
      </c>
    </row>
    <row r="278" spans="1:4" x14ac:dyDescent="0.25">
      <c r="A278">
        <v>45922</v>
      </c>
      <c r="B278">
        <v>1.1780999999999999</v>
      </c>
      <c r="C278">
        <v>1.3496391339214113</v>
      </c>
      <c r="D278">
        <v>6.7640810702187517E-3</v>
      </c>
    </row>
    <row r="279" spans="1:4" x14ac:dyDescent="0.25">
      <c r="A279">
        <v>45923</v>
      </c>
      <c r="B279">
        <v>1.1793</v>
      </c>
      <c r="C279">
        <v>1.3510138618398442</v>
      </c>
      <c r="D279">
        <v>6.7659208261617899E-3</v>
      </c>
    </row>
    <row r="280" spans="1:4" x14ac:dyDescent="0.25">
      <c r="A280">
        <v>45924</v>
      </c>
      <c r="B280">
        <v>1.1756</v>
      </c>
      <c r="C280">
        <v>1.3464666132172718</v>
      </c>
      <c r="D280">
        <v>6.7365767004756178E-3</v>
      </c>
    </row>
    <row r="281" spans="1:4" x14ac:dyDescent="0.25">
      <c r="A281">
        <v>45925</v>
      </c>
      <c r="B281">
        <v>1.1738999999999999</v>
      </c>
      <c r="C281">
        <v>1.3419067215363512</v>
      </c>
      <c r="D281">
        <v>6.7195191757298224E-3</v>
      </c>
    </row>
    <row r="282" spans="1:4" x14ac:dyDescent="0.25">
      <c r="A282">
        <v>45926</v>
      </c>
      <c r="B282">
        <v>1.1672</v>
      </c>
      <c r="C282">
        <v>1.3354691075514875</v>
      </c>
      <c r="D282">
        <v>6.6777275587848279E-3</v>
      </c>
    </row>
    <row r="283" spans="1:4" x14ac:dyDescent="0.25">
      <c r="A283">
        <v>45927</v>
      </c>
      <c r="B283">
        <v>1.1968000000000001</v>
      </c>
      <c r="C283">
        <v>1.3816670514892635</v>
      </c>
      <c r="D283">
        <v>6.5227817745803366E-3</v>
      </c>
    </row>
    <row r="284" spans="1:4" x14ac:dyDescent="0.25">
      <c r="A284">
        <v>45928</v>
      </c>
      <c r="B284">
        <v>1.1919</v>
      </c>
      <c r="C284">
        <v>1.376010159316555</v>
      </c>
      <c r="D284">
        <v>6.4921836701345385E-3</v>
      </c>
    </row>
    <row r="285" spans="1:4" x14ac:dyDescent="0.25">
      <c r="A285">
        <v>45929</v>
      </c>
      <c r="B285">
        <v>1.1722999999999999</v>
      </c>
      <c r="C285">
        <v>1.3439183767052618</v>
      </c>
      <c r="D285">
        <v>6.7226746186489269E-3</v>
      </c>
    </row>
    <row r="286" spans="1:4" x14ac:dyDescent="0.25">
      <c r="A286">
        <v>45930</v>
      </c>
      <c r="B286">
        <v>1.1740999999999999</v>
      </c>
      <c r="C286">
        <v>1.344286695672086</v>
      </c>
      <c r="D286">
        <v>6.7570211786372007E-3</v>
      </c>
    </row>
    <row r="287" spans="1:4" x14ac:dyDescent="0.25">
      <c r="A287">
        <v>45931</v>
      </c>
      <c r="B287">
        <v>1.1724000000000001</v>
      </c>
      <c r="C287">
        <v>1.3469669117647061</v>
      </c>
      <c r="D287">
        <v>6.7977039485127852E-3</v>
      </c>
    </row>
    <row r="288" spans="1:4" x14ac:dyDescent="0.25">
      <c r="A288">
        <v>45932</v>
      </c>
      <c r="B288">
        <v>1.1754</v>
      </c>
      <c r="C288">
        <v>1.3477812177502579</v>
      </c>
      <c r="D288">
        <v>6.8127282211789255E-3</v>
      </c>
    </row>
    <row r="289" spans="1:4" x14ac:dyDescent="0.25">
      <c r="A289">
        <v>45933</v>
      </c>
      <c r="B289">
        <v>1.1734</v>
      </c>
      <c r="C289">
        <v>1.3447169378867752</v>
      </c>
      <c r="D289">
        <v>6.7865818392134182E-3</v>
      </c>
    </row>
    <row r="290" spans="1:4" x14ac:dyDescent="0.25">
      <c r="A290">
        <v>45934</v>
      </c>
      <c r="B290">
        <v>1.1886000000000001</v>
      </c>
      <c r="C290">
        <v>1.3660498793242157</v>
      </c>
      <c r="D290">
        <v>6.4023700511715602E-3</v>
      </c>
    </row>
    <row r="291" spans="1:4" x14ac:dyDescent="0.25">
      <c r="A291">
        <v>45935</v>
      </c>
      <c r="B291">
        <v>1.1894</v>
      </c>
      <c r="C291">
        <v>1.3679125934445082</v>
      </c>
      <c r="D291">
        <v>6.4462630751720776E-3</v>
      </c>
    </row>
    <row r="292" spans="1:4" x14ac:dyDescent="0.25">
      <c r="A292">
        <v>45936</v>
      </c>
      <c r="B292">
        <v>1.1677999999999999</v>
      </c>
      <c r="C292">
        <v>1.3430707303047726</v>
      </c>
      <c r="D292">
        <v>6.6647642963132058E-3</v>
      </c>
    </row>
    <row r="293" spans="1:4" x14ac:dyDescent="0.25">
      <c r="A293">
        <v>45937</v>
      </c>
      <c r="B293">
        <v>1.1666000000000001</v>
      </c>
      <c r="C293">
        <v>1.3404573135700335</v>
      </c>
      <c r="D293">
        <v>6.6265265549559785E-3</v>
      </c>
    </row>
    <row r="294" spans="1:4" x14ac:dyDescent="0.25">
      <c r="A294">
        <v>45938</v>
      </c>
      <c r="B294">
        <v>1.1627000000000001</v>
      </c>
      <c r="C294">
        <v>1.3409064698420021</v>
      </c>
      <c r="D294">
        <v>6.5493156086295279E-3</v>
      </c>
    </row>
    <row r="295" spans="1:4" x14ac:dyDescent="0.25">
      <c r="A295">
        <v>45939</v>
      </c>
      <c r="B295">
        <v>1.1611</v>
      </c>
      <c r="C295">
        <v>1.3372106414833584</v>
      </c>
      <c r="D295">
        <v>6.5450958286358508E-3</v>
      </c>
    </row>
    <row r="296" spans="1:4" x14ac:dyDescent="0.25">
      <c r="A296">
        <v>45940</v>
      </c>
      <c r="B296">
        <v>1.1568000000000001</v>
      </c>
      <c r="C296">
        <v>1.3282810885291079</v>
      </c>
      <c r="D296">
        <v>6.5555933356001364E-3</v>
      </c>
    </row>
    <row r="297" spans="1:4" x14ac:dyDescent="0.25">
      <c r="A297">
        <v>45941</v>
      </c>
      <c r="B297">
        <v>1.1845000000000001</v>
      </c>
      <c r="C297">
        <v>1.3577487391104999</v>
      </c>
      <c r="D297">
        <v>6.5085993735919554E-3</v>
      </c>
    </row>
    <row r="298" spans="1:4" x14ac:dyDescent="0.25">
      <c r="A298">
        <v>45942</v>
      </c>
      <c r="B298">
        <v>1.1753</v>
      </c>
      <c r="C298">
        <v>1.3450446326390477</v>
      </c>
      <c r="D298">
        <v>6.4559187036528423E-3</v>
      </c>
    </row>
    <row r="299" spans="1:4" x14ac:dyDescent="0.25">
      <c r="A299">
        <v>45943</v>
      </c>
      <c r="B299">
        <v>1.1569</v>
      </c>
      <c r="C299">
        <v>1.3332949175982483</v>
      </c>
      <c r="D299">
        <v>6.5740425048300948E-3</v>
      </c>
    </row>
    <row r="300" spans="1:4" x14ac:dyDescent="0.25">
      <c r="A300">
        <v>45944</v>
      </c>
      <c r="B300">
        <v>1.1553</v>
      </c>
      <c r="C300">
        <v>1.3261019283746556</v>
      </c>
      <c r="D300">
        <v>6.5746642385613478E-3</v>
      </c>
    </row>
    <row r="301" spans="1:4" x14ac:dyDescent="0.25">
      <c r="A301">
        <v>45945</v>
      </c>
      <c r="B301">
        <v>1.1621999999999999</v>
      </c>
      <c r="C301">
        <v>1.3350947731188969</v>
      </c>
      <c r="D301">
        <v>6.5985351728836648E-3</v>
      </c>
    </row>
    <row r="302" spans="1:4" x14ac:dyDescent="0.25">
      <c r="A302">
        <v>45946</v>
      </c>
      <c r="B302">
        <v>1.1649</v>
      </c>
      <c r="C302">
        <v>1.3426694329183955</v>
      </c>
      <c r="D302">
        <v>6.6101117857345522E-3</v>
      </c>
    </row>
    <row r="303" spans="1:4" x14ac:dyDescent="0.25">
      <c r="A303">
        <v>45947</v>
      </c>
      <c r="B303">
        <v>1.1680999999999999</v>
      </c>
      <c r="C303">
        <v>1.3434157561817135</v>
      </c>
      <c r="D303">
        <v>6.6482640865110987E-3</v>
      </c>
    </row>
    <row r="304" spans="1:4" x14ac:dyDescent="0.25">
      <c r="A304">
        <v>45948</v>
      </c>
      <c r="B304">
        <v>1.1805000000000001</v>
      </c>
      <c r="C304">
        <v>1.347141389934954</v>
      </c>
      <c r="D304">
        <v>6.411231195351111E-3</v>
      </c>
    </row>
    <row r="305" spans="1:4" x14ac:dyDescent="0.25">
      <c r="A305">
        <v>45949</v>
      </c>
      <c r="B305">
        <v>1.1698</v>
      </c>
      <c r="C305">
        <v>1.3385970934889575</v>
      </c>
      <c r="D305">
        <v>6.3510505456322273E-3</v>
      </c>
    </row>
    <row r="306" spans="1:4" x14ac:dyDescent="0.25">
      <c r="A306">
        <v>45950</v>
      </c>
      <c r="B306">
        <v>1.1655</v>
      </c>
      <c r="C306">
        <v>1.3410424577148774</v>
      </c>
      <c r="D306">
        <v>6.6330886119173637E-3</v>
      </c>
    </row>
    <row r="307" spans="1:4" x14ac:dyDescent="0.25">
      <c r="A307">
        <v>45951</v>
      </c>
      <c r="B307">
        <v>1.1607000000000001</v>
      </c>
      <c r="C307">
        <v>1.3375201659368519</v>
      </c>
      <c r="D307">
        <v>6.5780674412014746E-3</v>
      </c>
    </row>
    <row r="308" spans="1:4" x14ac:dyDescent="0.25">
      <c r="A308">
        <v>45952</v>
      </c>
      <c r="B308">
        <v>1.1587000000000001</v>
      </c>
      <c r="C308">
        <v>1.333525146737254</v>
      </c>
      <c r="D308">
        <v>6.5865165984538435E-3</v>
      </c>
    </row>
    <row r="309" spans="1:4" x14ac:dyDescent="0.25">
      <c r="A309">
        <v>45953</v>
      </c>
      <c r="B309">
        <v>1.1593</v>
      </c>
      <c r="C309">
        <v>1.3339086411230008</v>
      </c>
      <c r="D309">
        <v>6.5519385102294561E-3</v>
      </c>
    </row>
    <row r="310" spans="1:4" x14ac:dyDescent="0.25">
      <c r="A310">
        <v>45954</v>
      </c>
      <c r="B310">
        <v>1.1612</v>
      </c>
      <c r="C310">
        <v>1.3307357322942928</v>
      </c>
      <c r="D310">
        <v>6.5401295409743734E-3</v>
      </c>
    </row>
    <row r="311" spans="1:4" x14ac:dyDescent="0.25">
      <c r="A311">
        <v>45955</v>
      </c>
      <c r="B311">
        <v>1.1640999999999999</v>
      </c>
      <c r="C311">
        <v>1.345080593910682</v>
      </c>
      <c r="D311">
        <v>6.3379974955082487E-3</v>
      </c>
    </row>
    <row r="312" spans="1:4" x14ac:dyDescent="0.25">
      <c r="A312">
        <v>45956</v>
      </c>
      <c r="B312">
        <v>1.1580999999999999</v>
      </c>
      <c r="C312">
        <v>1.3409677755520302</v>
      </c>
      <c r="D312">
        <v>6.3067036976528889E-3</v>
      </c>
    </row>
    <row r="313" spans="1:4" x14ac:dyDescent="0.25">
      <c r="A313">
        <v>45957</v>
      </c>
      <c r="B313">
        <v>1.1639999999999999</v>
      </c>
      <c r="C313">
        <v>1.3347093223254214</v>
      </c>
      <c r="D313">
        <v>6.5418984994098798E-3</v>
      </c>
    </row>
    <row r="314" spans="1:4" x14ac:dyDescent="0.25">
      <c r="A314">
        <v>45958</v>
      </c>
      <c r="B314">
        <v>1.163</v>
      </c>
      <c r="C314">
        <v>1.3276255707762556</v>
      </c>
      <c r="D314">
        <v>6.5665405680085821E-3</v>
      </c>
    </row>
    <row r="315" spans="1:4" x14ac:dyDescent="0.25">
      <c r="A315">
        <v>45959</v>
      </c>
      <c r="B315">
        <v>1.1636</v>
      </c>
      <c r="C315">
        <v>1.3212217554218235</v>
      </c>
      <c r="D315">
        <v>6.5714124357598687E-3</v>
      </c>
    </row>
    <row r="316" spans="1:4" x14ac:dyDescent="0.25">
      <c r="A316">
        <v>45960</v>
      </c>
      <c r="B316">
        <v>1.155</v>
      </c>
      <c r="C316">
        <v>1.312350869219407</v>
      </c>
      <c r="D316">
        <v>6.4753041430733868E-3</v>
      </c>
    </row>
    <row r="317" spans="1:4" x14ac:dyDescent="0.25">
      <c r="A317">
        <v>45961</v>
      </c>
      <c r="B317">
        <v>1.1554</v>
      </c>
      <c r="C317">
        <v>1.3105716878402902</v>
      </c>
      <c r="D317">
        <v>6.4859099584596387E-3</v>
      </c>
    </row>
    <row r="318" spans="1:4" x14ac:dyDescent="0.25">
      <c r="A318">
        <v>45962</v>
      </c>
      <c r="B318">
        <v>1.1489</v>
      </c>
      <c r="C318">
        <v>1.3299300828818819</v>
      </c>
      <c r="D318">
        <v>6.2967225693302637E-3</v>
      </c>
    </row>
    <row r="319" spans="1:4" x14ac:dyDescent="0.25">
      <c r="A319">
        <v>45963</v>
      </c>
      <c r="B319">
        <v>1.1555</v>
      </c>
      <c r="C319">
        <v>1.3367963164349013</v>
      </c>
      <c r="D319">
        <v>6.2983756677204832E-3</v>
      </c>
    </row>
    <row r="320" spans="1:4" x14ac:dyDescent="0.25">
      <c r="A320">
        <v>45964</v>
      </c>
      <c r="B320">
        <v>1.1514</v>
      </c>
      <c r="C320">
        <v>1.3136337706788364</v>
      </c>
      <c r="D320">
        <v>6.4842034127386384E-3</v>
      </c>
    </row>
    <row r="321" spans="1:4" x14ac:dyDescent="0.25">
      <c r="A321">
        <v>45965</v>
      </c>
      <c r="B321">
        <v>1.1491</v>
      </c>
      <c r="C321">
        <v>1.3065378055713475</v>
      </c>
      <c r="D321">
        <v>6.5145416406825786E-3</v>
      </c>
    </row>
    <row r="322" spans="1:4" x14ac:dyDescent="0.25">
      <c r="A322">
        <v>45966</v>
      </c>
      <c r="B322">
        <v>1.1492</v>
      </c>
      <c r="C322">
        <v>1.3044267877412032</v>
      </c>
      <c r="D322">
        <v>6.5047829286239891E-3</v>
      </c>
    </row>
    <row r="323" spans="1:4" x14ac:dyDescent="0.25">
      <c r="A323">
        <v>45967</v>
      </c>
      <c r="B323">
        <v>1.1533</v>
      </c>
      <c r="C323">
        <v>1.3095265130010219</v>
      </c>
      <c r="D323">
        <v>6.5103020039514537E-3</v>
      </c>
    </row>
    <row r="324" spans="1:4" x14ac:dyDescent="0.25">
      <c r="A324">
        <v>45968</v>
      </c>
      <c r="B324">
        <v>1.1560999999999999</v>
      </c>
      <c r="C324">
        <v>1.3121098626716603</v>
      </c>
      <c r="D324">
        <v>6.5320074580484761E-3</v>
      </c>
    </row>
    <row r="325" spans="1:4" x14ac:dyDescent="0.25">
      <c r="A325">
        <v>45969</v>
      </c>
      <c r="B325">
        <v>1.1555</v>
      </c>
      <c r="C325">
        <v>1.3367963164349013</v>
      </c>
      <c r="D325">
        <v>6.2983756677204832E-3</v>
      </c>
    </row>
    <row r="326" spans="1:4" x14ac:dyDescent="0.25">
      <c r="A326">
        <v>45970</v>
      </c>
      <c r="B326">
        <v>1.1555</v>
      </c>
      <c r="C326">
        <v>1.3367963164349013</v>
      </c>
      <c r="D326">
        <v>6.2983756677204832E-3</v>
      </c>
    </row>
    <row r="327" spans="1:4" x14ac:dyDescent="0.25">
      <c r="A327">
        <v>45971</v>
      </c>
      <c r="B327">
        <v>1.1571</v>
      </c>
      <c r="C327">
        <v>1.3181818181818181</v>
      </c>
      <c r="D327">
        <v>6.489260277045595E-3</v>
      </c>
    </row>
    <row r="328" spans="1:4" x14ac:dyDescent="0.25">
      <c r="A328">
        <v>45972</v>
      </c>
      <c r="B328">
        <v>1.1575</v>
      </c>
      <c r="C328">
        <v>1.3147432985006815</v>
      </c>
      <c r="D328">
        <v>6.4860472935111503E-3</v>
      </c>
    </row>
    <row r="329" spans="1:4" x14ac:dyDescent="0.25">
      <c r="A329">
        <v>45973</v>
      </c>
      <c r="B329">
        <v>1.1576</v>
      </c>
      <c r="C329">
        <v>1.312025388189958</v>
      </c>
      <c r="D329">
        <v>6.4601819297951894E-3</v>
      </c>
    </row>
    <row r="330" spans="1:4" x14ac:dyDescent="0.25">
      <c r="A330">
        <v>45974</v>
      </c>
      <c r="B330">
        <v>1.1618999999999999</v>
      </c>
      <c r="C330">
        <v>1.3174963147749177</v>
      </c>
      <c r="D330">
        <v>6.4704572033190402E-3</v>
      </c>
    </row>
    <row r="331" spans="1:4" x14ac:dyDescent="0.25">
      <c r="A331">
        <v>45975</v>
      </c>
      <c r="B331">
        <v>1.1648000000000001</v>
      </c>
      <c r="C331">
        <v>1.316753334840606</v>
      </c>
      <c r="D331">
        <v>6.499274634527397E-3</v>
      </c>
    </row>
    <row r="332" spans="1:4" x14ac:dyDescent="0.25">
      <c r="A332">
        <v>45976</v>
      </c>
      <c r="B332">
        <v>1.1555</v>
      </c>
      <c r="C332">
        <v>1.3367963164349013</v>
      </c>
      <c r="D332">
        <v>6.2983756677204832E-3</v>
      </c>
    </row>
    <row r="333" spans="1:4" x14ac:dyDescent="0.25">
      <c r="A333">
        <v>45977</v>
      </c>
      <c r="B333">
        <v>1.1555</v>
      </c>
      <c r="C333">
        <v>1.3367963164349013</v>
      </c>
      <c r="D333">
        <v>6.2983756677204832E-3</v>
      </c>
    </row>
    <row r="334" spans="1:4" x14ac:dyDescent="0.25">
      <c r="A334">
        <v>45978</v>
      </c>
      <c r="B334">
        <v>1.1593</v>
      </c>
      <c r="C334">
        <v>1.3181353041500854</v>
      </c>
      <c r="D334">
        <v>6.4559781700729525E-3</v>
      </c>
    </row>
    <row r="335" spans="1:4" x14ac:dyDescent="0.25">
      <c r="A335">
        <v>45979</v>
      </c>
      <c r="B335">
        <v>1.159</v>
      </c>
      <c r="C335">
        <v>1.3139099875297586</v>
      </c>
      <c r="D335">
        <v>6.4410359008558408E-3</v>
      </c>
    </row>
    <row r="336" spans="1:4" x14ac:dyDescent="0.25">
      <c r="A336">
        <v>45980</v>
      </c>
      <c r="B336">
        <v>1.1583000000000001</v>
      </c>
      <c r="C336">
        <v>1.3122238586156112</v>
      </c>
      <c r="D336">
        <v>6.4047553220901304E-3</v>
      </c>
    </row>
    <row r="337" spans="1:4" x14ac:dyDescent="0.25">
      <c r="A337">
        <v>45981</v>
      </c>
      <c r="B337">
        <v>1.1514</v>
      </c>
      <c r="C337">
        <v>1.3061826432217811</v>
      </c>
      <c r="D337">
        <v>6.3448503884939661E-3</v>
      </c>
    </row>
    <row r="338" spans="1:4" x14ac:dyDescent="0.25">
      <c r="A338">
        <v>45982</v>
      </c>
      <c r="B338">
        <v>1.1519999999999999</v>
      </c>
      <c r="C338">
        <v>1.3086447801885721</v>
      </c>
      <c r="D338">
        <v>6.3801506424457236E-3</v>
      </c>
    </row>
    <row r="339" spans="1:4" x14ac:dyDescent="0.25">
      <c r="A339">
        <v>45983</v>
      </c>
      <c r="B339">
        <v>1.1555</v>
      </c>
      <c r="C339">
        <v>1.3367963164349013</v>
      </c>
      <c r="D339">
        <v>6.2983756677204832E-3</v>
      </c>
    </row>
    <row r="340" spans="1:4" x14ac:dyDescent="0.25">
      <c r="A340">
        <v>45984</v>
      </c>
      <c r="B340">
        <v>1.1555</v>
      </c>
      <c r="C340">
        <v>1.3367963164349013</v>
      </c>
      <c r="D340">
        <v>6.2983756677204832E-3</v>
      </c>
    </row>
    <row r="341" spans="1:4" x14ac:dyDescent="0.25">
      <c r="A341">
        <v>45985</v>
      </c>
      <c r="B341">
        <v>1.1544000000000001</v>
      </c>
      <c r="C341">
        <v>1.3112221717401182</v>
      </c>
      <c r="D341">
        <v>6.3701578192252514E-3</v>
      </c>
    </row>
    <row r="342" spans="1:4" x14ac:dyDescent="0.25">
      <c r="A342">
        <v>45986</v>
      </c>
      <c r="B342">
        <v>1.1551</v>
      </c>
      <c r="C342">
        <v>1.3144060081929905</v>
      </c>
      <c r="D342">
        <v>6.4022835605808672E-3</v>
      </c>
    </row>
    <row r="343" spans="1:4" x14ac:dyDescent="0.25">
      <c r="A343">
        <v>45987</v>
      </c>
      <c r="B343">
        <v>1.1577</v>
      </c>
      <c r="C343">
        <v>1.319165907019143</v>
      </c>
      <c r="D343">
        <v>6.3929537798884531E-3</v>
      </c>
    </row>
    <row r="344" spans="1:4" x14ac:dyDescent="0.25">
      <c r="A344">
        <v>45988</v>
      </c>
      <c r="B344">
        <v>1.1586000000000001</v>
      </c>
      <c r="C344">
        <v>1.3235092529129542</v>
      </c>
      <c r="D344">
        <v>6.3972171608414775E-3</v>
      </c>
    </row>
    <row r="345" spans="1:4" x14ac:dyDescent="0.25">
      <c r="A345">
        <v>45989</v>
      </c>
      <c r="B345">
        <v>1.1566000000000001</v>
      </c>
      <c r="C345">
        <v>1.3215265082266912</v>
      </c>
      <c r="D345">
        <v>6.405272193609127E-3</v>
      </c>
    </row>
    <row r="346" spans="1:4" x14ac:dyDescent="0.25">
      <c r="A346">
        <v>45990</v>
      </c>
      <c r="B346">
        <v>1.1555</v>
      </c>
      <c r="C346">
        <v>1.3367963164349013</v>
      </c>
      <c r="D346">
        <v>6.2983756677204832E-3</v>
      </c>
    </row>
    <row r="347" spans="1:4" x14ac:dyDescent="0.25">
      <c r="A347">
        <v>45991</v>
      </c>
      <c r="B347">
        <v>1.1555</v>
      </c>
      <c r="C347">
        <v>1.3367963164349013</v>
      </c>
      <c r="D347">
        <v>6.2983756677204832E-3</v>
      </c>
    </row>
    <row r="348" spans="1:4" x14ac:dyDescent="0.25">
      <c r="A348">
        <v>45992</v>
      </c>
      <c r="B348">
        <v>1.1646000000000001</v>
      </c>
      <c r="C348">
        <v>1.3267259056732741</v>
      </c>
      <c r="D348">
        <v>6.4599511870423792E-3</v>
      </c>
    </row>
    <row r="349" spans="1:4" x14ac:dyDescent="0.25">
      <c r="A349">
        <v>45993</v>
      </c>
      <c r="B349">
        <v>1.1614</v>
      </c>
      <c r="C349">
        <v>1.3203728967712596</v>
      </c>
      <c r="D349">
        <v>6.4073706278274306E-3</v>
      </c>
    </row>
    <row r="350" spans="1:4" x14ac:dyDescent="0.25">
      <c r="A350">
        <v>45994</v>
      </c>
      <c r="B350">
        <v>1.1668000000000001</v>
      </c>
      <c r="C350">
        <v>1.3310517910107234</v>
      </c>
      <c r="D350">
        <v>6.4364518976169462E-3</v>
      </c>
    </row>
    <row r="351" spans="1:4" x14ac:dyDescent="0.25">
      <c r="A351">
        <v>45995</v>
      </c>
      <c r="B351">
        <v>1.1666000000000001</v>
      </c>
      <c r="C351">
        <v>1.3340194396798171</v>
      </c>
      <c r="D351">
        <v>6.4613680420936032E-3</v>
      </c>
    </row>
    <row r="352" spans="1:4" x14ac:dyDescent="0.25">
      <c r="A352">
        <v>45996</v>
      </c>
      <c r="B352">
        <v>1.1645000000000001</v>
      </c>
      <c r="C352">
        <v>1.334364615560903</v>
      </c>
      <c r="D352">
        <v>6.4422438592608997E-3</v>
      </c>
    </row>
    <row r="353" spans="1:4" x14ac:dyDescent="0.25">
      <c r="A353">
        <v>45997</v>
      </c>
      <c r="B353">
        <v>1.1555</v>
      </c>
      <c r="C353">
        <v>1.3367963164349013</v>
      </c>
      <c r="D353">
        <v>6.2983756677204832E-3</v>
      </c>
    </row>
    <row r="354" spans="1:4" x14ac:dyDescent="0.25">
      <c r="A354">
        <v>45998</v>
      </c>
      <c r="B354">
        <v>1.1555</v>
      </c>
      <c r="C354">
        <v>1.3367963164349013</v>
      </c>
      <c r="D354">
        <v>6.2983756677204832E-3</v>
      </c>
    </row>
    <row r="355" spans="1:4" x14ac:dyDescent="0.25">
      <c r="A355">
        <v>45999</v>
      </c>
      <c r="B355">
        <v>1.1655</v>
      </c>
      <c r="C355">
        <v>1.3326091927738395</v>
      </c>
      <c r="D355">
        <v>6.4289260301174916E-3</v>
      </c>
    </row>
    <row r="356" spans="1:4" x14ac:dyDescent="0.25">
      <c r="A356">
        <v>46000</v>
      </c>
      <c r="B356">
        <v>1.1637</v>
      </c>
      <c r="C356">
        <v>1.3322266742987978</v>
      </c>
      <c r="D356">
        <v>6.3953616179380076E-3</v>
      </c>
    </row>
    <row r="357" spans="1:4" x14ac:dyDescent="0.25">
      <c r="A357">
        <v>46001</v>
      </c>
      <c r="B357">
        <v>1.1634</v>
      </c>
      <c r="C357">
        <v>1.3309689966823017</v>
      </c>
      <c r="D357">
        <v>6.3810881965774462E-3</v>
      </c>
    </row>
    <row r="358" spans="1:4" x14ac:dyDescent="0.25">
      <c r="A358">
        <v>46002</v>
      </c>
      <c r="B358">
        <v>1.1714</v>
      </c>
      <c r="C358">
        <v>1.3385898754428065</v>
      </c>
      <c r="D358">
        <v>6.4274348422496573E-3</v>
      </c>
    </row>
    <row r="359" spans="1:4" x14ac:dyDescent="0.25">
      <c r="A359">
        <v>46003</v>
      </c>
      <c r="B359">
        <v>1.1731</v>
      </c>
      <c r="C359">
        <v>1.338086004334436</v>
      </c>
      <c r="D359">
        <v>6.4107328269304336E-3</v>
      </c>
    </row>
    <row r="360" spans="1:4" x14ac:dyDescent="0.25">
      <c r="A360">
        <v>46004</v>
      </c>
      <c r="B360">
        <v>1.1555</v>
      </c>
      <c r="C360">
        <v>1.3367963164349013</v>
      </c>
      <c r="D360">
        <v>6.2983756677204832E-3</v>
      </c>
    </row>
    <row r="361" spans="1:4" x14ac:dyDescent="0.25">
      <c r="A361">
        <v>46005</v>
      </c>
      <c r="B361">
        <v>1.1555</v>
      </c>
      <c r="C361">
        <v>1.3367963164349013</v>
      </c>
      <c r="D361">
        <v>6.2983756677204832E-3</v>
      </c>
    </row>
    <row r="362" spans="1:4" x14ac:dyDescent="0.25">
      <c r="A362">
        <v>46006</v>
      </c>
      <c r="B362">
        <v>1.1753</v>
      </c>
      <c r="C362">
        <v>1.3387629570566124</v>
      </c>
      <c r="D362">
        <v>6.4463580517770958E-3</v>
      </c>
    </row>
    <row r="363" spans="1:4" x14ac:dyDescent="0.25">
      <c r="A363">
        <v>46007</v>
      </c>
      <c r="B363">
        <v>1.1776</v>
      </c>
      <c r="C363">
        <v>1.3436786855317207</v>
      </c>
      <c r="D363">
        <v>6.4678420387762952E-3</v>
      </c>
    </row>
    <row r="364" spans="1:4" x14ac:dyDescent="0.25">
      <c r="A364">
        <v>46008</v>
      </c>
      <c r="B364">
        <v>1.1721999999999999</v>
      </c>
      <c r="C364">
        <v>1.3343198634035287</v>
      </c>
      <c r="D364">
        <v>6.4272398289286102E-3</v>
      </c>
    </row>
    <row r="365" spans="1:4" x14ac:dyDescent="0.25">
      <c r="A365">
        <v>46009</v>
      </c>
      <c r="B365">
        <v>1.1718999999999999</v>
      </c>
      <c r="C365">
        <v>1.3399268236908299</v>
      </c>
      <c r="D365">
        <v>6.4196110654615168E-3</v>
      </c>
    </row>
    <row r="366" spans="1:4" x14ac:dyDescent="0.25">
      <c r="A366">
        <v>46010</v>
      </c>
      <c r="B366">
        <v>1.1712</v>
      </c>
      <c r="C366">
        <v>1.3369863013698631</v>
      </c>
      <c r="D366">
        <v>6.3600325821341298E-3</v>
      </c>
    </row>
    <row r="367" spans="1:4" x14ac:dyDescent="0.25">
      <c r="A367">
        <v>46011</v>
      </c>
      <c r="B367">
        <v>1.1555</v>
      </c>
      <c r="C367">
        <v>1.3367963164349013</v>
      </c>
      <c r="D367">
        <v>6.2983756677204832E-3</v>
      </c>
    </row>
    <row r="368" spans="1:4" x14ac:dyDescent="0.25">
      <c r="A368">
        <v>46012</v>
      </c>
      <c r="B368">
        <v>1.1555</v>
      </c>
      <c r="C368">
        <v>1.3367963164349013</v>
      </c>
      <c r="D368">
        <v>6.2983756677204832E-3</v>
      </c>
    </row>
    <row r="369" spans="1:4" x14ac:dyDescent="0.25">
      <c r="A369">
        <v>46013</v>
      </c>
      <c r="B369">
        <v>1.1745000000000001</v>
      </c>
      <c r="C369">
        <v>1.3435140700068635</v>
      </c>
      <c r="D369">
        <v>6.3565513882123722E-3</v>
      </c>
    </row>
    <row r="370" spans="1:4" x14ac:dyDescent="0.25">
      <c r="A370">
        <v>46014</v>
      </c>
      <c r="B370">
        <v>1.1786000000000001</v>
      </c>
      <c r="C370">
        <v>1.3502119372207584</v>
      </c>
      <c r="D370">
        <v>6.4092664092664101E-3</v>
      </c>
    </row>
    <row r="371" spans="1:4" x14ac:dyDescent="0.25">
      <c r="A371">
        <v>46015</v>
      </c>
      <c r="B371">
        <v>1.1787000000000001</v>
      </c>
      <c r="C371">
        <v>1.350326497880628</v>
      </c>
      <c r="D371">
        <v>6.4119023010390033E-3</v>
      </c>
    </row>
    <row r="372" spans="1:4" x14ac:dyDescent="0.25">
      <c r="A372">
        <v>46016</v>
      </c>
      <c r="B372">
        <v>1.1555</v>
      </c>
      <c r="C372">
        <v>1.3367963164349013</v>
      </c>
      <c r="D372">
        <v>6.2983756677204832E-3</v>
      </c>
    </row>
    <row r="373" spans="1:4" x14ac:dyDescent="0.25">
      <c r="A373">
        <v>46017</v>
      </c>
      <c r="B373">
        <v>1.1555</v>
      </c>
      <c r="C373">
        <v>1.3367963164349013</v>
      </c>
      <c r="D373">
        <v>6.2983756677204832E-3</v>
      </c>
    </row>
    <row r="374" spans="1:4" x14ac:dyDescent="0.25">
      <c r="A374">
        <v>46018</v>
      </c>
      <c r="B374">
        <v>1.1555</v>
      </c>
      <c r="C374">
        <v>1.3367963164349013</v>
      </c>
      <c r="D374">
        <v>6.2983756677204832E-3</v>
      </c>
    </row>
    <row r="375" spans="1:4" x14ac:dyDescent="0.25">
      <c r="A375">
        <v>46019</v>
      </c>
      <c r="B375">
        <v>1.1555</v>
      </c>
      <c r="C375">
        <v>1.3367963164349013</v>
      </c>
      <c r="D375">
        <v>6.2983756677204832E-3</v>
      </c>
    </row>
    <row r="376" spans="1:4" x14ac:dyDescent="0.25">
      <c r="A376">
        <v>46020</v>
      </c>
      <c r="B376">
        <v>1.1766000000000001</v>
      </c>
      <c r="C376">
        <v>1.3483841393536558</v>
      </c>
      <c r="D376">
        <v>6.3956079795618858E-3</v>
      </c>
    </row>
    <row r="377" spans="1:4" x14ac:dyDescent="0.25">
      <c r="A377">
        <v>46021</v>
      </c>
      <c r="B377">
        <v>1.1757</v>
      </c>
      <c r="C377">
        <v>1.3495179063360883</v>
      </c>
      <c r="D377">
        <v>6.4077828646173975E-3</v>
      </c>
    </row>
    <row r="378" spans="1:4" x14ac:dyDescent="0.25">
      <c r="A378">
        <v>46022</v>
      </c>
      <c r="B378">
        <v>1.175</v>
      </c>
      <c r="C378">
        <v>1.3465505386202155</v>
      </c>
      <c r="D378">
        <v>6.3827475691237987E-3</v>
      </c>
    </row>
    <row r="379" spans="1:4" x14ac:dyDescent="0.25">
      <c r="A379">
        <v>46023</v>
      </c>
      <c r="B379">
        <v>1.1555</v>
      </c>
      <c r="C379">
        <v>1.3367963164349013</v>
      </c>
      <c r="D379">
        <v>6.2983756677204832E-3</v>
      </c>
    </row>
    <row r="380" spans="1:4" x14ac:dyDescent="0.25">
      <c r="A380">
        <v>46024</v>
      </c>
      <c r="B380">
        <v>1.1720999999999999</v>
      </c>
      <c r="C380">
        <v>1.3443055396261039</v>
      </c>
      <c r="D380">
        <v>6.3721865825812759E-3</v>
      </c>
    </row>
    <row r="381" spans="1:4" x14ac:dyDescent="0.25">
      <c r="A381">
        <v>46025</v>
      </c>
      <c r="B381">
        <v>1.1555</v>
      </c>
      <c r="C381">
        <v>1.3367963164349013</v>
      </c>
      <c r="D381">
        <v>6.2983756677204832E-3</v>
      </c>
    </row>
    <row r="382" spans="1:4" x14ac:dyDescent="0.25">
      <c r="A382">
        <v>46026</v>
      </c>
      <c r="B382">
        <v>1.1555</v>
      </c>
      <c r="C382">
        <v>1.3367963164349013</v>
      </c>
      <c r="D382">
        <v>6.2983756677204832E-3</v>
      </c>
    </row>
    <row r="383" spans="1:4" x14ac:dyDescent="0.25">
      <c r="A383">
        <v>46027</v>
      </c>
      <c r="B383">
        <v>1.1664000000000001</v>
      </c>
      <c r="C383">
        <v>1.3443983402489628</v>
      </c>
      <c r="D383">
        <v>6.3762094790356973E-3</v>
      </c>
    </row>
    <row r="384" spans="1:4" x14ac:dyDescent="0.25">
      <c r="A384">
        <v>46028</v>
      </c>
      <c r="B384">
        <v>1.1707000000000001</v>
      </c>
      <c r="C384">
        <v>1.3513794297587443</v>
      </c>
      <c r="D384">
        <v>6.3923774161843408E-3</v>
      </c>
    </row>
    <row r="385" spans="1:4" x14ac:dyDescent="0.25">
      <c r="A385">
        <v>46029</v>
      </c>
      <c r="B385">
        <v>1.1684000000000001</v>
      </c>
      <c r="C385">
        <v>1.3485687903970454</v>
      </c>
      <c r="D385">
        <v>6.3878410147066873E-3</v>
      </c>
    </row>
    <row r="386" spans="1:4" x14ac:dyDescent="0.25">
      <c r="A386">
        <v>46030</v>
      </c>
      <c r="B386">
        <v>1.1675</v>
      </c>
      <c r="C386">
        <v>1.343962242431219</v>
      </c>
      <c r="D386">
        <v>6.3808274580532329E-3</v>
      </c>
    </row>
    <row r="387" spans="1:4" x14ac:dyDescent="0.25">
      <c r="A387">
        <v>46031</v>
      </c>
      <c r="B387">
        <v>1.1641999999999999</v>
      </c>
      <c r="C387">
        <v>1.3417079635818829</v>
      </c>
      <c r="D387">
        <v>6.3437227550130768E-3</v>
      </c>
    </row>
    <row r="388" spans="1:4" x14ac:dyDescent="0.25">
      <c r="A388">
        <v>46032</v>
      </c>
      <c r="B388">
        <v>1.1555</v>
      </c>
      <c r="C388">
        <v>1.3367963164349013</v>
      </c>
      <c r="D388">
        <v>6.2983756677204832E-3</v>
      </c>
    </row>
    <row r="389" spans="1:4" x14ac:dyDescent="0.25">
      <c r="A389">
        <v>46033</v>
      </c>
      <c r="B389">
        <v>1.1555</v>
      </c>
      <c r="C389">
        <v>1.3367963164349013</v>
      </c>
      <c r="D389">
        <v>6.2983756677204832E-3</v>
      </c>
    </row>
    <row r="390" spans="1:4" x14ac:dyDescent="0.25">
      <c r="A390">
        <v>46034</v>
      </c>
      <c r="B390">
        <v>1.1692</v>
      </c>
      <c r="C390">
        <v>1.3479363615402353</v>
      </c>
      <c r="D390">
        <v>6.3398763691573587E-3</v>
      </c>
    </row>
    <row r="391" spans="1:4" x14ac:dyDescent="0.25">
      <c r="A391">
        <v>46035</v>
      </c>
      <c r="B391">
        <v>1.1654</v>
      </c>
      <c r="C391">
        <v>1.3457274826789838</v>
      </c>
      <c r="D391">
        <v>6.2953759723422646E-3</v>
      </c>
    </row>
    <row r="392" spans="1:4" x14ac:dyDescent="0.25">
      <c r="A392">
        <v>46036</v>
      </c>
      <c r="B392">
        <v>1.1651</v>
      </c>
      <c r="C392">
        <v>1.3441393631748961</v>
      </c>
      <c r="D392">
        <v>6.3039714316632401E-3</v>
      </c>
    </row>
    <row r="393" spans="1:4" x14ac:dyDescent="0.25">
      <c r="A393">
        <v>46037</v>
      </c>
      <c r="B393">
        <v>1.1624000000000001</v>
      </c>
      <c r="C393">
        <v>1.340096841134425</v>
      </c>
      <c r="D393">
        <v>6.3067657750529001E-3</v>
      </c>
    </row>
    <row r="394" spans="1:4" x14ac:dyDescent="0.25">
      <c r="A394">
        <v>46038</v>
      </c>
      <c r="B394">
        <v>1.1617</v>
      </c>
      <c r="C394">
        <v>1.3399077277970011</v>
      </c>
      <c r="D394">
        <v>6.3249305820221053E-3</v>
      </c>
    </row>
    <row r="395" spans="1:4" x14ac:dyDescent="0.25">
      <c r="A395">
        <v>46039</v>
      </c>
      <c r="B395">
        <v>1.1555</v>
      </c>
      <c r="C395">
        <v>1.3367963164349013</v>
      </c>
      <c r="D395">
        <v>6.2983756677204832E-3</v>
      </c>
    </row>
    <row r="396" spans="1:4" x14ac:dyDescent="0.25">
      <c r="A396">
        <v>46040</v>
      </c>
      <c r="B396">
        <v>1.1555</v>
      </c>
      <c r="C396">
        <v>1.3367963164349013</v>
      </c>
      <c r="D396">
        <v>6.2983756677204832E-3</v>
      </c>
    </row>
    <row r="397" spans="1:4" x14ac:dyDescent="0.25">
      <c r="A397">
        <v>46041</v>
      </c>
      <c r="B397">
        <v>1.1631</v>
      </c>
      <c r="C397">
        <v>1.3413677776496369</v>
      </c>
      <c r="D397">
        <v>6.3318634656214278E-3</v>
      </c>
    </row>
    <row r="398" spans="1:4" x14ac:dyDescent="0.25">
      <c r="A398">
        <v>46042</v>
      </c>
      <c r="B398">
        <v>1.1728000000000001</v>
      </c>
      <c r="C398">
        <v>1.3446457234579225</v>
      </c>
      <c r="D398">
        <v>6.3332973323253052E-3</v>
      </c>
    </row>
    <row r="399" spans="1:4" x14ac:dyDescent="0.25">
      <c r="A399">
        <v>46043</v>
      </c>
      <c r="B399">
        <v>1.1738999999999999</v>
      </c>
      <c r="C399">
        <v>1.3425205855443734</v>
      </c>
      <c r="D399">
        <v>6.3375263186308912E-3</v>
      </c>
    </row>
    <row r="400" spans="1:4" x14ac:dyDescent="0.25">
      <c r="A400">
        <v>46044</v>
      </c>
      <c r="B400">
        <v>1.1706000000000001</v>
      </c>
      <c r="C400">
        <v>1.3421233662004128</v>
      </c>
      <c r="D400">
        <v>6.2976113621691417E-3</v>
      </c>
    </row>
    <row r="401" spans="1:4" x14ac:dyDescent="0.25">
      <c r="A401">
        <v>46045</v>
      </c>
      <c r="B401">
        <v>1.1741999999999999</v>
      </c>
      <c r="C401">
        <v>1.3526091464117036</v>
      </c>
      <c r="D401">
        <v>6.322761294491411E-3</v>
      </c>
    </row>
    <row r="402" spans="1:4" x14ac:dyDescent="0.25">
      <c r="A402">
        <v>46046</v>
      </c>
      <c r="B402">
        <v>1.1555</v>
      </c>
      <c r="C402">
        <v>1.3367963164349013</v>
      </c>
      <c r="D402">
        <v>6.2983756677204832E-3</v>
      </c>
    </row>
    <row r="403" spans="1:4" x14ac:dyDescent="0.25">
      <c r="A403">
        <v>46047</v>
      </c>
      <c r="B403">
        <v>1.1555</v>
      </c>
      <c r="C403">
        <v>1.3367963164349013</v>
      </c>
      <c r="D403">
        <v>6.2983756677204832E-3</v>
      </c>
    </row>
    <row r="404" spans="1:4" x14ac:dyDescent="0.25">
      <c r="A404">
        <v>46048</v>
      </c>
      <c r="B404">
        <v>1.1836</v>
      </c>
      <c r="C404">
        <v>1.3643804034582132</v>
      </c>
      <c r="D404">
        <v>6.4847687924610995E-3</v>
      </c>
    </row>
    <row r="405" spans="1:4" x14ac:dyDescent="0.25">
      <c r="A405">
        <v>46049</v>
      </c>
      <c r="B405">
        <v>1.1929000000000001</v>
      </c>
      <c r="C405">
        <v>1.3738339283657723</v>
      </c>
      <c r="D405">
        <v>6.5214301333916475E-3</v>
      </c>
    </row>
    <row r="406" spans="1:4" x14ac:dyDescent="0.25">
      <c r="A406">
        <v>46050</v>
      </c>
      <c r="B406">
        <v>1.1974</v>
      </c>
      <c r="C406">
        <v>1.3786989061600461</v>
      </c>
      <c r="D406">
        <v>6.5517618734952949E-3</v>
      </c>
    </row>
    <row r="407" spans="1:4" x14ac:dyDescent="0.25">
      <c r="A407">
        <v>46051</v>
      </c>
      <c r="B407">
        <v>1.1968000000000001</v>
      </c>
      <c r="C407">
        <v>1.3816670514892635</v>
      </c>
      <c r="D407">
        <v>6.5227817745803366E-3</v>
      </c>
    </row>
    <row r="408" spans="1:4" x14ac:dyDescent="0.25">
      <c r="A408">
        <v>46052</v>
      </c>
      <c r="B408">
        <v>1.1919</v>
      </c>
      <c r="C408">
        <v>1.376010159316555</v>
      </c>
      <c r="D408">
        <v>6.4921836701345385E-3</v>
      </c>
    </row>
    <row r="409" spans="1:4" x14ac:dyDescent="0.25">
      <c r="A409">
        <v>46053</v>
      </c>
      <c r="B409">
        <v>1.1555</v>
      </c>
      <c r="C409">
        <v>1.3367963164349013</v>
      </c>
      <c r="D409">
        <v>6.2983756677204832E-3</v>
      </c>
    </row>
    <row r="410" spans="1:4" x14ac:dyDescent="0.25">
      <c r="A410">
        <v>46054</v>
      </c>
      <c r="B410">
        <v>1.1555</v>
      </c>
      <c r="C410">
        <v>1.3367963164349013</v>
      </c>
      <c r="D410">
        <v>6.2983756677204832E-3</v>
      </c>
    </row>
    <row r="411" spans="1:4" x14ac:dyDescent="0.25">
      <c r="A411">
        <v>46055</v>
      </c>
      <c r="B411">
        <v>1.1839999999999999</v>
      </c>
      <c r="C411">
        <v>1.3675213675213673</v>
      </c>
      <c r="D411">
        <v>6.4491530039762508E-3</v>
      </c>
    </row>
    <row r="412" spans="1:4" x14ac:dyDescent="0.25">
      <c r="A412">
        <v>46056</v>
      </c>
      <c r="B412">
        <v>1.1800999999999999</v>
      </c>
      <c r="C412">
        <v>1.3685492288066798</v>
      </c>
      <c r="D412">
        <v>6.4163766855154418E-3</v>
      </c>
    </row>
    <row r="413" spans="1:4" x14ac:dyDescent="0.25">
      <c r="A413">
        <v>46057</v>
      </c>
      <c r="B413">
        <v>1.1819999999999999</v>
      </c>
      <c r="C413">
        <v>1.3718662952646239</v>
      </c>
      <c r="D413">
        <v>6.3840129624628678E-3</v>
      </c>
    </row>
    <row r="414" spans="1:4" x14ac:dyDescent="0.25">
      <c r="A414">
        <v>46058</v>
      </c>
      <c r="B414">
        <v>1.1798</v>
      </c>
      <c r="C414">
        <v>1.3574962604993672</v>
      </c>
      <c r="D414">
        <v>6.3735076441035054E-3</v>
      </c>
    </row>
    <row r="415" spans="1:4" x14ac:dyDescent="0.25">
      <c r="A415">
        <v>46059</v>
      </c>
      <c r="B415">
        <v>1.1794</v>
      </c>
      <c r="C415">
        <v>1.3589123170872219</v>
      </c>
      <c r="D415">
        <v>6.3658444432449935E-3</v>
      </c>
    </row>
    <row r="416" spans="1:4" x14ac:dyDescent="0.25">
      <c r="A416">
        <v>46060</v>
      </c>
      <c r="B416">
        <v>1.1555</v>
      </c>
      <c r="C416">
        <v>1.3367963164349013</v>
      </c>
      <c r="D416">
        <v>6.2983756677204832E-3</v>
      </c>
    </row>
    <row r="417" spans="1:4" x14ac:dyDescent="0.25">
      <c r="A417">
        <v>46061</v>
      </c>
      <c r="B417">
        <v>1.1555</v>
      </c>
      <c r="C417">
        <v>1.3367963164349013</v>
      </c>
      <c r="D417">
        <v>6.2983756677204832E-3</v>
      </c>
    </row>
    <row r="418" spans="1:4" x14ac:dyDescent="0.25">
      <c r="A418">
        <v>46062</v>
      </c>
      <c r="B418">
        <v>1.1886000000000001</v>
      </c>
      <c r="C418">
        <v>1.3660498793242157</v>
      </c>
      <c r="D418">
        <v>6.4023700511715602E-3</v>
      </c>
    </row>
    <row r="419" spans="1:4" x14ac:dyDescent="0.25">
      <c r="A419">
        <v>46063</v>
      </c>
      <c r="B419">
        <v>1.1894</v>
      </c>
      <c r="C419">
        <v>1.3679125934445082</v>
      </c>
      <c r="D419">
        <v>6.4462630751720776E-3</v>
      </c>
    </row>
    <row r="420" spans="1:4" x14ac:dyDescent="0.25">
      <c r="A420">
        <v>46064</v>
      </c>
      <c r="B420">
        <v>1.19</v>
      </c>
      <c r="C420">
        <v>1.3679733302678467</v>
      </c>
      <c r="D420">
        <v>6.5102029651512667E-3</v>
      </c>
    </row>
    <row r="421" spans="1:4" x14ac:dyDescent="0.25">
      <c r="A421">
        <v>46065</v>
      </c>
      <c r="B421">
        <v>1.1874</v>
      </c>
      <c r="C421">
        <v>1.3631041212260362</v>
      </c>
      <c r="D421">
        <v>6.5055884286653511E-3</v>
      </c>
    </row>
    <row r="422" spans="1:4" x14ac:dyDescent="0.25">
      <c r="A422">
        <v>46066</v>
      </c>
      <c r="B422">
        <v>1.1861999999999999</v>
      </c>
      <c r="C422">
        <v>1.3609453877925652</v>
      </c>
      <c r="D422">
        <v>6.5236759610625304E-3</v>
      </c>
    </row>
    <row r="423" spans="1:4" x14ac:dyDescent="0.25">
      <c r="A423">
        <v>46067</v>
      </c>
      <c r="B423">
        <v>1.1555</v>
      </c>
      <c r="C423">
        <v>1.3367963164349013</v>
      </c>
      <c r="D423">
        <v>6.2983756677204832E-3</v>
      </c>
    </row>
    <row r="424" spans="1:4" x14ac:dyDescent="0.25">
      <c r="A424">
        <v>46068</v>
      </c>
      <c r="B424">
        <v>1.1555</v>
      </c>
      <c r="C424">
        <v>1.3367963164349013</v>
      </c>
      <c r="D424">
        <v>6.2983756677204832E-3</v>
      </c>
    </row>
    <row r="425" spans="1:4" x14ac:dyDescent="0.25">
      <c r="A425">
        <v>46069</v>
      </c>
      <c r="B425">
        <v>1.1855</v>
      </c>
      <c r="C425">
        <v>1.3642117376294591</v>
      </c>
      <c r="D425">
        <v>6.5212607954232907E-3</v>
      </c>
    </row>
    <row r="426" spans="1:4" x14ac:dyDescent="0.25">
      <c r="A426">
        <v>46070</v>
      </c>
      <c r="B426">
        <v>1.1826000000000001</v>
      </c>
      <c r="C426">
        <v>1.3541738234283753</v>
      </c>
      <c r="D426">
        <v>6.5315365072351715E-3</v>
      </c>
    </row>
    <row r="427" spans="1:4" x14ac:dyDescent="0.25">
      <c r="A427">
        <v>46071</v>
      </c>
      <c r="B427">
        <v>1.1845000000000001</v>
      </c>
      <c r="C427">
        <v>1.3577487391104999</v>
      </c>
      <c r="D427">
        <v>6.5085993735919554E-3</v>
      </c>
    </row>
    <row r="428" spans="1:4" x14ac:dyDescent="0.25">
      <c r="A428">
        <v>46072</v>
      </c>
      <c r="B428">
        <v>1.1753</v>
      </c>
      <c r="C428">
        <v>1.3450446326390477</v>
      </c>
      <c r="D428">
        <v>6.4559187036528423E-3</v>
      </c>
    </row>
    <row r="429" spans="1:4" x14ac:dyDescent="0.25">
      <c r="A429">
        <v>46073</v>
      </c>
      <c r="B429">
        <v>1.1767000000000001</v>
      </c>
      <c r="C429">
        <v>1.3481897341888176</v>
      </c>
      <c r="D429">
        <v>6.4430816404752785E-3</v>
      </c>
    </row>
    <row r="430" spans="1:4" x14ac:dyDescent="0.25">
      <c r="A430">
        <v>46074</v>
      </c>
      <c r="B430">
        <v>1.1555</v>
      </c>
      <c r="C430">
        <v>1.3367963164349013</v>
      </c>
      <c r="D430">
        <v>6.2983756677204832E-3</v>
      </c>
    </row>
    <row r="431" spans="1:4" x14ac:dyDescent="0.25">
      <c r="A431">
        <v>46075</v>
      </c>
      <c r="B431">
        <v>1.1555</v>
      </c>
      <c r="C431">
        <v>1.3367963164349013</v>
      </c>
      <c r="D431">
        <v>6.2983756677204832E-3</v>
      </c>
    </row>
    <row r="432" spans="1:4" x14ac:dyDescent="0.25">
      <c r="A432">
        <v>46076</v>
      </c>
      <c r="B432">
        <v>1.1783999999999999</v>
      </c>
      <c r="C432">
        <v>1.3492099839706893</v>
      </c>
      <c r="D432">
        <v>6.4591098443323829E-3</v>
      </c>
    </row>
    <row r="433" spans="1:4" x14ac:dyDescent="0.25">
      <c r="A433">
        <v>46077</v>
      </c>
      <c r="B433">
        <v>1.1777</v>
      </c>
      <c r="C433">
        <v>1.348871835986714</v>
      </c>
      <c r="D433">
        <v>6.4169345611071755E-3</v>
      </c>
    </row>
    <row r="434" spans="1:4" x14ac:dyDescent="0.25">
      <c r="A434">
        <v>46078</v>
      </c>
      <c r="B434">
        <v>1.1783999999999999</v>
      </c>
      <c r="C434">
        <v>1.3523066330043607</v>
      </c>
      <c r="D434">
        <v>6.3800757985923119E-3</v>
      </c>
    </row>
    <row r="435" spans="1:4" x14ac:dyDescent="0.25">
      <c r="A435">
        <v>46079</v>
      </c>
      <c r="B435">
        <v>1.1814</v>
      </c>
      <c r="C435">
        <v>1.3549719004472991</v>
      </c>
      <c r="D435">
        <v>6.4077669902912618E-3</v>
      </c>
    </row>
    <row r="436" spans="1:4" x14ac:dyDescent="0.25">
      <c r="A436">
        <v>46080</v>
      </c>
      <c r="B436">
        <v>1.1805000000000001</v>
      </c>
      <c r="C436">
        <v>1.347141389934954</v>
      </c>
      <c r="D436">
        <v>6.411231195351111E-3</v>
      </c>
    </row>
    <row r="437" spans="1:4" x14ac:dyDescent="0.25">
      <c r="A437">
        <v>46081</v>
      </c>
      <c r="B437">
        <v>1.1555</v>
      </c>
      <c r="C437">
        <v>1.3367963164349013</v>
      </c>
      <c r="D437">
        <v>6.2983756677204832E-3</v>
      </c>
    </row>
    <row r="438" spans="1:4" x14ac:dyDescent="0.25">
      <c r="A438">
        <v>46082</v>
      </c>
      <c r="B438">
        <v>1.1555</v>
      </c>
      <c r="C438">
        <v>1.3367963164349013</v>
      </c>
      <c r="D438">
        <v>6.2983756677204832E-3</v>
      </c>
    </row>
    <row r="439" spans="1:4" x14ac:dyDescent="0.25">
      <c r="A439">
        <v>46083</v>
      </c>
      <c r="B439">
        <v>1.1698</v>
      </c>
      <c r="C439">
        <v>1.3385970934889575</v>
      </c>
      <c r="D439">
        <v>6.3510505456322273E-3</v>
      </c>
    </row>
    <row r="440" spans="1:4" x14ac:dyDescent="0.25">
      <c r="A440">
        <v>46084</v>
      </c>
      <c r="B440">
        <v>1.1606000000000001</v>
      </c>
      <c r="C440">
        <v>1.3314213605598257</v>
      </c>
      <c r="D440">
        <v>6.3427697016067335E-3</v>
      </c>
    </row>
    <row r="441" spans="1:4" x14ac:dyDescent="0.25">
      <c r="A441">
        <v>46085</v>
      </c>
      <c r="B441">
        <v>1.1649</v>
      </c>
      <c r="C441">
        <v>1.3381964388282597</v>
      </c>
      <c r="D441">
        <v>6.3648781553928531E-3</v>
      </c>
    </row>
    <row r="442" spans="1:4" x14ac:dyDescent="0.25">
      <c r="A442">
        <v>46086</v>
      </c>
      <c r="B442">
        <v>1.1617999999999999</v>
      </c>
      <c r="C442">
        <v>1.3361702127659574</v>
      </c>
      <c r="D442">
        <v>6.347593290717368E-3</v>
      </c>
    </row>
    <row r="443" spans="1:4" x14ac:dyDescent="0.25">
      <c r="A443">
        <v>46087</v>
      </c>
      <c r="B443">
        <v>1.1560999999999999</v>
      </c>
      <c r="C443">
        <v>1.3335563424959338</v>
      </c>
      <c r="D443">
        <v>6.3323656679629726E-3</v>
      </c>
    </row>
    <row r="444" spans="1:4" x14ac:dyDescent="0.25">
      <c r="A444">
        <v>46088</v>
      </c>
      <c r="B444">
        <v>1.1555</v>
      </c>
      <c r="C444">
        <v>1.3367963164349013</v>
      </c>
      <c r="D444">
        <v>6.2983756677204832E-3</v>
      </c>
    </row>
    <row r="445" spans="1:4" x14ac:dyDescent="0.25">
      <c r="A445">
        <v>46089</v>
      </c>
      <c r="B445">
        <v>1.1555</v>
      </c>
      <c r="C445">
        <v>1.3367963164349013</v>
      </c>
      <c r="D445">
        <v>6.2983756677204832E-3</v>
      </c>
    </row>
    <row r="446" spans="1:4" x14ac:dyDescent="0.25">
      <c r="A446">
        <v>46090</v>
      </c>
      <c r="B446">
        <v>1.1555</v>
      </c>
      <c r="C446">
        <v>1.3353750144458569</v>
      </c>
      <c r="D446">
        <v>6.3090363090363083E-3</v>
      </c>
    </row>
    <row r="447" spans="1:4" x14ac:dyDescent="0.25">
      <c r="A447">
        <v>46091</v>
      </c>
      <c r="B447">
        <v>1.1640999999999999</v>
      </c>
      <c r="C447">
        <v>1.345080593910682</v>
      </c>
      <c r="D447">
        <v>6.3379974955082487E-3</v>
      </c>
    </row>
    <row r="448" spans="1:4" x14ac:dyDescent="0.25">
      <c r="A448">
        <v>46092</v>
      </c>
      <c r="B448">
        <v>1.1580999999999999</v>
      </c>
      <c r="C448">
        <v>1.3409677755520302</v>
      </c>
      <c r="D448">
        <v>6.3067036976528889E-3</v>
      </c>
    </row>
    <row r="449" spans="1:4" x14ac:dyDescent="0.25">
      <c r="A449">
        <v>46093</v>
      </c>
      <c r="B449">
        <v>1.1547000000000001</v>
      </c>
      <c r="C449">
        <v>1.338891272335146</v>
      </c>
      <c r="D449">
        <v>6.2950444311181382E-3</v>
      </c>
    </row>
    <row r="450" spans="1:4" x14ac:dyDescent="0.25">
      <c r="A450">
        <v>46094</v>
      </c>
      <c r="B450">
        <v>1.1476</v>
      </c>
      <c r="C450">
        <v>1.3266591910107164</v>
      </c>
      <c r="D450">
        <v>6.2761826633852885E-3</v>
      </c>
    </row>
    <row r="451" spans="1:4" x14ac:dyDescent="0.25">
      <c r="A451">
        <v>46095</v>
      </c>
      <c r="B451">
        <v>1.1555</v>
      </c>
      <c r="C451">
        <v>1.3367963164349013</v>
      </c>
      <c r="D451">
        <v>6.2983756677204832E-3</v>
      </c>
    </row>
    <row r="452" spans="1:4" x14ac:dyDescent="0.25">
      <c r="A452">
        <v>46096</v>
      </c>
      <c r="B452">
        <v>1.1555</v>
      </c>
      <c r="C452">
        <v>1.3367963164349013</v>
      </c>
      <c r="D452">
        <v>6.2983756677204832E-3</v>
      </c>
    </row>
    <row r="453" spans="1:4" x14ac:dyDescent="0.25">
      <c r="A453">
        <v>46097</v>
      </c>
      <c r="B453">
        <v>1.1477999999999999</v>
      </c>
      <c r="C453">
        <v>1.3283492269234329</v>
      </c>
      <c r="D453">
        <v>6.283805978320376E-3</v>
      </c>
    </row>
    <row r="454" spans="1:4" x14ac:dyDescent="0.25">
      <c r="A454">
        <v>46098</v>
      </c>
      <c r="B454">
        <v>1.1531</v>
      </c>
      <c r="C454">
        <v>1.3341432373018629</v>
      </c>
      <c r="D454">
        <v>6.2911233564297018E-3</v>
      </c>
    </row>
    <row r="455" spans="1:4" x14ac:dyDescent="0.25">
      <c r="A455">
        <v>46099</v>
      </c>
      <c r="B455">
        <v>1.1499999999999999</v>
      </c>
      <c r="C455">
        <v>1.3311263644045235</v>
      </c>
      <c r="D455">
        <v>6.267371518883862E-3</v>
      </c>
    </row>
    <row r="456" spans="1:4" x14ac:dyDescent="0.25">
      <c r="A456">
        <v>46100</v>
      </c>
      <c r="B456">
        <v>1.1489</v>
      </c>
      <c r="C456">
        <v>1.3299300828818819</v>
      </c>
      <c r="D456">
        <v>6.2967225693302637E-3</v>
      </c>
    </row>
    <row r="457" spans="1:4" x14ac:dyDescent="0.25">
      <c r="A457">
        <v>46101</v>
      </c>
      <c r="B457">
        <v>1.1555</v>
      </c>
      <c r="C457">
        <v>1.3367963164349013</v>
      </c>
      <c r="D457">
        <v>6.2983756677204832E-3</v>
      </c>
    </row>
    <row r="458" spans="1:4" x14ac:dyDescent="0.25">
      <c r="A458">
        <v>46102</v>
      </c>
      <c r="B458">
        <v>1.1555</v>
      </c>
      <c r="C458">
        <v>1.3367963164349013</v>
      </c>
      <c r="D458">
        <v>6.2983756677204832E-3</v>
      </c>
    </row>
    <row r="459" spans="1:4" x14ac:dyDescent="0.25">
      <c r="A459">
        <v>46103</v>
      </c>
      <c r="B459">
        <v>1.1555</v>
      </c>
      <c r="C459">
        <v>1.3367963164349013</v>
      </c>
      <c r="D459">
        <v>6.2983756677204832E-3</v>
      </c>
    </row>
    <row r="460" spans="1:4" x14ac:dyDescent="0.25">
      <c r="A460">
        <v>46104</v>
      </c>
      <c r="B460">
        <v>1.1596</v>
      </c>
      <c r="C460">
        <v>1.3418190233742189</v>
      </c>
      <c r="D460">
        <v>6.3069726966169908E-3</v>
      </c>
    </row>
    <row r="461" spans="1:4" x14ac:dyDescent="0.25">
      <c r="A461">
        <v>46105</v>
      </c>
      <c r="B461">
        <v>1.1572</v>
      </c>
      <c r="C461">
        <v>1.3371696652453751</v>
      </c>
      <c r="D461">
        <v>6.2922081452884563E-3</v>
      </c>
    </row>
    <row r="462" spans="1:4" x14ac:dyDescent="0.25">
      <c r="A462">
        <v>46106</v>
      </c>
      <c r="B462">
        <v>1.1592</v>
      </c>
      <c r="C462">
        <v>1.3392176344185402</v>
      </c>
      <c r="D462">
        <v>6.2907689803006457E-3</v>
      </c>
    </row>
    <row r="463" spans="1:4" x14ac:dyDescent="0.25">
      <c r="A463">
        <v>46107</v>
      </c>
      <c r="B463">
        <v>1.1538999999999999</v>
      </c>
      <c r="C463">
        <v>1.3337571519389702</v>
      </c>
      <c r="D463">
        <v>6.2647266409685647E-3</v>
      </c>
    </row>
    <row r="464" spans="1:4" x14ac:dyDescent="0.25">
      <c r="A464">
        <v>46108</v>
      </c>
      <c r="B464">
        <v>1.1516999999999999</v>
      </c>
      <c r="C464">
        <v>1.3280673431734318</v>
      </c>
      <c r="D464">
        <v>6.2538010425716769E-3</v>
      </c>
    </row>
    <row r="465" spans="1:4" x14ac:dyDescent="0.25">
      <c r="A465">
        <v>46109</v>
      </c>
      <c r="B465">
        <v>1.1516999999999999</v>
      </c>
      <c r="C465">
        <v>1.3280673431734318</v>
      </c>
      <c r="D465">
        <v>6.2538010425716769E-3</v>
      </c>
    </row>
    <row r="466" spans="1:4" x14ac:dyDescent="0.25">
      <c r="A466">
        <v>46110</v>
      </c>
      <c r="B466">
        <v>1.1516999999999999</v>
      </c>
      <c r="C466">
        <v>1.3280673431734318</v>
      </c>
      <c r="D466">
        <v>6.2538010425716769E-3</v>
      </c>
    </row>
    <row r="467" spans="1:4" x14ac:dyDescent="0.25">
      <c r="A467">
        <v>46111</v>
      </c>
      <c r="B467">
        <v>1.1484000000000001</v>
      </c>
      <c r="C467">
        <v>1.3229957489948505</v>
      </c>
      <c r="D467">
        <v>6.2712975098296198E-3</v>
      </c>
    </row>
    <row r="468" spans="1:4" x14ac:dyDescent="0.25">
      <c r="A468">
        <v>46112</v>
      </c>
      <c r="B468">
        <v>1.1497999999999999</v>
      </c>
      <c r="C468">
        <v>1.3241509564336138</v>
      </c>
      <c r="D468">
        <v>6.2696984568406128E-3</v>
      </c>
    </row>
    <row r="469" spans="1:4" x14ac:dyDescent="0.25">
      <c r="A469">
        <v>46113</v>
      </c>
      <c r="B469">
        <v>1.1605000000000001</v>
      </c>
      <c r="C469">
        <v>1.3321777461458109</v>
      </c>
      <c r="D469">
        <v>6.3163337506123123E-3</v>
      </c>
    </row>
    <row r="470" spans="1:4" x14ac:dyDescent="0.25">
      <c r="A470">
        <v>46114</v>
      </c>
      <c r="B470">
        <v>1.1525000000000001</v>
      </c>
      <c r="C470">
        <v>1.3208714886594157</v>
      </c>
      <c r="D470">
        <v>6.2656300967706864E-3</v>
      </c>
    </row>
    <row r="471" spans="1:4" x14ac:dyDescent="0.25">
      <c r="A471">
        <v>46115</v>
      </c>
      <c r="B471">
        <v>1.1525000000000001</v>
      </c>
      <c r="C471">
        <v>1.3208714886594157</v>
      </c>
      <c r="D471">
        <v>6.2656300967706864E-3</v>
      </c>
    </row>
    <row r="472" spans="1:4" x14ac:dyDescent="0.25">
      <c r="A472">
        <v>46116</v>
      </c>
      <c r="B472">
        <v>1.1525000000000001</v>
      </c>
      <c r="C472">
        <v>1.3208714886594157</v>
      </c>
      <c r="D472">
        <v>6.2656300967706864E-3</v>
      </c>
    </row>
    <row r="473" spans="1:4" x14ac:dyDescent="0.25">
      <c r="A473">
        <v>46117</v>
      </c>
      <c r="B473">
        <v>1.1525000000000001</v>
      </c>
      <c r="C473">
        <v>1.3208714886594157</v>
      </c>
      <c r="D473">
        <v>6.2656300967706864E-3</v>
      </c>
    </row>
    <row r="474" spans="1:4" x14ac:dyDescent="0.25">
      <c r="A474">
        <v>46118</v>
      </c>
      <c r="B474">
        <v>1.1525000000000001</v>
      </c>
      <c r="C474">
        <v>1.3208714886594157</v>
      </c>
      <c r="D474">
        <v>6.2656300967706864E-3</v>
      </c>
    </row>
    <row r="475" spans="1:4" x14ac:dyDescent="0.25">
      <c r="A475">
        <v>46119</v>
      </c>
      <c r="B475">
        <v>1.1556999999999999</v>
      </c>
      <c r="C475">
        <v>1.3244630864791767</v>
      </c>
      <c r="D475">
        <v>6.2561576354679804E-3</v>
      </c>
    </row>
    <row r="476" spans="1:4" x14ac:dyDescent="0.25">
      <c r="A476">
        <v>46120</v>
      </c>
      <c r="B476">
        <v>1.1706000000000001</v>
      </c>
      <c r="C476">
        <v>1.3471741106878576</v>
      </c>
      <c r="D476">
        <v>6.3231242910387299E-3</v>
      </c>
    </row>
    <row r="477" spans="1:4" x14ac:dyDescent="0.25">
      <c r="A477">
        <v>46121</v>
      </c>
      <c r="B477">
        <v>1.1685000000000001</v>
      </c>
      <c r="C477">
        <v>1.3422857339781513</v>
      </c>
      <c r="D477">
        <v>6.2924071082390964E-3</v>
      </c>
    </row>
    <row r="478" spans="1:4" x14ac:dyDescent="0.25">
      <c r="A478">
        <v>46122</v>
      </c>
      <c r="B478">
        <v>1.1711</v>
      </c>
      <c r="C478">
        <v>1.3444693186384249</v>
      </c>
      <c r="D478">
        <v>6.2817143163653921E-3</v>
      </c>
    </row>
    <row r="479" spans="1:4" x14ac:dyDescent="0.25">
      <c r="A479">
        <v>46123</v>
      </c>
      <c r="B479">
        <v>1.1711</v>
      </c>
      <c r="C479">
        <v>1.3444693186384249</v>
      </c>
      <c r="D479">
        <v>6.2817143163653921E-3</v>
      </c>
    </row>
    <row r="480" spans="1:4" x14ac:dyDescent="0.25">
      <c r="A480">
        <v>46124</v>
      </c>
      <c r="B480">
        <v>1.1711</v>
      </c>
      <c r="C480">
        <v>1.3444693186384249</v>
      </c>
      <c r="D480">
        <v>6.2817143163653921E-3</v>
      </c>
    </row>
    <row r="481" spans="1:4" x14ac:dyDescent="0.25">
      <c r="A481">
        <v>46125</v>
      </c>
      <c r="B481">
        <v>1.1684000000000001</v>
      </c>
      <c r="C481">
        <v>1.3420937765627514</v>
      </c>
      <c r="D481">
        <v>6.2564926372155293E-3</v>
      </c>
    </row>
    <row r="482" spans="1:4" x14ac:dyDescent="0.25">
      <c r="A482">
        <v>46126</v>
      </c>
      <c r="B482">
        <v>1.1793</v>
      </c>
      <c r="C482">
        <v>1.3568741154948052</v>
      </c>
      <c r="D482">
        <v>6.2953077456894251E-3</v>
      </c>
    </row>
    <row r="483" spans="1:4" x14ac:dyDescent="0.25">
      <c r="A483">
        <v>46127</v>
      </c>
      <c r="B483">
        <v>1.1779999999999999</v>
      </c>
      <c r="C483">
        <v>1.3550353712543854</v>
      </c>
      <c r="D483">
        <v>6.2856837948882128E-3</v>
      </c>
    </row>
    <row r="484" spans="1:4" x14ac:dyDescent="0.25">
      <c r="A484">
        <v>46128</v>
      </c>
      <c r="B484">
        <v>1.1781999999999999</v>
      </c>
      <c r="C484">
        <v>1.3543618452059361</v>
      </c>
      <c r="D484">
        <v>6.2901073087395223E-3</v>
      </c>
    </row>
    <row r="485" spans="1:4" x14ac:dyDescent="0.25">
      <c r="A485">
        <v>46129</v>
      </c>
      <c r="B485">
        <v>1.1797</v>
      </c>
      <c r="C485">
        <v>1.3533636196769456</v>
      </c>
      <c r="D485">
        <v>6.2843596846366926E-3</v>
      </c>
    </row>
    <row r="486" spans="1:4" x14ac:dyDescent="0.25">
      <c r="A486">
        <v>46130</v>
      </c>
      <c r="B486">
        <v>1.1797</v>
      </c>
      <c r="C486">
        <v>1.3533636196769456</v>
      </c>
      <c r="D486">
        <v>6.2843596846366926E-3</v>
      </c>
    </row>
    <row r="487" spans="1:4" x14ac:dyDescent="0.25">
      <c r="A487">
        <v>46131</v>
      </c>
      <c r="B487">
        <v>1.1797</v>
      </c>
      <c r="C487">
        <v>1.3533636196769456</v>
      </c>
      <c r="D487">
        <v>6.2843596846366926E-3</v>
      </c>
    </row>
    <row r="488" spans="1:4" x14ac:dyDescent="0.25">
      <c r="A488">
        <v>46132</v>
      </c>
      <c r="B488">
        <v>1.1759999999999999</v>
      </c>
      <c r="C488">
        <v>1.3510253317249699</v>
      </c>
      <c r="D488">
        <v>6.2928082191780824E-3</v>
      </c>
    </row>
    <row r="489" spans="1:4" x14ac:dyDescent="0.25">
      <c r="A489">
        <v>46133</v>
      </c>
      <c r="B489">
        <v>1.1767000000000001</v>
      </c>
      <c r="C489">
        <v>1.351984833687597</v>
      </c>
      <c r="D489">
        <v>6.2878059207010801E-3</v>
      </c>
    </row>
    <row r="490" spans="1:4" x14ac:dyDescent="0.25">
      <c r="A490">
        <v>46134</v>
      </c>
      <c r="B490">
        <v>1.1733</v>
      </c>
      <c r="C490">
        <v>1.3501260025545725</v>
      </c>
      <c r="D490">
        <v>6.2807130239280551E-3</v>
      </c>
    </row>
    <row r="491" spans="1:4" x14ac:dyDescent="0.25">
      <c r="A491">
        <v>46135</v>
      </c>
      <c r="B491">
        <v>1.1694</v>
      </c>
      <c r="C491">
        <v>1.3507363557609009</v>
      </c>
      <c r="D491">
        <v>6.2702412868632712E-3</v>
      </c>
    </row>
    <row r="492" spans="1:4" x14ac:dyDescent="0.25">
      <c r="A492">
        <v>46136</v>
      </c>
      <c r="B492">
        <v>1.1712</v>
      </c>
      <c r="C492">
        <v>1.3492621222768799</v>
      </c>
      <c r="D492">
        <v>6.2728295217181727E-3</v>
      </c>
    </row>
    <row r="493" spans="1:4" x14ac:dyDescent="0.25">
      <c r="A493">
        <v>46137</v>
      </c>
      <c r="B493">
        <v>1.1712</v>
      </c>
      <c r="C493">
        <v>1.3492621222768799</v>
      </c>
      <c r="D493">
        <v>6.2728295217181727E-3</v>
      </c>
    </row>
    <row r="494" spans="1:4" x14ac:dyDescent="0.25">
      <c r="A494">
        <v>46138</v>
      </c>
      <c r="B494">
        <v>1.1712</v>
      </c>
      <c r="C494">
        <v>1.3492621222768799</v>
      </c>
      <c r="D494">
        <v>6.2728295217181727E-3</v>
      </c>
    </row>
    <row r="495" spans="1:4" x14ac:dyDescent="0.25">
      <c r="A495">
        <v>46139</v>
      </c>
      <c r="B495">
        <v>1.1749000000000001</v>
      </c>
      <c r="C495">
        <v>1.357010857010857</v>
      </c>
      <c r="D495">
        <v>6.280872447343099E-3</v>
      </c>
    </row>
    <row r="496" spans="1:4" x14ac:dyDescent="0.25">
      <c r="A496">
        <v>46140</v>
      </c>
      <c r="B496">
        <v>1.1679999999999999</v>
      </c>
      <c r="C496">
        <v>1.3469411289857578</v>
      </c>
      <c r="D496">
        <v>6.2600493086075668E-3</v>
      </c>
    </row>
    <row r="497" spans="1:4" x14ac:dyDescent="0.25">
      <c r="A497">
        <v>46141</v>
      </c>
      <c r="B497">
        <v>1.1706000000000001</v>
      </c>
      <c r="C497">
        <v>1.3510612513417126</v>
      </c>
      <c r="D497">
        <v>6.2582197273456297E-3</v>
      </c>
    </row>
    <row r="498" spans="1:4" x14ac:dyDescent="0.25">
      <c r="A498">
        <v>46142</v>
      </c>
      <c r="B498">
        <v>1.1701999999999999</v>
      </c>
      <c r="C498">
        <v>1.3508802308802308</v>
      </c>
      <c r="D498">
        <v>6.3872059385404719E-3</v>
      </c>
    </row>
    <row r="499" spans="1:4" x14ac:dyDescent="0.25">
      <c r="A499">
        <v>46143</v>
      </c>
      <c r="B499">
        <v>1.1701999999999999</v>
      </c>
      <c r="C499">
        <v>1.3508802308802308</v>
      </c>
      <c r="D499">
        <v>6.3872059385404719E-3</v>
      </c>
    </row>
    <row r="500" spans="1:4" x14ac:dyDescent="0.25">
      <c r="A500">
        <v>46144</v>
      </c>
      <c r="B500">
        <v>1.1701999999999999</v>
      </c>
      <c r="C500">
        <v>1.3508802308802308</v>
      </c>
      <c r="D500">
        <v>6.3872059385404719E-3</v>
      </c>
    </row>
    <row r="501" spans="1:4" x14ac:dyDescent="0.25">
      <c r="A501">
        <v>46145</v>
      </c>
      <c r="B501">
        <v>1.1701999999999999</v>
      </c>
      <c r="C501">
        <v>1.3508802308802308</v>
      </c>
      <c r="D501">
        <v>6.3872059385404719E-3</v>
      </c>
    </row>
    <row r="502" spans="1:4" x14ac:dyDescent="0.25">
      <c r="A502">
        <v>46146</v>
      </c>
      <c r="B502">
        <v>1.17</v>
      </c>
      <c r="C502">
        <v>1.354825262280275</v>
      </c>
      <c r="D502">
        <v>6.3645759669259637E-3</v>
      </c>
    </row>
    <row r="503" spans="1:4" x14ac:dyDescent="0.25">
      <c r="A503">
        <v>46147</v>
      </c>
      <c r="B503">
        <v>1.1686000000000001</v>
      </c>
      <c r="C503">
        <v>1.3534391902065019</v>
      </c>
      <c r="D503">
        <v>6.336622925929943E-3</v>
      </c>
    </row>
    <row r="504" spans="1:4" x14ac:dyDescent="0.25">
      <c r="A504">
        <v>46148</v>
      </c>
      <c r="B504">
        <v>1.1761999999999999</v>
      </c>
      <c r="C504">
        <v>1.3618154451777236</v>
      </c>
      <c r="D504">
        <v>6.4014368128877753E-3</v>
      </c>
    </row>
    <row r="505" spans="1:4" x14ac:dyDescent="0.25">
      <c r="A505">
        <v>46149</v>
      </c>
      <c r="B505">
        <v>1.177</v>
      </c>
      <c r="C505">
        <v>1.3621108667978243</v>
      </c>
      <c r="D505">
        <v>6.3943065138262626E-3</v>
      </c>
    </row>
    <row r="506" spans="1:4" x14ac:dyDescent="0.25">
      <c r="A506">
        <v>46150</v>
      </c>
      <c r="B506">
        <v>1.1760999999999999</v>
      </c>
      <c r="C506">
        <v>1.3610693206804767</v>
      </c>
      <c r="D506">
        <v>6.3790204480121491E-3</v>
      </c>
    </row>
    <row r="507" spans="1:4" x14ac:dyDescent="0.25">
      <c r="A507">
        <v>46151</v>
      </c>
      <c r="B507">
        <v>1.1760999999999999</v>
      </c>
      <c r="C507">
        <v>1.3610693206804767</v>
      </c>
      <c r="D507">
        <v>6.3790204480121491E-3</v>
      </c>
    </row>
    <row r="508" spans="1:4" x14ac:dyDescent="0.25">
      <c r="A508">
        <v>46152</v>
      </c>
      <c r="B508">
        <v>1.1760999999999999</v>
      </c>
      <c r="C508">
        <v>1.3610693206804767</v>
      </c>
      <c r="D508">
        <v>6.3790204480121491E-3</v>
      </c>
    </row>
    <row r="509" spans="1:4" x14ac:dyDescent="0.25">
      <c r="A509">
        <v>46153</v>
      </c>
      <c r="B509">
        <v>1.1765000000000001</v>
      </c>
      <c r="C509">
        <v>1.3603043196744058</v>
      </c>
      <c r="D509">
        <v>6.3639314112619687E-3</v>
      </c>
    </row>
    <row r="510" spans="1:4" x14ac:dyDescent="0.25">
      <c r="A510">
        <v>46154</v>
      </c>
      <c r="B510">
        <v>1.1738</v>
      </c>
      <c r="C510">
        <v>1.3522574104581639</v>
      </c>
      <c r="D510">
        <v>6.3455508703643641E-3</v>
      </c>
    </row>
    <row r="511" spans="1:4" x14ac:dyDescent="0.25">
      <c r="A511">
        <v>46155</v>
      </c>
      <c r="B511">
        <v>1.1715</v>
      </c>
      <c r="C511">
        <v>1.3510084993022962</v>
      </c>
      <c r="D511">
        <v>6.3382567764973217E-3</v>
      </c>
    </row>
    <row r="512" spans="1:4" x14ac:dyDescent="0.25">
      <c r="A512">
        <v>46156</v>
      </c>
      <c r="B512">
        <v>1.1701999999999999</v>
      </c>
      <c r="C512">
        <v>1.3509894017409776</v>
      </c>
      <c r="D512">
        <v>6.3312232862630519E-3</v>
      </c>
    </row>
    <row r="513" spans="1:4" x14ac:dyDescent="0.25">
      <c r="A513">
        <v>46157</v>
      </c>
      <c r="B513">
        <v>1.1628000000000001</v>
      </c>
      <c r="C513">
        <v>1.3357840321654222</v>
      </c>
      <c r="D513">
        <v>6.3072249945758298E-3</v>
      </c>
    </row>
    <row r="514" spans="1:4" x14ac:dyDescent="0.25">
      <c r="A514">
        <v>46158</v>
      </c>
      <c r="B514">
        <v>1.1628000000000001</v>
      </c>
      <c r="C514">
        <v>1.3357840321654222</v>
      </c>
      <c r="D514">
        <v>6.3072249945758298E-3</v>
      </c>
    </row>
    <row r="515" spans="1:4" x14ac:dyDescent="0.25">
      <c r="A515">
        <v>46159</v>
      </c>
      <c r="B515">
        <v>1.1628000000000001</v>
      </c>
      <c r="C515">
        <v>1.3357840321654222</v>
      </c>
      <c r="D515">
        <v>6.3072249945758298E-3</v>
      </c>
    </row>
    <row r="516" spans="1:4" x14ac:dyDescent="0.25">
      <c r="A516">
        <v>46160</v>
      </c>
      <c r="B516">
        <v>1.1648000000000001</v>
      </c>
      <c r="C516">
        <v>1.3385428637094923</v>
      </c>
      <c r="D516">
        <v>6.2985994700697559E-3</v>
      </c>
    </row>
    <row r="517" spans="1:4" x14ac:dyDescent="0.25">
      <c r="A517">
        <v>46161</v>
      </c>
      <c r="B517">
        <v>1.1619999999999999</v>
      </c>
      <c r="C517">
        <v>1.3407021956594478</v>
      </c>
      <c r="D517">
        <v>6.284817999891828E-3</v>
      </c>
    </row>
    <row r="518" spans="1:4" x14ac:dyDescent="0.25">
      <c r="A518">
        <v>46162</v>
      </c>
      <c r="B518">
        <v>1.1599999999999999</v>
      </c>
      <c r="C518">
        <v>1.3401883195655939</v>
      </c>
      <c r="D518">
        <v>6.2879444926279273E-3</v>
      </c>
    </row>
    <row r="519" spans="1:4" x14ac:dyDescent="0.25">
      <c r="A519">
        <v>46163</v>
      </c>
      <c r="B519">
        <v>1.1598999999999999</v>
      </c>
      <c r="C519">
        <v>1.3419642960443348</v>
      </c>
      <c r="D519">
        <v>6.2836556693211983E-3</v>
      </c>
    </row>
    <row r="520" spans="1:4" x14ac:dyDescent="0.25">
      <c r="A520">
        <v>46164</v>
      </c>
      <c r="B520">
        <v>1.1595</v>
      </c>
      <c r="C520">
        <v>1.3417343608970353</v>
      </c>
      <c r="D520">
        <v>6.2835311331490814E-3</v>
      </c>
    </row>
    <row r="521" spans="1:4" x14ac:dyDescent="0.25">
      <c r="A521">
        <v>46165</v>
      </c>
      <c r="B521">
        <v>1.1595</v>
      </c>
      <c r="C521">
        <v>1.3417343608970353</v>
      </c>
      <c r="D521">
        <v>6.2835311331490814E-3</v>
      </c>
    </row>
    <row r="522" spans="1:4" x14ac:dyDescent="0.25">
      <c r="A522">
        <v>46166</v>
      </c>
      <c r="B522">
        <v>1.1595</v>
      </c>
      <c r="C522">
        <v>1.3417343608970353</v>
      </c>
      <c r="D522">
        <v>6.2835311331490814E-3</v>
      </c>
    </row>
    <row r="523" spans="1:4" x14ac:dyDescent="0.25">
      <c r="A523">
        <v>46167</v>
      </c>
      <c r="B523">
        <v>1.1642999999999999</v>
      </c>
      <c r="C523">
        <v>1.3498347921859601</v>
      </c>
      <c r="D523">
        <v>6.2921530479896235E-3</v>
      </c>
    </row>
    <row r="524" spans="1:4" x14ac:dyDescent="0.25">
      <c r="A524">
        <v>46168</v>
      </c>
      <c r="B524">
        <v>1.1634</v>
      </c>
      <c r="C524">
        <v>1.3469175108538349</v>
      </c>
      <c r="D524">
        <v>6.2811791383219958E-3</v>
      </c>
    </row>
    <row r="525" spans="1:4" x14ac:dyDescent="0.25">
      <c r="A525">
        <v>46169</v>
      </c>
      <c r="B525">
        <v>1.1637</v>
      </c>
      <c r="C525">
        <v>1.3434851878362466</v>
      </c>
      <c r="D525">
        <v>6.2726390685640355E-3</v>
      </c>
    </row>
    <row r="526" spans="1:4" x14ac:dyDescent="0.25">
      <c r="A526">
        <v>46170</v>
      </c>
      <c r="B526">
        <v>1.1617</v>
      </c>
      <c r="C526">
        <v>1.3404488547856688</v>
      </c>
      <c r="D526">
        <v>6.2713236881882959E-3</v>
      </c>
    </row>
    <row r="527" spans="1:4" x14ac:dyDescent="0.25">
      <c r="A527">
        <v>46171</v>
      </c>
      <c r="B527">
        <v>1.1644000000000001</v>
      </c>
      <c r="C527">
        <v>1.3426657288147321</v>
      </c>
      <c r="D527">
        <v>6.2787813426799684E-3</v>
      </c>
    </row>
    <row r="528" spans="1:4" x14ac:dyDescent="0.25">
      <c r="A528">
        <v>46172</v>
      </c>
      <c r="B528">
        <v>1.1644000000000001</v>
      </c>
      <c r="C528">
        <v>1.3426657288147321</v>
      </c>
      <c r="D528">
        <v>6.2787813426799684E-3</v>
      </c>
    </row>
    <row r="529" spans="1:4" x14ac:dyDescent="0.25">
      <c r="A529">
        <v>46173</v>
      </c>
      <c r="B529">
        <v>1.1644000000000001</v>
      </c>
      <c r="C529">
        <v>1.3426657288147321</v>
      </c>
      <c r="D529">
        <v>6.2787813426799684E-3</v>
      </c>
    </row>
    <row r="530" spans="1:4" x14ac:dyDescent="0.25">
      <c r="A530">
        <v>46174</v>
      </c>
      <c r="B530">
        <v>1.1646000000000001</v>
      </c>
      <c r="C530">
        <v>1.3464673441781416</v>
      </c>
      <c r="D530">
        <v>6.2700549154732421E-3</v>
      </c>
    </row>
    <row r="531" spans="1:4" x14ac:dyDescent="0.25">
      <c r="A531">
        <v>46175</v>
      </c>
      <c r="B531">
        <v>1.1649</v>
      </c>
      <c r="C531">
        <v>1.3472503325044816</v>
      </c>
      <c r="D531">
        <v>6.2598742543930356E-3</v>
      </c>
    </row>
    <row r="532" spans="1:4" x14ac:dyDescent="0.25">
      <c r="A532">
        <v>46176</v>
      </c>
      <c r="B532">
        <v>1.1614</v>
      </c>
      <c r="C532">
        <v>1.3446798656941068</v>
      </c>
      <c r="D532">
        <v>6.2555208445545622E-3</v>
      </c>
    </row>
    <row r="533" spans="1:4" x14ac:dyDescent="0.25">
      <c r="A533">
        <v>46177</v>
      </c>
      <c r="B533">
        <v>1.1639999999999999</v>
      </c>
      <c r="C533">
        <v>1.3458203260492541</v>
      </c>
      <c r="D533">
        <v>6.2577280791355303E-3</v>
      </c>
    </row>
    <row r="534" spans="1:4" x14ac:dyDescent="0.25">
      <c r="A534">
        <v>46178</v>
      </c>
      <c r="B534">
        <v>1.1639999999999999</v>
      </c>
      <c r="C534">
        <v>1.3467078546388531</v>
      </c>
      <c r="D534">
        <v>6.2553740326741179E-3</v>
      </c>
    </row>
    <row r="535" spans="1:4" x14ac:dyDescent="0.25">
      <c r="A535">
        <v>46179</v>
      </c>
      <c r="B535">
        <v>1.1639999999999999</v>
      </c>
      <c r="C535">
        <v>1.3467078546388531</v>
      </c>
      <c r="D535">
        <v>6.2553740326741179E-3</v>
      </c>
    </row>
    <row r="536" spans="1:4" x14ac:dyDescent="0.25">
      <c r="A536">
        <v>46180</v>
      </c>
      <c r="B536">
        <v>1.1639999999999999</v>
      </c>
      <c r="C536">
        <v>1.3467078546388531</v>
      </c>
      <c r="D536">
        <v>6.2553740326741179E-3</v>
      </c>
    </row>
    <row r="537" spans="1:4" x14ac:dyDescent="0.25">
      <c r="A537">
        <v>46181</v>
      </c>
      <c r="B537">
        <v>1.1539999999999999</v>
      </c>
      <c r="C537">
        <v>1.3362667901806391</v>
      </c>
      <c r="D537">
        <v>6.2513542795232932E-3</v>
      </c>
    </row>
    <row r="538" spans="1:4" x14ac:dyDescent="0.25">
      <c r="A538">
        <v>46182</v>
      </c>
      <c r="B538">
        <v>1.1573</v>
      </c>
      <c r="C538">
        <v>1.3403984248320593</v>
      </c>
      <c r="D538">
        <v>6.2438629619638525E-3</v>
      </c>
    </row>
    <row r="539" spans="1:4" x14ac:dyDescent="0.25">
      <c r="A539">
        <v>46183</v>
      </c>
      <c r="B539">
        <v>1.1538999999999999</v>
      </c>
      <c r="C539">
        <v>1.3381964095189496</v>
      </c>
      <c r="D539">
        <v>6.2308979966520864E-3</v>
      </c>
    </row>
    <row r="540" spans="1:4" x14ac:dyDescent="0.25">
      <c r="A540">
        <v>46184</v>
      </c>
      <c r="B540">
        <v>1.1536999999999999</v>
      </c>
      <c r="C540">
        <v>1.336383644156145</v>
      </c>
      <c r="D540">
        <v>6.2291452945305321E-3</v>
      </c>
    </row>
    <row r="541" spans="1:4" x14ac:dyDescent="0.25">
      <c r="A541">
        <v>46185</v>
      </c>
      <c r="B541">
        <v>1.1567000000000001</v>
      </c>
      <c r="C541">
        <v>1.3402467991425759</v>
      </c>
      <c r="D541">
        <v>6.2423097679438749E-3</v>
      </c>
    </row>
    <row r="542" spans="1:4" x14ac:dyDescent="0.25">
      <c r="A542">
        <v>46186</v>
      </c>
      <c r="B542">
        <v>1.1567000000000001</v>
      </c>
      <c r="C542">
        <v>1.3402467991425759</v>
      </c>
      <c r="D542">
        <v>6.2423097679438749E-3</v>
      </c>
    </row>
    <row r="543" spans="1:4" x14ac:dyDescent="0.25">
      <c r="A543">
        <v>46187</v>
      </c>
      <c r="B543">
        <v>1.1567000000000001</v>
      </c>
      <c r="C543">
        <v>1.3402467991425759</v>
      </c>
      <c r="D543">
        <v>6.2423097679438749E-3</v>
      </c>
    </row>
    <row r="544" spans="1:4" x14ac:dyDescent="0.25">
      <c r="A544">
        <v>46188</v>
      </c>
      <c r="B544">
        <v>1.1607000000000001</v>
      </c>
      <c r="C544">
        <v>1.3421134789496203</v>
      </c>
      <c r="D544">
        <v>6.2426719733232935E-3</v>
      </c>
    </row>
    <row r="545" spans="1:4" x14ac:dyDescent="0.25">
      <c r="A545">
        <v>46189</v>
      </c>
      <c r="B545">
        <v>1.1594</v>
      </c>
      <c r="C545">
        <v>1.3407963363439765</v>
      </c>
      <c r="D545">
        <v>6.2353447348607082E-3</v>
      </c>
    </row>
    <row r="546" spans="1:4" x14ac:dyDescent="0.25">
      <c r="A546">
        <v>46190</v>
      </c>
      <c r="B546">
        <v>1.1591</v>
      </c>
      <c r="C546">
        <v>1.3405734244705827</v>
      </c>
      <c r="D546">
        <v>6.2377569691098918E-3</v>
      </c>
    </row>
    <row r="547" spans="1:4" x14ac:dyDescent="0.25">
      <c r="A547">
        <v>46191</v>
      </c>
      <c r="B547">
        <v>1.1460999999999999</v>
      </c>
      <c r="C547">
        <v>1.3228606385188946</v>
      </c>
      <c r="D547">
        <v>6.2139449143352845E-3</v>
      </c>
    </row>
    <row r="548" spans="1:4" x14ac:dyDescent="0.25">
      <c r="A548">
        <v>46192</v>
      </c>
      <c r="B548">
        <v>1.1467000000000001</v>
      </c>
      <c r="C548">
        <v>1.3233240626406473</v>
      </c>
      <c r="D548">
        <v>6.2024015577672011E-3</v>
      </c>
    </row>
    <row r="549" spans="1:4" x14ac:dyDescent="0.25">
      <c r="A549">
        <v>46193</v>
      </c>
      <c r="B549">
        <v>1.1467000000000001</v>
      </c>
      <c r="C549">
        <v>1.3233240626406473</v>
      </c>
      <c r="D549">
        <v>6.2024015577672011E-3</v>
      </c>
    </row>
    <row r="550" spans="1:4" x14ac:dyDescent="0.25">
      <c r="A550">
        <v>46194</v>
      </c>
      <c r="B550">
        <v>1.1467000000000001</v>
      </c>
      <c r="C550">
        <v>1.3233240626406473</v>
      </c>
      <c r="D550">
        <v>6.2024015577672011E-3</v>
      </c>
    </row>
    <row r="551" spans="1:4" x14ac:dyDescent="0.25">
      <c r="A551">
        <v>46195</v>
      </c>
      <c r="B551">
        <v>1.1456</v>
      </c>
      <c r="C551">
        <v>1.3248831937826711</v>
      </c>
      <c r="D551">
        <v>6.1814061403982082E-3</v>
      </c>
    </row>
    <row r="552" spans="1:4" x14ac:dyDescent="0.25">
      <c r="A552">
        <v>46196</v>
      </c>
      <c r="B552">
        <v>1.1392</v>
      </c>
      <c r="C552">
        <v>1.3215777262180974</v>
      </c>
      <c r="D552">
        <v>6.1906314531029235E-3</v>
      </c>
    </row>
    <row r="553" spans="1:4" x14ac:dyDescent="0.25">
      <c r="A553">
        <v>46197</v>
      </c>
      <c r="B553">
        <v>1.1339999999999999</v>
      </c>
      <c r="C553">
        <v>1.3160796146927405</v>
      </c>
      <c r="D553">
        <v>6.1848922825197706E-3</v>
      </c>
    </row>
    <row r="554" spans="1:4" x14ac:dyDescent="0.25">
      <c r="A554">
        <v>46198</v>
      </c>
      <c r="B554">
        <v>1.1342000000000001</v>
      </c>
      <c r="C554">
        <v>1.3160368054024576</v>
      </c>
      <c r="D554">
        <v>6.1785694830309972E-3</v>
      </c>
    </row>
    <row r="555" spans="1:4" x14ac:dyDescent="0.25">
      <c r="A555">
        <v>46199</v>
      </c>
      <c r="B555">
        <v>1.1400999999999999</v>
      </c>
      <c r="C555">
        <v>1.3218090964951943</v>
      </c>
      <c r="D555">
        <v>6.1861096039066733E-3</v>
      </c>
    </row>
    <row r="556" spans="1:4" x14ac:dyDescent="0.25">
      <c r="A556">
        <v>46200</v>
      </c>
      <c r="B556">
        <v>1.1400999999999999</v>
      </c>
      <c r="C556">
        <v>1.3218090964951943</v>
      </c>
      <c r="D556">
        <v>6.1861096039066733E-3</v>
      </c>
    </row>
    <row r="557" spans="1:4" x14ac:dyDescent="0.25">
      <c r="A557">
        <v>46201</v>
      </c>
      <c r="B557">
        <v>1.1400999999999999</v>
      </c>
      <c r="C557">
        <v>1.3218090964951943</v>
      </c>
      <c r="D557">
        <v>6.1861096039066733E-3</v>
      </c>
    </row>
    <row r="558" spans="1:4" x14ac:dyDescent="0.25">
      <c r="A558">
        <v>46202</v>
      </c>
      <c r="B558">
        <v>1.1406000000000001</v>
      </c>
      <c r="C558">
        <v>1.3229716406657774</v>
      </c>
      <c r="D558">
        <v>6.1780955476113102E-3</v>
      </c>
    </row>
    <row r="559" spans="1:4" x14ac:dyDescent="0.25">
      <c r="A559">
        <v>46203</v>
      </c>
      <c r="B559">
        <v>1.1394</v>
      </c>
      <c r="C559">
        <v>1.3221471837359884</v>
      </c>
      <c r="D559">
        <v>6.1562567538361781E-3</v>
      </c>
    </row>
    <row r="560" spans="1:4" x14ac:dyDescent="0.25">
      <c r="A560">
        <v>46204</v>
      </c>
      <c r="B560">
        <v>1.1383000000000001</v>
      </c>
      <c r="C560">
        <v>1.3240203319646866</v>
      </c>
      <c r="D560">
        <v>6.145996436477512E-3</v>
      </c>
    </row>
    <row r="561" spans="1:4" x14ac:dyDescent="0.25">
      <c r="A561">
        <v>46205</v>
      </c>
      <c r="B561">
        <v>1.1398999999999999</v>
      </c>
      <c r="C561">
        <v>1.3306484561956458</v>
      </c>
      <c r="D561">
        <v>6.1887181714533899E-3</v>
      </c>
    </row>
    <row r="562" spans="1:4" x14ac:dyDescent="0.25">
      <c r="A562">
        <v>46206</v>
      </c>
      <c r="B562">
        <v>1.1448</v>
      </c>
      <c r="C562">
        <v>1.3355109659356044</v>
      </c>
      <c r="D562">
        <v>6.2055507372072863E-3</v>
      </c>
    </row>
    <row r="563" spans="1:4" x14ac:dyDescent="0.25">
      <c r="A563">
        <v>46207</v>
      </c>
      <c r="B563">
        <v>1.1448</v>
      </c>
      <c r="C563">
        <v>1.3355109659356044</v>
      </c>
      <c r="D563">
        <v>6.2055507372072863E-3</v>
      </c>
    </row>
    <row r="564" spans="1:4" x14ac:dyDescent="0.25">
      <c r="A564">
        <v>46208</v>
      </c>
      <c r="B564">
        <v>1.1448</v>
      </c>
      <c r="C564">
        <v>1.3355109659356044</v>
      </c>
      <c r="D564">
        <v>6.2055507372072863E-3</v>
      </c>
    </row>
    <row r="565" spans="1:4" x14ac:dyDescent="0.25">
      <c r="A565">
        <v>46209</v>
      </c>
      <c r="B565">
        <v>1.1415</v>
      </c>
      <c r="C565">
        <v>1.3344946105824311</v>
      </c>
      <c r="D565">
        <v>6.1599481949166255E-3</v>
      </c>
    </row>
    <row r="566" spans="1:4" x14ac:dyDescent="0.25">
      <c r="A566">
        <v>46210</v>
      </c>
      <c r="B566">
        <v>1.1433</v>
      </c>
      <c r="C566">
        <v>1.3385863647539544</v>
      </c>
      <c r="D566">
        <v>6.176994975417364E-3</v>
      </c>
    </row>
    <row r="567" spans="1:4" x14ac:dyDescent="0.25">
      <c r="A567">
        <v>46211</v>
      </c>
      <c r="B567">
        <v>1.1404000000000001</v>
      </c>
      <c r="C567">
        <v>1.3348159419441681</v>
      </c>
      <c r="D567">
        <v>6.1543443065299516E-3</v>
      </c>
    </row>
    <row r="568" spans="1:4" x14ac:dyDescent="0.25">
      <c r="A568">
        <v>46212</v>
      </c>
      <c r="B568">
        <v>1.1435</v>
      </c>
      <c r="C568">
        <v>1.3395733514520343</v>
      </c>
      <c r="D568">
        <v>6.1571182425156148E-3</v>
      </c>
    </row>
    <row r="569" spans="1:4" x14ac:dyDescent="0.25">
      <c r="A569">
        <v>46213</v>
      </c>
      <c r="B569">
        <v>1.143</v>
      </c>
      <c r="C569">
        <v>1.3422582349832657</v>
      </c>
      <c r="D569">
        <v>6.1777105177818611E-3</v>
      </c>
    </row>
    <row r="570" spans="1:4" x14ac:dyDescent="0.25">
      <c r="A570">
        <v>46214</v>
      </c>
      <c r="B570">
        <v>1.143</v>
      </c>
      <c r="C570">
        <v>1.3422582349832657</v>
      </c>
      <c r="D570">
        <v>6.1777105177818611E-3</v>
      </c>
    </row>
    <row r="571" spans="1:4" x14ac:dyDescent="0.25">
      <c r="A571">
        <v>46215</v>
      </c>
      <c r="B571">
        <v>1.143</v>
      </c>
      <c r="C571">
        <v>1.3422582349832657</v>
      </c>
      <c r="D571">
        <v>6.1777105177818611E-3</v>
      </c>
    </row>
    <row r="572" spans="1:4" x14ac:dyDescent="0.25">
      <c r="A572">
        <v>46216</v>
      </c>
      <c r="B572">
        <v>1.1424000000000001</v>
      </c>
      <c r="C572">
        <v>1.3388022969647253</v>
      </c>
      <c r="D572">
        <v>6.167467472871566E-3</v>
      </c>
    </row>
    <row r="573" spans="1:4" x14ac:dyDescent="0.25">
      <c r="A573">
        <v>46217</v>
      </c>
      <c r="B573">
        <v>1.1405000000000001</v>
      </c>
      <c r="C573">
        <v>1.338379393299302</v>
      </c>
      <c r="D573">
        <v>6.164531646938004E-3</v>
      </c>
    </row>
    <row r="574" spans="1:4" x14ac:dyDescent="0.25">
      <c r="A574">
        <v>46218</v>
      </c>
      <c r="B574">
        <v>1.1406000000000001</v>
      </c>
      <c r="C574">
        <v>1.3404157803814651</v>
      </c>
      <c r="D574">
        <v>6.1580822805312602E-3</v>
      </c>
    </row>
    <row r="575" spans="1:4" x14ac:dyDescent="0.25">
      <c r="A575">
        <v>46219</v>
      </c>
      <c r="B575">
        <v>1.1467000000000001</v>
      </c>
      <c r="C575">
        <v>1.3510774922531312</v>
      </c>
      <c r="D575">
        <v>6.1653852357653636E-3</v>
      </c>
    </row>
    <row r="576" spans="1:4" x14ac:dyDescent="0.25">
      <c r="A576">
        <v>46220</v>
      </c>
      <c r="B576">
        <v>1.1435</v>
      </c>
      <c r="C576">
        <v>1.3437448588685985</v>
      </c>
      <c r="D576">
        <v>6.1594398060867217E-3</v>
      </c>
    </row>
    <row r="577" spans="1:4" x14ac:dyDescent="0.25">
      <c r="A577">
        <v>46221</v>
      </c>
      <c r="B577">
        <v>1.1435</v>
      </c>
      <c r="C577">
        <v>1.3437448588685985</v>
      </c>
      <c r="D577">
        <v>6.1594398060867217E-3</v>
      </c>
    </row>
    <row r="578" spans="1:4" x14ac:dyDescent="0.25">
      <c r="A578">
        <v>46222</v>
      </c>
      <c r="B578">
        <v>1.1435</v>
      </c>
      <c r="C578">
        <v>1.3437448588685985</v>
      </c>
      <c r="D578">
        <v>6.1594398060867217E-3</v>
      </c>
    </row>
    <row r="579" spans="1:4" x14ac:dyDescent="0.25">
      <c r="A579">
        <v>46223</v>
      </c>
      <c r="B579">
        <v>1.1426000000000001</v>
      </c>
      <c r="C579">
        <v>1.3460088587315051</v>
      </c>
      <c r="D579">
        <v>6.1582408106068782E-3</v>
      </c>
    </row>
    <row r="580" spans="1:4" x14ac:dyDescent="0.25">
      <c r="A580">
        <v>46224</v>
      </c>
      <c r="B580">
        <v>1.1417999999999999</v>
      </c>
      <c r="C580">
        <v>1.3400622029223637</v>
      </c>
      <c r="D580">
        <v>6.1446561188246689E-3</v>
      </c>
    </row>
    <row r="581" spans="1:4" x14ac:dyDescent="0.25">
      <c r="A581">
        <v>46225</v>
      </c>
      <c r="B581">
        <v>1.1408</v>
      </c>
      <c r="C581">
        <v>1.3367705647996251</v>
      </c>
      <c r="D581">
        <v>6.132344245551793E-3</v>
      </c>
    </row>
    <row r="582" spans="1:4" x14ac:dyDescent="0.25">
      <c r="A582">
        <v>46226</v>
      </c>
      <c r="B582">
        <v>1.1392</v>
      </c>
      <c r="C582">
        <v>1.3352399259241894</v>
      </c>
      <c r="D582">
        <v>6.1171669441013807E-3</v>
      </c>
    </row>
    <row r="583" spans="1:4" x14ac:dyDescent="0.25">
      <c r="A583">
        <v>46227</v>
      </c>
      <c r="B583">
        <v>1.1376999999999999</v>
      </c>
      <c r="C583">
        <v>1.3323886260364455</v>
      </c>
      <c r="D583">
        <v>6.1041957291554884E-3</v>
      </c>
    </row>
    <row r="584" spans="1:4" x14ac:dyDescent="0.25">
      <c r="A584">
        <v>46228</v>
      </c>
      <c r="B584">
        <v>1.1376999999999999</v>
      </c>
      <c r="C584">
        <v>1.3323886260364455</v>
      </c>
      <c r="D584">
        <v>6.1041957291554884E-3</v>
      </c>
    </row>
    <row r="585" spans="1:4" x14ac:dyDescent="0.25">
      <c r="A585">
        <v>46229</v>
      </c>
      <c r="B585">
        <v>1.1376999999999999</v>
      </c>
      <c r="C585">
        <v>1.3323886260364455</v>
      </c>
      <c r="D585">
        <v>6.1041957291554884E-3</v>
      </c>
    </row>
    <row r="586" spans="1:4" x14ac:dyDescent="0.25">
      <c r="A586">
        <v>46230</v>
      </c>
      <c r="B586">
        <v>1.1389</v>
      </c>
      <c r="C586">
        <v>1.3316729806837846</v>
      </c>
      <c r="D586">
        <v>6.1109620647099858E-3</v>
      </c>
    </row>
    <row r="587" spans="1:4" x14ac:dyDescent="0.25">
      <c r="A587">
        <v>46231</v>
      </c>
      <c r="B587">
        <v>1.1367</v>
      </c>
      <c r="C587">
        <v>1.3286966686148451</v>
      </c>
      <c r="D587">
        <v>6.1007943323314728E-3</v>
      </c>
    </row>
    <row r="588" spans="1:4" x14ac:dyDescent="0.25">
      <c r="A588">
        <v>46232</v>
      </c>
      <c r="B588">
        <v>1.1379999999999999</v>
      </c>
      <c r="C588">
        <v>1.3288958953698837</v>
      </c>
      <c r="D588">
        <v>6.1094110699522189E-3</v>
      </c>
    </row>
    <row r="589" spans="1:4" x14ac:dyDescent="0.25">
      <c r="A589">
        <v>46233</v>
      </c>
      <c r="B589">
        <v>1.1476</v>
      </c>
      <c r="C589">
        <v>1.3388555095374206</v>
      </c>
      <c r="D589">
        <v>6.1372265896572006E-3</v>
      </c>
    </row>
    <row r="590" spans="1:4" x14ac:dyDescent="0.25">
      <c r="A590">
        <v>46234</v>
      </c>
      <c r="B590">
        <v>1.1485000000000001</v>
      </c>
      <c r="C590">
        <v>1.3421289425402874</v>
      </c>
      <c r="D590">
        <v>6.2408302994077054E-3</v>
      </c>
    </row>
    <row r="591" spans="1:4" x14ac:dyDescent="0.25">
      <c r="A591">
        <v>46235</v>
      </c>
      <c r="B591">
        <v>1.1485000000000001</v>
      </c>
      <c r="C591">
        <v>1.3421289425402874</v>
      </c>
      <c r="D591">
        <v>6.2408302994077054E-3</v>
      </c>
    </row>
    <row r="592" spans="1:4" x14ac:dyDescent="0.25">
      <c r="A592">
        <v>46236</v>
      </c>
      <c r="B592">
        <v>1.1485000000000001</v>
      </c>
      <c r="C592">
        <v>1.3421289425402874</v>
      </c>
      <c r="D592">
        <v>6.2408302994077054E-3</v>
      </c>
    </row>
    <row r="593" spans="1:4" x14ac:dyDescent="0.25">
      <c r="A593">
        <v>46237</v>
      </c>
      <c r="B593">
        <v>1.1535</v>
      </c>
      <c r="C593">
        <v>1.3470274310137447</v>
      </c>
      <c r="D593">
        <v>6.3824489570076916E-3</v>
      </c>
    </row>
    <row r="594" spans="1:4" x14ac:dyDescent="0.25">
      <c r="A594">
        <v>46238</v>
      </c>
      <c r="B594">
        <v>1.1515</v>
      </c>
      <c r="C594">
        <v>1.3445976716215742</v>
      </c>
      <c r="D594">
        <v>6.352752951561293E-3</v>
      </c>
    </row>
    <row r="595" spans="1:4" x14ac:dyDescent="0.25">
      <c r="A595">
        <v>46239</v>
      </c>
      <c r="B595">
        <v>1.1554</v>
      </c>
      <c r="C595">
        <v>1.3478768082127859</v>
      </c>
      <c r="D595">
        <v>6.3455623901581713E-3</v>
      </c>
    </row>
    <row r="596" spans="1:4" x14ac:dyDescent="0.25">
      <c r="A596">
        <v>46240</v>
      </c>
      <c r="B596">
        <v>1.1541999999999999</v>
      </c>
      <c r="C596">
        <v>1.3467125605273904</v>
      </c>
      <c r="D596">
        <v>6.3358401493110832E-3</v>
      </c>
    </row>
    <row r="597" spans="1:4" x14ac:dyDescent="0.25">
      <c r="A597">
        <v>46241</v>
      </c>
      <c r="B597">
        <v>1.1535</v>
      </c>
      <c r="C597">
        <v>1.3449542354107153</v>
      </c>
      <c r="D597">
        <v>6.315703022339028E-3</v>
      </c>
    </row>
    <row r="598" spans="1:4" x14ac:dyDescent="0.25">
      <c r="A598">
        <v>46242</v>
      </c>
      <c r="B598">
        <v>1.1535</v>
      </c>
      <c r="C598">
        <v>1.3449542354107153</v>
      </c>
      <c r="D598">
        <v>6.315703022339028E-3</v>
      </c>
    </row>
    <row r="599" spans="1:4" x14ac:dyDescent="0.25">
      <c r="A599">
        <v>46243</v>
      </c>
      <c r="B599">
        <v>1.1535</v>
      </c>
      <c r="C599">
        <v>1.3449542354107153</v>
      </c>
      <c r="D599">
        <v>6.315703022339028E-3</v>
      </c>
    </row>
    <row r="600" spans="1:4" x14ac:dyDescent="0.25">
      <c r="A600">
        <v>46244</v>
      </c>
      <c r="B600">
        <v>1.1555</v>
      </c>
      <c r="C600">
        <v>1.3504353415532051</v>
      </c>
      <c r="D600">
        <v>6.3035295401232885E-3</v>
      </c>
    </row>
    <row r="601" spans="1:4" x14ac:dyDescent="0.25">
      <c r="A601">
        <v>46245</v>
      </c>
      <c r="B601">
        <v>1.1539999999999999</v>
      </c>
      <c r="C601">
        <v>1.3499760186235858</v>
      </c>
      <c r="D601">
        <v>6.2812976268234264E-3</v>
      </c>
    </row>
    <row r="602" spans="1:4" x14ac:dyDescent="0.25">
      <c r="A602">
        <v>46246</v>
      </c>
      <c r="B602">
        <v>1.1545000000000001</v>
      </c>
      <c r="C602">
        <v>1.3525387192764593</v>
      </c>
      <c r="D602">
        <v>6.285729841563675E-3</v>
      </c>
    </row>
    <row r="603" spans="1:4" x14ac:dyDescent="0.25">
      <c r="A603">
        <v>46247</v>
      </c>
      <c r="B603">
        <v>1.1534</v>
      </c>
      <c r="C603">
        <v>1.3491636448707451</v>
      </c>
      <c r="D603">
        <v>6.2763236654513792E-3</v>
      </c>
    </row>
    <row r="604" spans="1:4" x14ac:dyDescent="0.25">
      <c r="A604">
        <v>46248</v>
      </c>
      <c r="B604">
        <v>1.1567000000000001</v>
      </c>
      <c r="C604">
        <v>1.3536571094207139</v>
      </c>
      <c r="D604">
        <v>6.2888055238405913E-3</v>
      </c>
    </row>
    <row r="605" spans="1:4" x14ac:dyDescent="0.25">
      <c r="A605">
        <v>46249</v>
      </c>
      <c r="B605">
        <v>1.1567000000000001</v>
      </c>
      <c r="C605">
        <v>1.3536571094207139</v>
      </c>
      <c r="D605">
        <v>6.2888055238405913E-3</v>
      </c>
    </row>
    <row r="606" spans="1:4" x14ac:dyDescent="0.25">
      <c r="A606">
        <v>46250</v>
      </c>
      <c r="B606">
        <v>1.1567000000000001</v>
      </c>
      <c r="C606">
        <v>1.3536571094207139</v>
      </c>
      <c r="D606">
        <v>6.2888055238405913E-3</v>
      </c>
    </row>
    <row r="607" spans="1:4" x14ac:dyDescent="0.25">
      <c r="A607">
        <v>46251</v>
      </c>
      <c r="B607">
        <v>1.1593</v>
      </c>
      <c r="C607">
        <v>1.3559064327485379</v>
      </c>
      <c r="D607">
        <v>6.2804052223847445E-3</v>
      </c>
    </row>
    <row r="608" spans="1:4" x14ac:dyDescent="0.25">
      <c r="A608">
        <v>46252</v>
      </c>
      <c r="B608">
        <v>1.1576</v>
      </c>
      <c r="C608">
        <v>1.3525734649763392</v>
      </c>
      <c r="D608">
        <v>6.2616974089901006E-3</v>
      </c>
    </row>
    <row r="609" spans="1:4" x14ac:dyDescent="0.25">
      <c r="A609">
        <v>46253</v>
      </c>
      <c r="B609">
        <v>1.1605000000000001</v>
      </c>
      <c r="C609">
        <v>1.3555976077002152</v>
      </c>
      <c r="D609">
        <v>6.2858845195536781E-3</v>
      </c>
    </row>
    <row r="610" spans="1:4" x14ac:dyDescent="0.25">
      <c r="A610">
        <v>46254</v>
      </c>
      <c r="B610">
        <v>1.1680999999999999</v>
      </c>
      <c r="C610">
        <v>1.3626130067074949</v>
      </c>
      <c r="D610">
        <v>6.2987328120787276E-3</v>
      </c>
    </row>
    <row r="611" spans="1:4" x14ac:dyDescent="0.25">
      <c r="A611">
        <v>46255</v>
      </c>
      <c r="B611">
        <v>1.1698999999999999</v>
      </c>
      <c r="C611">
        <v>1.3655888875919224</v>
      </c>
      <c r="D611">
        <v>6.3013034579338578E-3</v>
      </c>
    </row>
    <row r="612" spans="1:4" x14ac:dyDescent="0.25">
      <c r="A612">
        <v>46256</v>
      </c>
      <c r="B612">
        <v>1.1698999999999999</v>
      </c>
      <c r="C612">
        <v>1.3655888875919224</v>
      </c>
      <c r="D612">
        <v>6.3013034579338578E-3</v>
      </c>
    </row>
    <row r="613" spans="1:4" x14ac:dyDescent="0.25">
      <c r="A613">
        <v>46257</v>
      </c>
      <c r="B613">
        <v>1.1698999999999999</v>
      </c>
      <c r="C613">
        <v>1.3655888875919224</v>
      </c>
      <c r="D613">
        <v>6.3013034579338578E-3</v>
      </c>
    </row>
    <row r="614" spans="1:4" x14ac:dyDescent="0.25">
      <c r="A614">
        <v>46258</v>
      </c>
      <c r="B614">
        <v>1.1664000000000001</v>
      </c>
      <c r="C614">
        <v>1.3634132086499124</v>
      </c>
      <c r="D614">
        <v>6.2844827586206907E-3</v>
      </c>
    </row>
    <row r="615" spans="1:4" x14ac:dyDescent="0.25">
      <c r="A615">
        <v>46259</v>
      </c>
      <c r="B615">
        <v>1.1661999999999999</v>
      </c>
      <c r="C615">
        <v>1.3631794272355346</v>
      </c>
      <c r="D615">
        <v>6.2800215401184701E-3</v>
      </c>
    </row>
    <row r="616" spans="1:4" x14ac:dyDescent="0.25">
      <c r="A616">
        <v>46260</v>
      </c>
      <c r="B616">
        <v>1.1669</v>
      </c>
      <c r="C616">
        <v>1.3629939378365437</v>
      </c>
      <c r="D616">
        <v>6.2864992996444352E-3</v>
      </c>
    </row>
    <row r="617" spans="1:4" x14ac:dyDescent="0.25">
      <c r="A617">
        <v>46261</v>
      </c>
      <c r="B617">
        <v>1.1645000000000001</v>
      </c>
      <c r="C617">
        <v>1.3581758805691626</v>
      </c>
      <c r="D617">
        <v>6.2739076558375089E-3</v>
      </c>
    </row>
    <row r="618" spans="1:4" x14ac:dyDescent="0.25">
      <c r="A618">
        <v>46262</v>
      </c>
      <c r="B618">
        <v>1.1642999999999999</v>
      </c>
      <c r="C618">
        <v>1.3582594493700419</v>
      </c>
      <c r="D618">
        <v>6.2623709122203094E-3</v>
      </c>
    </row>
    <row r="619" spans="1:4" x14ac:dyDescent="0.25">
      <c r="A619">
        <v>46263</v>
      </c>
      <c r="B619">
        <v>1.1642999999999999</v>
      </c>
      <c r="C619">
        <v>1.3582594493700419</v>
      </c>
      <c r="D619">
        <v>6.2623709122203094E-3</v>
      </c>
    </row>
    <row r="620" spans="1:4" x14ac:dyDescent="0.25">
      <c r="A620">
        <v>46264</v>
      </c>
      <c r="B620">
        <v>1.1642999999999999</v>
      </c>
      <c r="C620">
        <v>1.3582594493700419</v>
      </c>
      <c r="D620">
        <v>6.2623709122203094E-3</v>
      </c>
    </row>
    <row r="621" spans="1:4" x14ac:dyDescent="0.25">
      <c r="A621">
        <v>46265</v>
      </c>
      <c r="B621">
        <v>1.1596</v>
      </c>
      <c r="C621">
        <v>1.353913693256118</v>
      </c>
      <c r="D621">
        <v>6.2606629953568726E-3</v>
      </c>
    </row>
    <row r="622" spans="1:4" x14ac:dyDescent="0.25">
      <c r="A622">
        <v>46266</v>
      </c>
      <c r="B622">
        <v>1.159</v>
      </c>
      <c r="C622">
        <v>1.3531025626058024</v>
      </c>
      <c r="D622">
        <v>6.2436028659160698E-3</v>
      </c>
    </row>
    <row r="623" spans="1:4" x14ac:dyDescent="0.25">
      <c r="A623">
        <v>46267</v>
      </c>
      <c r="B623">
        <v>1.1577999999999999</v>
      </c>
      <c r="C623">
        <v>1.3483172237102596</v>
      </c>
      <c r="D623">
        <v>6.2658296352419091E-3</v>
      </c>
    </row>
    <row r="624" spans="1:4" x14ac:dyDescent="0.25">
      <c r="A624">
        <v>46268</v>
      </c>
      <c r="B624">
        <v>1.1615</v>
      </c>
      <c r="C624">
        <v>1.3497182034745221</v>
      </c>
      <c r="D624">
        <v>6.4096904144362891E-3</v>
      </c>
    </row>
    <row r="625" spans="1:4" x14ac:dyDescent="0.25">
      <c r="A625">
        <v>46269</v>
      </c>
      <c r="B625">
        <v>1.1621999999999999</v>
      </c>
      <c r="C625">
        <v>1.3530000698502875</v>
      </c>
      <c r="D625">
        <v>6.400132165868164E-3</v>
      </c>
    </row>
    <row r="626" spans="1:4" x14ac:dyDescent="0.25">
      <c r="A626">
        <v>46270</v>
      </c>
      <c r="B626">
        <v>1.1621999999999999</v>
      </c>
      <c r="C626">
        <v>1.3530000698502875</v>
      </c>
      <c r="D626">
        <v>6.400132165868164E-3</v>
      </c>
    </row>
    <row r="627" spans="1:4" x14ac:dyDescent="0.25">
      <c r="A627">
        <v>46271</v>
      </c>
      <c r="B627">
        <v>1.1621999999999999</v>
      </c>
      <c r="C627">
        <v>1.3530000698502875</v>
      </c>
      <c r="D627">
        <v>6.400132165868164E-3</v>
      </c>
    </row>
    <row r="628" spans="1:4" x14ac:dyDescent="0.25">
      <c r="A628">
        <v>46272</v>
      </c>
      <c r="B628">
        <v>1.1621999999999999</v>
      </c>
      <c r="C628">
        <v>1.3530630777469903</v>
      </c>
      <c r="D628">
        <v>6.4620517097581315E-3</v>
      </c>
    </row>
    <row r="629" spans="1:4" x14ac:dyDescent="0.25">
      <c r="A629">
        <v>46273</v>
      </c>
      <c r="B629">
        <v>1.1614</v>
      </c>
      <c r="C629">
        <v>1.3545602985770935</v>
      </c>
      <c r="D629">
        <v>6.4810267857142861E-3</v>
      </c>
    </row>
    <row r="630" spans="1:4" x14ac:dyDescent="0.25">
      <c r="A630">
        <v>46274</v>
      </c>
      <c r="B630">
        <v>1.1652</v>
      </c>
      <c r="C630">
        <v>1.3564925842278051</v>
      </c>
      <c r="D630">
        <v>6.5244414580883587E-3</v>
      </c>
    </row>
    <row r="631" spans="1:4" x14ac:dyDescent="0.25">
      <c r="A631">
        <v>46275</v>
      </c>
      <c r="B631">
        <v>1.1616</v>
      </c>
      <c r="C631">
        <v>1.3520339870802538</v>
      </c>
      <c r="D631">
        <v>6.4861242950471831E-3</v>
      </c>
    </row>
    <row r="632" spans="1:4" x14ac:dyDescent="0.25">
      <c r="A632">
        <v>46276</v>
      </c>
      <c r="B632">
        <v>1.1592</v>
      </c>
      <c r="C632">
        <v>1.3508127949659152</v>
      </c>
      <c r="D632">
        <v>6.4919354838709675E-3</v>
      </c>
    </row>
    <row r="633" spans="1:4" x14ac:dyDescent="0.25">
      <c r="A633">
        <v>46277</v>
      </c>
      <c r="B633">
        <v>1.1592</v>
      </c>
      <c r="C633">
        <v>1.3508127949659152</v>
      </c>
      <c r="D633">
        <v>6.4919354838709675E-3</v>
      </c>
    </row>
    <row r="634" spans="1:4" x14ac:dyDescent="0.25">
      <c r="A634">
        <v>46278</v>
      </c>
      <c r="B634">
        <v>1.1592</v>
      </c>
      <c r="C634">
        <v>1.3508127949659152</v>
      </c>
      <c r="D634">
        <v>6.4919354838709675E-3</v>
      </c>
    </row>
    <row r="635" spans="1:4" x14ac:dyDescent="0.25">
      <c r="A635">
        <v>46279</v>
      </c>
      <c r="B635">
        <v>1.1551</v>
      </c>
      <c r="C635">
        <v>1.3494474169957242</v>
      </c>
      <c r="D635">
        <v>6.4704234819628051E-3</v>
      </c>
    </row>
    <row r="636" spans="1:4" x14ac:dyDescent="0.25">
      <c r="A636">
        <v>46280</v>
      </c>
      <c r="B636">
        <v>1.1538999999999999</v>
      </c>
      <c r="C636">
        <v>1.3483290488431876</v>
      </c>
      <c r="D636">
        <v>6.4514145141451405E-3</v>
      </c>
    </row>
    <row r="637" spans="1:4" x14ac:dyDescent="0.25">
      <c r="A637">
        <v>46281</v>
      </c>
      <c r="B637">
        <v>1.1536999999999999</v>
      </c>
      <c r="C637">
        <v>1.3455796594355025</v>
      </c>
      <c r="D637">
        <v>6.4495751341681574E-3</v>
      </c>
    </row>
    <row r="638" spans="1:4" x14ac:dyDescent="0.25">
      <c r="A638">
        <v>46282</v>
      </c>
      <c r="B638">
        <v>1.1480999999999999</v>
      </c>
      <c r="C638">
        <v>1.3376441803565187</v>
      </c>
      <c r="D638">
        <v>6.4229370629370628E-3</v>
      </c>
    </row>
    <row r="639" spans="1:4" x14ac:dyDescent="0.25">
      <c r="A639">
        <v>46283</v>
      </c>
      <c r="B639">
        <v>1.1459999999999999</v>
      </c>
      <c r="C639">
        <v>1.3344201210992082</v>
      </c>
      <c r="D639">
        <v>6.3335912457168119E-3</v>
      </c>
    </row>
    <row r="640" spans="1:4" x14ac:dyDescent="0.25">
      <c r="A640">
        <v>46284</v>
      </c>
      <c r="B640">
        <v>1.1459999999999999</v>
      </c>
      <c r="C640">
        <v>1.3344201210992082</v>
      </c>
      <c r="D640">
        <v>6.3335912457168119E-3</v>
      </c>
    </row>
    <row r="641" spans="1:4" x14ac:dyDescent="0.25">
      <c r="A641">
        <v>46285</v>
      </c>
      <c r="B641">
        <v>1.1459999999999999</v>
      </c>
      <c r="C641">
        <v>1.3344201210992082</v>
      </c>
      <c r="D641">
        <v>6.3335912457168119E-3</v>
      </c>
    </row>
    <row r="642" spans="1:4" x14ac:dyDescent="0.25">
      <c r="A642">
        <v>46286</v>
      </c>
      <c r="B642">
        <v>1.149</v>
      </c>
      <c r="C642">
        <v>1.3394730706458382</v>
      </c>
      <c r="D642">
        <v>6.3586054233536254E-3</v>
      </c>
    </row>
    <row r="643" spans="1:4" x14ac:dyDescent="0.25">
      <c r="A643">
        <v>46287</v>
      </c>
      <c r="B643">
        <v>1.1463000000000001</v>
      </c>
      <c r="C643">
        <v>1.3363254837957568</v>
      </c>
      <c r="D643">
        <v>6.3623244713326308E-3</v>
      </c>
    </row>
    <row r="644" spans="1:4" x14ac:dyDescent="0.25">
      <c r="A644">
        <v>46288</v>
      </c>
      <c r="B644">
        <v>1.1411</v>
      </c>
      <c r="C644">
        <v>1.327632344386271</v>
      </c>
      <c r="D644">
        <v>6.3324084350721427E-3</v>
      </c>
    </row>
    <row r="645" spans="1:4" x14ac:dyDescent="0.25">
      <c r="A645">
        <v>46289</v>
      </c>
      <c r="B645">
        <v>1.1367</v>
      </c>
      <c r="C645">
        <v>1.3219593887377017</v>
      </c>
      <c r="D645">
        <v>6.2950656255191901E-3</v>
      </c>
    </row>
    <row r="646" spans="1:4" x14ac:dyDescent="0.25">
      <c r="A646">
        <v>46290</v>
      </c>
      <c r="B646">
        <v>1.1403000000000001</v>
      </c>
      <c r="C646">
        <v>1.3252367947004475</v>
      </c>
      <c r="D646">
        <v>6.3455759599332232E-3</v>
      </c>
    </row>
    <row r="647" spans="1:4" x14ac:dyDescent="0.25">
      <c r="A647">
        <v>46291</v>
      </c>
      <c r="B647">
        <v>1.1403000000000001</v>
      </c>
      <c r="C647">
        <v>1.3252367947004475</v>
      </c>
      <c r="D647">
        <v>6.3455759599332232E-3</v>
      </c>
    </row>
    <row r="648" spans="1:4" x14ac:dyDescent="0.25">
      <c r="A648">
        <v>46292</v>
      </c>
      <c r="B648">
        <v>1.1403000000000001</v>
      </c>
      <c r="C648">
        <v>1.3252367947004475</v>
      </c>
      <c r="D648">
        <v>6.3455759599332232E-3</v>
      </c>
    </row>
    <row r="649" spans="1:4" x14ac:dyDescent="0.25">
      <c r="A649">
        <v>46293</v>
      </c>
      <c r="B649">
        <v>1.1377999999999999</v>
      </c>
      <c r="C649">
        <v>1.3263391035728855</v>
      </c>
      <c r="D649">
        <v>6.3742296918767507E-3</v>
      </c>
    </row>
    <row r="650" spans="1:4" x14ac:dyDescent="0.25">
      <c r="A650">
        <v>46294</v>
      </c>
      <c r="B650">
        <v>1.1355</v>
      </c>
      <c r="C650">
        <v>1.324692596654145</v>
      </c>
      <c r="D650">
        <v>6.3645535564149994E-3</v>
      </c>
    </row>
    <row r="651" spans="1:4" x14ac:dyDescent="0.25">
      <c r="A651">
        <v>46295</v>
      </c>
      <c r="B651">
        <v>1.1355</v>
      </c>
      <c r="C651">
        <v>1.3286451446824941</v>
      </c>
      <c r="D651">
        <v>6.3695518034442133E-3</v>
      </c>
    </row>
    <row r="652" spans="1:4" x14ac:dyDescent="0.25">
      <c r="A652">
        <v>46296</v>
      </c>
      <c r="B652">
        <v>1.1297999999999999</v>
      </c>
      <c r="C652">
        <v>1.3233692150914222</v>
      </c>
      <c r="D652">
        <v>6.3297663734663001E-3</v>
      </c>
    </row>
    <row r="653" spans="1:4" x14ac:dyDescent="0.25">
      <c r="A653">
        <v>46297</v>
      </c>
      <c r="B653">
        <v>1.1225000000000001</v>
      </c>
      <c r="C653">
        <v>1.3200757353027648</v>
      </c>
      <c r="D653">
        <v>6.3421662240804562E-3</v>
      </c>
    </row>
    <row r="654" spans="1:4" x14ac:dyDescent="0.25">
      <c r="A654">
        <v>46298</v>
      </c>
      <c r="B654">
        <v>1.1225000000000001</v>
      </c>
      <c r="C654">
        <v>1.3200757353027648</v>
      </c>
      <c r="D654">
        <v>6.3421662240804562E-3</v>
      </c>
    </row>
    <row r="655" spans="1:4" x14ac:dyDescent="0.25">
      <c r="A655">
        <v>46299</v>
      </c>
      <c r="B655">
        <v>1.1225000000000001</v>
      </c>
      <c r="C655">
        <v>1.3200757353027648</v>
      </c>
      <c r="D655">
        <v>6.3421662240804562E-3</v>
      </c>
    </row>
    <row r="656" spans="1:4" x14ac:dyDescent="0.25">
      <c r="A656">
        <v>46300</v>
      </c>
      <c r="B656">
        <v>1.1204000000000001</v>
      </c>
      <c r="C656">
        <v>1.3224740321057602</v>
      </c>
      <c r="D656">
        <v>6.3199458483754519E-3</v>
      </c>
    </row>
    <row r="657" spans="1:4" x14ac:dyDescent="0.25">
      <c r="A657">
        <v>46301</v>
      </c>
      <c r="B657">
        <v>1.1269</v>
      </c>
      <c r="C657">
        <v>1.3276390197926484</v>
      </c>
      <c r="D657">
        <v>6.3255683412854332E-3</v>
      </c>
    </row>
    <row r="658" spans="1:4" x14ac:dyDescent="0.25">
      <c r="A658">
        <v>46302</v>
      </c>
      <c r="B658">
        <v>1.1176999999999999</v>
      </c>
      <c r="C658">
        <v>1.320456022210408</v>
      </c>
      <c r="D658">
        <v>6.3200452360757699E-3</v>
      </c>
    </row>
    <row r="659" spans="1:4" x14ac:dyDescent="0.25">
      <c r="A659">
        <v>46303</v>
      </c>
      <c r="B659">
        <v>1.1176999999999999</v>
      </c>
      <c r="C659">
        <v>1.320456022210408</v>
      </c>
      <c r="D659">
        <v>6.3200452360757699E-3</v>
      </c>
    </row>
    <row r="660" spans="1:4" x14ac:dyDescent="0.25">
      <c r="A660">
        <v>46304</v>
      </c>
      <c r="B660">
        <v>1.1176999999999999</v>
      </c>
      <c r="C660">
        <v>1.320456022210408</v>
      </c>
      <c r="D660">
        <v>6.3200452360757699E-3</v>
      </c>
    </row>
    <row r="661" spans="1:4" x14ac:dyDescent="0.25">
      <c r="A661">
        <v>46305</v>
      </c>
      <c r="B661">
        <v>1.1176999999999999</v>
      </c>
      <c r="C661">
        <v>1.320456022210408</v>
      </c>
      <c r="D661">
        <v>6.3200452360757699E-3</v>
      </c>
    </row>
    <row r="662" spans="1:4" x14ac:dyDescent="0.25">
      <c r="A662">
        <v>46306</v>
      </c>
      <c r="B662">
        <v>1.1176999999999999</v>
      </c>
      <c r="C662">
        <v>1.320456022210408</v>
      </c>
      <c r="D662">
        <v>6.3200452360757699E-3</v>
      </c>
    </row>
    <row r="663" spans="1:4" x14ac:dyDescent="0.25">
      <c r="A663">
        <v>46307</v>
      </c>
      <c r="B663">
        <v>1.1176999999999999</v>
      </c>
      <c r="C663">
        <v>1.320456022210408</v>
      </c>
      <c r="D663">
        <v>6.3200452360757699E-3</v>
      </c>
    </row>
    <row r="664" spans="1:4" x14ac:dyDescent="0.25">
      <c r="A664">
        <v>46308</v>
      </c>
      <c r="B664">
        <v>1.1176999999999999</v>
      </c>
      <c r="C664">
        <v>1.320456022210408</v>
      </c>
      <c r="D664">
        <v>6.3200452360757699E-3</v>
      </c>
    </row>
    <row r="665" spans="1:4" x14ac:dyDescent="0.25">
      <c r="A665">
        <v>46309</v>
      </c>
      <c r="B665">
        <v>1.1176999999999999</v>
      </c>
      <c r="C665">
        <v>1.320456022210408</v>
      </c>
      <c r="D665">
        <v>6.3200452360757699E-3</v>
      </c>
    </row>
    <row r="666" spans="1:4" x14ac:dyDescent="0.25">
      <c r="A666">
        <v>46310</v>
      </c>
      <c r="B666">
        <v>1.1176999999999999</v>
      </c>
      <c r="C666">
        <v>1.320456022210408</v>
      </c>
      <c r="D666">
        <v>6.3200452360757699E-3</v>
      </c>
    </row>
    <row r="667" spans="1:4" x14ac:dyDescent="0.25">
      <c r="A667">
        <v>46311</v>
      </c>
      <c r="B667">
        <v>1.1176999999999999</v>
      </c>
      <c r="C667">
        <v>1.320456022210408</v>
      </c>
      <c r="D667">
        <v>6.3200452360757699E-3</v>
      </c>
    </row>
    <row r="668" spans="1:4" x14ac:dyDescent="0.25">
      <c r="A668">
        <v>46312</v>
      </c>
      <c r="B668">
        <v>1.1176999999999999</v>
      </c>
      <c r="C668">
        <v>1.320456022210408</v>
      </c>
      <c r="D668">
        <v>6.3200452360757699E-3</v>
      </c>
    </row>
    <row r="669" spans="1:4" x14ac:dyDescent="0.25">
      <c r="A669">
        <v>46313</v>
      </c>
      <c r="B669">
        <v>1.1176999999999999</v>
      </c>
      <c r="C669">
        <v>1.320456022210408</v>
      </c>
      <c r="D669">
        <v>6.3200452360757699E-3</v>
      </c>
    </row>
    <row r="670" spans="1:4" x14ac:dyDescent="0.25">
      <c r="A670">
        <v>46314</v>
      </c>
      <c r="B670">
        <v>1.1176999999999999</v>
      </c>
      <c r="C670">
        <v>1.320456022210408</v>
      </c>
      <c r="D670">
        <v>6.3200452360757699E-3</v>
      </c>
    </row>
    <row r="671" spans="1:4" x14ac:dyDescent="0.25">
      <c r="A671">
        <v>46315</v>
      </c>
      <c r="B671">
        <v>1.1176999999999999</v>
      </c>
      <c r="C671">
        <v>1.320456022210408</v>
      </c>
      <c r="D671">
        <v>6.3200452360757699E-3</v>
      </c>
    </row>
    <row r="672" spans="1:4" x14ac:dyDescent="0.25">
      <c r="A672">
        <v>46316</v>
      </c>
      <c r="B672">
        <v>1.1176999999999999</v>
      </c>
      <c r="C672">
        <v>1.320456022210408</v>
      </c>
      <c r="D672">
        <v>6.3200452360757699E-3</v>
      </c>
    </row>
    <row r="673" spans="1:4" x14ac:dyDescent="0.25">
      <c r="A673">
        <v>46317</v>
      </c>
      <c r="B673">
        <v>1.1176999999999999</v>
      </c>
      <c r="C673">
        <v>1.320456022210408</v>
      </c>
      <c r="D673">
        <v>6.3200452360757699E-3</v>
      </c>
    </row>
    <row r="674" spans="1:4" x14ac:dyDescent="0.25">
      <c r="A674">
        <v>46318</v>
      </c>
      <c r="B674">
        <v>1.1176999999999999</v>
      </c>
      <c r="C674">
        <v>1.320456022210408</v>
      </c>
      <c r="D674">
        <v>6.3200452360757699E-3</v>
      </c>
    </row>
    <row r="675" spans="1:4" x14ac:dyDescent="0.25">
      <c r="A675">
        <v>46319</v>
      </c>
      <c r="B675">
        <v>1.1176999999999999</v>
      </c>
      <c r="C675">
        <v>1.320456022210408</v>
      </c>
      <c r="D675">
        <v>6.3200452360757699E-3</v>
      </c>
    </row>
    <row r="676" spans="1:4" x14ac:dyDescent="0.25">
      <c r="A676">
        <v>46320</v>
      </c>
      <c r="B676">
        <v>1.1176999999999999</v>
      </c>
      <c r="C676">
        <v>1.320456022210408</v>
      </c>
      <c r="D676">
        <v>6.3200452360757699E-3</v>
      </c>
    </row>
    <row r="677" spans="1:4" x14ac:dyDescent="0.25">
      <c r="A677">
        <v>46321</v>
      </c>
      <c r="B677">
        <v>1.1176999999999999</v>
      </c>
      <c r="C677">
        <v>1.320456022210408</v>
      </c>
      <c r="D677">
        <v>6.3200452360757699E-3</v>
      </c>
    </row>
    <row r="678" spans="1:4" x14ac:dyDescent="0.25">
      <c r="A678">
        <v>46322</v>
      </c>
      <c r="B678">
        <v>1.1176999999999999</v>
      </c>
      <c r="C678">
        <v>1.320456022210408</v>
      </c>
      <c r="D678">
        <v>6.3200452360757699E-3</v>
      </c>
    </row>
    <row r="679" spans="1:4" x14ac:dyDescent="0.25">
      <c r="A679">
        <v>46323</v>
      </c>
      <c r="B679">
        <v>1.1176999999999999</v>
      </c>
      <c r="C679">
        <v>1.320456022210408</v>
      </c>
      <c r="D679">
        <v>6.3200452360757699E-3</v>
      </c>
    </row>
    <row r="680" spans="1:4" x14ac:dyDescent="0.25">
      <c r="A680">
        <v>46324</v>
      </c>
      <c r="B680">
        <v>1.1176999999999999</v>
      </c>
      <c r="C680">
        <v>1.320456022210408</v>
      </c>
      <c r="D680">
        <v>6.3200452360757699E-3</v>
      </c>
    </row>
    <row r="681" spans="1:4" x14ac:dyDescent="0.25">
      <c r="A681">
        <v>46325</v>
      </c>
      <c r="B681">
        <v>1.1176999999999999</v>
      </c>
      <c r="C681">
        <v>1.320456022210408</v>
      </c>
      <c r="D681">
        <v>6.3200452360757699E-3</v>
      </c>
    </row>
    <row r="682" spans="1:4" x14ac:dyDescent="0.25">
      <c r="A682">
        <v>46326</v>
      </c>
      <c r="B682">
        <v>1.1176999999999999</v>
      </c>
      <c r="C682">
        <v>1.320456022210408</v>
      </c>
      <c r="D682">
        <v>6.3200452360757699E-3</v>
      </c>
    </row>
    <row r="683" spans="1:4" x14ac:dyDescent="0.25">
      <c r="A683">
        <v>46327</v>
      </c>
      <c r="B683">
        <v>1.1176999999999999</v>
      </c>
      <c r="C683">
        <v>1.320456022210408</v>
      </c>
      <c r="D683">
        <v>6.3200452360757699E-3</v>
      </c>
    </row>
    <row r="684" spans="1:4" x14ac:dyDescent="0.25">
      <c r="A684">
        <v>46328</v>
      </c>
      <c r="B684">
        <v>1.1176999999999999</v>
      </c>
      <c r="C684">
        <v>1.320456022210408</v>
      </c>
      <c r="D684">
        <v>6.3200452360757699E-3</v>
      </c>
    </row>
    <row r="685" spans="1:4" x14ac:dyDescent="0.25">
      <c r="A685">
        <v>46329</v>
      </c>
      <c r="B685">
        <v>1.1176999999999999</v>
      </c>
      <c r="C685">
        <v>1.320456022210408</v>
      </c>
      <c r="D685">
        <v>6.3200452360757699E-3</v>
      </c>
    </row>
    <row r="686" spans="1:4" x14ac:dyDescent="0.25">
      <c r="A686">
        <v>46330</v>
      </c>
      <c r="B686">
        <v>1.1176999999999999</v>
      </c>
      <c r="C686">
        <v>1.320456022210408</v>
      </c>
      <c r="D686">
        <v>6.3200452360757699E-3</v>
      </c>
    </row>
    <row r="687" spans="1:4" x14ac:dyDescent="0.25">
      <c r="A687">
        <v>46331</v>
      </c>
      <c r="B687">
        <v>1.1176999999999999</v>
      </c>
      <c r="C687">
        <v>1.320456022210408</v>
      </c>
      <c r="D687">
        <v>6.3200452360757699E-3</v>
      </c>
    </row>
    <row r="688" spans="1:4" x14ac:dyDescent="0.25">
      <c r="A688">
        <v>46332</v>
      </c>
      <c r="B688">
        <v>1.1176999999999999</v>
      </c>
      <c r="C688">
        <v>1.320456022210408</v>
      </c>
      <c r="D688">
        <v>6.3200452360757699E-3</v>
      </c>
    </row>
    <row r="689" spans="1:4" x14ac:dyDescent="0.25">
      <c r="A689">
        <v>46333</v>
      </c>
      <c r="B689">
        <v>1.1176999999999999</v>
      </c>
      <c r="C689">
        <v>1.320456022210408</v>
      </c>
      <c r="D689">
        <v>6.3200452360757699E-3</v>
      </c>
    </row>
    <row r="690" spans="1:4" x14ac:dyDescent="0.25">
      <c r="A690">
        <v>46334</v>
      </c>
      <c r="B690">
        <v>1.1176999999999999</v>
      </c>
      <c r="C690">
        <v>1.320456022210408</v>
      </c>
      <c r="D690">
        <v>6.3200452360757699E-3</v>
      </c>
    </row>
    <row r="691" spans="1:4" x14ac:dyDescent="0.25">
      <c r="A691">
        <v>46335</v>
      </c>
      <c r="B691">
        <v>1.1176999999999999</v>
      </c>
      <c r="C691">
        <v>1.320456022210408</v>
      </c>
      <c r="D691">
        <v>6.3200452360757699E-3</v>
      </c>
    </row>
    <row r="692" spans="1:4" x14ac:dyDescent="0.25">
      <c r="A692">
        <v>46336</v>
      </c>
      <c r="B692">
        <v>1.1176999999999999</v>
      </c>
      <c r="C692">
        <v>1.320456022210408</v>
      </c>
      <c r="D692">
        <v>6.3200452360757699E-3</v>
      </c>
    </row>
    <row r="693" spans="1:4" x14ac:dyDescent="0.25">
      <c r="A693">
        <v>46337</v>
      </c>
      <c r="B693">
        <v>1.1176999999999999</v>
      </c>
      <c r="C693">
        <v>1.320456022210408</v>
      </c>
      <c r="D693">
        <v>6.3200452360757699E-3</v>
      </c>
    </row>
    <row r="694" spans="1:4" x14ac:dyDescent="0.25">
      <c r="A694">
        <v>46338</v>
      </c>
      <c r="B694">
        <v>1.1176999999999999</v>
      </c>
      <c r="C694">
        <v>1.320456022210408</v>
      </c>
      <c r="D694">
        <v>6.3200452360757699E-3</v>
      </c>
    </row>
    <row r="695" spans="1:4" x14ac:dyDescent="0.25">
      <c r="A695">
        <v>46339</v>
      </c>
      <c r="B695">
        <v>1.1176999999999999</v>
      </c>
      <c r="C695">
        <v>1.320456022210408</v>
      </c>
      <c r="D695">
        <v>6.3200452360757699E-3</v>
      </c>
    </row>
    <row r="696" spans="1:4" x14ac:dyDescent="0.25">
      <c r="A696">
        <v>46340</v>
      </c>
      <c r="B696">
        <v>1.1176999999999999</v>
      </c>
      <c r="C696">
        <v>1.320456022210408</v>
      </c>
      <c r="D696">
        <v>6.3200452360757699E-3</v>
      </c>
    </row>
    <row r="697" spans="1:4" x14ac:dyDescent="0.25">
      <c r="A697">
        <v>46341</v>
      </c>
      <c r="B697">
        <v>1.1176999999999999</v>
      </c>
      <c r="C697">
        <v>1.320456022210408</v>
      </c>
      <c r="D697">
        <v>6.3200452360757699E-3</v>
      </c>
    </row>
    <row r="698" spans="1:4" x14ac:dyDescent="0.25">
      <c r="A698">
        <v>46342</v>
      </c>
      <c r="B698">
        <v>1.1176999999999999</v>
      </c>
      <c r="C698">
        <v>1.320456022210408</v>
      </c>
      <c r="D698">
        <v>6.3200452360757699E-3</v>
      </c>
    </row>
    <row r="699" spans="1:4" x14ac:dyDescent="0.25">
      <c r="A699">
        <v>46343</v>
      </c>
      <c r="B699">
        <v>1.1176999999999999</v>
      </c>
      <c r="C699">
        <v>1.320456022210408</v>
      </c>
      <c r="D699">
        <v>6.3200452360757699E-3</v>
      </c>
    </row>
    <row r="700" spans="1:4" x14ac:dyDescent="0.25">
      <c r="A700">
        <v>46344</v>
      </c>
      <c r="B700">
        <v>1.1176999999999999</v>
      </c>
      <c r="C700">
        <v>1.320456022210408</v>
      </c>
      <c r="D700">
        <v>6.3200452360757699E-3</v>
      </c>
    </row>
    <row r="701" spans="1:4" x14ac:dyDescent="0.25">
      <c r="A701">
        <v>46345</v>
      </c>
      <c r="B701">
        <v>1.1176999999999999</v>
      </c>
      <c r="C701">
        <v>1.320456022210408</v>
      </c>
      <c r="D701">
        <v>6.3200452360757699E-3</v>
      </c>
    </row>
    <row r="702" spans="1:4" x14ac:dyDescent="0.25">
      <c r="A702">
        <v>46346</v>
      </c>
      <c r="B702">
        <v>1.1176999999999999</v>
      </c>
      <c r="C702">
        <v>1.320456022210408</v>
      </c>
      <c r="D702">
        <v>6.3200452360757699E-3</v>
      </c>
    </row>
    <row r="703" spans="1:4" x14ac:dyDescent="0.25">
      <c r="A703">
        <v>46347</v>
      </c>
      <c r="B703">
        <v>1.1176999999999999</v>
      </c>
      <c r="C703">
        <v>1.320456022210408</v>
      </c>
      <c r="D703">
        <v>6.3200452360757699E-3</v>
      </c>
    </row>
    <row r="704" spans="1:4" x14ac:dyDescent="0.25">
      <c r="A704">
        <v>46348</v>
      </c>
      <c r="B704">
        <v>1.1176999999999999</v>
      </c>
      <c r="C704">
        <v>1.320456022210408</v>
      </c>
      <c r="D704">
        <v>6.3200452360757699E-3</v>
      </c>
    </row>
    <row r="705" spans="1:4" x14ac:dyDescent="0.25">
      <c r="A705">
        <v>46349</v>
      </c>
      <c r="B705">
        <v>1.1176999999999999</v>
      </c>
      <c r="C705">
        <v>1.320456022210408</v>
      </c>
      <c r="D705">
        <v>6.3200452360757699E-3</v>
      </c>
    </row>
    <row r="706" spans="1:4" x14ac:dyDescent="0.25">
      <c r="A706">
        <v>46350</v>
      </c>
      <c r="B706">
        <v>1.1176999999999999</v>
      </c>
      <c r="C706">
        <v>1.320456022210408</v>
      </c>
      <c r="D706">
        <v>6.3200452360757699E-3</v>
      </c>
    </row>
    <row r="707" spans="1:4" x14ac:dyDescent="0.25">
      <c r="A707">
        <v>46351</v>
      </c>
      <c r="B707">
        <v>1.1176999999999999</v>
      </c>
      <c r="C707">
        <v>1.320456022210408</v>
      </c>
      <c r="D707">
        <v>6.3200452360757699E-3</v>
      </c>
    </row>
    <row r="708" spans="1:4" x14ac:dyDescent="0.25">
      <c r="A708">
        <v>46352</v>
      </c>
      <c r="B708">
        <v>1.1176999999999999</v>
      </c>
      <c r="C708">
        <v>1.320456022210408</v>
      </c>
      <c r="D708">
        <v>6.3200452360757699E-3</v>
      </c>
    </row>
    <row r="709" spans="1:4" x14ac:dyDescent="0.25">
      <c r="A709">
        <v>46353</v>
      </c>
      <c r="B709">
        <v>1.1176999999999999</v>
      </c>
      <c r="C709">
        <v>1.320456022210408</v>
      </c>
      <c r="D709">
        <v>6.3200452360757699E-3</v>
      </c>
    </row>
    <row r="710" spans="1:4" x14ac:dyDescent="0.25">
      <c r="A710">
        <v>46354</v>
      </c>
      <c r="B710">
        <v>1.1176999999999999</v>
      </c>
      <c r="C710">
        <v>1.320456022210408</v>
      </c>
      <c r="D710">
        <v>6.3200452360757699E-3</v>
      </c>
    </row>
    <row r="711" spans="1:4" x14ac:dyDescent="0.25">
      <c r="A711">
        <v>46355</v>
      </c>
      <c r="B711">
        <v>1.1176999999999999</v>
      </c>
      <c r="C711">
        <v>1.320456022210408</v>
      </c>
      <c r="D711">
        <v>6.3200452360757699E-3</v>
      </c>
    </row>
    <row r="712" spans="1:4" x14ac:dyDescent="0.25">
      <c r="A712">
        <v>46356</v>
      </c>
      <c r="B712">
        <v>1.1176999999999999</v>
      </c>
      <c r="C712">
        <v>1.320456022210408</v>
      </c>
      <c r="D712">
        <v>6.3200452360757699E-3</v>
      </c>
    </row>
    <row r="713" spans="1:4" x14ac:dyDescent="0.25">
      <c r="A713">
        <v>46357</v>
      </c>
      <c r="B713">
        <v>1.1176999999999999</v>
      </c>
      <c r="C713">
        <v>1.320456022210408</v>
      </c>
      <c r="D713">
        <v>6.3200452360757699E-3</v>
      </c>
    </row>
    <row r="714" spans="1:4" x14ac:dyDescent="0.25">
      <c r="A714">
        <v>46358</v>
      </c>
      <c r="B714">
        <v>1.1176999999999999</v>
      </c>
      <c r="C714">
        <v>1.320456022210408</v>
      </c>
      <c r="D714">
        <v>6.3200452360757699E-3</v>
      </c>
    </row>
    <row r="715" spans="1:4" x14ac:dyDescent="0.25">
      <c r="A715">
        <v>46359</v>
      </c>
      <c r="B715">
        <v>1.1176999999999999</v>
      </c>
      <c r="C715">
        <v>1.320456022210408</v>
      </c>
      <c r="D715">
        <v>6.3200452360757699E-3</v>
      </c>
    </row>
    <row r="716" spans="1:4" x14ac:dyDescent="0.25">
      <c r="A716">
        <v>46360</v>
      </c>
      <c r="B716">
        <v>1.1176999999999999</v>
      </c>
      <c r="C716">
        <v>1.320456022210408</v>
      </c>
      <c r="D716">
        <v>6.3200452360757699E-3</v>
      </c>
    </row>
    <row r="717" spans="1:4" x14ac:dyDescent="0.25">
      <c r="A717">
        <v>46361</v>
      </c>
      <c r="B717">
        <v>1.1176999999999999</v>
      </c>
      <c r="C717">
        <v>1.320456022210408</v>
      </c>
      <c r="D717">
        <v>6.3200452360757699E-3</v>
      </c>
    </row>
    <row r="718" spans="1:4" x14ac:dyDescent="0.25">
      <c r="A718">
        <v>46362</v>
      </c>
      <c r="B718">
        <v>1.1176999999999999</v>
      </c>
      <c r="C718">
        <v>1.320456022210408</v>
      </c>
      <c r="D718">
        <v>6.3200452360757699E-3</v>
      </c>
    </row>
    <row r="719" spans="1:4" x14ac:dyDescent="0.25">
      <c r="A719">
        <v>46363</v>
      </c>
      <c r="B719">
        <v>1.1176999999999999</v>
      </c>
      <c r="C719">
        <v>1.320456022210408</v>
      </c>
      <c r="D719">
        <v>6.3200452360757699E-3</v>
      </c>
    </row>
    <row r="720" spans="1:4" x14ac:dyDescent="0.25">
      <c r="A720">
        <v>46364</v>
      </c>
      <c r="B720">
        <v>1.1176999999999999</v>
      </c>
      <c r="C720">
        <v>1.320456022210408</v>
      </c>
      <c r="D720">
        <v>6.3200452360757699E-3</v>
      </c>
    </row>
    <row r="721" spans="1:4" x14ac:dyDescent="0.25">
      <c r="A721">
        <v>46365</v>
      </c>
      <c r="B721">
        <v>1.1176999999999999</v>
      </c>
      <c r="C721">
        <v>1.320456022210408</v>
      </c>
      <c r="D721">
        <v>6.3200452360757699E-3</v>
      </c>
    </row>
    <row r="722" spans="1:4" x14ac:dyDescent="0.25">
      <c r="A722">
        <v>46366</v>
      </c>
      <c r="B722">
        <v>1.1176999999999999</v>
      </c>
      <c r="C722">
        <v>1.320456022210408</v>
      </c>
      <c r="D722">
        <v>6.3200452360757699E-3</v>
      </c>
    </row>
    <row r="723" spans="1:4" x14ac:dyDescent="0.25">
      <c r="A723">
        <v>46367</v>
      </c>
      <c r="B723">
        <v>1.1176999999999999</v>
      </c>
      <c r="C723">
        <v>1.320456022210408</v>
      </c>
      <c r="D723">
        <v>6.3200452360757699E-3</v>
      </c>
    </row>
    <row r="724" spans="1:4" x14ac:dyDescent="0.25">
      <c r="A724">
        <v>46368</v>
      </c>
      <c r="B724">
        <v>1.1176999999999999</v>
      </c>
      <c r="C724">
        <v>1.320456022210408</v>
      </c>
      <c r="D724">
        <v>6.3200452360757699E-3</v>
      </c>
    </row>
    <row r="725" spans="1:4" x14ac:dyDescent="0.25">
      <c r="A725">
        <v>46369</v>
      </c>
      <c r="B725">
        <v>1.1176999999999999</v>
      </c>
      <c r="C725">
        <v>1.320456022210408</v>
      </c>
      <c r="D725">
        <v>6.3200452360757699E-3</v>
      </c>
    </row>
    <row r="726" spans="1:4" x14ac:dyDescent="0.25">
      <c r="A726">
        <v>46370</v>
      </c>
      <c r="B726">
        <v>1.1176999999999999</v>
      </c>
      <c r="C726">
        <v>1.320456022210408</v>
      </c>
      <c r="D726">
        <v>6.3200452360757699E-3</v>
      </c>
    </row>
    <row r="727" spans="1:4" x14ac:dyDescent="0.25">
      <c r="A727">
        <v>46371</v>
      </c>
      <c r="B727">
        <v>1.1176999999999999</v>
      </c>
      <c r="C727">
        <v>1.320456022210408</v>
      </c>
      <c r="D727">
        <v>6.3200452360757699E-3</v>
      </c>
    </row>
    <row r="728" spans="1:4" x14ac:dyDescent="0.25">
      <c r="A728">
        <v>46372</v>
      </c>
      <c r="B728">
        <v>1.1176999999999999</v>
      </c>
      <c r="C728">
        <v>1.320456022210408</v>
      </c>
      <c r="D728">
        <v>6.3200452360757699E-3</v>
      </c>
    </row>
    <row r="729" spans="1:4" x14ac:dyDescent="0.25">
      <c r="A729">
        <v>46373</v>
      </c>
      <c r="B729">
        <v>1.1176999999999999</v>
      </c>
      <c r="C729">
        <v>1.320456022210408</v>
      </c>
      <c r="D729">
        <v>6.3200452360757699E-3</v>
      </c>
    </row>
    <row r="730" spans="1:4" x14ac:dyDescent="0.25">
      <c r="A730">
        <v>46374</v>
      </c>
      <c r="B730">
        <v>1.1176999999999999</v>
      </c>
      <c r="C730">
        <v>1.320456022210408</v>
      </c>
      <c r="D730">
        <v>6.3200452360757699E-3</v>
      </c>
    </row>
    <row r="731" spans="1:4" x14ac:dyDescent="0.25">
      <c r="A731">
        <v>46375</v>
      </c>
      <c r="B731">
        <v>1.1176999999999999</v>
      </c>
      <c r="C731">
        <v>1.320456022210408</v>
      </c>
      <c r="D731">
        <v>6.3200452360757699E-3</v>
      </c>
    </row>
    <row r="732" spans="1:4" x14ac:dyDescent="0.25">
      <c r="A732">
        <v>46376</v>
      </c>
      <c r="B732">
        <v>1.1176999999999999</v>
      </c>
      <c r="C732">
        <v>1.320456022210408</v>
      </c>
      <c r="D732">
        <v>6.3200452360757699E-3</v>
      </c>
    </row>
    <row r="733" spans="1:4" x14ac:dyDescent="0.25">
      <c r="A733">
        <v>46377</v>
      </c>
      <c r="B733">
        <v>1.1176999999999999</v>
      </c>
      <c r="C733">
        <v>1.320456022210408</v>
      </c>
      <c r="D733">
        <v>6.3200452360757699E-3</v>
      </c>
    </row>
    <row r="734" spans="1:4" x14ac:dyDescent="0.25">
      <c r="A734">
        <v>46378</v>
      </c>
      <c r="B734">
        <v>1.1176999999999999</v>
      </c>
      <c r="C734">
        <v>1.320456022210408</v>
      </c>
      <c r="D734">
        <v>6.3200452360757699E-3</v>
      </c>
    </row>
    <row r="735" spans="1:4" x14ac:dyDescent="0.25">
      <c r="A735">
        <v>46379</v>
      </c>
      <c r="B735">
        <v>1.1176999999999999</v>
      </c>
      <c r="C735">
        <v>1.320456022210408</v>
      </c>
      <c r="D735">
        <v>6.3200452360757699E-3</v>
      </c>
    </row>
    <row r="736" spans="1:4" x14ac:dyDescent="0.25">
      <c r="A736">
        <v>46380</v>
      </c>
      <c r="B736">
        <v>1.1176999999999999</v>
      </c>
      <c r="C736">
        <v>1.320456022210408</v>
      </c>
      <c r="D736">
        <v>6.3200452360757699E-3</v>
      </c>
    </row>
    <row r="737" spans="1:4" x14ac:dyDescent="0.25">
      <c r="A737">
        <v>46381</v>
      </c>
      <c r="B737">
        <v>1.1176999999999999</v>
      </c>
      <c r="C737">
        <v>1.320456022210408</v>
      </c>
      <c r="D737">
        <v>6.3200452360757699E-3</v>
      </c>
    </row>
    <row r="738" spans="1:4" x14ac:dyDescent="0.25">
      <c r="A738">
        <v>46382</v>
      </c>
      <c r="B738">
        <v>1.1176999999999999</v>
      </c>
      <c r="C738">
        <v>1.320456022210408</v>
      </c>
      <c r="D738">
        <v>6.3200452360757699E-3</v>
      </c>
    </row>
    <row r="739" spans="1:4" x14ac:dyDescent="0.25">
      <c r="A739">
        <v>46383</v>
      </c>
      <c r="B739">
        <v>1.1176999999999999</v>
      </c>
      <c r="C739">
        <v>1.320456022210408</v>
      </c>
      <c r="D739">
        <v>6.3200452360757699E-3</v>
      </c>
    </row>
    <row r="740" spans="1:4" x14ac:dyDescent="0.25">
      <c r="A740">
        <v>46384</v>
      </c>
      <c r="B740">
        <v>1.1176999999999999</v>
      </c>
      <c r="C740">
        <v>1.320456022210408</v>
      </c>
      <c r="D740">
        <v>6.3200452360757699E-3</v>
      </c>
    </row>
    <row r="741" spans="1:4" x14ac:dyDescent="0.25">
      <c r="A741">
        <v>46385</v>
      </c>
      <c r="B741">
        <v>1.1176999999999999</v>
      </c>
      <c r="C741">
        <v>1.320456022210408</v>
      </c>
      <c r="D741">
        <v>6.3200452360757699E-3</v>
      </c>
    </row>
    <row r="742" spans="1:4" x14ac:dyDescent="0.25">
      <c r="A742">
        <v>46386</v>
      </c>
      <c r="B742">
        <v>1.1176999999999999</v>
      </c>
      <c r="C742">
        <v>1.320456022210408</v>
      </c>
      <c r="D742">
        <v>6.3200452360757699E-3</v>
      </c>
    </row>
    <row r="743" spans="1:4" x14ac:dyDescent="0.25">
      <c r="A743">
        <v>46387</v>
      </c>
      <c r="B743">
        <v>1.1176999999999999</v>
      </c>
      <c r="C743">
        <v>1.320456022210408</v>
      </c>
      <c r="D743">
        <v>6.3200452360757699E-3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8"/>
  <sheetViews>
    <sheetView workbookViewId="0"/>
  </sheetViews>
  <sheetFormatPr defaultRowHeight="15" x14ac:dyDescent="0.25"/>
  <cols>
    <col min="1" max="1" width="12.5703125" customWidth="1"/>
    <col min="2" max="2" width="8" customWidth="1"/>
    <col min="3" max="3" width="7" customWidth="1"/>
    <col min="4" max="4" width="7.140625" customWidth="1"/>
    <col min="5" max="6" width="14.42578125" customWidth="1"/>
    <col min="7" max="7" width="13.7109375" customWidth="1"/>
  </cols>
  <sheetData>
    <row r="1" spans="1:7" x14ac:dyDescent="0.25">
      <c r="A1" t="s">
        <v>3086</v>
      </c>
      <c r="B1" t="s">
        <v>8</v>
      </c>
      <c r="C1" t="s">
        <v>9</v>
      </c>
      <c r="D1" t="s">
        <v>3087</v>
      </c>
      <c r="E1" t="s">
        <v>62</v>
      </c>
      <c r="F1" t="s">
        <v>63</v>
      </c>
      <c r="G1" t="s">
        <v>64</v>
      </c>
    </row>
    <row r="2" spans="1:7" x14ac:dyDescent="0.25">
      <c r="A2" s="1">
        <v>45646</v>
      </c>
      <c r="B2">
        <v>0.82965</v>
      </c>
      <c r="C2">
        <v>162.88999999999999</v>
      </c>
      <c r="D2">
        <v>1.0389999999999999</v>
      </c>
      <c r="E2">
        <v>1.0389999999999999</v>
      </c>
      <c r="F2">
        <v>1.252335322123787</v>
      </c>
      <c r="G2">
        <v>6.3785376634538649E-3</v>
      </c>
    </row>
    <row r="3" spans="1:7" x14ac:dyDescent="0.25">
      <c r="A3" s="1">
        <v>45649</v>
      </c>
      <c r="B3">
        <v>0.82994999999999997</v>
      </c>
      <c r="C3">
        <v>163.36000000000001</v>
      </c>
      <c r="D3">
        <v>1.0392999999999999</v>
      </c>
      <c r="E3">
        <v>1.0392999999999999</v>
      </c>
      <c r="F3">
        <v>1.2522441110910294</v>
      </c>
      <c r="G3">
        <v>6.3620225269343765E-3</v>
      </c>
    </row>
    <row r="4" spans="1:7" x14ac:dyDescent="0.25">
      <c r="A4" s="1">
        <v>45650</v>
      </c>
      <c r="B4">
        <v>0.82804999999999995</v>
      </c>
      <c r="C4">
        <v>163.25</v>
      </c>
      <c r="D4">
        <v>1.0395000000000001</v>
      </c>
      <c r="E4">
        <v>1.0395000000000001</v>
      </c>
      <c r="F4">
        <v>1.2553589759072521</v>
      </c>
      <c r="G4">
        <v>6.3675344563552836E-3</v>
      </c>
    </row>
    <row r="5" spans="1:7" x14ac:dyDescent="0.25">
      <c r="A5" s="1">
        <v>45653</v>
      </c>
      <c r="B5">
        <v>0.83098000000000005</v>
      </c>
      <c r="C5">
        <v>164.65</v>
      </c>
      <c r="D5">
        <v>1.0435000000000001</v>
      </c>
      <c r="E5">
        <v>1.0435000000000001</v>
      </c>
      <c r="F5">
        <v>1.2557462273460251</v>
      </c>
      <c r="G5">
        <v>6.3376860006073496E-3</v>
      </c>
    </row>
    <row r="6" spans="1:7" x14ac:dyDescent="0.25">
      <c r="A6" s="1">
        <v>45656</v>
      </c>
      <c r="B6">
        <v>0.82950000000000002</v>
      </c>
      <c r="C6">
        <v>164.57</v>
      </c>
      <c r="D6">
        <v>1.0444</v>
      </c>
      <c r="E6">
        <v>1.0444</v>
      </c>
      <c r="F6">
        <v>1.2590717299578058</v>
      </c>
      <c r="G6">
        <v>6.3462356444066361E-3</v>
      </c>
    </row>
    <row r="7" spans="1:7" x14ac:dyDescent="0.25">
      <c r="A7" s="1">
        <v>45657</v>
      </c>
      <c r="B7">
        <v>0.82918000000000003</v>
      </c>
      <c r="C7">
        <v>163.06</v>
      </c>
      <c r="D7">
        <v>1.0388999999999999</v>
      </c>
      <c r="E7">
        <v>1.0388999999999999</v>
      </c>
      <c r="F7">
        <v>1.2529245760872185</v>
      </c>
      <c r="G7">
        <v>6.3712743775297433E-3</v>
      </c>
    </row>
    <row r="8" spans="1:7" x14ac:dyDescent="0.25">
      <c r="A8" s="1">
        <v>45659</v>
      </c>
      <c r="B8">
        <v>0.83118000000000003</v>
      </c>
      <c r="C8">
        <v>162.04</v>
      </c>
      <c r="D8">
        <v>1.0321</v>
      </c>
      <c r="E8">
        <v>1.0321</v>
      </c>
      <c r="F8">
        <v>1.2417286267715777</v>
      </c>
      <c r="G8">
        <v>6.3694149592693162E-3</v>
      </c>
    </row>
    <row r="9" spans="1:7" x14ac:dyDescent="0.25">
      <c r="A9" s="1">
        <v>45660</v>
      </c>
      <c r="B9">
        <v>0.82992999999999995</v>
      </c>
      <c r="C9">
        <v>161.77000000000001</v>
      </c>
      <c r="D9">
        <v>1.0299</v>
      </c>
      <c r="E9">
        <v>1.0299</v>
      </c>
      <c r="F9">
        <v>1.240948031761715</v>
      </c>
      <c r="G9">
        <v>6.3664461890338133E-3</v>
      </c>
    </row>
    <row r="10" spans="1:7" x14ac:dyDescent="0.25">
      <c r="A10" s="1">
        <v>45663</v>
      </c>
      <c r="B10">
        <v>0.83098000000000005</v>
      </c>
      <c r="C10">
        <v>163.25</v>
      </c>
      <c r="D10">
        <v>1.0426</v>
      </c>
      <c r="E10">
        <v>1.0426</v>
      </c>
      <c r="F10">
        <v>1.2546631687886591</v>
      </c>
      <c r="G10">
        <v>6.3865237366003058E-3</v>
      </c>
    </row>
    <row r="11" spans="1:7" x14ac:dyDescent="0.25">
      <c r="A11" s="1">
        <v>45664</v>
      </c>
      <c r="B11">
        <v>0.82915000000000005</v>
      </c>
      <c r="C11">
        <v>163.86</v>
      </c>
      <c r="D11">
        <v>1.0392999999999999</v>
      </c>
      <c r="E11">
        <v>1.0392999999999999</v>
      </c>
      <c r="F11">
        <v>1.2534523307001144</v>
      </c>
      <c r="G11">
        <v>6.3426095447333079E-3</v>
      </c>
    </row>
    <row r="12" spans="1:7" x14ac:dyDescent="0.25">
      <c r="A12" s="1">
        <v>45665</v>
      </c>
      <c r="B12">
        <v>0.83403000000000005</v>
      </c>
      <c r="C12">
        <v>162.94</v>
      </c>
      <c r="D12">
        <v>1.0286</v>
      </c>
      <c r="E12">
        <v>1.0286</v>
      </c>
      <c r="F12">
        <v>1.2332889704207282</v>
      </c>
      <c r="G12">
        <v>6.3127531606726401E-3</v>
      </c>
    </row>
    <row r="13" spans="1:7" x14ac:dyDescent="0.25">
      <c r="A13" s="1">
        <v>45666</v>
      </c>
      <c r="B13">
        <v>0.83808000000000005</v>
      </c>
      <c r="C13">
        <v>162.56</v>
      </c>
      <c r="D13">
        <v>1.0305</v>
      </c>
      <c r="E13">
        <v>1.0305</v>
      </c>
      <c r="F13">
        <v>1.2295962199312713</v>
      </c>
      <c r="G13">
        <v>6.339197834645669E-3</v>
      </c>
    </row>
    <row r="14" spans="1:7" x14ac:dyDescent="0.25">
      <c r="A14" s="1">
        <v>45667</v>
      </c>
      <c r="B14">
        <v>0.83692999999999995</v>
      </c>
      <c r="C14">
        <v>162.86000000000001</v>
      </c>
      <c r="D14">
        <v>1.0304</v>
      </c>
      <c r="E14">
        <v>1.0304</v>
      </c>
      <c r="F14">
        <v>1.2311662863082935</v>
      </c>
      <c r="G14">
        <v>6.3269065454992016E-3</v>
      </c>
    </row>
    <row r="15" spans="1:7" x14ac:dyDescent="0.25">
      <c r="A15" s="1">
        <v>45670</v>
      </c>
      <c r="B15">
        <v>0.84160000000000001</v>
      </c>
      <c r="C15">
        <v>160.22</v>
      </c>
      <c r="D15">
        <v>1.0198</v>
      </c>
      <c r="E15">
        <v>1.0198</v>
      </c>
      <c r="F15">
        <v>1.2117395437262357</v>
      </c>
      <c r="G15">
        <v>6.3649981275745856E-3</v>
      </c>
    </row>
    <row r="16" spans="1:7" x14ac:dyDescent="0.25">
      <c r="A16" s="1">
        <v>45671</v>
      </c>
      <c r="B16">
        <v>0.84287999999999996</v>
      </c>
      <c r="C16">
        <v>161.63</v>
      </c>
      <c r="D16">
        <v>1.0245</v>
      </c>
      <c r="E16">
        <v>1.0245</v>
      </c>
      <c r="F16">
        <v>1.2154755125284737</v>
      </c>
      <c r="G16">
        <v>6.3385510115696346E-3</v>
      </c>
    </row>
    <row r="17" spans="1:7" x14ac:dyDescent="0.25">
      <c r="A17" s="1">
        <v>45672</v>
      </c>
      <c r="B17">
        <v>0.84313000000000005</v>
      </c>
      <c r="C17">
        <v>161.75</v>
      </c>
      <c r="D17">
        <v>1.03</v>
      </c>
      <c r="E17">
        <v>1.03</v>
      </c>
      <c r="F17">
        <v>1.2216384187491844</v>
      </c>
      <c r="G17">
        <v>6.3678516228748072E-3</v>
      </c>
    </row>
    <row r="18" spans="1:7" x14ac:dyDescent="0.25">
      <c r="A18" s="1">
        <v>45673</v>
      </c>
      <c r="B18">
        <v>0.84258</v>
      </c>
      <c r="C18">
        <v>160.46</v>
      </c>
      <c r="D18">
        <v>1.0271999999999999</v>
      </c>
      <c r="E18">
        <v>1.0271999999999999</v>
      </c>
      <c r="F18">
        <v>1.2191127252011678</v>
      </c>
      <c r="G18">
        <v>6.4015954131870865E-3</v>
      </c>
    </row>
    <row r="19" spans="1:7" x14ac:dyDescent="0.25">
      <c r="A19" s="1">
        <v>45674</v>
      </c>
      <c r="B19">
        <v>0.84453</v>
      </c>
      <c r="C19">
        <v>160.22999999999999</v>
      </c>
      <c r="D19">
        <v>1.0298</v>
      </c>
      <c r="E19">
        <v>1.0298</v>
      </c>
      <c r="F19">
        <v>1.2193764579115012</v>
      </c>
      <c r="G19">
        <v>6.4270111714410539E-3</v>
      </c>
    </row>
    <row r="20" spans="1:7" x14ac:dyDescent="0.25">
      <c r="A20" s="1">
        <v>45677</v>
      </c>
      <c r="B20">
        <v>0.84587999999999997</v>
      </c>
      <c r="C20">
        <v>161.36000000000001</v>
      </c>
      <c r="D20">
        <v>1.0316000000000001</v>
      </c>
      <c r="E20">
        <v>1.0316000000000001</v>
      </c>
      <c r="F20">
        <v>1.2195583297867312</v>
      </c>
      <c r="G20">
        <v>6.3931581556767479E-3</v>
      </c>
    </row>
    <row r="21" spans="1:7" x14ac:dyDescent="0.25">
      <c r="A21" s="1">
        <v>45678</v>
      </c>
      <c r="B21">
        <v>0.84553</v>
      </c>
      <c r="C21">
        <v>161.26</v>
      </c>
      <c r="D21">
        <v>1.0357000000000001</v>
      </c>
      <c r="E21">
        <v>1.0357000000000001</v>
      </c>
      <c r="F21">
        <v>1.2249121852565847</v>
      </c>
      <c r="G21">
        <v>6.4225474389185177E-3</v>
      </c>
    </row>
    <row r="22" spans="1:7" x14ac:dyDescent="0.25">
      <c r="A22" s="1">
        <v>45679</v>
      </c>
      <c r="B22">
        <v>0.84465999999999997</v>
      </c>
      <c r="C22">
        <v>162.72</v>
      </c>
      <c r="D22">
        <v>1.0443</v>
      </c>
      <c r="E22">
        <v>1.0443</v>
      </c>
      <c r="F22">
        <v>1.2363554566334383</v>
      </c>
      <c r="G22">
        <v>6.4177728613569324E-3</v>
      </c>
    </row>
    <row r="23" spans="1:7" x14ac:dyDescent="0.25">
      <c r="A23" s="1">
        <v>45680</v>
      </c>
      <c r="B23">
        <v>0.84467999999999999</v>
      </c>
      <c r="C23">
        <v>162.58000000000001</v>
      </c>
      <c r="D23">
        <v>1.0404</v>
      </c>
      <c r="E23">
        <v>1.0404</v>
      </c>
      <c r="F23">
        <v>1.2317090495809064</v>
      </c>
      <c r="G23">
        <v>6.3993111083774134E-3</v>
      </c>
    </row>
    <row r="24" spans="1:7" x14ac:dyDescent="0.25">
      <c r="A24" s="1">
        <v>45681</v>
      </c>
      <c r="B24">
        <v>0.84413000000000005</v>
      </c>
      <c r="C24">
        <v>163.9</v>
      </c>
      <c r="D24">
        <v>1.0471999999999999</v>
      </c>
      <c r="E24">
        <v>1.0471999999999999</v>
      </c>
      <c r="F24">
        <v>1.2405672112115431</v>
      </c>
      <c r="G24">
        <v>6.3892617449664421E-3</v>
      </c>
    </row>
    <row r="25" spans="1:7" x14ac:dyDescent="0.25">
      <c r="A25" s="1">
        <v>45684</v>
      </c>
      <c r="B25">
        <v>0.84106000000000003</v>
      </c>
      <c r="C25">
        <v>162.21</v>
      </c>
      <c r="D25">
        <v>1.0529999999999999</v>
      </c>
      <c r="E25">
        <v>1.0529999999999999</v>
      </c>
      <c r="F25">
        <v>1.2519915344921884</v>
      </c>
      <c r="G25">
        <v>6.4915849824301822E-3</v>
      </c>
    </row>
    <row r="26" spans="1:7" x14ac:dyDescent="0.25">
      <c r="A26" s="1">
        <v>45685</v>
      </c>
      <c r="B26">
        <v>0.83867999999999998</v>
      </c>
      <c r="C26">
        <v>161.86000000000001</v>
      </c>
      <c r="D26">
        <v>1.0421</v>
      </c>
      <c r="E26">
        <v>1.0421</v>
      </c>
      <c r="F26">
        <v>1.2425478132303143</v>
      </c>
      <c r="G26">
        <v>6.4382799950574564E-3</v>
      </c>
    </row>
    <row r="27" spans="1:7" x14ac:dyDescent="0.25">
      <c r="A27" s="1">
        <v>45686</v>
      </c>
      <c r="B27">
        <v>0.83723000000000003</v>
      </c>
      <c r="C27">
        <v>161.5</v>
      </c>
      <c r="D27">
        <v>1.0396000000000001</v>
      </c>
      <c r="E27">
        <v>1.0396000000000001</v>
      </c>
      <c r="F27">
        <v>1.2417137465212666</v>
      </c>
      <c r="G27">
        <v>6.437151702786378E-3</v>
      </c>
    </row>
    <row r="28" spans="1:7" x14ac:dyDescent="0.25">
      <c r="A28" s="1">
        <v>45687</v>
      </c>
      <c r="B28">
        <v>0.83684999999999998</v>
      </c>
      <c r="C28">
        <v>160.32</v>
      </c>
      <c r="D28">
        <v>1.0403</v>
      </c>
      <c r="E28">
        <v>1.0403</v>
      </c>
      <c r="F28">
        <v>1.2431140586724025</v>
      </c>
      <c r="G28">
        <v>6.4888972055888224E-3</v>
      </c>
    </row>
    <row r="29" spans="1:7" x14ac:dyDescent="0.25">
      <c r="A29" s="1">
        <v>45688</v>
      </c>
      <c r="B29">
        <v>0.83608000000000005</v>
      </c>
      <c r="C29">
        <v>160.99</v>
      </c>
      <c r="D29">
        <v>1.0392999999999999</v>
      </c>
      <c r="E29">
        <v>1.0392999999999999</v>
      </c>
      <c r="F29">
        <v>1.2430628647976267</v>
      </c>
      <c r="G29">
        <v>6.455680477048263E-3</v>
      </c>
    </row>
    <row r="30" spans="1:7" x14ac:dyDescent="0.25">
      <c r="A30" s="1">
        <v>45691</v>
      </c>
      <c r="B30">
        <v>0.83135999999999999</v>
      </c>
      <c r="C30">
        <v>158.87</v>
      </c>
      <c r="D30">
        <v>1.0274000000000001</v>
      </c>
      <c r="E30">
        <v>1.0274000000000001</v>
      </c>
      <c r="F30">
        <v>1.2358063895304081</v>
      </c>
      <c r="G30">
        <v>6.4669226411531444E-3</v>
      </c>
    </row>
    <row r="31" spans="1:7" x14ac:dyDescent="0.25">
      <c r="A31" s="1">
        <v>45692</v>
      </c>
      <c r="B31">
        <v>0.83187999999999995</v>
      </c>
      <c r="C31">
        <v>160.52000000000001</v>
      </c>
      <c r="D31">
        <v>1.0335000000000001</v>
      </c>
      <c r="E31">
        <v>1.0335000000000001</v>
      </c>
      <c r="F31">
        <v>1.2423666875030055</v>
      </c>
      <c r="G31">
        <v>6.4384500373785196E-3</v>
      </c>
    </row>
    <row r="32" spans="1:7" x14ac:dyDescent="0.25">
      <c r="A32" s="1">
        <v>45693</v>
      </c>
      <c r="B32">
        <v>0.83084999999999998</v>
      </c>
      <c r="C32">
        <v>159.25</v>
      </c>
      <c r="D32">
        <v>1.0422</v>
      </c>
      <c r="E32">
        <v>1.0422</v>
      </c>
      <c r="F32">
        <v>1.2543780465788048</v>
      </c>
      <c r="G32">
        <v>6.5444270015698591E-3</v>
      </c>
    </row>
    <row r="33" spans="1:7" x14ac:dyDescent="0.25">
      <c r="A33" s="1">
        <v>45694</v>
      </c>
      <c r="B33">
        <v>0.83687999999999996</v>
      </c>
      <c r="C33">
        <v>157.94999999999999</v>
      </c>
      <c r="D33">
        <v>1.036</v>
      </c>
      <c r="E33">
        <v>1.036</v>
      </c>
      <c r="F33">
        <v>1.2379313641143295</v>
      </c>
      <c r="G33">
        <v>6.5590376701487822E-3</v>
      </c>
    </row>
    <row r="34" spans="1:7" x14ac:dyDescent="0.25">
      <c r="A34" s="1">
        <v>45695</v>
      </c>
      <c r="B34">
        <v>0.83352999999999999</v>
      </c>
      <c r="C34">
        <v>157.77000000000001</v>
      </c>
      <c r="D34">
        <v>1.0377000000000001</v>
      </c>
      <c r="E34">
        <v>1.0377000000000001</v>
      </c>
      <c r="F34">
        <v>1.2449461926985232</v>
      </c>
      <c r="G34">
        <v>6.5772960638904735E-3</v>
      </c>
    </row>
    <row r="35" spans="1:7" x14ac:dyDescent="0.25">
      <c r="A35" s="1">
        <v>45698</v>
      </c>
      <c r="B35">
        <v>0.83282999999999996</v>
      </c>
      <c r="C35">
        <v>156.91999999999999</v>
      </c>
      <c r="D35">
        <v>1.032</v>
      </c>
      <c r="E35">
        <v>1.032</v>
      </c>
      <c r="F35">
        <v>1.2391484456611794</v>
      </c>
      <c r="G35">
        <v>6.5765995411674744E-3</v>
      </c>
    </row>
    <row r="36" spans="1:7" x14ac:dyDescent="0.25">
      <c r="A36" s="1">
        <v>45699</v>
      </c>
      <c r="B36">
        <v>0.83355000000000001</v>
      </c>
      <c r="C36">
        <v>157.28</v>
      </c>
      <c r="D36">
        <v>1.0324</v>
      </c>
      <c r="E36">
        <v>1.0324</v>
      </c>
      <c r="F36">
        <v>1.238557974926519</v>
      </c>
      <c r="G36">
        <v>6.5640895218718204E-3</v>
      </c>
    </row>
    <row r="37" spans="1:7" x14ac:dyDescent="0.25">
      <c r="A37" s="1">
        <v>45700</v>
      </c>
      <c r="B37">
        <v>0.83338000000000001</v>
      </c>
      <c r="C37">
        <v>159.22</v>
      </c>
      <c r="D37">
        <v>1.0369999999999999</v>
      </c>
      <c r="E37">
        <v>1.0369999999999999</v>
      </c>
      <c r="F37">
        <v>1.2443303175022198</v>
      </c>
      <c r="G37">
        <v>6.5130008792865218E-3</v>
      </c>
    </row>
    <row r="38" spans="1:7" x14ac:dyDescent="0.25">
      <c r="A38" s="1">
        <v>45701</v>
      </c>
      <c r="B38">
        <v>0.83313000000000004</v>
      </c>
      <c r="C38">
        <v>159.79</v>
      </c>
      <c r="D38">
        <v>1.0389999999999999</v>
      </c>
      <c r="E38">
        <v>1.0389999999999999</v>
      </c>
      <c r="F38">
        <v>1.2471042934476011</v>
      </c>
      <c r="G38">
        <v>6.5022842480755988E-3</v>
      </c>
    </row>
    <row r="39" spans="1:7" x14ac:dyDescent="0.25">
      <c r="A39" s="1">
        <v>45702</v>
      </c>
      <c r="B39">
        <v>0.83214999999999995</v>
      </c>
      <c r="C39">
        <v>160.09</v>
      </c>
      <c r="D39">
        <v>1.0478000000000001</v>
      </c>
      <c r="E39">
        <v>1.0478000000000001</v>
      </c>
      <c r="F39">
        <v>1.2591479901460074</v>
      </c>
      <c r="G39">
        <v>6.5450683990255481E-3</v>
      </c>
    </row>
    <row r="40" spans="1:7" x14ac:dyDescent="0.25">
      <c r="A40" s="1">
        <v>45705</v>
      </c>
      <c r="B40">
        <v>0.83133000000000001</v>
      </c>
      <c r="C40">
        <v>158.66999999999999</v>
      </c>
      <c r="D40">
        <v>1.0472999999999999</v>
      </c>
      <c r="E40">
        <v>1.0472999999999999</v>
      </c>
      <c r="F40">
        <v>1.2597885316300386</v>
      </c>
      <c r="G40">
        <v>6.6004915863112123E-3</v>
      </c>
    </row>
    <row r="41" spans="1:7" x14ac:dyDescent="0.25">
      <c r="A41" s="1">
        <v>45706</v>
      </c>
      <c r="B41">
        <v>0.83025000000000004</v>
      </c>
      <c r="C41">
        <v>158.55000000000001</v>
      </c>
      <c r="D41">
        <v>1.0447</v>
      </c>
      <c r="E41">
        <v>1.0447</v>
      </c>
      <c r="F41">
        <v>1.2582956940680516</v>
      </c>
      <c r="G41">
        <v>6.5890886155786808E-3</v>
      </c>
    </row>
    <row r="42" spans="1:7" x14ac:dyDescent="0.25">
      <c r="A42" s="1">
        <v>45707</v>
      </c>
      <c r="B42">
        <v>0.82838000000000001</v>
      </c>
      <c r="C42">
        <v>158.41</v>
      </c>
      <c r="D42">
        <v>1.0434000000000001</v>
      </c>
      <c r="E42">
        <v>1.0434000000000001</v>
      </c>
      <c r="F42">
        <v>1.2595668654482244</v>
      </c>
      <c r="G42">
        <v>6.5867053847610641E-3</v>
      </c>
    </row>
    <row r="43" spans="1:7" x14ac:dyDescent="0.25">
      <c r="A43" s="1">
        <v>45708</v>
      </c>
      <c r="B43">
        <v>0.82823000000000002</v>
      </c>
      <c r="C43">
        <v>156.6</v>
      </c>
      <c r="D43">
        <v>1.0443</v>
      </c>
      <c r="E43">
        <v>1.0443</v>
      </c>
      <c r="F43">
        <v>1.2608816391582047</v>
      </c>
      <c r="G43">
        <v>6.6685823754789276E-3</v>
      </c>
    </row>
    <row r="44" spans="1:7" x14ac:dyDescent="0.25">
      <c r="A44" s="1">
        <v>45709</v>
      </c>
      <c r="B44">
        <v>0.8276</v>
      </c>
      <c r="C44">
        <v>157.46</v>
      </c>
      <c r="D44">
        <v>1.0465</v>
      </c>
      <c r="E44">
        <v>1.0465</v>
      </c>
      <c r="F44">
        <v>1.2644997583373609</v>
      </c>
      <c r="G44">
        <v>6.6461323510732884E-3</v>
      </c>
    </row>
    <row r="45" spans="1:7" x14ac:dyDescent="0.25">
      <c r="A45" s="1">
        <v>45712</v>
      </c>
      <c r="B45">
        <v>0.82830000000000004</v>
      </c>
      <c r="C45">
        <v>156.81</v>
      </c>
      <c r="D45">
        <v>1.0466</v>
      </c>
      <c r="E45">
        <v>1.0466</v>
      </c>
      <c r="F45">
        <v>1.2635518531932874</v>
      </c>
      <c r="G45">
        <v>6.6743192398443976E-3</v>
      </c>
    </row>
    <row r="46" spans="1:7" x14ac:dyDescent="0.25">
      <c r="A46" s="1">
        <v>45713</v>
      </c>
      <c r="B46">
        <v>0.82908000000000004</v>
      </c>
      <c r="C46">
        <v>157.19</v>
      </c>
      <c r="D46">
        <v>1.0497000000000001</v>
      </c>
      <c r="E46">
        <v>1.0497000000000001</v>
      </c>
      <c r="F46">
        <v>1.2661021855550731</v>
      </c>
      <c r="G46">
        <v>6.6779057191933338E-3</v>
      </c>
    </row>
    <row r="47" spans="1:7" x14ac:dyDescent="0.25">
      <c r="A47" s="1">
        <v>45714</v>
      </c>
      <c r="B47">
        <v>0.82867999999999997</v>
      </c>
      <c r="C47">
        <v>156.69999999999999</v>
      </c>
      <c r="D47">
        <v>1.0487</v>
      </c>
      <c r="E47">
        <v>1.0487</v>
      </c>
      <c r="F47">
        <v>1.2655065887918135</v>
      </c>
      <c r="G47">
        <v>6.6924058710912575E-3</v>
      </c>
    </row>
    <row r="48" spans="1:7" x14ac:dyDescent="0.25">
      <c r="A48" s="1">
        <v>45715</v>
      </c>
      <c r="B48">
        <v>0.82672999999999996</v>
      </c>
      <c r="C48">
        <v>156.72999999999999</v>
      </c>
      <c r="D48">
        <v>1.0477000000000001</v>
      </c>
      <c r="E48">
        <v>1.0477000000000001</v>
      </c>
      <c r="F48">
        <v>1.267281942109274</v>
      </c>
      <c r="G48">
        <v>6.6847444650035099E-3</v>
      </c>
    </row>
    <row r="49" spans="1:7" x14ac:dyDescent="0.25">
      <c r="A49" s="1">
        <v>45716</v>
      </c>
      <c r="B49">
        <v>0.82608000000000004</v>
      </c>
      <c r="C49">
        <v>156.96</v>
      </c>
      <c r="D49">
        <v>1.0410999999999999</v>
      </c>
      <c r="E49">
        <v>1.0410999999999999</v>
      </c>
      <c r="F49">
        <v>1.2602895603331394</v>
      </c>
      <c r="G49">
        <v>6.6329001019367981E-3</v>
      </c>
    </row>
    <row r="50" spans="1:7" x14ac:dyDescent="0.25">
      <c r="A50" s="1">
        <v>45719</v>
      </c>
      <c r="B50">
        <v>0.82530000000000003</v>
      </c>
      <c r="C50">
        <v>158.33000000000001</v>
      </c>
      <c r="D50">
        <v>1.0465</v>
      </c>
      <c r="E50">
        <v>1.0465</v>
      </c>
      <c r="F50">
        <v>1.2680237489397794</v>
      </c>
      <c r="G50">
        <v>6.6096128339543985E-3</v>
      </c>
    </row>
    <row r="51" spans="1:7" x14ac:dyDescent="0.25">
      <c r="A51" s="1">
        <v>45720</v>
      </c>
      <c r="B51">
        <v>0.82787999999999995</v>
      </c>
      <c r="C51">
        <v>156.5</v>
      </c>
      <c r="D51">
        <v>1.0557000000000001</v>
      </c>
      <c r="E51">
        <v>1.0557000000000001</v>
      </c>
      <c r="F51">
        <v>1.2751848093926659</v>
      </c>
      <c r="G51">
        <v>6.7456869009584666E-3</v>
      </c>
    </row>
    <row r="52" spans="1:7" x14ac:dyDescent="0.25">
      <c r="A52" s="1">
        <v>45721</v>
      </c>
      <c r="B52">
        <v>0.83499999999999996</v>
      </c>
      <c r="C52">
        <v>160.09</v>
      </c>
      <c r="D52">
        <v>1.0693999999999999</v>
      </c>
      <c r="E52">
        <v>1.0693999999999999</v>
      </c>
      <c r="F52">
        <v>1.2807185628742515</v>
      </c>
      <c r="G52">
        <v>6.6799925042163779E-3</v>
      </c>
    </row>
    <row r="53" spans="1:7" x14ac:dyDescent="0.25">
      <c r="A53" s="1">
        <v>45722</v>
      </c>
      <c r="B53">
        <v>0.83789999999999998</v>
      </c>
      <c r="C53">
        <v>159.24</v>
      </c>
      <c r="D53">
        <v>1.0795999999999999</v>
      </c>
      <c r="E53">
        <v>1.0795999999999999</v>
      </c>
      <c r="F53">
        <v>1.2884592433464612</v>
      </c>
      <c r="G53">
        <v>6.7797035920622948E-3</v>
      </c>
    </row>
    <row r="54" spans="1:7" x14ac:dyDescent="0.25">
      <c r="A54" s="1">
        <v>45723</v>
      </c>
      <c r="B54">
        <v>0.84087999999999996</v>
      </c>
      <c r="C54">
        <v>160.35</v>
      </c>
      <c r="D54">
        <v>1.0857000000000001</v>
      </c>
      <c r="E54">
        <v>1.0857000000000001</v>
      </c>
      <c r="F54">
        <v>1.29114736942251</v>
      </c>
      <c r="G54">
        <v>6.7708138447146876E-3</v>
      </c>
    </row>
    <row r="55" spans="1:7" x14ac:dyDescent="0.25">
      <c r="A55" s="1">
        <v>45726</v>
      </c>
      <c r="B55">
        <v>0.83848999999999996</v>
      </c>
      <c r="C55">
        <v>159.38999999999999</v>
      </c>
      <c r="D55">
        <v>1.0845</v>
      </c>
      <c r="E55">
        <v>1.0845</v>
      </c>
      <c r="F55">
        <v>1.2933964626888812</v>
      </c>
      <c r="G55">
        <v>6.8040654997176741E-3</v>
      </c>
    </row>
    <row r="56" spans="1:7" x14ac:dyDescent="0.25">
      <c r="A56" s="1">
        <v>45727</v>
      </c>
      <c r="B56">
        <v>0.84374000000000005</v>
      </c>
      <c r="C56">
        <v>161.52000000000001</v>
      </c>
      <c r="D56">
        <v>1.0911999999999999</v>
      </c>
      <c r="E56">
        <v>1.0911999999999999</v>
      </c>
      <c r="F56">
        <v>1.2932894019484673</v>
      </c>
      <c r="G56">
        <v>6.7558197127290734E-3</v>
      </c>
    </row>
    <row r="57" spans="1:7" x14ac:dyDescent="0.25">
      <c r="A57" s="1">
        <v>45728</v>
      </c>
      <c r="B57">
        <v>0.84077999999999997</v>
      </c>
      <c r="C57">
        <v>162.22999999999999</v>
      </c>
      <c r="D57">
        <v>1.0886</v>
      </c>
      <c r="E57">
        <v>1.0886</v>
      </c>
      <c r="F57">
        <v>1.2947501129903185</v>
      </c>
      <c r="G57">
        <v>6.710226222030451E-3</v>
      </c>
    </row>
    <row r="58" spans="1:7" x14ac:dyDescent="0.25">
      <c r="A58" s="1">
        <v>45729</v>
      </c>
      <c r="B58">
        <v>0.83777999999999997</v>
      </c>
      <c r="C58">
        <v>160.63999999999999</v>
      </c>
      <c r="D58">
        <v>1.083</v>
      </c>
      <c r="E58">
        <v>1.083</v>
      </c>
      <c r="F58">
        <v>1.2927021413736304</v>
      </c>
      <c r="G58">
        <v>6.741782868525897E-3</v>
      </c>
    </row>
    <row r="59" spans="1:7" x14ac:dyDescent="0.25">
      <c r="A59" s="1">
        <v>45730</v>
      </c>
      <c r="B59">
        <v>0.84182999999999997</v>
      </c>
      <c r="C59">
        <v>161.88</v>
      </c>
      <c r="D59">
        <v>1.0889</v>
      </c>
      <c r="E59">
        <v>1.0889</v>
      </c>
      <c r="F59">
        <v>1.2934915600536925</v>
      </c>
      <c r="G59">
        <v>6.7265875957499381E-3</v>
      </c>
    </row>
    <row r="60" spans="1:7" x14ac:dyDescent="0.25">
      <c r="A60" s="1">
        <v>45733</v>
      </c>
      <c r="B60">
        <v>0.84026000000000001</v>
      </c>
      <c r="C60">
        <v>162.26</v>
      </c>
      <c r="D60">
        <v>1.0903</v>
      </c>
      <c r="E60">
        <v>1.0903</v>
      </c>
      <c r="F60">
        <v>1.2975745602551592</v>
      </c>
      <c r="G60">
        <v>6.7194625909034892E-3</v>
      </c>
    </row>
    <row r="61" spans="1:7" x14ac:dyDescent="0.25">
      <c r="A61" s="1">
        <v>45734</v>
      </c>
      <c r="B61">
        <v>0.84172999999999998</v>
      </c>
      <c r="C61">
        <v>163.5</v>
      </c>
      <c r="D61">
        <v>1.0918000000000001</v>
      </c>
      <c r="E61">
        <v>1.0918000000000001</v>
      </c>
      <c r="F61">
        <v>1.2970905159611754</v>
      </c>
      <c r="G61">
        <v>6.6776758409785942E-3</v>
      </c>
    </row>
    <row r="62" spans="1:7" x14ac:dyDescent="0.25">
      <c r="A62" s="1">
        <v>45735</v>
      </c>
      <c r="B62">
        <v>0.84077999999999997</v>
      </c>
      <c r="C62">
        <v>163.27000000000001</v>
      </c>
      <c r="D62">
        <v>1.0896999999999999</v>
      </c>
      <c r="E62">
        <v>1.0896999999999999</v>
      </c>
      <c r="F62">
        <v>1.2960584219415303</v>
      </c>
      <c r="G62">
        <v>6.6742206161572847E-3</v>
      </c>
    </row>
    <row r="63" spans="1:7" x14ac:dyDescent="0.25">
      <c r="A63" s="1">
        <v>45736</v>
      </c>
      <c r="B63">
        <v>0.83689999999999998</v>
      </c>
      <c r="C63">
        <v>160.85</v>
      </c>
      <c r="D63">
        <v>1.0832999999999999</v>
      </c>
      <c r="E63">
        <v>1.0832999999999999</v>
      </c>
      <c r="F63">
        <v>1.2944198829011828</v>
      </c>
      <c r="G63">
        <v>6.7348461299347219E-3</v>
      </c>
    </row>
    <row r="64" spans="1:7" x14ac:dyDescent="0.25">
      <c r="A64" s="1">
        <v>45737</v>
      </c>
      <c r="B64">
        <v>0.83765000000000001</v>
      </c>
      <c r="C64">
        <v>160.99</v>
      </c>
      <c r="D64">
        <v>1.0827</v>
      </c>
      <c r="E64">
        <v>1.0827</v>
      </c>
      <c r="F64">
        <v>1.2925446188742316</v>
      </c>
      <c r="G64">
        <v>6.7252624386607857E-3</v>
      </c>
    </row>
    <row r="65" spans="1:7" x14ac:dyDescent="0.25">
      <c r="A65" s="1">
        <v>45740</v>
      </c>
      <c r="B65">
        <v>0.83662999999999998</v>
      </c>
      <c r="C65">
        <v>162.15</v>
      </c>
      <c r="D65">
        <v>1.0824</v>
      </c>
      <c r="E65">
        <v>1.0824</v>
      </c>
      <c r="F65">
        <v>1.2937618780105902</v>
      </c>
      <c r="G65">
        <v>6.6753006475485663E-3</v>
      </c>
    </row>
    <row r="66" spans="1:7" x14ac:dyDescent="0.25">
      <c r="A66" s="1">
        <v>45741</v>
      </c>
      <c r="B66">
        <v>0.83565</v>
      </c>
      <c r="C66">
        <v>162.32</v>
      </c>
      <c r="D66">
        <v>1.0825</v>
      </c>
      <c r="E66">
        <v>1.0825</v>
      </c>
      <c r="F66">
        <v>1.2953987913600191</v>
      </c>
      <c r="G66">
        <v>6.6689255791030069E-3</v>
      </c>
    </row>
    <row r="67" spans="1:7" x14ac:dyDescent="0.25">
      <c r="A67" s="1">
        <v>45742</v>
      </c>
      <c r="B67">
        <v>0.83623000000000003</v>
      </c>
      <c r="C67">
        <v>162.19999999999999</v>
      </c>
      <c r="D67">
        <v>1.0788</v>
      </c>
      <c r="E67">
        <v>1.0788</v>
      </c>
      <c r="F67">
        <v>1.2900756968776532</v>
      </c>
      <c r="G67">
        <v>6.6510480887792848E-3</v>
      </c>
    </row>
    <row r="68" spans="1:7" x14ac:dyDescent="0.25">
      <c r="A68" s="1">
        <v>45743</v>
      </c>
      <c r="B68">
        <v>0.83318000000000003</v>
      </c>
      <c r="C68">
        <v>162.55000000000001</v>
      </c>
      <c r="D68">
        <v>1.0785</v>
      </c>
      <c r="E68">
        <v>1.0785</v>
      </c>
      <c r="F68">
        <v>1.2944381766244988</v>
      </c>
      <c r="G68">
        <v>6.63488157490003E-3</v>
      </c>
    </row>
    <row r="69" spans="1:7" x14ac:dyDescent="0.25">
      <c r="A69" s="1">
        <v>45744</v>
      </c>
      <c r="B69">
        <v>0.83357999999999999</v>
      </c>
      <c r="C69">
        <v>162.63999999999999</v>
      </c>
      <c r="D69">
        <v>1.0797000000000001</v>
      </c>
      <c r="E69">
        <v>1.0797000000000001</v>
      </c>
      <c r="F69">
        <v>1.2952566040452027</v>
      </c>
      <c r="G69">
        <v>6.6385882931628152E-3</v>
      </c>
    </row>
    <row r="70" spans="1:7" x14ac:dyDescent="0.25">
      <c r="A70" s="1">
        <v>45747</v>
      </c>
      <c r="B70">
        <v>0.83535999999999999</v>
      </c>
      <c r="C70">
        <v>161.6</v>
      </c>
      <c r="D70">
        <v>1.0814999999999999</v>
      </c>
      <c r="E70">
        <v>1.0814999999999999</v>
      </c>
      <c r="F70">
        <v>1.2946514077762881</v>
      </c>
      <c r="G70">
        <v>6.6924504950495048E-3</v>
      </c>
    </row>
    <row r="71" spans="1:7" x14ac:dyDescent="0.25">
      <c r="A71" s="1">
        <v>45748</v>
      </c>
      <c r="B71">
        <v>0.83665</v>
      </c>
      <c r="C71">
        <v>160.93</v>
      </c>
      <c r="D71">
        <v>1.0788</v>
      </c>
      <c r="E71">
        <v>1.0788</v>
      </c>
      <c r="F71">
        <v>1.2894280762564991</v>
      </c>
      <c r="G71">
        <v>6.7035356987510094E-3</v>
      </c>
    </row>
    <row r="72" spans="1:7" x14ac:dyDescent="0.25">
      <c r="A72" s="1">
        <v>45749</v>
      </c>
      <c r="B72">
        <v>0.83455000000000001</v>
      </c>
      <c r="C72">
        <v>161.22</v>
      </c>
      <c r="D72">
        <v>1.0803</v>
      </c>
      <c r="E72">
        <v>1.0803</v>
      </c>
      <c r="F72">
        <v>1.2944700736924091</v>
      </c>
      <c r="G72">
        <v>6.7007815407517683E-3</v>
      </c>
    </row>
    <row r="73" spans="1:7" x14ac:dyDescent="0.25">
      <c r="A73" s="1">
        <v>45750</v>
      </c>
      <c r="B73">
        <v>0.84162999999999999</v>
      </c>
      <c r="C73">
        <v>162.16999999999999</v>
      </c>
      <c r="D73">
        <v>1.1096999999999999</v>
      </c>
      <c r="E73">
        <v>1.1096999999999999</v>
      </c>
      <c r="F73">
        <v>1.3185128857098725</v>
      </c>
      <c r="G73">
        <v>6.8428192637355863E-3</v>
      </c>
    </row>
    <row r="74" spans="1:7" x14ac:dyDescent="0.25">
      <c r="A74" s="1">
        <v>45751</v>
      </c>
      <c r="B74">
        <v>0.84984999999999999</v>
      </c>
      <c r="C74">
        <v>160.56</v>
      </c>
      <c r="D74">
        <v>1.1056999999999999</v>
      </c>
      <c r="E74">
        <v>1.1056999999999999</v>
      </c>
      <c r="F74">
        <v>1.3010531270224157</v>
      </c>
      <c r="G74">
        <v>6.8865221723966108E-3</v>
      </c>
    </row>
    <row r="75" spans="1:7" x14ac:dyDescent="0.25">
      <c r="A75" s="1">
        <v>45754</v>
      </c>
      <c r="B75">
        <v>0.85587999999999997</v>
      </c>
      <c r="C75">
        <v>160.58000000000001</v>
      </c>
      <c r="D75">
        <v>1.0967</v>
      </c>
      <c r="E75">
        <v>1.0967</v>
      </c>
      <c r="F75">
        <v>1.2813712202645231</v>
      </c>
      <c r="G75">
        <v>6.8296176360692481E-3</v>
      </c>
    </row>
    <row r="76" spans="1:7" x14ac:dyDescent="0.25">
      <c r="A76" s="1">
        <v>45755</v>
      </c>
      <c r="B76">
        <v>0.85643999999999998</v>
      </c>
      <c r="C76">
        <v>160.65</v>
      </c>
      <c r="D76">
        <v>1.095</v>
      </c>
      <c r="E76">
        <v>1.095</v>
      </c>
      <c r="F76">
        <v>1.2785484096959507</v>
      </c>
      <c r="G76">
        <v>6.816059757236227E-3</v>
      </c>
    </row>
    <row r="77" spans="1:7" x14ac:dyDescent="0.25">
      <c r="A77" s="1">
        <v>45756</v>
      </c>
      <c r="B77">
        <v>0.86434999999999995</v>
      </c>
      <c r="C77">
        <v>159.61000000000001</v>
      </c>
      <c r="D77">
        <v>1.1045</v>
      </c>
      <c r="E77">
        <v>1.1045</v>
      </c>
      <c r="F77">
        <v>1.2778388384335051</v>
      </c>
      <c r="G77">
        <v>6.9199924816740806E-3</v>
      </c>
    </row>
    <row r="78" spans="1:7" x14ac:dyDescent="0.25">
      <c r="A78" s="1">
        <v>45757</v>
      </c>
      <c r="B78">
        <v>0.85755000000000003</v>
      </c>
      <c r="C78">
        <v>161.28</v>
      </c>
      <c r="D78">
        <v>1.1082000000000001</v>
      </c>
      <c r="E78">
        <v>1.1082000000000001</v>
      </c>
      <c r="F78">
        <v>1.2922861640720658</v>
      </c>
      <c r="G78">
        <v>6.8712797619047625E-3</v>
      </c>
    </row>
    <row r="79" spans="1:7" x14ac:dyDescent="0.25">
      <c r="A79" s="1">
        <v>45758</v>
      </c>
      <c r="B79">
        <v>0.86677999999999999</v>
      </c>
      <c r="C79">
        <v>162.07</v>
      </c>
      <c r="D79">
        <v>1.1346000000000001</v>
      </c>
      <c r="E79">
        <v>1.1346000000000001</v>
      </c>
      <c r="F79">
        <v>1.3089826714968043</v>
      </c>
      <c r="G79">
        <v>7.0006787190720066E-3</v>
      </c>
    </row>
    <row r="80" spans="1:7" x14ac:dyDescent="0.25">
      <c r="A80" s="1">
        <v>45761</v>
      </c>
      <c r="B80">
        <v>0.86382999999999999</v>
      </c>
      <c r="C80">
        <v>162.97</v>
      </c>
      <c r="D80">
        <v>1.1376999999999999</v>
      </c>
      <c r="E80">
        <v>1.1376999999999999</v>
      </c>
      <c r="F80">
        <v>1.3170415475267123</v>
      </c>
      <c r="G80">
        <v>6.981039455114438E-3</v>
      </c>
    </row>
    <row r="81" spans="1:7" x14ac:dyDescent="0.25">
      <c r="A81" s="1">
        <v>45762</v>
      </c>
      <c r="B81">
        <v>0.85570000000000002</v>
      </c>
      <c r="C81">
        <v>161.85</v>
      </c>
      <c r="D81">
        <v>1.1324000000000001</v>
      </c>
      <c r="E81">
        <v>1.1324000000000001</v>
      </c>
      <c r="F81">
        <v>1.3233609910015194</v>
      </c>
      <c r="G81">
        <v>6.9966017917825153E-3</v>
      </c>
    </row>
    <row r="82" spans="1:7" x14ac:dyDescent="0.25">
      <c r="A82" s="1">
        <v>45763</v>
      </c>
      <c r="B82">
        <v>0.85618000000000005</v>
      </c>
      <c r="C82">
        <v>162.09</v>
      </c>
      <c r="D82">
        <v>1.1355</v>
      </c>
      <c r="E82">
        <v>1.1355</v>
      </c>
      <c r="F82">
        <v>1.3262398093858767</v>
      </c>
      <c r="G82">
        <v>7.0053673884878766E-3</v>
      </c>
    </row>
    <row r="83" spans="1:7" x14ac:dyDescent="0.25">
      <c r="A83" s="1">
        <v>45764</v>
      </c>
      <c r="B83">
        <v>0.85872999999999999</v>
      </c>
      <c r="C83">
        <v>161.97999999999999</v>
      </c>
      <c r="D83">
        <v>1.1359999999999999</v>
      </c>
      <c r="E83">
        <v>1.1359999999999999</v>
      </c>
      <c r="F83">
        <v>1.322883793509019</v>
      </c>
      <c r="G83">
        <v>7.0132115075935298E-3</v>
      </c>
    </row>
    <row r="84" spans="1:7" x14ac:dyDescent="0.25">
      <c r="A84" s="1">
        <v>45769</v>
      </c>
      <c r="B84">
        <v>0.85858000000000001</v>
      </c>
      <c r="C84">
        <v>161.05000000000001</v>
      </c>
      <c r="D84">
        <v>1.1476</v>
      </c>
      <c r="E84">
        <v>1.1476</v>
      </c>
      <c r="F84">
        <v>1.3366255910922686</v>
      </c>
      <c r="G84">
        <v>7.1257373486494869E-3</v>
      </c>
    </row>
    <row r="85" spans="1:7" x14ac:dyDescent="0.25">
      <c r="A85" s="1">
        <v>45770</v>
      </c>
      <c r="B85">
        <v>0.85792999999999997</v>
      </c>
      <c r="C85">
        <v>161.68</v>
      </c>
      <c r="D85">
        <v>1.1415</v>
      </c>
      <c r="E85">
        <v>1.1415</v>
      </c>
      <c r="F85">
        <v>1.3305281316657536</v>
      </c>
      <c r="G85">
        <v>7.0602424542305781E-3</v>
      </c>
    </row>
    <row r="86" spans="1:7" x14ac:dyDescent="0.25">
      <c r="A86" s="1">
        <v>45771</v>
      </c>
      <c r="B86">
        <v>0.85499999999999998</v>
      </c>
      <c r="C86">
        <v>162.16</v>
      </c>
      <c r="D86">
        <v>1.1375999999999999</v>
      </c>
      <c r="E86">
        <v>1.1375999999999999</v>
      </c>
      <c r="F86">
        <v>1.3305263157894736</v>
      </c>
      <c r="G86">
        <v>7.0152935372471631E-3</v>
      </c>
    </row>
    <row r="87" spans="1:7" x14ac:dyDescent="0.25">
      <c r="A87" s="1">
        <v>45772</v>
      </c>
      <c r="B87">
        <v>0.85309999999999997</v>
      </c>
      <c r="C87">
        <v>162.80000000000001</v>
      </c>
      <c r="D87">
        <v>1.1356999999999999</v>
      </c>
      <c r="E87">
        <v>1.1356999999999999</v>
      </c>
      <c r="F87">
        <v>1.3312624545774234</v>
      </c>
      <c r="G87">
        <v>6.9760442260442248E-3</v>
      </c>
    </row>
    <row r="88" spans="1:7" x14ac:dyDescent="0.25">
      <c r="A88" s="1">
        <v>45775</v>
      </c>
      <c r="B88">
        <v>0.85140000000000005</v>
      </c>
      <c r="C88">
        <v>162.80000000000001</v>
      </c>
      <c r="D88">
        <v>1.1357999999999999</v>
      </c>
      <c r="E88">
        <v>1.1357999999999999</v>
      </c>
      <c r="F88">
        <v>1.3340380549682873</v>
      </c>
      <c r="G88">
        <v>6.9766584766584759E-3</v>
      </c>
    </row>
    <row r="89" spans="1:7" x14ac:dyDescent="0.25">
      <c r="A89" s="1">
        <v>45776</v>
      </c>
      <c r="B89">
        <v>0.8498</v>
      </c>
      <c r="C89">
        <v>162.28</v>
      </c>
      <c r="D89">
        <v>1.1373</v>
      </c>
      <c r="E89">
        <v>1.1373</v>
      </c>
      <c r="F89">
        <v>1.3383148976229702</v>
      </c>
      <c r="G89">
        <v>7.0082573330046832E-3</v>
      </c>
    </row>
    <row r="90" spans="1:7" x14ac:dyDescent="0.25">
      <c r="A90" s="1">
        <v>45777</v>
      </c>
      <c r="B90">
        <v>0.8518</v>
      </c>
      <c r="C90">
        <v>162.68</v>
      </c>
      <c r="D90">
        <v>1.1373</v>
      </c>
      <c r="E90">
        <v>1.1373</v>
      </c>
      <c r="F90">
        <v>1.3351725757220005</v>
      </c>
      <c r="G90">
        <v>6.9910253257929669E-3</v>
      </c>
    </row>
    <row r="91" spans="1:7" x14ac:dyDescent="0.25">
      <c r="A91" s="1">
        <v>45779</v>
      </c>
      <c r="B91">
        <v>0.85329999999999995</v>
      </c>
      <c r="C91">
        <v>163.93</v>
      </c>
      <c r="D91">
        <v>1.1343000000000001</v>
      </c>
      <c r="E91">
        <v>1.1343000000000001</v>
      </c>
      <c r="F91">
        <v>1.3293097386616666</v>
      </c>
      <c r="G91">
        <v>6.9194168242542554E-3</v>
      </c>
    </row>
    <row r="92" spans="1:7" x14ac:dyDescent="0.25">
      <c r="A92" s="1">
        <v>45782</v>
      </c>
      <c r="B92">
        <v>0.85150000000000003</v>
      </c>
      <c r="C92">
        <v>163.19</v>
      </c>
      <c r="D92">
        <v>1.1343000000000001</v>
      </c>
      <c r="E92">
        <v>1.1343000000000001</v>
      </c>
      <c r="F92">
        <v>1.3321197886083382</v>
      </c>
      <c r="G92">
        <v>6.9507935535265651E-3</v>
      </c>
    </row>
    <row r="93" spans="1:7" x14ac:dyDescent="0.25">
      <c r="A93" s="1">
        <v>45783</v>
      </c>
      <c r="B93">
        <v>0.84689999999999999</v>
      </c>
      <c r="C93">
        <v>161.63999999999999</v>
      </c>
      <c r="D93">
        <v>1.1325000000000001</v>
      </c>
      <c r="E93">
        <v>1.1325000000000001</v>
      </c>
      <c r="F93">
        <v>1.3372298972724053</v>
      </c>
      <c r="G93">
        <v>7.0063103192279149E-3</v>
      </c>
    </row>
    <row r="94" spans="1:7" x14ac:dyDescent="0.25">
      <c r="A94" s="1">
        <v>45784</v>
      </c>
      <c r="B94">
        <v>0.85109999999999997</v>
      </c>
      <c r="C94">
        <v>162.88999999999999</v>
      </c>
      <c r="D94">
        <v>1.1359999999999999</v>
      </c>
      <c r="E94">
        <v>1.1359999999999999</v>
      </c>
      <c r="F94">
        <v>1.3347432734108799</v>
      </c>
      <c r="G94">
        <v>6.9740315550371416E-3</v>
      </c>
    </row>
    <row r="95" spans="1:7" x14ac:dyDescent="0.25">
      <c r="A95" s="1">
        <v>45785</v>
      </c>
      <c r="B95">
        <v>0.84760000000000002</v>
      </c>
      <c r="C95">
        <v>163.44999999999999</v>
      </c>
      <c r="D95">
        <v>1.1296999999999999</v>
      </c>
      <c r="E95">
        <v>1.1296999999999999</v>
      </c>
      <c r="F95">
        <v>1.3328220858895705</v>
      </c>
      <c r="G95">
        <v>6.9115937595594984E-3</v>
      </c>
    </row>
    <row r="96" spans="1:7" x14ac:dyDescent="0.25">
      <c r="A96" s="1">
        <v>45786</v>
      </c>
      <c r="B96">
        <v>0.84770000000000001</v>
      </c>
      <c r="C96">
        <v>163.36000000000001</v>
      </c>
      <c r="D96">
        <v>1.1252</v>
      </c>
      <c r="E96">
        <v>1.1252</v>
      </c>
      <c r="F96">
        <v>1.3273563760764422</v>
      </c>
      <c r="G96">
        <v>6.887855044074436E-3</v>
      </c>
    </row>
    <row r="97" spans="1:7" x14ac:dyDescent="0.25">
      <c r="A97" s="1">
        <v>45789</v>
      </c>
      <c r="B97">
        <v>0.84289999999999998</v>
      </c>
      <c r="C97">
        <v>164.46</v>
      </c>
      <c r="D97">
        <v>1.1106</v>
      </c>
      <c r="E97">
        <v>1.1106</v>
      </c>
      <c r="F97">
        <v>1.3175940206430181</v>
      </c>
      <c r="G97">
        <v>6.753009850419555E-3</v>
      </c>
    </row>
    <row r="98" spans="1:7" x14ac:dyDescent="0.25">
      <c r="A98" s="1">
        <v>45790</v>
      </c>
      <c r="B98">
        <v>0.84060000000000001</v>
      </c>
      <c r="C98">
        <v>164.61</v>
      </c>
      <c r="D98">
        <v>1.1112</v>
      </c>
      <c r="E98">
        <v>1.1112</v>
      </c>
      <c r="F98">
        <v>1.3219129193433261</v>
      </c>
      <c r="G98">
        <v>6.7505011846181878E-3</v>
      </c>
    </row>
    <row r="99" spans="1:7" x14ac:dyDescent="0.25">
      <c r="A99" s="1">
        <v>45791</v>
      </c>
      <c r="B99">
        <v>0.84150000000000003</v>
      </c>
      <c r="C99">
        <v>164.01</v>
      </c>
      <c r="D99">
        <v>1.1214</v>
      </c>
      <c r="E99">
        <v>1.1214</v>
      </c>
      <c r="F99">
        <v>1.3326203208556149</v>
      </c>
      <c r="G99">
        <v>6.8373879641485278E-3</v>
      </c>
    </row>
    <row r="100" spans="1:7" x14ac:dyDescent="0.25">
      <c r="A100" s="1">
        <v>45792</v>
      </c>
      <c r="B100">
        <v>0.84240000000000004</v>
      </c>
      <c r="C100">
        <v>163.30000000000001</v>
      </c>
      <c r="D100">
        <v>1.1185</v>
      </c>
      <c r="E100">
        <v>1.1185</v>
      </c>
      <c r="F100">
        <v>1.3277540360873694</v>
      </c>
      <c r="G100">
        <v>6.8493570116350275E-3</v>
      </c>
    </row>
    <row r="101" spans="1:7" x14ac:dyDescent="0.25">
      <c r="A101" s="1">
        <v>45793</v>
      </c>
      <c r="B101">
        <v>0.8427</v>
      </c>
      <c r="C101">
        <v>163.05000000000001</v>
      </c>
      <c r="D101">
        <v>1.1194</v>
      </c>
      <c r="E101">
        <v>1.1194</v>
      </c>
      <c r="F101">
        <v>1.3283493532692536</v>
      </c>
      <c r="G101">
        <v>6.8653787181846048E-3</v>
      </c>
    </row>
    <row r="102" spans="1:7" x14ac:dyDescent="0.25">
      <c r="A102" s="1">
        <v>45796</v>
      </c>
      <c r="B102">
        <v>0.84189999999999998</v>
      </c>
      <c r="C102">
        <v>163.26</v>
      </c>
      <c r="D102">
        <v>1.1262000000000001</v>
      </c>
      <c r="E102">
        <v>1.1262000000000001</v>
      </c>
      <c r="F102">
        <v>1.337688561586887</v>
      </c>
      <c r="G102">
        <v>6.8981991914737239E-3</v>
      </c>
    </row>
    <row r="103" spans="1:7" x14ac:dyDescent="0.25">
      <c r="A103" s="1">
        <v>45797</v>
      </c>
      <c r="B103">
        <v>0.84179999999999999</v>
      </c>
      <c r="C103">
        <v>162.59</v>
      </c>
      <c r="D103">
        <v>1.1241000000000001</v>
      </c>
      <c r="E103">
        <v>1.1241000000000001</v>
      </c>
      <c r="F103">
        <v>1.3353528153955809</v>
      </c>
      <c r="G103">
        <v>6.9137093302171111E-3</v>
      </c>
    </row>
    <row r="104" spans="1:7" x14ac:dyDescent="0.25">
      <c r="A104" s="1">
        <v>45798</v>
      </c>
      <c r="B104">
        <v>0.84460000000000002</v>
      </c>
      <c r="C104">
        <v>162.76</v>
      </c>
      <c r="D104">
        <v>1.1321000000000001</v>
      </c>
      <c r="E104">
        <v>1.1321000000000001</v>
      </c>
      <c r="F104">
        <v>1.3403978214539427</v>
      </c>
      <c r="G104">
        <v>6.9556402064389292E-3</v>
      </c>
    </row>
    <row r="105" spans="1:7" x14ac:dyDescent="0.25">
      <c r="A105" s="1">
        <v>45799</v>
      </c>
      <c r="B105">
        <v>0.8427</v>
      </c>
      <c r="C105">
        <v>162.19</v>
      </c>
      <c r="D105">
        <v>1.1309</v>
      </c>
      <c r="E105">
        <v>1.1309</v>
      </c>
      <c r="F105">
        <v>1.341995965349472</v>
      </c>
      <c r="G105">
        <v>6.9726863555089709E-3</v>
      </c>
    </row>
    <row r="106" spans="1:7" x14ac:dyDescent="0.25">
      <c r="A106" s="1">
        <v>45800</v>
      </c>
      <c r="B106">
        <v>0.83819999999999995</v>
      </c>
      <c r="C106">
        <v>161.13</v>
      </c>
      <c r="D106">
        <v>1.1301000000000001</v>
      </c>
      <c r="E106">
        <v>1.1301000000000001</v>
      </c>
      <c r="F106">
        <v>1.3482462419470296</v>
      </c>
      <c r="G106">
        <v>7.0135915099609021E-3</v>
      </c>
    </row>
    <row r="107" spans="1:7" x14ac:dyDescent="0.25">
      <c r="A107" s="1">
        <v>45803</v>
      </c>
      <c r="B107">
        <v>0.83919999999999995</v>
      </c>
      <c r="C107">
        <v>162.63</v>
      </c>
      <c r="D107">
        <v>1.1380999999999999</v>
      </c>
      <c r="E107">
        <v>1.1380999999999999</v>
      </c>
      <c r="F107">
        <v>1.3561725452812201</v>
      </c>
      <c r="G107">
        <v>6.9980938326262062E-3</v>
      </c>
    </row>
    <row r="108" spans="1:7" x14ac:dyDescent="0.25">
      <c r="A108" s="1">
        <v>45804</v>
      </c>
      <c r="B108">
        <v>0.83809999999999996</v>
      </c>
      <c r="C108">
        <v>163.72</v>
      </c>
      <c r="D108">
        <v>1.1355999999999999</v>
      </c>
      <c r="E108">
        <v>1.1355999999999999</v>
      </c>
      <c r="F108">
        <v>1.3549695740365111</v>
      </c>
      <c r="G108">
        <v>6.9362325922306374E-3</v>
      </c>
    </row>
    <row r="109" spans="1:7" x14ac:dyDescent="0.25">
      <c r="A109" s="1">
        <v>45805</v>
      </c>
      <c r="B109">
        <v>0.83979999999999999</v>
      </c>
      <c r="C109">
        <v>163.43</v>
      </c>
      <c r="D109">
        <v>1.1316999999999999</v>
      </c>
      <c r="E109">
        <v>1.1316999999999999</v>
      </c>
      <c r="F109">
        <v>1.3475827577994759</v>
      </c>
      <c r="G109">
        <v>6.9246772318423784E-3</v>
      </c>
    </row>
    <row r="110" spans="1:7" x14ac:dyDescent="0.25">
      <c r="A110" s="1">
        <v>45806</v>
      </c>
      <c r="B110">
        <v>0.8377</v>
      </c>
      <c r="C110">
        <v>163.47</v>
      </c>
      <c r="D110">
        <v>1.1281000000000001</v>
      </c>
      <c r="E110">
        <v>1.1281000000000001</v>
      </c>
      <c r="F110">
        <v>1.3466634833472604</v>
      </c>
      <c r="G110">
        <v>6.900960420872332E-3</v>
      </c>
    </row>
    <row r="111" spans="1:7" x14ac:dyDescent="0.25">
      <c r="A111" s="1">
        <v>45807</v>
      </c>
      <c r="B111">
        <v>0.84119999999999995</v>
      </c>
      <c r="C111">
        <v>162.96</v>
      </c>
      <c r="D111">
        <v>1.1338999999999999</v>
      </c>
      <c r="E111">
        <v>1.1338999999999999</v>
      </c>
      <c r="F111">
        <v>1.3479553019495958</v>
      </c>
      <c r="G111">
        <v>6.9581492390770735E-3</v>
      </c>
    </row>
    <row r="112" spans="1:7" x14ac:dyDescent="0.25">
      <c r="A112" s="1">
        <v>45810</v>
      </c>
      <c r="B112">
        <v>0.84340000000000004</v>
      </c>
      <c r="C112">
        <v>162.97999999999999</v>
      </c>
      <c r="D112">
        <v>1.1418999999999999</v>
      </c>
      <c r="E112">
        <v>1.1418999999999999</v>
      </c>
      <c r="F112">
        <v>1.3539245909414275</v>
      </c>
      <c r="G112">
        <v>7.0063811510614801E-3</v>
      </c>
    </row>
    <row r="113" spans="1:7" x14ac:dyDescent="0.25">
      <c r="A113" s="1">
        <v>45811</v>
      </c>
      <c r="B113">
        <v>0.84360000000000002</v>
      </c>
      <c r="C113">
        <v>163</v>
      </c>
      <c r="D113">
        <v>1.1386000000000001</v>
      </c>
      <c r="E113">
        <v>1.1386000000000001</v>
      </c>
      <c r="F113">
        <v>1.3496917970602182</v>
      </c>
      <c r="G113">
        <v>6.9852760736196324E-3</v>
      </c>
    </row>
    <row r="114" spans="1:7" x14ac:dyDescent="0.25">
      <c r="A114" s="1">
        <v>45812</v>
      </c>
      <c r="B114">
        <v>0.84209999999999996</v>
      </c>
      <c r="C114">
        <v>164.15</v>
      </c>
      <c r="D114">
        <v>1.1384000000000001</v>
      </c>
      <c r="E114">
        <v>1.1384000000000001</v>
      </c>
      <c r="F114">
        <v>1.3518584491153072</v>
      </c>
      <c r="G114">
        <v>6.9351203167834297E-3</v>
      </c>
    </row>
    <row r="115" spans="1:7" x14ac:dyDescent="0.25">
      <c r="A115" s="1">
        <v>45813</v>
      </c>
      <c r="B115">
        <v>0.84189999999999998</v>
      </c>
      <c r="C115">
        <v>163.66</v>
      </c>
      <c r="D115">
        <v>1.1423000000000001</v>
      </c>
      <c r="E115">
        <v>1.1423000000000001</v>
      </c>
      <c r="F115">
        <v>1.3568119729183989</v>
      </c>
      <c r="G115">
        <v>6.9797140413051456E-3</v>
      </c>
    </row>
    <row r="116" spans="1:7" x14ac:dyDescent="0.25">
      <c r="A116" s="1">
        <v>45814</v>
      </c>
      <c r="B116">
        <v>0.84260000000000002</v>
      </c>
      <c r="C116">
        <v>164.62</v>
      </c>
      <c r="D116">
        <v>1.1411</v>
      </c>
      <c r="E116">
        <v>1.1411</v>
      </c>
      <c r="F116">
        <v>1.3542606218846427</v>
      </c>
      <c r="G116">
        <v>6.9317215405175553E-3</v>
      </c>
    </row>
    <row r="117" spans="1:7" x14ac:dyDescent="0.25">
      <c r="A117" s="1">
        <v>45817</v>
      </c>
      <c r="B117">
        <v>0.84240000000000004</v>
      </c>
      <c r="C117">
        <v>164.88</v>
      </c>
      <c r="D117">
        <v>1.141</v>
      </c>
      <c r="E117">
        <v>1.141</v>
      </c>
      <c r="F117">
        <v>1.354463437796771</v>
      </c>
      <c r="G117">
        <v>6.9201843765162542E-3</v>
      </c>
    </row>
    <row r="118" spans="1:7" x14ac:dyDescent="0.25">
      <c r="A118" s="1">
        <v>45818</v>
      </c>
      <c r="B118">
        <v>0.84640000000000004</v>
      </c>
      <c r="C118">
        <v>165.23</v>
      </c>
      <c r="D118">
        <v>1.1429</v>
      </c>
      <c r="E118">
        <v>1.1429</v>
      </c>
      <c r="F118">
        <v>1.3503071833648392</v>
      </c>
      <c r="G118">
        <v>6.9170247533740853E-3</v>
      </c>
    </row>
    <row r="119" spans="1:7" x14ac:dyDescent="0.25">
      <c r="A119" s="1">
        <v>45819</v>
      </c>
      <c r="B119">
        <v>0.84760000000000002</v>
      </c>
      <c r="C119">
        <v>166.17</v>
      </c>
      <c r="D119">
        <v>1.1433</v>
      </c>
      <c r="E119">
        <v>1.1433</v>
      </c>
      <c r="F119">
        <v>1.3488673902784332</v>
      </c>
      <c r="G119">
        <v>6.88030330384546E-3</v>
      </c>
    </row>
    <row r="120" spans="1:7" x14ac:dyDescent="0.25">
      <c r="A120" s="1">
        <v>45820</v>
      </c>
      <c r="B120">
        <v>0.8538</v>
      </c>
      <c r="C120">
        <v>166.64</v>
      </c>
      <c r="D120">
        <v>1.1594</v>
      </c>
      <c r="E120">
        <v>1.1594</v>
      </c>
      <c r="F120">
        <v>1.3579292574373389</v>
      </c>
      <c r="G120">
        <v>6.9575132021123384E-3</v>
      </c>
    </row>
    <row r="121" spans="1:7" x14ac:dyDescent="0.25">
      <c r="A121" s="1">
        <v>45821</v>
      </c>
      <c r="B121">
        <v>0.85050000000000003</v>
      </c>
      <c r="C121">
        <v>165.94</v>
      </c>
      <c r="D121">
        <v>1.1512</v>
      </c>
      <c r="E121">
        <v>1.1512</v>
      </c>
      <c r="F121">
        <v>1.3535567313345092</v>
      </c>
      <c r="G121">
        <v>6.9374472700976259E-3</v>
      </c>
    </row>
    <row r="122" spans="1:7" x14ac:dyDescent="0.25">
      <c r="A122" s="1">
        <v>45824</v>
      </c>
      <c r="B122">
        <v>0.85229999999999995</v>
      </c>
      <c r="C122">
        <v>166.89</v>
      </c>
      <c r="D122">
        <v>1.1574</v>
      </c>
      <c r="E122">
        <v>1.1574</v>
      </c>
      <c r="F122">
        <v>1.357972544878564</v>
      </c>
      <c r="G122">
        <v>6.9351069566780518E-3</v>
      </c>
    </row>
    <row r="123" spans="1:7" x14ac:dyDescent="0.25">
      <c r="A123" s="1">
        <v>45825</v>
      </c>
      <c r="B123">
        <v>0.85250000000000004</v>
      </c>
      <c r="C123">
        <v>167.35</v>
      </c>
      <c r="D123">
        <v>1.1568000000000001</v>
      </c>
      <c r="E123">
        <v>1.1568000000000001</v>
      </c>
      <c r="F123">
        <v>1.356950146627566</v>
      </c>
      <c r="G123">
        <v>6.9124589184344195E-3</v>
      </c>
    </row>
    <row r="124" spans="1:7" x14ac:dyDescent="0.25">
      <c r="A124" s="1">
        <v>45826</v>
      </c>
      <c r="B124">
        <v>0.85519999999999996</v>
      </c>
      <c r="C124">
        <v>166.67</v>
      </c>
      <c r="D124">
        <v>1.1508</v>
      </c>
      <c r="E124">
        <v>1.1508</v>
      </c>
      <c r="F124">
        <v>1.3456501403180543</v>
      </c>
      <c r="G124">
        <v>6.9046619067618656E-3</v>
      </c>
    </row>
    <row r="125" spans="1:7" x14ac:dyDescent="0.25">
      <c r="A125" s="1">
        <v>45827</v>
      </c>
      <c r="B125">
        <v>0.85409999999999997</v>
      </c>
      <c r="C125">
        <v>167.2</v>
      </c>
      <c r="D125">
        <v>1.1477999999999999</v>
      </c>
      <c r="E125">
        <v>1.1477999999999999</v>
      </c>
      <c r="F125">
        <v>1.3438707411310151</v>
      </c>
      <c r="G125">
        <v>6.8648325358851674E-3</v>
      </c>
    </row>
    <row r="126" spans="1:7" x14ac:dyDescent="0.25">
      <c r="A126" s="1">
        <v>45828</v>
      </c>
      <c r="B126">
        <v>0.85370000000000001</v>
      </c>
      <c r="C126">
        <v>167.67</v>
      </c>
      <c r="D126">
        <v>1.1515</v>
      </c>
      <c r="E126">
        <v>1.1515</v>
      </c>
      <c r="F126">
        <v>1.3488344851821483</v>
      </c>
      <c r="G126">
        <v>6.8676567066261116E-3</v>
      </c>
    </row>
    <row r="127" spans="1:7" x14ac:dyDescent="0.25">
      <c r="A127" s="1">
        <v>45831</v>
      </c>
      <c r="B127">
        <v>0.85670000000000002</v>
      </c>
      <c r="C127">
        <v>169.27</v>
      </c>
      <c r="D127">
        <v>1.1472</v>
      </c>
      <c r="E127">
        <v>1.1472</v>
      </c>
      <c r="F127">
        <v>1.3390918641298004</v>
      </c>
      <c r="G127">
        <v>6.7773379807408276E-3</v>
      </c>
    </row>
    <row r="128" spans="1:7" x14ac:dyDescent="0.25">
      <c r="A128" s="1">
        <v>45832</v>
      </c>
      <c r="B128">
        <v>0.85270000000000001</v>
      </c>
      <c r="C128">
        <v>168.27</v>
      </c>
      <c r="D128">
        <v>1.1607000000000001</v>
      </c>
      <c r="E128">
        <v>1.1607000000000001</v>
      </c>
      <c r="F128">
        <v>1.3612055822680897</v>
      </c>
      <c r="G128">
        <v>6.8978427527188451E-3</v>
      </c>
    </row>
    <row r="129" spans="1:7" x14ac:dyDescent="0.25">
      <c r="A129" s="1">
        <v>45833</v>
      </c>
      <c r="B129">
        <v>0.85260000000000002</v>
      </c>
      <c r="C129">
        <v>169.07</v>
      </c>
      <c r="D129">
        <v>1.1597999999999999</v>
      </c>
      <c r="E129">
        <v>1.1597999999999999</v>
      </c>
      <c r="F129">
        <v>1.3603096410978184</v>
      </c>
      <c r="G129">
        <v>6.8598805228603536E-3</v>
      </c>
    </row>
    <row r="130" spans="1:7" x14ac:dyDescent="0.25">
      <c r="A130" s="1">
        <v>45834</v>
      </c>
      <c r="B130">
        <v>0.85350000000000004</v>
      </c>
      <c r="C130">
        <v>168.92</v>
      </c>
      <c r="D130">
        <v>1.1695</v>
      </c>
      <c r="E130">
        <v>1.1695</v>
      </c>
      <c r="F130">
        <v>1.3702401874633861</v>
      </c>
      <c r="G130">
        <v>6.9233956902675824E-3</v>
      </c>
    </row>
    <row r="131" spans="1:7" x14ac:dyDescent="0.25">
      <c r="A131" s="1">
        <v>45835</v>
      </c>
      <c r="B131">
        <v>0.85289999999999999</v>
      </c>
      <c r="C131">
        <v>169.24</v>
      </c>
      <c r="D131">
        <v>1.1704000000000001</v>
      </c>
      <c r="E131">
        <v>1.1704000000000001</v>
      </c>
      <c r="F131">
        <v>1.3722593504514013</v>
      </c>
      <c r="G131">
        <v>6.9156227842117708E-3</v>
      </c>
    </row>
    <row r="132" spans="1:7" x14ac:dyDescent="0.25">
      <c r="A132" s="1">
        <v>45838</v>
      </c>
      <c r="B132">
        <v>0.85550000000000004</v>
      </c>
      <c r="C132">
        <v>169.17</v>
      </c>
      <c r="D132">
        <v>1.1719999999999999</v>
      </c>
      <c r="E132">
        <v>1.1719999999999999</v>
      </c>
      <c r="F132">
        <v>1.3699590882524837</v>
      </c>
      <c r="G132">
        <v>6.9279423065555356E-3</v>
      </c>
    </row>
    <row r="133" spans="1:7" x14ac:dyDescent="0.25">
      <c r="A133" s="1">
        <v>45839</v>
      </c>
      <c r="B133">
        <v>0.85880000000000001</v>
      </c>
      <c r="C133">
        <v>168.7</v>
      </c>
      <c r="D133">
        <v>1.181</v>
      </c>
      <c r="E133">
        <v>1.181</v>
      </c>
      <c r="F133">
        <v>1.3751746623195156</v>
      </c>
      <c r="G133">
        <v>7.0005927682276238E-3</v>
      </c>
    </row>
    <row r="134" spans="1:7" x14ac:dyDescent="0.25">
      <c r="A134" s="1">
        <v>45840</v>
      </c>
      <c r="B134">
        <v>0.86050000000000004</v>
      </c>
      <c r="C134">
        <v>169.45</v>
      </c>
      <c r="D134">
        <v>1.1755</v>
      </c>
      <c r="E134">
        <v>1.1755</v>
      </c>
      <c r="F134">
        <v>1.3660662405578152</v>
      </c>
      <c r="G134">
        <v>6.9371496016524051E-3</v>
      </c>
    </row>
    <row r="135" spans="1:7" x14ac:dyDescent="0.25">
      <c r="A135" s="1">
        <v>45841</v>
      </c>
      <c r="B135">
        <v>0.8629</v>
      </c>
      <c r="C135">
        <v>169.58</v>
      </c>
      <c r="D135">
        <v>1.1781999999999999</v>
      </c>
      <c r="E135">
        <v>1.1781999999999999</v>
      </c>
      <c r="F135">
        <v>1.3653957584888168</v>
      </c>
      <c r="G135">
        <v>6.9477532727916019E-3</v>
      </c>
    </row>
    <row r="136" spans="1:7" x14ac:dyDescent="0.25">
      <c r="A136" s="1">
        <v>45842</v>
      </c>
      <c r="B136">
        <v>0.86250000000000004</v>
      </c>
      <c r="C136">
        <v>169.92</v>
      </c>
      <c r="D136">
        <v>1.1767000000000001</v>
      </c>
      <c r="E136">
        <v>1.1767000000000001</v>
      </c>
      <c r="F136">
        <v>1.3642898550724638</v>
      </c>
      <c r="G136">
        <v>6.9250235404896433E-3</v>
      </c>
    </row>
    <row r="137" spans="1:7" x14ac:dyDescent="0.25">
      <c r="A137" s="1">
        <v>45845</v>
      </c>
      <c r="B137">
        <v>0.86109999999999998</v>
      </c>
      <c r="C137">
        <v>170.71</v>
      </c>
      <c r="D137">
        <v>1.1728000000000001</v>
      </c>
      <c r="E137">
        <v>1.1728000000000001</v>
      </c>
      <c r="F137">
        <v>1.3619788642434096</v>
      </c>
      <c r="G137">
        <v>6.8701306308944993E-3</v>
      </c>
    </row>
    <row r="138" spans="1:7" x14ac:dyDescent="0.25">
      <c r="A138" s="1">
        <v>45846</v>
      </c>
      <c r="B138">
        <v>0.86319999999999997</v>
      </c>
      <c r="C138">
        <v>171.7</v>
      </c>
      <c r="D138">
        <v>1.1718</v>
      </c>
      <c r="E138">
        <v>1.1718</v>
      </c>
      <c r="F138">
        <v>1.3575069508804449</v>
      </c>
      <c r="G138">
        <v>6.8246942341292959E-3</v>
      </c>
    </row>
    <row r="139" spans="1:7" x14ac:dyDescent="0.25">
      <c r="A139" s="1">
        <v>45847</v>
      </c>
      <c r="B139">
        <v>0.86129999999999995</v>
      </c>
      <c r="C139">
        <v>171.63</v>
      </c>
      <c r="D139">
        <v>1.1698</v>
      </c>
      <c r="E139">
        <v>1.1698</v>
      </c>
      <c r="F139">
        <v>1.3581794961105307</v>
      </c>
      <c r="G139">
        <v>6.815824739264697E-3</v>
      </c>
    </row>
    <row r="140" spans="1:7" x14ac:dyDescent="0.25">
      <c r="A140" s="1">
        <v>45848</v>
      </c>
      <c r="B140">
        <v>0.86270000000000002</v>
      </c>
      <c r="C140">
        <v>171.33</v>
      </c>
      <c r="D140">
        <v>1.1709000000000001</v>
      </c>
      <c r="E140">
        <v>1.1709000000000001</v>
      </c>
      <c r="F140">
        <v>1.357250492639388</v>
      </c>
      <c r="G140">
        <v>6.8341796533006481E-3</v>
      </c>
    </row>
    <row r="141" spans="1:7" x14ac:dyDescent="0.25">
      <c r="A141" s="1">
        <v>45849</v>
      </c>
      <c r="B141">
        <v>0.86570000000000003</v>
      </c>
      <c r="C141">
        <v>171.81</v>
      </c>
      <c r="D141">
        <v>1.1682999999999999</v>
      </c>
      <c r="E141">
        <v>1.1682999999999999</v>
      </c>
      <c r="F141">
        <v>1.3495437218435946</v>
      </c>
      <c r="G141">
        <v>6.7999534369361497E-3</v>
      </c>
    </row>
    <row r="142" spans="1:7" x14ac:dyDescent="0.25">
      <c r="A142" s="1">
        <v>45852</v>
      </c>
      <c r="B142">
        <v>0.86670000000000003</v>
      </c>
      <c r="C142">
        <v>172.27</v>
      </c>
      <c r="D142">
        <v>1.169</v>
      </c>
      <c r="E142">
        <v>1.169</v>
      </c>
      <c r="F142">
        <v>1.3487942771431869</v>
      </c>
      <c r="G142">
        <v>6.7858594067452252E-3</v>
      </c>
    </row>
    <row r="143" spans="1:7" x14ac:dyDescent="0.25">
      <c r="A143" s="1">
        <v>45853</v>
      </c>
      <c r="B143">
        <v>0.8679</v>
      </c>
      <c r="C143">
        <v>172.58</v>
      </c>
      <c r="D143">
        <v>1.1665000000000001</v>
      </c>
      <c r="E143">
        <v>1.1665000000000001</v>
      </c>
      <c r="F143">
        <v>1.3440488535545572</v>
      </c>
      <c r="G143">
        <v>6.7591841464827909E-3</v>
      </c>
    </row>
    <row r="144" spans="1:7" x14ac:dyDescent="0.25">
      <c r="A144" s="1">
        <v>45854</v>
      </c>
      <c r="B144">
        <v>0.8659</v>
      </c>
      <c r="C144">
        <v>172.56</v>
      </c>
      <c r="D144">
        <v>1.1601999999999999</v>
      </c>
      <c r="E144">
        <v>1.1601999999999999</v>
      </c>
      <c r="F144">
        <v>1.3398775840166299</v>
      </c>
      <c r="G144">
        <v>6.723458507185906E-3</v>
      </c>
    </row>
    <row r="145" spans="1:7" x14ac:dyDescent="0.25">
      <c r="A145" s="1">
        <v>45855</v>
      </c>
      <c r="B145">
        <v>0.86439999999999995</v>
      </c>
      <c r="C145">
        <v>172.28</v>
      </c>
      <c r="D145">
        <v>1.1578999999999999</v>
      </c>
      <c r="E145">
        <v>1.1578999999999999</v>
      </c>
      <c r="F145">
        <v>1.3395418787598334</v>
      </c>
      <c r="G145">
        <v>6.7210355235662869E-3</v>
      </c>
    </row>
    <row r="146" spans="1:7" x14ac:dyDescent="0.25">
      <c r="A146" s="1">
        <v>45856</v>
      </c>
      <c r="B146">
        <v>0.86560000000000004</v>
      </c>
      <c r="C146">
        <v>172.94</v>
      </c>
      <c r="D146">
        <v>1.165</v>
      </c>
      <c r="E146">
        <v>1.165</v>
      </c>
      <c r="F146">
        <v>1.3458872458410351</v>
      </c>
      <c r="G146">
        <v>6.7364403839481907E-3</v>
      </c>
    </row>
    <row r="147" spans="1:7" x14ac:dyDescent="0.25">
      <c r="A147" s="1">
        <v>45859</v>
      </c>
      <c r="B147">
        <v>0.86560000000000004</v>
      </c>
      <c r="C147">
        <v>172.02</v>
      </c>
      <c r="D147">
        <v>1.1667000000000001</v>
      </c>
      <c r="E147">
        <v>1.1667000000000001</v>
      </c>
      <c r="F147">
        <v>1.3478512014787432</v>
      </c>
      <c r="G147">
        <v>6.7823508894314611E-3</v>
      </c>
    </row>
    <row r="148" spans="1:7" x14ac:dyDescent="0.25">
      <c r="A148" s="1">
        <v>45860</v>
      </c>
      <c r="B148">
        <v>0.86750000000000005</v>
      </c>
      <c r="C148">
        <v>172.17</v>
      </c>
      <c r="D148">
        <v>1.1698999999999999</v>
      </c>
      <c r="E148">
        <v>1.1698999999999999</v>
      </c>
      <c r="F148">
        <v>1.3485878962536022</v>
      </c>
      <c r="G148">
        <v>6.795028169832143E-3</v>
      </c>
    </row>
    <row r="149" spans="1:7" x14ac:dyDescent="0.25">
      <c r="A149" s="1">
        <v>45861</v>
      </c>
      <c r="B149">
        <v>0.86650000000000005</v>
      </c>
      <c r="C149">
        <v>171.53</v>
      </c>
      <c r="D149">
        <v>1.1726000000000001</v>
      </c>
      <c r="E149">
        <v>1.1726000000000001</v>
      </c>
      <c r="F149">
        <v>1.353260242354299</v>
      </c>
      <c r="G149">
        <v>6.8361219611729734E-3</v>
      </c>
    </row>
    <row r="150" spans="1:7" x14ac:dyDescent="0.25">
      <c r="A150" s="1">
        <v>45862</v>
      </c>
      <c r="B150">
        <v>0.86750000000000005</v>
      </c>
      <c r="C150">
        <v>172.22</v>
      </c>
      <c r="D150">
        <v>1.1756</v>
      </c>
      <c r="E150">
        <v>1.1756</v>
      </c>
      <c r="F150">
        <v>1.355158501440922</v>
      </c>
      <c r="G150">
        <v>6.8261525955173614E-3</v>
      </c>
    </row>
    <row r="151" spans="1:7" x14ac:dyDescent="0.25">
      <c r="A151" s="1">
        <v>45863</v>
      </c>
      <c r="B151">
        <v>0.87150000000000005</v>
      </c>
      <c r="C151">
        <v>173.11</v>
      </c>
      <c r="D151">
        <v>1.1724000000000001</v>
      </c>
      <c r="E151">
        <v>1.1724000000000001</v>
      </c>
      <c r="F151">
        <v>1.3452667814113597</v>
      </c>
      <c r="G151">
        <v>6.7725723528392354E-3</v>
      </c>
    </row>
    <row r="152" spans="1:7" x14ac:dyDescent="0.25">
      <c r="A152" s="1">
        <v>45866</v>
      </c>
      <c r="B152">
        <v>0.8679</v>
      </c>
      <c r="C152">
        <v>172.65</v>
      </c>
      <c r="D152">
        <v>1.1654</v>
      </c>
      <c r="E152">
        <v>1.1654</v>
      </c>
      <c r="F152">
        <v>1.3427814264316165</v>
      </c>
      <c r="G152">
        <v>6.750072400810889E-3</v>
      </c>
    </row>
    <row r="153" spans="1:7" x14ac:dyDescent="0.25">
      <c r="A153" s="1">
        <v>45867</v>
      </c>
      <c r="B153">
        <v>0.86499999999999999</v>
      </c>
      <c r="C153">
        <v>171.58</v>
      </c>
      <c r="D153">
        <v>1.1533</v>
      </c>
      <c r="E153">
        <v>1.1533</v>
      </c>
      <c r="F153">
        <v>1.3332947976878613</v>
      </c>
      <c r="G153">
        <v>6.7216458794731315E-3</v>
      </c>
    </row>
    <row r="154" spans="1:7" x14ac:dyDescent="0.25">
      <c r="A154" s="1">
        <v>45868</v>
      </c>
      <c r="B154">
        <v>0.86219999999999997</v>
      </c>
      <c r="C154">
        <v>170.96</v>
      </c>
      <c r="D154">
        <v>1.1527000000000001</v>
      </c>
      <c r="E154">
        <v>1.1527000000000001</v>
      </c>
      <c r="F154">
        <v>1.3369287868244029</v>
      </c>
      <c r="G154">
        <v>6.7425128685072531E-3</v>
      </c>
    </row>
    <row r="155" spans="1:7" x14ac:dyDescent="0.25">
      <c r="A155" s="1">
        <v>45869</v>
      </c>
      <c r="B155">
        <v>0.8649</v>
      </c>
      <c r="C155">
        <v>171.52</v>
      </c>
      <c r="D155">
        <v>1.1446000000000001</v>
      </c>
      <c r="E155">
        <v>1.1446000000000001</v>
      </c>
      <c r="F155">
        <v>1.3233899872817667</v>
      </c>
      <c r="G155">
        <v>6.6732742537313431E-3</v>
      </c>
    </row>
    <row r="156" spans="1:7" x14ac:dyDescent="0.25">
      <c r="A156" s="1">
        <v>45870</v>
      </c>
      <c r="B156">
        <v>0.86650000000000005</v>
      </c>
      <c r="C156">
        <v>171.61</v>
      </c>
      <c r="D156">
        <v>1.1404000000000001</v>
      </c>
      <c r="E156">
        <v>1.1404000000000001</v>
      </c>
      <c r="F156">
        <v>1.3160992498557416</v>
      </c>
      <c r="G156">
        <v>6.6453003904201387E-3</v>
      </c>
    </row>
    <row r="157" spans="1:7" x14ac:dyDescent="0.25">
      <c r="A157" s="1">
        <v>45873</v>
      </c>
      <c r="B157">
        <v>0.87039999999999995</v>
      </c>
      <c r="C157">
        <v>170.45</v>
      </c>
      <c r="D157">
        <v>1.1565000000000001</v>
      </c>
      <c r="E157">
        <v>1.1565000000000001</v>
      </c>
      <c r="F157">
        <v>1.3286994485294119</v>
      </c>
      <c r="G157">
        <v>6.7849809328248759E-3</v>
      </c>
    </row>
    <row r="158" spans="1:7" x14ac:dyDescent="0.25">
      <c r="A158" s="1">
        <v>45874</v>
      </c>
      <c r="B158">
        <v>0.86929999999999996</v>
      </c>
      <c r="C158">
        <v>170.42</v>
      </c>
      <c r="D158">
        <v>1.1546000000000001</v>
      </c>
      <c r="E158">
        <v>1.1546000000000001</v>
      </c>
      <c r="F158">
        <v>1.3281950995053493</v>
      </c>
      <c r="G158">
        <v>6.7750264053514858E-3</v>
      </c>
    </row>
    <row r="159" spans="1:7" x14ac:dyDescent="0.25">
      <c r="A159" s="1">
        <v>45875</v>
      </c>
      <c r="B159">
        <v>0.87170000000000003</v>
      </c>
      <c r="C159">
        <v>171.22</v>
      </c>
      <c r="D159">
        <v>1.1604000000000001</v>
      </c>
      <c r="E159">
        <v>1.1604000000000001</v>
      </c>
      <c r="F159">
        <v>1.3311919238270047</v>
      </c>
      <c r="G159">
        <v>6.7772456488727961E-3</v>
      </c>
    </row>
    <row r="160" spans="1:7" x14ac:dyDescent="0.25">
      <c r="A160" s="1">
        <v>45876</v>
      </c>
      <c r="B160">
        <v>0.86729999999999996</v>
      </c>
      <c r="C160">
        <v>171.6</v>
      </c>
      <c r="D160">
        <v>1.1642999999999999</v>
      </c>
      <c r="E160">
        <v>1.1642999999999999</v>
      </c>
      <c r="F160">
        <v>1.3424420615703907</v>
      </c>
      <c r="G160">
        <v>6.7849650349650348E-3</v>
      </c>
    </row>
    <row r="161" spans="1:7" x14ac:dyDescent="0.25">
      <c r="A161" s="1">
        <v>45877</v>
      </c>
      <c r="B161">
        <v>0.86709999999999998</v>
      </c>
      <c r="C161">
        <v>172.18</v>
      </c>
      <c r="D161">
        <v>1.1648000000000001</v>
      </c>
      <c r="E161">
        <v>1.1648000000000001</v>
      </c>
      <c r="F161">
        <v>1.343328335832084</v>
      </c>
      <c r="G161">
        <v>6.7650133581136024E-3</v>
      </c>
    </row>
    <row r="162" spans="1:7" x14ac:dyDescent="0.25">
      <c r="A162" s="1">
        <v>45880</v>
      </c>
      <c r="B162">
        <v>0.86560000000000004</v>
      </c>
      <c r="C162">
        <v>171.86</v>
      </c>
      <c r="D162">
        <v>1.1621999999999999</v>
      </c>
      <c r="E162">
        <v>1.1621999999999999</v>
      </c>
      <c r="F162">
        <v>1.3426524953789278</v>
      </c>
      <c r="G162">
        <v>6.7624810892586975E-3</v>
      </c>
    </row>
    <row r="163" spans="1:7" x14ac:dyDescent="0.25">
      <c r="A163" s="1">
        <v>45881</v>
      </c>
      <c r="B163">
        <v>0.86209999999999998</v>
      </c>
      <c r="C163">
        <v>172.3</v>
      </c>
      <c r="D163">
        <v>1.1606000000000001</v>
      </c>
      <c r="E163">
        <v>1.1606000000000001</v>
      </c>
      <c r="F163">
        <v>1.3462475350887368</v>
      </c>
      <c r="G163">
        <v>6.7359257109692395E-3</v>
      </c>
    </row>
    <row r="164" spans="1:7" x14ac:dyDescent="0.25">
      <c r="A164" s="1">
        <v>45882</v>
      </c>
      <c r="B164">
        <v>0.86309999999999998</v>
      </c>
      <c r="C164">
        <v>172.47</v>
      </c>
      <c r="D164">
        <v>1.1711</v>
      </c>
      <c r="E164">
        <v>1.1711</v>
      </c>
      <c r="F164">
        <v>1.3568532035685321</v>
      </c>
      <c r="G164">
        <v>6.790166405751725E-3</v>
      </c>
    </row>
    <row r="165" spans="1:7" x14ac:dyDescent="0.25">
      <c r="A165" s="1">
        <v>45883</v>
      </c>
      <c r="B165">
        <v>0.86099999999999999</v>
      </c>
      <c r="C165">
        <v>171.3</v>
      </c>
      <c r="D165">
        <v>1.169</v>
      </c>
      <c r="E165">
        <v>1.169</v>
      </c>
      <c r="F165">
        <v>1.3577235772357725</v>
      </c>
      <c r="G165">
        <v>6.824284880326912E-3</v>
      </c>
    </row>
    <row r="166" spans="1:7" x14ac:dyDescent="0.25">
      <c r="A166" s="1">
        <v>45884</v>
      </c>
      <c r="B166">
        <v>0.86219999999999997</v>
      </c>
      <c r="C166">
        <v>171.81</v>
      </c>
      <c r="D166">
        <v>1.1688000000000001</v>
      </c>
      <c r="E166">
        <v>1.1688000000000001</v>
      </c>
      <c r="F166">
        <v>1.3556019485038275</v>
      </c>
      <c r="G166">
        <v>6.8028636284267509E-3</v>
      </c>
    </row>
    <row r="167" spans="1:7" x14ac:dyDescent="0.25">
      <c r="A167" s="1">
        <v>45887</v>
      </c>
      <c r="B167">
        <v>0.86209999999999998</v>
      </c>
      <c r="C167">
        <v>172.27</v>
      </c>
      <c r="D167">
        <v>1.1673</v>
      </c>
      <c r="E167">
        <v>1.1673</v>
      </c>
      <c r="F167">
        <v>1.3540192553068089</v>
      </c>
      <c r="G167">
        <v>6.7759911766413182E-3</v>
      </c>
    </row>
    <row r="168" spans="1:7" x14ac:dyDescent="0.25">
      <c r="A168" s="1">
        <v>45888</v>
      </c>
      <c r="B168">
        <v>0.86399999999999999</v>
      </c>
      <c r="C168">
        <v>172.67</v>
      </c>
      <c r="D168">
        <v>1.1681999999999999</v>
      </c>
      <c r="E168">
        <v>1.1681999999999999</v>
      </c>
      <c r="F168">
        <v>1.3520833333333333</v>
      </c>
      <c r="G168">
        <v>6.7655064574042969E-3</v>
      </c>
    </row>
    <row r="169" spans="1:7" x14ac:dyDescent="0.25">
      <c r="A169" s="1">
        <v>45889</v>
      </c>
      <c r="B169">
        <v>0.86450000000000005</v>
      </c>
      <c r="C169">
        <v>171.77</v>
      </c>
      <c r="D169">
        <v>1.1651</v>
      </c>
      <c r="E169">
        <v>1.1651</v>
      </c>
      <c r="F169">
        <v>1.3477154424522846</v>
      </c>
      <c r="G169">
        <v>6.7829073761425159E-3</v>
      </c>
    </row>
    <row r="170" spans="1:7" x14ac:dyDescent="0.25">
      <c r="A170" s="1">
        <v>45890</v>
      </c>
      <c r="B170">
        <v>0.86539999999999995</v>
      </c>
      <c r="C170">
        <v>172.09</v>
      </c>
      <c r="D170">
        <v>1.1638999999999999</v>
      </c>
      <c r="E170">
        <v>1.1638999999999999</v>
      </c>
      <c r="F170">
        <v>1.3449272012941993</v>
      </c>
      <c r="G170">
        <v>6.7633215178104474E-3</v>
      </c>
    </row>
    <row r="171" spans="1:7" x14ac:dyDescent="0.25">
      <c r="A171" s="1">
        <v>45891</v>
      </c>
      <c r="B171">
        <v>0.86529999999999996</v>
      </c>
      <c r="C171">
        <v>172.6</v>
      </c>
      <c r="D171">
        <v>1.1608000000000001</v>
      </c>
      <c r="E171">
        <v>1.1608000000000001</v>
      </c>
      <c r="F171">
        <v>1.3415000577834277</v>
      </c>
      <c r="G171">
        <v>6.725376593279259E-3</v>
      </c>
    </row>
    <row r="172" spans="1:7" x14ac:dyDescent="0.25">
      <c r="A172" s="1">
        <v>45894</v>
      </c>
      <c r="B172">
        <v>0.8659</v>
      </c>
      <c r="C172">
        <v>172.36</v>
      </c>
      <c r="D172">
        <v>1.1697</v>
      </c>
      <c r="E172">
        <v>1.1697</v>
      </c>
      <c r="F172">
        <v>1.3508488278092159</v>
      </c>
      <c r="G172">
        <v>6.7863773497331163E-3</v>
      </c>
    </row>
    <row r="173" spans="1:7" x14ac:dyDescent="0.25">
      <c r="A173" s="1">
        <v>45895</v>
      </c>
      <c r="B173">
        <v>0.86419999999999997</v>
      </c>
      <c r="C173">
        <v>171.77</v>
      </c>
      <c r="D173">
        <v>1.1656</v>
      </c>
      <c r="E173">
        <v>1.1656</v>
      </c>
      <c r="F173">
        <v>1.3487618606803982</v>
      </c>
      <c r="G173">
        <v>6.7858182453280546E-3</v>
      </c>
    </row>
    <row r="174" spans="1:7" x14ac:dyDescent="0.25">
      <c r="A174" s="1">
        <v>45896</v>
      </c>
      <c r="B174">
        <v>0.86260000000000003</v>
      </c>
      <c r="C174">
        <v>171.63</v>
      </c>
      <c r="D174">
        <v>1.1593</v>
      </c>
      <c r="E174">
        <v>1.1593</v>
      </c>
      <c r="F174">
        <v>1.3439601205657314</v>
      </c>
      <c r="G174">
        <v>6.7546466235506612E-3</v>
      </c>
    </row>
    <row r="175" spans="1:7" x14ac:dyDescent="0.25">
      <c r="A175" s="1">
        <v>45897</v>
      </c>
      <c r="B175">
        <v>0.86370000000000002</v>
      </c>
      <c r="C175">
        <v>171.48</v>
      </c>
      <c r="D175">
        <v>1.1676</v>
      </c>
      <c r="E175">
        <v>1.1676</v>
      </c>
      <c r="F175">
        <v>1.3518582841264328</v>
      </c>
      <c r="G175">
        <v>6.8089573128061586E-3</v>
      </c>
    </row>
    <row r="176" spans="1:7" x14ac:dyDescent="0.25">
      <c r="A176" s="1">
        <v>45898</v>
      </c>
      <c r="B176">
        <v>0.86680000000000001</v>
      </c>
      <c r="C176">
        <v>171.72</v>
      </c>
      <c r="D176">
        <v>1.1657999999999999</v>
      </c>
      <c r="E176">
        <v>1.1657999999999999</v>
      </c>
      <c r="F176">
        <v>1.3449469312413473</v>
      </c>
      <c r="G176">
        <v>6.7889587700908456E-3</v>
      </c>
    </row>
    <row r="177" spans="1:7" x14ac:dyDescent="0.25">
      <c r="A177" s="1">
        <v>45901</v>
      </c>
      <c r="B177">
        <v>0.86619999999999997</v>
      </c>
      <c r="C177">
        <v>172.47</v>
      </c>
      <c r="D177">
        <v>1.1715</v>
      </c>
      <c r="E177">
        <v>1.1715</v>
      </c>
      <c r="F177">
        <v>1.3524590163934427</v>
      </c>
      <c r="G177">
        <v>6.7924856496782045E-3</v>
      </c>
    </row>
    <row r="178" spans="1:7" x14ac:dyDescent="0.25">
      <c r="A178" s="1">
        <v>45902</v>
      </c>
      <c r="B178">
        <v>0.87019999999999997</v>
      </c>
      <c r="C178">
        <v>173.1</v>
      </c>
      <c r="D178">
        <v>1.1646000000000001</v>
      </c>
      <c r="E178">
        <v>1.1646000000000001</v>
      </c>
      <c r="F178">
        <v>1.3383130314870146</v>
      </c>
      <c r="G178">
        <v>6.727902946273831E-3</v>
      </c>
    </row>
    <row r="179" spans="1:7" x14ac:dyDescent="0.25">
      <c r="A179" s="1">
        <v>45903</v>
      </c>
      <c r="B179">
        <v>0.86870000000000003</v>
      </c>
      <c r="C179">
        <v>173.17</v>
      </c>
      <c r="D179">
        <v>1.1653</v>
      </c>
      <c r="E179">
        <v>1.1653</v>
      </c>
      <c r="F179">
        <v>1.3414297225739611</v>
      </c>
      <c r="G179">
        <v>6.7292256164462674E-3</v>
      </c>
    </row>
    <row r="180" spans="1:7" x14ac:dyDescent="0.25">
      <c r="A180" s="1">
        <v>45904</v>
      </c>
      <c r="B180">
        <v>0.86629999999999996</v>
      </c>
      <c r="C180">
        <v>172.76</v>
      </c>
      <c r="D180">
        <v>1.1647000000000001</v>
      </c>
      <c r="E180">
        <v>1.1647000000000001</v>
      </c>
      <c r="F180">
        <v>1.3444534226018701</v>
      </c>
      <c r="G180">
        <v>6.7417226209770791E-3</v>
      </c>
    </row>
    <row r="181" spans="1:7" x14ac:dyDescent="0.25">
      <c r="A181" s="1">
        <v>45905</v>
      </c>
      <c r="B181">
        <v>0.86780000000000002</v>
      </c>
      <c r="C181">
        <v>173.09</v>
      </c>
      <c r="D181">
        <v>1.1697</v>
      </c>
      <c r="E181">
        <v>1.1697</v>
      </c>
      <c r="F181">
        <v>1.347891219174925</v>
      </c>
      <c r="G181">
        <v>6.7577560806516834E-3</v>
      </c>
    </row>
    <row r="182" spans="1:7" x14ac:dyDescent="0.25">
      <c r="A182" s="1">
        <v>45908</v>
      </c>
      <c r="B182">
        <v>0.8669</v>
      </c>
      <c r="C182">
        <v>173.39</v>
      </c>
      <c r="D182">
        <v>1.1728000000000001</v>
      </c>
      <c r="E182">
        <v>1.1728000000000001</v>
      </c>
      <c r="F182">
        <v>1.3528665359326335</v>
      </c>
      <c r="G182">
        <v>6.7639425572409029E-3</v>
      </c>
    </row>
    <row r="183" spans="1:7" x14ac:dyDescent="0.25">
      <c r="A183" s="1">
        <v>45909</v>
      </c>
      <c r="B183">
        <v>0.86629999999999996</v>
      </c>
      <c r="C183">
        <v>172.36</v>
      </c>
      <c r="D183">
        <v>1.1744000000000001</v>
      </c>
      <c r="E183">
        <v>1.1744000000000001</v>
      </c>
      <c r="F183">
        <v>1.3556504675054832</v>
      </c>
      <c r="G183">
        <v>6.8136458575075425E-3</v>
      </c>
    </row>
    <row r="184" spans="1:7" x14ac:dyDescent="0.25">
      <c r="A184" s="1">
        <v>45910</v>
      </c>
      <c r="B184">
        <v>0.86499999999999999</v>
      </c>
      <c r="C184">
        <v>172.67</v>
      </c>
      <c r="D184">
        <v>1.1707000000000001</v>
      </c>
      <c r="E184">
        <v>1.1707000000000001</v>
      </c>
      <c r="F184">
        <v>1.3534104046242776</v>
      </c>
      <c r="G184">
        <v>6.7799849423756308E-3</v>
      </c>
    </row>
    <row r="185" spans="1:7" x14ac:dyDescent="0.25">
      <c r="A185" s="1">
        <v>45911</v>
      </c>
      <c r="B185">
        <v>0.86470000000000002</v>
      </c>
      <c r="C185">
        <v>172.88</v>
      </c>
      <c r="D185">
        <v>1.1685000000000001</v>
      </c>
      <c r="E185">
        <v>1.1685000000000001</v>
      </c>
      <c r="F185">
        <v>1.3513357233722678</v>
      </c>
      <c r="G185">
        <v>6.7590236001850998E-3</v>
      </c>
    </row>
    <row r="186" spans="1:7" x14ac:dyDescent="0.25">
      <c r="A186" s="1">
        <v>45912</v>
      </c>
      <c r="B186">
        <v>0.86529999999999996</v>
      </c>
      <c r="C186">
        <v>173.33</v>
      </c>
      <c r="D186">
        <v>1.1718</v>
      </c>
      <c r="E186">
        <v>1.1718</v>
      </c>
      <c r="F186">
        <v>1.3542124118802727</v>
      </c>
      <c r="G186">
        <v>6.7605146252812543E-3</v>
      </c>
    </row>
    <row r="187" spans="1:7" x14ac:dyDescent="0.25">
      <c r="A187" s="1">
        <v>45915</v>
      </c>
      <c r="B187">
        <v>0.86409999999999998</v>
      </c>
      <c r="C187">
        <v>173.38</v>
      </c>
      <c r="D187">
        <v>1.1766000000000001</v>
      </c>
      <c r="E187">
        <v>1.1766000000000001</v>
      </c>
      <c r="F187">
        <v>1.3616479574123366</v>
      </c>
      <c r="G187">
        <v>6.7862498558080523E-3</v>
      </c>
    </row>
    <row r="188" spans="1:7" x14ac:dyDescent="0.25">
      <c r="A188" s="1">
        <v>45916</v>
      </c>
      <c r="B188">
        <v>0.86560000000000004</v>
      </c>
      <c r="C188">
        <v>173.55</v>
      </c>
      <c r="D188">
        <v>1.1807000000000001</v>
      </c>
      <c r="E188">
        <v>1.1807000000000001</v>
      </c>
      <c r="F188">
        <v>1.3640249537892792</v>
      </c>
      <c r="G188">
        <v>6.8032267358110058E-3</v>
      </c>
    </row>
    <row r="189" spans="1:7" x14ac:dyDescent="0.25">
      <c r="A189" s="1">
        <v>45917</v>
      </c>
      <c r="B189">
        <v>0.86750000000000005</v>
      </c>
      <c r="C189">
        <v>173.28</v>
      </c>
      <c r="D189">
        <v>1.1837</v>
      </c>
      <c r="E189">
        <v>1.1837</v>
      </c>
      <c r="F189">
        <v>1.3644956772334293</v>
      </c>
      <c r="G189">
        <v>6.8311403508771931E-3</v>
      </c>
    </row>
    <row r="190" spans="1:7" x14ac:dyDescent="0.25">
      <c r="A190" s="1">
        <v>45918</v>
      </c>
      <c r="B190">
        <v>0.86799999999999999</v>
      </c>
      <c r="C190">
        <v>174.24</v>
      </c>
      <c r="D190">
        <v>1.1818</v>
      </c>
      <c r="E190">
        <v>1.1818</v>
      </c>
      <c r="F190">
        <v>1.3615207373271889</v>
      </c>
      <c r="G190">
        <v>6.7825987144168954E-3</v>
      </c>
    </row>
    <row r="191" spans="1:7" x14ac:dyDescent="0.25">
      <c r="A191" s="1">
        <v>45919</v>
      </c>
      <c r="B191">
        <v>0.87080000000000002</v>
      </c>
      <c r="C191">
        <v>173.79</v>
      </c>
      <c r="D191">
        <v>1.1736</v>
      </c>
      <c r="E191">
        <v>1.1736</v>
      </c>
      <c r="F191">
        <v>1.3477262287551677</v>
      </c>
      <c r="G191">
        <v>6.7529777317452098E-3</v>
      </c>
    </row>
    <row r="192" spans="1:7" x14ac:dyDescent="0.25">
      <c r="A192" s="1">
        <v>45922</v>
      </c>
      <c r="B192">
        <v>0.87290000000000001</v>
      </c>
      <c r="C192">
        <v>174.17</v>
      </c>
      <c r="D192">
        <v>1.1780999999999999</v>
      </c>
      <c r="E192">
        <v>1.1780999999999999</v>
      </c>
      <c r="F192">
        <v>1.3496391339214113</v>
      </c>
      <c r="G192">
        <v>6.7640810702187517E-3</v>
      </c>
    </row>
    <row r="193" spans="1:7" x14ac:dyDescent="0.25">
      <c r="A193" s="1">
        <v>45923</v>
      </c>
      <c r="B193">
        <v>0.87290000000000001</v>
      </c>
      <c r="C193">
        <v>174.3</v>
      </c>
      <c r="D193">
        <v>1.1793</v>
      </c>
      <c r="E193">
        <v>1.1793</v>
      </c>
      <c r="F193">
        <v>1.3510138618398442</v>
      </c>
      <c r="G193">
        <v>6.7659208261617899E-3</v>
      </c>
    </row>
    <row r="194" spans="1:7" x14ac:dyDescent="0.25">
      <c r="A194" s="1">
        <v>45924</v>
      </c>
      <c r="B194">
        <v>0.87309999999999999</v>
      </c>
      <c r="C194">
        <v>174.51</v>
      </c>
      <c r="D194">
        <v>1.1756</v>
      </c>
      <c r="E194">
        <v>1.1756</v>
      </c>
      <c r="F194">
        <v>1.3464666132172718</v>
      </c>
      <c r="G194">
        <v>6.7365767004756178E-3</v>
      </c>
    </row>
    <row r="195" spans="1:7" x14ac:dyDescent="0.25">
      <c r="A195" s="1">
        <v>45925</v>
      </c>
      <c r="B195">
        <v>0.87480000000000002</v>
      </c>
      <c r="C195">
        <v>174.7</v>
      </c>
      <c r="D195">
        <v>1.1738999999999999</v>
      </c>
      <c r="E195">
        <v>1.1738999999999999</v>
      </c>
      <c r="F195">
        <v>1.3419067215363512</v>
      </c>
      <c r="G195">
        <v>6.7195191757298224E-3</v>
      </c>
    </row>
    <row r="196" spans="1:7" x14ac:dyDescent="0.25">
      <c r="A196" s="1">
        <v>45926</v>
      </c>
      <c r="B196">
        <v>0.874</v>
      </c>
      <c r="C196">
        <v>174.79</v>
      </c>
      <c r="D196">
        <v>1.1672</v>
      </c>
      <c r="E196">
        <v>1.1672</v>
      </c>
      <c r="F196">
        <v>1.3354691075514875</v>
      </c>
      <c r="G196">
        <v>6.6777275587848279E-3</v>
      </c>
    </row>
    <row r="197" spans="1:7" x14ac:dyDescent="0.25">
      <c r="A197" s="1">
        <v>45929</v>
      </c>
      <c r="B197">
        <v>0.87229999999999996</v>
      </c>
      <c r="C197">
        <v>174.38</v>
      </c>
      <c r="D197">
        <v>1.1722999999999999</v>
      </c>
      <c r="E197">
        <v>1.1722999999999999</v>
      </c>
      <c r="F197">
        <v>1.3439183767052618</v>
      </c>
      <c r="G197">
        <v>6.7226746186489269E-3</v>
      </c>
    </row>
    <row r="198" spans="1:7" x14ac:dyDescent="0.25">
      <c r="A198" s="1">
        <v>45930</v>
      </c>
      <c r="B198">
        <v>0.87339999999999995</v>
      </c>
      <c r="C198">
        <v>173.76</v>
      </c>
      <c r="D198">
        <v>1.1740999999999999</v>
      </c>
      <c r="E198">
        <v>1.1740999999999999</v>
      </c>
      <c r="F198">
        <v>1.344286695672086</v>
      </c>
      <c r="G198">
        <v>6.7570211786372007E-3</v>
      </c>
    </row>
    <row r="199" spans="1:7" x14ac:dyDescent="0.25">
      <c r="A199" s="1">
        <v>45931</v>
      </c>
      <c r="B199">
        <v>0.87039999999999995</v>
      </c>
      <c r="C199">
        <v>172.47</v>
      </c>
      <c r="D199">
        <v>1.1724000000000001</v>
      </c>
      <c r="E199">
        <v>1.1724000000000001</v>
      </c>
      <c r="F199">
        <v>1.3469669117647061</v>
      </c>
      <c r="G199">
        <v>6.7977039485127852E-3</v>
      </c>
    </row>
    <row r="200" spans="1:7" x14ac:dyDescent="0.25">
      <c r="A200" s="1">
        <v>45932</v>
      </c>
      <c r="B200">
        <v>0.87209999999999999</v>
      </c>
      <c r="C200">
        <v>172.53</v>
      </c>
      <c r="D200">
        <v>1.1754</v>
      </c>
      <c r="E200">
        <v>1.1754</v>
      </c>
      <c r="F200">
        <v>1.3477812177502579</v>
      </c>
      <c r="G200">
        <v>6.8127282211789255E-3</v>
      </c>
    </row>
    <row r="201" spans="1:7" x14ac:dyDescent="0.25">
      <c r="A201" s="1">
        <v>45933</v>
      </c>
      <c r="B201">
        <v>0.87260000000000004</v>
      </c>
      <c r="C201">
        <v>172.9</v>
      </c>
      <c r="D201">
        <v>1.1734</v>
      </c>
      <c r="E201">
        <v>1.1734</v>
      </c>
      <c r="F201">
        <v>1.3447169378867752</v>
      </c>
      <c r="G201">
        <v>6.7865818392134182E-3</v>
      </c>
    </row>
    <row r="202" spans="1:7" x14ac:dyDescent="0.25">
      <c r="A202" s="1">
        <v>45936</v>
      </c>
      <c r="B202">
        <v>0.86950000000000005</v>
      </c>
      <c r="C202">
        <v>175.22</v>
      </c>
      <c r="D202">
        <v>1.1677999999999999</v>
      </c>
      <c r="E202">
        <v>1.1677999999999999</v>
      </c>
      <c r="F202">
        <v>1.3430707303047726</v>
      </c>
      <c r="G202">
        <v>6.6647642963132058E-3</v>
      </c>
    </row>
    <row r="203" spans="1:7" x14ac:dyDescent="0.25">
      <c r="A203" s="1">
        <v>45937</v>
      </c>
      <c r="B203">
        <v>0.87029999999999996</v>
      </c>
      <c r="C203">
        <v>176.05</v>
      </c>
      <c r="D203">
        <v>1.1666000000000001</v>
      </c>
      <c r="E203">
        <v>1.1666000000000001</v>
      </c>
      <c r="F203">
        <v>1.3404573135700335</v>
      </c>
      <c r="G203">
        <v>6.6265265549559785E-3</v>
      </c>
    </row>
    <row r="204" spans="1:7" x14ac:dyDescent="0.25">
      <c r="A204" s="1">
        <v>45938</v>
      </c>
      <c r="B204">
        <v>0.86709999999999998</v>
      </c>
      <c r="C204">
        <v>177.53</v>
      </c>
      <c r="D204">
        <v>1.1627000000000001</v>
      </c>
      <c r="E204">
        <v>1.1627000000000001</v>
      </c>
      <c r="F204">
        <v>1.3409064698420021</v>
      </c>
      <c r="G204">
        <v>6.5493156086295279E-3</v>
      </c>
    </row>
    <row r="205" spans="1:7" x14ac:dyDescent="0.25">
      <c r="A205" s="1">
        <v>45939</v>
      </c>
      <c r="B205">
        <v>0.86829999999999996</v>
      </c>
      <c r="C205">
        <v>177.4</v>
      </c>
      <c r="D205">
        <v>1.1611</v>
      </c>
      <c r="E205">
        <v>1.1611</v>
      </c>
      <c r="F205">
        <v>1.3372106414833584</v>
      </c>
      <c r="G205">
        <v>6.5450958286358508E-3</v>
      </c>
    </row>
    <row r="206" spans="1:7" x14ac:dyDescent="0.25">
      <c r="A206" s="1">
        <v>45940</v>
      </c>
      <c r="B206">
        <v>0.87090000000000001</v>
      </c>
      <c r="C206">
        <v>176.46</v>
      </c>
      <c r="D206">
        <v>1.1568000000000001</v>
      </c>
      <c r="E206">
        <v>1.1568000000000001</v>
      </c>
      <c r="F206">
        <v>1.3282810885291079</v>
      </c>
      <c r="G206">
        <v>6.5555933356001364E-3</v>
      </c>
    </row>
    <row r="207" spans="1:7" x14ac:dyDescent="0.25">
      <c r="A207" s="1">
        <v>45943</v>
      </c>
      <c r="B207">
        <v>0.86770000000000003</v>
      </c>
      <c r="C207">
        <v>175.98</v>
      </c>
      <c r="D207">
        <v>1.1569</v>
      </c>
      <c r="E207">
        <v>1.1569</v>
      </c>
      <c r="F207">
        <v>1.3332949175982483</v>
      </c>
      <c r="G207">
        <v>6.5740425048300948E-3</v>
      </c>
    </row>
    <row r="208" spans="1:7" x14ac:dyDescent="0.25">
      <c r="A208" s="1">
        <v>45944</v>
      </c>
      <c r="B208">
        <v>0.87119999999999997</v>
      </c>
      <c r="C208">
        <v>175.72</v>
      </c>
      <c r="D208">
        <v>1.1553</v>
      </c>
      <c r="E208">
        <v>1.1553</v>
      </c>
      <c r="F208">
        <v>1.3261019283746556</v>
      </c>
      <c r="G208">
        <v>6.5746642385613478E-3</v>
      </c>
    </row>
    <row r="209" spans="1:7" x14ac:dyDescent="0.25">
      <c r="A209" s="1">
        <v>45945</v>
      </c>
      <c r="B209">
        <v>0.87050000000000005</v>
      </c>
      <c r="C209">
        <v>176.13</v>
      </c>
      <c r="D209">
        <v>1.1621999999999999</v>
      </c>
      <c r="E209">
        <v>1.1621999999999999</v>
      </c>
      <c r="F209">
        <v>1.3350947731188969</v>
      </c>
      <c r="G209">
        <v>6.5985351728836648E-3</v>
      </c>
    </row>
    <row r="210" spans="1:7" x14ac:dyDescent="0.25">
      <c r="A210" s="1">
        <v>45946</v>
      </c>
      <c r="B210">
        <v>0.86760000000000004</v>
      </c>
      <c r="C210">
        <v>176.23</v>
      </c>
      <c r="D210">
        <v>1.1649</v>
      </c>
      <c r="E210">
        <v>1.1649</v>
      </c>
      <c r="F210">
        <v>1.3426694329183955</v>
      </c>
      <c r="G210">
        <v>6.6101117857345522E-3</v>
      </c>
    </row>
    <row r="211" spans="1:7" x14ac:dyDescent="0.25">
      <c r="A211" s="1">
        <v>45947</v>
      </c>
      <c r="B211">
        <v>0.86950000000000005</v>
      </c>
      <c r="C211">
        <v>175.7</v>
      </c>
      <c r="D211">
        <v>1.1680999999999999</v>
      </c>
      <c r="E211">
        <v>1.1680999999999999</v>
      </c>
      <c r="F211">
        <v>1.3434157561817135</v>
      </c>
      <c r="G211">
        <v>6.6482640865110987E-3</v>
      </c>
    </row>
    <row r="212" spans="1:7" x14ac:dyDescent="0.25">
      <c r="A212" s="1">
        <v>45950</v>
      </c>
      <c r="B212">
        <v>0.86909999999999998</v>
      </c>
      <c r="C212">
        <v>175.71</v>
      </c>
      <c r="D212">
        <v>1.1655</v>
      </c>
      <c r="E212">
        <v>1.1655</v>
      </c>
      <c r="F212">
        <v>1.3410424577148774</v>
      </c>
      <c r="G212">
        <v>6.6330886119173637E-3</v>
      </c>
    </row>
    <row r="213" spans="1:7" x14ac:dyDescent="0.25">
      <c r="A213" s="1">
        <v>45951</v>
      </c>
      <c r="B213">
        <v>0.86780000000000002</v>
      </c>
      <c r="C213">
        <v>176.45</v>
      </c>
      <c r="D213">
        <v>1.1607000000000001</v>
      </c>
      <c r="E213">
        <v>1.1607000000000001</v>
      </c>
      <c r="F213">
        <v>1.3375201659368519</v>
      </c>
      <c r="G213">
        <v>6.5780674412014746E-3</v>
      </c>
    </row>
    <row r="214" spans="1:7" x14ac:dyDescent="0.25">
      <c r="A214" s="1">
        <v>45952</v>
      </c>
      <c r="B214">
        <v>0.86890000000000001</v>
      </c>
      <c r="C214">
        <v>175.92</v>
      </c>
      <c r="D214">
        <v>1.1587000000000001</v>
      </c>
      <c r="E214">
        <v>1.1587000000000001</v>
      </c>
      <c r="F214">
        <v>1.333525146737254</v>
      </c>
      <c r="G214">
        <v>6.5865165984538435E-3</v>
      </c>
    </row>
    <row r="215" spans="1:7" x14ac:dyDescent="0.25">
      <c r="A215" s="1">
        <v>45953</v>
      </c>
      <c r="B215">
        <v>0.86909999999999998</v>
      </c>
      <c r="C215">
        <v>176.94</v>
      </c>
      <c r="D215">
        <v>1.1593</v>
      </c>
      <c r="E215">
        <v>1.1593</v>
      </c>
      <c r="F215">
        <v>1.3339086411230008</v>
      </c>
      <c r="G215">
        <v>6.5519385102294561E-3</v>
      </c>
    </row>
    <row r="216" spans="1:7" x14ac:dyDescent="0.25">
      <c r="A216" s="1">
        <v>45954</v>
      </c>
      <c r="B216">
        <v>0.87260000000000004</v>
      </c>
      <c r="C216">
        <v>177.55</v>
      </c>
      <c r="D216">
        <v>1.1612</v>
      </c>
      <c r="E216">
        <v>1.1612</v>
      </c>
      <c r="F216">
        <v>1.3307357322942928</v>
      </c>
      <c r="G216">
        <v>6.5401295409743734E-3</v>
      </c>
    </row>
    <row r="217" spans="1:7" x14ac:dyDescent="0.25">
      <c r="A217" s="1">
        <v>45957</v>
      </c>
      <c r="B217">
        <v>0.87209999999999999</v>
      </c>
      <c r="C217">
        <v>177.93</v>
      </c>
      <c r="D217">
        <v>1.1639999999999999</v>
      </c>
      <c r="E217">
        <v>1.1639999999999999</v>
      </c>
      <c r="F217">
        <v>1.3347093223254214</v>
      </c>
      <c r="G217">
        <v>6.5418984994098798E-3</v>
      </c>
    </row>
    <row r="218" spans="1:7" x14ac:dyDescent="0.25">
      <c r="A218" s="1">
        <v>45958</v>
      </c>
      <c r="B218">
        <v>0.876</v>
      </c>
      <c r="C218">
        <v>177.11</v>
      </c>
      <c r="D218">
        <v>1.163</v>
      </c>
      <c r="E218">
        <v>1.163</v>
      </c>
      <c r="F218">
        <v>1.3276255707762556</v>
      </c>
      <c r="G218">
        <v>6.5665405680085821E-3</v>
      </c>
    </row>
    <row r="219" spans="1:7" x14ac:dyDescent="0.25">
      <c r="A219" s="1">
        <v>45959</v>
      </c>
      <c r="B219">
        <v>0.88070000000000004</v>
      </c>
      <c r="C219">
        <v>177.07</v>
      </c>
      <c r="D219">
        <v>1.1636</v>
      </c>
      <c r="E219">
        <v>1.1636</v>
      </c>
      <c r="F219">
        <v>1.3212217554218235</v>
      </c>
      <c r="G219">
        <v>6.5714124357598687E-3</v>
      </c>
    </row>
    <row r="220" spans="1:7" x14ac:dyDescent="0.25">
      <c r="A220" s="1">
        <v>45960</v>
      </c>
      <c r="B220">
        <v>0.88009999999999999</v>
      </c>
      <c r="C220">
        <v>178.37</v>
      </c>
      <c r="D220">
        <v>1.155</v>
      </c>
      <c r="E220">
        <v>1.155</v>
      </c>
      <c r="F220">
        <v>1.312350869219407</v>
      </c>
      <c r="G220">
        <v>6.4753041430733868E-3</v>
      </c>
    </row>
    <row r="221" spans="1:7" x14ac:dyDescent="0.25">
      <c r="A221" s="1">
        <v>45961</v>
      </c>
      <c r="B221">
        <v>0.88160000000000005</v>
      </c>
      <c r="C221">
        <v>178.14</v>
      </c>
      <c r="D221">
        <v>1.1554</v>
      </c>
      <c r="E221">
        <v>1.1554</v>
      </c>
      <c r="F221">
        <v>1.3105716878402902</v>
      </c>
      <c r="G221">
        <v>6.4859099584596387E-3</v>
      </c>
    </row>
    <row r="222" spans="1:7" x14ac:dyDescent="0.25">
      <c r="A222" s="1">
        <v>45964</v>
      </c>
      <c r="B222">
        <v>0.87649999999999995</v>
      </c>
      <c r="C222">
        <v>177.57</v>
      </c>
      <c r="D222">
        <v>1.1514</v>
      </c>
      <c r="E222">
        <v>1.1514</v>
      </c>
      <c r="F222">
        <v>1.3136337706788364</v>
      </c>
      <c r="G222">
        <v>6.4842034127386384E-3</v>
      </c>
    </row>
    <row r="223" spans="1:7" x14ac:dyDescent="0.25">
      <c r="A223" s="1">
        <v>45965</v>
      </c>
      <c r="B223">
        <v>0.87949999999999995</v>
      </c>
      <c r="C223">
        <v>176.39</v>
      </c>
      <c r="D223">
        <v>1.1491</v>
      </c>
      <c r="E223">
        <v>1.1491</v>
      </c>
      <c r="F223">
        <v>1.3065378055713475</v>
      </c>
      <c r="G223">
        <v>6.5145416406825786E-3</v>
      </c>
    </row>
    <row r="224" spans="1:7" x14ac:dyDescent="0.25">
      <c r="A224" s="1">
        <v>45966</v>
      </c>
      <c r="B224">
        <v>0.88100000000000001</v>
      </c>
      <c r="C224">
        <v>176.67</v>
      </c>
      <c r="D224">
        <v>1.1492</v>
      </c>
      <c r="E224">
        <v>1.1492</v>
      </c>
      <c r="F224">
        <v>1.3044267877412032</v>
      </c>
      <c r="G224">
        <v>6.5047829286239891E-3</v>
      </c>
    </row>
    <row r="225" spans="1:7" x14ac:dyDescent="0.25">
      <c r="A225" s="1">
        <v>45967</v>
      </c>
      <c r="B225">
        <v>0.88070000000000004</v>
      </c>
      <c r="C225">
        <v>177.15</v>
      </c>
      <c r="D225">
        <v>1.1533</v>
      </c>
      <c r="E225">
        <v>1.1533</v>
      </c>
      <c r="F225">
        <v>1.3095265130010219</v>
      </c>
      <c r="G225">
        <v>6.5103020039514537E-3</v>
      </c>
    </row>
    <row r="226" spans="1:7" x14ac:dyDescent="0.25">
      <c r="A226" s="1">
        <v>45968</v>
      </c>
      <c r="B226">
        <v>0.88109999999999999</v>
      </c>
      <c r="C226">
        <v>176.99</v>
      </c>
      <c r="D226">
        <v>1.1560999999999999</v>
      </c>
      <c r="E226">
        <v>1.1560999999999999</v>
      </c>
      <c r="F226">
        <v>1.3121098626716603</v>
      </c>
      <c r="G226">
        <v>6.5320074580484761E-3</v>
      </c>
    </row>
    <row r="227" spans="1:7" x14ac:dyDescent="0.25">
      <c r="A227" s="1">
        <v>45971</v>
      </c>
      <c r="B227">
        <v>0.87780000000000002</v>
      </c>
      <c r="C227">
        <v>178.31</v>
      </c>
      <c r="D227">
        <v>1.1571</v>
      </c>
      <c r="E227">
        <v>1.1571</v>
      </c>
      <c r="F227">
        <v>1.3181818181818181</v>
      </c>
      <c r="G227">
        <v>6.489260277045595E-3</v>
      </c>
    </row>
    <row r="228" spans="1:7" x14ac:dyDescent="0.25">
      <c r="A228" s="1">
        <v>45972</v>
      </c>
      <c r="B228">
        <v>0.88039999999999996</v>
      </c>
      <c r="C228">
        <v>178.46</v>
      </c>
      <c r="D228">
        <v>1.1575</v>
      </c>
      <c r="E228">
        <v>1.1575</v>
      </c>
      <c r="F228">
        <v>1.3147432985006815</v>
      </c>
      <c r="G228">
        <v>6.4860472935111503E-3</v>
      </c>
    </row>
    <row r="229" spans="1:7" x14ac:dyDescent="0.25">
      <c r="A229" s="1">
        <v>45973</v>
      </c>
      <c r="B229">
        <v>0.88229999999999997</v>
      </c>
      <c r="C229">
        <v>179.19</v>
      </c>
      <c r="D229">
        <v>1.1576</v>
      </c>
      <c r="E229">
        <v>1.1576</v>
      </c>
      <c r="F229">
        <v>1.312025388189958</v>
      </c>
      <c r="G229">
        <v>6.4601819297951894E-3</v>
      </c>
    </row>
    <row r="230" spans="1:7" x14ac:dyDescent="0.25">
      <c r="A230" s="1">
        <v>45974</v>
      </c>
      <c r="B230">
        <v>0.88190000000000002</v>
      </c>
      <c r="C230">
        <v>179.57</v>
      </c>
      <c r="D230">
        <v>1.1618999999999999</v>
      </c>
      <c r="E230">
        <v>1.1618999999999999</v>
      </c>
      <c r="F230">
        <v>1.3174963147749177</v>
      </c>
      <c r="G230">
        <v>6.4704572033190402E-3</v>
      </c>
    </row>
    <row r="231" spans="1:7" x14ac:dyDescent="0.25">
      <c r="A231" s="1">
        <v>45975</v>
      </c>
      <c r="B231">
        <v>0.88460000000000005</v>
      </c>
      <c r="C231">
        <v>179.22</v>
      </c>
      <c r="D231">
        <v>1.1648000000000001</v>
      </c>
      <c r="E231">
        <v>1.1648000000000001</v>
      </c>
      <c r="F231">
        <v>1.316753334840606</v>
      </c>
      <c r="G231">
        <v>6.499274634527397E-3</v>
      </c>
    </row>
    <row r="232" spans="1:7" x14ac:dyDescent="0.25">
      <c r="A232" s="1">
        <v>45978</v>
      </c>
      <c r="B232">
        <v>0.87949999999999995</v>
      </c>
      <c r="C232">
        <v>179.57</v>
      </c>
      <c r="D232">
        <v>1.1593</v>
      </c>
      <c r="E232">
        <v>1.1593</v>
      </c>
      <c r="F232">
        <v>1.3181353041500854</v>
      </c>
      <c r="G232">
        <v>6.4559781700729525E-3</v>
      </c>
    </row>
    <row r="233" spans="1:7" x14ac:dyDescent="0.25">
      <c r="A233" s="1">
        <v>45979</v>
      </c>
      <c r="B233">
        <v>0.8821</v>
      </c>
      <c r="C233">
        <v>179.94</v>
      </c>
      <c r="D233">
        <v>1.159</v>
      </c>
      <c r="E233">
        <v>1.159</v>
      </c>
      <c r="F233">
        <v>1.3139099875297586</v>
      </c>
      <c r="G233">
        <v>6.4410359008558408E-3</v>
      </c>
    </row>
    <row r="234" spans="1:7" x14ac:dyDescent="0.25">
      <c r="A234" s="1">
        <v>45980</v>
      </c>
      <c r="B234">
        <v>0.88270000000000004</v>
      </c>
      <c r="C234">
        <v>180.85</v>
      </c>
      <c r="D234">
        <v>1.1583000000000001</v>
      </c>
      <c r="E234">
        <v>1.1583000000000001</v>
      </c>
      <c r="F234">
        <v>1.3122238586156112</v>
      </c>
      <c r="G234">
        <v>6.4047553220901304E-3</v>
      </c>
    </row>
    <row r="235" spans="1:7" x14ac:dyDescent="0.25">
      <c r="A235" s="1">
        <v>45981</v>
      </c>
      <c r="B235">
        <v>0.88149999999999995</v>
      </c>
      <c r="C235">
        <v>181.47</v>
      </c>
      <c r="D235">
        <v>1.1514</v>
      </c>
      <c r="E235">
        <v>1.1514</v>
      </c>
      <c r="F235">
        <v>1.3061826432217811</v>
      </c>
      <c r="G235">
        <v>6.3448503884939661E-3</v>
      </c>
    </row>
    <row r="236" spans="1:7" x14ac:dyDescent="0.25">
      <c r="A236" s="1">
        <v>45982</v>
      </c>
      <c r="B236">
        <v>0.88029999999999997</v>
      </c>
      <c r="C236">
        <v>180.56</v>
      </c>
      <c r="D236">
        <v>1.1519999999999999</v>
      </c>
      <c r="E236">
        <v>1.1519999999999999</v>
      </c>
      <c r="F236">
        <v>1.3086447801885721</v>
      </c>
      <c r="G236">
        <v>6.3801506424457236E-3</v>
      </c>
    </row>
    <row r="237" spans="1:7" x14ac:dyDescent="0.25">
      <c r="A237" s="1">
        <v>45985</v>
      </c>
      <c r="B237">
        <v>0.88039999999999996</v>
      </c>
      <c r="C237">
        <v>181.22</v>
      </c>
      <c r="D237">
        <v>1.1544000000000001</v>
      </c>
      <c r="E237">
        <v>1.1544000000000001</v>
      </c>
      <c r="F237">
        <v>1.3112221717401182</v>
      </c>
      <c r="G237">
        <v>6.3701578192252514E-3</v>
      </c>
    </row>
    <row r="238" spans="1:7" x14ac:dyDescent="0.25">
      <c r="A238" s="1">
        <v>45986</v>
      </c>
      <c r="B238">
        <v>0.87880000000000003</v>
      </c>
      <c r="C238">
        <v>180.42</v>
      </c>
      <c r="D238">
        <v>1.1551</v>
      </c>
      <c r="E238">
        <v>1.1551</v>
      </c>
      <c r="F238">
        <v>1.3144060081929905</v>
      </c>
      <c r="G238">
        <v>6.4022835605808672E-3</v>
      </c>
    </row>
    <row r="239" spans="1:7" x14ac:dyDescent="0.25">
      <c r="A239" s="1">
        <v>45987</v>
      </c>
      <c r="B239">
        <v>0.87760000000000005</v>
      </c>
      <c r="C239">
        <v>181.09</v>
      </c>
      <c r="D239">
        <v>1.1577</v>
      </c>
      <c r="E239">
        <v>1.1577</v>
      </c>
      <c r="F239">
        <v>1.319165907019143</v>
      </c>
      <c r="G239">
        <v>6.3929537798884531E-3</v>
      </c>
    </row>
    <row r="240" spans="1:7" x14ac:dyDescent="0.25">
      <c r="A240" s="1">
        <v>45988</v>
      </c>
      <c r="B240">
        <v>0.87539999999999996</v>
      </c>
      <c r="C240">
        <v>181.11</v>
      </c>
      <c r="D240">
        <v>1.1586000000000001</v>
      </c>
      <c r="E240">
        <v>1.1586000000000001</v>
      </c>
      <c r="F240">
        <v>1.3235092529129542</v>
      </c>
      <c r="G240">
        <v>6.3972171608414775E-3</v>
      </c>
    </row>
    <row r="241" spans="1:7" x14ac:dyDescent="0.25">
      <c r="A241" s="1">
        <v>45989</v>
      </c>
      <c r="B241">
        <v>0.87519999999999998</v>
      </c>
      <c r="C241">
        <v>180.57</v>
      </c>
      <c r="D241">
        <v>1.1566000000000001</v>
      </c>
      <c r="E241">
        <v>1.1566000000000001</v>
      </c>
      <c r="F241">
        <v>1.3215265082266912</v>
      </c>
      <c r="G241">
        <v>6.405272193609127E-3</v>
      </c>
    </row>
    <row r="242" spans="1:7" x14ac:dyDescent="0.25">
      <c r="A242" s="1">
        <v>45992</v>
      </c>
      <c r="B242">
        <v>0.87780000000000002</v>
      </c>
      <c r="C242">
        <v>180.28</v>
      </c>
      <c r="D242">
        <v>1.1646000000000001</v>
      </c>
      <c r="E242">
        <v>1.1646000000000001</v>
      </c>
      <c r="F242">
        <v>1.3267259056732741</v>
      </c>
      <c r="G242">
        <v>6.4599511870423792E-3</v>
      </c>
    </row>
    <row r="243" spans="1:7" x14ac:dyDescent="0.25">
      <c r="A243" s="1">
        <v>45993</v>
      </c>
      <c r="B243">
        <v>0.87960000000000005</v>
      </c>
      <c r="C243">
        <v>181.26</v>
      </c>
      <c r="D243">
        <v>1.1614</v>
      </c>
      <c r="E243">
        <v>1.1614</v>
      </c>
      <c r="F243">
        <v>1.3203728967712596</v>
      </c>
      <c r="G243">
        <v>6.4073706278274306E-3</v>
      </c>
    </row>
    <row r="244" spans="1:7" x14ac:dyDescent="0.25">
      <c r="A244" s="1">
        <v>45994</v>
      </c>
      <c r="B244">
        <v>0.87660000000000005</v>
      </c>
      <c r="C244">
        <v>181.28</v>
      </c>
      <c r="D244">
        <v>1.1668000000000001</v>
      </c>
      <c r="E244">
        <v>1.1668000000000001</v>
      </c>
      <c r="F244">
        <v>1.3310517910107234</v>
      </c>
      <c r="G244">
        <v>6.4364518976169462E-3</v>
      </c>
    </row>
    <row r="245" spans="1:7" x14ac:dyDescent="0.25">
      <c r="A245" s="1">
        <v>45995</v>
      </c>
      <c r="B245">
        <v>0.87450000000000006</v>
      </c>
      <c r="C245">
        <v>180.55</v>
      </c>
      <c r="D245">
        <v>1.1666000000000001</v>
      </c>
      <c r="E245">
        <v>1.1666000000000001</v>
      </c>
      <c r="F245">
        <v>1.3340194396798171</v>
      </c>
      <c r="G245">
        <v>6.4613680420936032E-3</v>
      </c>
    </row>
    <row r="246" spans="1:7" x14ac:dyDescent="0.25">
      <c r="A246" s="1">
        <v>45996</v>
      </c>
      <c r="B246">
        <v>0.87270000000000003</v>
      </c>
      <c r="C246">
        <v>180.76</v>
      </c>
      <c r="D246">
        <v>1.1645000000000001</v>
      </c>
      <c r="E246">
        <v>1.1645000000000001</v>
      </c>
      <c r="F246">
        <v>1.334364615560903</v>
      </c>
      <c r="G246">
        <v>6.4422438592608997E-3</v>
      </c>
    </row>
    <row r="247" spans="1:7" x14ac:dyDescent="0.25">
      <c r="A247" s="1">
        <v>45999</v>
      </c>
      <c r="B247">
        <v>0.87460000000000004</v>
      </c>
      <c r="C247">
        <v>181.29</v>
      </c>
      <c r="D247">
        <v>1.1655</v>
      </c>
      <c r="E247">
        <v>1.1655</v>
      </c>
      <c r="F247">
        <v>1.3326091927738395</v>
      </c>
      <c r="G247">
        <v>6.4289260301174916E-3</v>
      </c>
    </row>
    <row r="248" spans="1:7" x14ac:dyDescent="0.25">
      <c r="A248" s="1">
        <v>46000</v>
      </c>
      <c r="B248">
        <v>0.87350000000000005</v>
      </c>
      <c r="C248">
        <v>181.96</v>
      </c>
      <c r="D248">
        <v>1.1637</v>
      </c>
      <c r="E248">
        <v>1.1637</v>
      </c>
      <c r="F248">
        <v>1.3322266742987978</v>
      </c>
      <c r="G248">
        <v>6.3953616179380076E-3</v>
      </c>
    </row>
    <row r="249" spans="1:7" x14ac:dyDescent="0.25">
      <c r="A249" s="1">
        <v>46001</v>
      </c>
      <c r="B249">
        <v>0.87409999999999999</v>
      </c>
      <c r="C249">
        <v>182.32</v>
      </c>
      <c r="D249">
        <v>1.1634</v>
      </c>
      <c r="E249">
        <v>1.1634</v>
      </c>
      <c r="F249">
        <v>1.3309689966823017</v>
      </c>
      <c r="G249">
        <v>6.3810881965774462E-3</v>
      </c>
    </row>
    <row r="250" spans="1:7" x14ac:dyDescent="0.25">
      <c r="A250" s="1">
        <v>46002</v>
      </c>
      <c r="B250">
        <v>0.87509999999999999</v>
      </c>
      <c r="C250">
        <v>182.25</v>
      </c>
      <c r="D250">
        <v>1.1714</v>
      </c>
      <c r="E250">
        <v>1.1714</v>
      </c>
      <c r="F250">
        <v>1.3385898754428065</v>
      </c>
      <c r="G250">
        <v>6.4274348422496573E-3</v>
      </c>
    </row>
    <row r="251" spans="1:7" x14ac:dyDescent="0.25">
      <c r="A251" s="1">
        <v>46003</v>
      </c>
      <c r="B251">
        <v>0.87670000000000003</v>
      </c>
      <c r="C251">
        <v>182.99</v>
      </c>
      <c r="D251">
        <v>1.1731</v>
      </c>
      <c r="E251">
        <v>1.1731</v>
      </c>
      <c r="F251">
        <v>1.338086004334436</v>
      </c>
      <c r="G251">
        <v>6.4107328269304336E-3</v>
      </c>
    </row>
    <row r="252" spans="1:7" x14ac:dyDescent="0.25">
      <c r="A252" s="1">
        <v>46006</v>
      </c>
      <c r="B252">
        <v>0.87790000000000001</v>
      </c>
      <c r="C252">
        <v>182.32</v>
      </c>
      <c r="D252">
        <v>1.1753</v>
      </c>
      <c r="E252">
        <v>1.1753</v>
      </c>
      <c r="F252">
        <v>1.3387629570566124</v>
      </c>
      <c r="G252">
        <v>6.4463580517770958E-3</v>
      </c>
    </row>
    <row r="253" spans="1:7" x14ac:dyDescent="0.25">
      <c r="A253" s="1">
        <v>46007</v>
      </c>
      <c r="B253">
        <v>0.87639999999999996</v>
      </c>
      <c r="C253">
        <v>182.07</v>
      </c>
      <c r="D253">
        <v>1.1776</v>
      </c>
      <c r="E253">
        <v>1.1776</v>
      </c>
      <c r="F253">
        <v>1.3436786855317207</v>
      </c>
      <c r="G253">
        <v>6.4678420387762952E-3</v>
      </c>
    </row>
    <row r="254" spans="1:7" x14ac:dyDescent="0.25">
      <c r="A254" s="1">
        <v>46008</v>
      </c>
      <c r="B254">
        <v>0.87849999999999995</v>
      </c>
      <c r="C254">
        <v>182.38</v>
      </c>
      <c r="D254">
        <v>1.1721999999999999</v>
      </c>
      <c r="E254">
        <v>1.1721999999999999</v>
      </c>
      <c r="F254">
        <v>1.3343198634035287</v>
      </c>
      <c r="G254">
        <v>6.4272398289286102E-3</v>
      </c>
    </row>
    <row r="255" spans="1:7" x14ac:dyDescent="0.25">
      <c r="A255" s="1">
        <v>46009</v>
      </c>
      <c r="B255">
        <v>0.87460000000000004</v>
      </c>
      <c r="C255">
        <v>182.55</v>
      </c>
      <c r="D255">
        <v>1.1718999999999999</v>
      </c>
      <c r="E255">
        <v>1.1718999999999999</v>
      </c>
      <c r="F255">
        <v>1.3399268236908299</v>
      </c>
      <c r="G255">
        <v>6.4196110654615168E-3</v>
      </c>
    </row>
    <row r="256" spans="1:7" x14ac:dyDescent="0.25">
      <c r="A256" s="1">
        <v>46010</v>
      </c>
      <c r="B256">
        <v>0.876</v>
      </c>
      <c r="C256">
        <v>184.15</v>
      </c>
      <c r="D256">
        <v>1.1712</v>
      </c>
      <c r="E256">
        <v>1.1712</v>
      </c>
      <c r="F256">
        <v>1.3369863013698631</v>
      </c>
      <c r="G256">
        <v>6.3600325821341298E-3</v>
      </c>
    </row>
    <row r="257" spans="1:7" x14ac:dyDescent="0.25">
      <c r="A257" s="1">
        <v>46013</v>
      </c>
      <c r="B257">
        <v>0.87419999999999998</v>
      </c>
      <c r="C257">
        <v>184.77</v>
      </c>
      <c r="D257">
        <v>1.1745000000000001</v>
      </c>
      <c r="E257">
        <v>1.1745000000000001</v>
      </c>
      <c r="F257">
        <v>1.3435140700068635</v>
      </c>
      <c r="G257">
        <v>6.3565513882123722E-3</v>
      </c>
    </row>
    <row r="258" spans="1:7" x14ac:dyDescent="0.25">
      <c r="A258" s="1">
        <v>46014</v>
      </c>
      <c r="B258">
        <v>0.87290000000000001</v>
      </c>
      <c r="C258">
        <v>183.89</v>
      </c>
      <c r="D258">
        <v>1.1786000000000001</v>
      </c>
      <c r="E258">
        <v>1.1786000000000001</v>
      </c>
      <c r="F258">
        <v>1.3502119372207584</v>
      </c>
      <c r="G258">
        <v>6.4092664092664101E-3</v>
      </c>
    </row>
    <row r="259" spans="1:7" x14ac:dyDescent="0.25">
      <c r="A259" s="1">
        <v>46015</v>
      </c>
      <c r="B259">
        <v>0.87290000000000001</v>
      </c>
      <c r="C259">
        <v>183.83</v>
      </c>
      <c r="D259">
        <v>1.1787000000000001</v>
      </c>
      <c r="E259">
        <v>1.1787000000000001</v>
      </c>
      <c r="F259">
        <v>1.350326497880628</v>
      </c>
      <c r="G259">
        <v>6.4119023010390033E-3</v>
      </c>
    </row>
    <row r="260" spans="1:7" x14ac:dyDescent="0.25">
      <c r="A260" s="1">
        <v>46020</v>
      </c>
      <c r="B260">
        <v>0.87260000000000004</v>
      </c>
      <c r="C260">
        <v>183.97</v>
      </c>
      <c r="D260">
        <v>1.1766000000000001</v>
      </c>
      <c r="E260">
        <v>1.1766000000000001</v>
      </c>
      <c r="F260">
        <v>1.3483841393536558</v>
      </c>
      <c r="G260">
        <v>6.3956079795618858E-3</v>
      </c>
    </row>
    <row r="261" spans="1:7" x14ac:dyDescent="0.25">
      <c r="A261" s="1">
        <v>46021</v>
      </c>
      <c r="B261">
        <v>0.87119999999999997</v>
      </c>
      <c r="C261">
        <v>183.48</v>
      </c>
      <c r="D261">
        <v>1.1757</v>
      </c>
      <c r="E261">
        <v>1.1757</v>
      </c>
      <c r="F261">
        <v>1.3495179063360883</v>
      </c>
      <c r="G261">
        <v>6.4077828646173975E-3</v>
      </c>
    </row>
    <row r="262" spans="1:7" x14ac:dyDescent="0.25">
      <c r="A262" s="1">
        <v>46022</v>
      </c>
      <c r="B262">
        <v>0.87260000000000004</v>
      </c>
      <c r="C262">
        <v>184.09</v>
      </c>
      <c r="D262">
        <v>1.175</v>
      </c>
      <c r="E262">
        <v>1.175</v>
      </c>
      <c r="F262">
        <v>1.3465505386202155</v>
      </c>
      <c r="G262">
        <v>6.3827475691237987E-3</v>
      </c>
    </row>
    <row r="263" spans="1:7" x14ac:dyDescent="0.25">
      <c r="A263" s="1">
        <v>46024</v>
      </c>
      <c r="B263">
        <v>0.87190000000000001</v>
      </c>
      <c r="C263">
        <v>183.94</v>
      </c>
      <c r="D263">
        <v>1.1720999999999999</v>
      </c>
      <c r="E263">
        <v>1.1720999999999999</v>
      </c>
      <c r="F263">
        <v>1.3443055396261039</v>
      </c>
      <c r="G263">
        <v>6.3721865825812759E-3</v>
      </c>
    </row>
    <row r="264" spans="1:7" x14ac:dyDescent="0.25">
      <c r="A264" s="1">
        <v>46027</v>
      </c>
      <c r="B264">
        <v>0.86760000000000004</v>
      </c>
      <c r="C264">
        <v>182.93</v>
      </c>
      <c r="D264">
        <v>1.1664000000000001</v>
      </c>
      <c r="E264">
        <v>1.1664000000000001</v>
      </c>
      <c r="F264">
        <v>1.3443983402489628</v>
      </c>
      <c r="G264">
        <v>6.3762094790356973E-3</v>
      </c>
    </row>
    <row r="265" spans="1:7" x14ac:dyDescent="0.25">
      <c r="A265" s="1">
        <v>46028</v>
      </c>
      <c r="B265">
        <v>0.86629999999999996</v>
      </c>
      <c r="C265">
        <v>183.14</v>
      </c>
      <c r="D265">
        <v>1.1707000000000001</v>
      </c>
      <c r="E265">
        <v>1.1707000000000001</v>
      </c>
      <c r="F265">
        <v>1.3513794297587443</v>
      </c>
      <c r="G265">
        <v>6.3923774161843408E-3</v>
      </c>
    </row>
    <row r="266" spans="1:7" x14ac:dyDescent="0.25">
      <c r="A266" s="1">
        <v>46029</v>
      </c>
      <c r="B266">
        <v>0.86639999999999995</v>
      </c>
      <c r="C266">
        <v>182.91</v>
      </c>
      <c r="D266">
        <v>1.1684000000000001</v>
      </c>
      <c r="E266">
        <v>1.1684000000000001</v>
      </c>
      <c r="F266">
        <v>1.3485687903970454</v>
      </c>
      <c r="G266">
        <v>6.3878410147066873E-3</v>
      </c>
    </row>
    <row r="267" spans="1:7" x14ac:dyDescent="0.25">
      <c r="A267" s="1">
        <v>46030</v>
      </c>
      <c r="B267">
        <v>0.86870000000000003</v>
      </c>
      <c r="C267">
        <v>182.97</v>
      </c>
      <c r="D267">
        <v>1.1675</v>
      </c>
      <c r="E267">
        <v>1.1675</v>
      </c>
      <c r="F267">
        <v>1.343962242431219</v>
      </c>
      <c r="G267">
        <v>6.3808274580532329E-3</v>
      </c>
    </row>
    <row r="268" spans="1:7" x14ac:dyDescent="0.25">
      <c r="A268" s="1">
        <v>46031</v>
      </c>
      <c r="B268">
        <v>0.86770000000000003</v>
      </c>
      <c r="C268">
        <v>183.52</v>
      </c>
      <c r="D268">
        <v>1.1641999999999999</v>
      </c>
      <c r="E268">
        <v>1.1641999999999999</v>
      </c>
      <c r="F268">
        <v>1.3417079635818829</v>
      </c>
      <c r="G268">
        <v>6.3437227550130768E-3</v>
      </c>
    </row>
    <row r="269" spans="1:7" x14ac:dyDescent="0.25">
      <c r="A269" s="1">
        <v>46034</v>
      </c>
      <c r="B269">
        <v>0.86739999999999995</v>
      </c>
      <c r="C269">
        <v>184.42</v>
      </c>
      <c r="D269">
        <v>1.1692</v>
      </c>
      <c r="E269">
        <v>1.1692</v>
      </c>
      <c r="F269">
        <v>1.3479363615402353</v>
      </c>
      <c r="G269">
        <v>6.3398763691573587E-3</v>
      </c>
    </row>
    <row r="270" spans="1:7" x14ac:dyDescent="0.25">
      <c r="A270" s="1">
        <v>46035</v>
      </c>
      <c r="B270">
        <v>0.86599999999999999</v>
      </c>
      <c r="C270">
        <v>185.12</v>
      </c>
      <c r="D270">
        <v>1.1654</v>
      </c>
      <c r="E270">
        <v>1.1654</v>
      </c>
      <c r="F270">
        <v>1.3457274826789838</v>
      </c>
      <c r="G270">
        <v>6.2953759723422646E-3</v>
      </c>
    </row>
    <row r="271" spans="1:7" x14ac:dyDescent="0.25">
      <c r="A271" s="1">
        <v>46036</v>
      </c>
      <c r="B271">
        <v>0.86680000000000001</v>
      </c>
      <c r="C271">
        <v>184.82</v>
      </c>
      <c r="D271">
        <v>1.1651</v>
      </c>
      <c r="E271">
        <v>1.1651</v>
      </c>
      <c r="F271">
        <v>1.3441393631748961</v>
      </c>
      <c r="G271">
        <v>6.3039714316632401E-3</v>
      </c>
    </row>
    <row r="272" spans="1:7" x14ac:dyDescent="0.25">
      <c r="A272" s="1">
        <v>46037</v>
      </c>
      <c r="B272">
        <v>0.86739999999999995</v>
      </c>
      <c r="C272">
        <v>184.31</v>
      </c>
      <c r="D272">
        <v>1.1624000000000001</v>
      </c>
      <c r="E272">
        <v>1.1624000000000001</v>
      </c>
      <c r="F272">
        <v>1.340096841134425</v>
      </c>
      <c r="G272">
        <v>6.3067657750529001E-3</v>
      </c>
    </row>
    <row r="273" spans="1:7" x14ac:dyDescent="0.25">
      <c r="A273" s="1">
        <v>46038</v>
      </c>
      <c r="B273">
        <v>0.86699999999999999</v>
      </c>
      <c r="C273">
        <v>183.67</v>
      </c>
      <c r="D273">
        <v>1.1617</v>
      </c>
      <c r="E273">
        <v>1.1617</v>
      </c>
      <c r="F273">
        <v>1.3399077277970011</v>
      </c>
      <c r="G273">
        <v>6.3249305820221053E-3</v>
      </c>
    </row>
    <row r="274" spans="1:7" x14ac:dyDescent="0.25">
      <c r="A274" s="1">
        <v>46041</v>
      </c>
      <c r="B274">
        <v>0.86709999999999998</v>
      </c>
      <c r="C274">
        <v>183.69</v>
      </c>
      <c r="D274">
        <v>1.1631</v>
      </c>
      <c r="E274">
        <v>1.1631</v>
      </c>
      <c r="F274">
        <v>1.3413677776496369</v>
      </c>
      <c r="G274">
        <v>6.3318634656214278E-3</v>
      </c>
    </row>
    <row r="275" spans="1:7" x14ac:dyDescent="0.25">
      <c r="A275" s="1">
        <v>46042</v>
      </c>
      <c r="B275">
        <v>0.87219999999999998</v>
      </c>
      <c r="C275">
        <v>185.18</v>
      </c>
      <c r="D275">
        <v>1.1728000000000001</v>
      </c>
      <c r="E275">
        <v>1.1728000000000001</v>
      </c>
      <c r="F275">
        <v>1.3446457234579225</v>
      </c>
      <c r="G275">
        <v>6.3332973323253052E-3</v>
      </c>
    </row>
    <row r="276" spans="1:7" x14ac:dyDescent="0.25">
      <c r="A276" s="1">
        <v>46043</v>
      </c>
      <c r="B276">
        <v>0.87439999999999996</v>
      </c>
      <c r="C276">
        <v>185.23</v>
      </c>
      <c r="D276">
        <v>1.1738999999999999</v>
      </c>
      <c r="E276">
        <v>1.1738999999999999</v>
      </c>
      <c r="F276">
        <v>1.3425205855443734</v>
      </c>
      <c r="G276">
        <v>6.3375263186308912E-3</v>
      </c>
    </row>
    <row r="277" spans="1:7" x14ac:dyDescent="0.25">
      <c r="A277" s="1">
        <v>46044</v>
      </c>
      <c r="B277">
        <v>0.87219999999999998</v>
      </c>
      <c r="C277">
        <v>185.88</v>
      </c>
      <c r="D277">
        <v>1.1706000000000001</v>
      </c>
      <c r="E277">
        <v>1.1706000000000001</v>
      </c>
      <c r="F277">
        <v>1.3421233662004128</v>
      </c>
      <c r="G277">
        <v>6.2976113621691417E-3</v>
      </c>
    </row>
    <row r="278" spans="1:7" x14ac:dyDescent="0.25">
      <c r="A278" s="1">
        <v>46045</v>
      </c>
      <c r="B278">
        <v>0.86809999999999998</v>
      </c>
      <c r="C278">
        <v>185.71</v>
      </c>
      <c r="D278">
        <v>1.1741999999999999</v>
      </c>
      <c r="E278">
        <v>1.1741999999999999</v>
      </c>
      <c r="F278">
        <v>1.3526091464117036</v>
      </c>
      <c r="G278">
        <v>6.322761294491411E-3</v>
      </c>
    </row>
    <row r="279" spans="1:7" x14ac:dyDescent="0.25">
      <c r="A279" s="1">
        <v>46048</v>
      </c>
      <c r="B279">
        <v>0.86750000000000005</v>
      </c>
      <c r="C279">
        <v>182.52</v>
      </c>
      <c r="D279">
        <v>1.1836</v>
      </c>
      <c r="E279">
        <v>1.1836</v>
      </c>
      <c r="F279">
        <v>1.3643804034582132</v>
      </c>
      <c r="G279">
        <v>6.4847687924610995E-3</v>
      </c>
    </row>
    <row r="280" spans="1:7" x14ac:dyDescent="0.25">
      <c r="A280" s="1">
        <v>46049</v>
      </c>
      <c r="B280">
        <v>0.86829999999999996</v>
      </c>
      <c r="C280">
        <v>182.92</v>
      </c>
      <c r="D280">
        <v>1.1929000000000001</v>
      </c>
      <c r="E280">
        <v>1.1929000000000001</v>
      </c>
      <c r="F280">
        <v>1.3738339283657723</v>
      </c>
      <c r="G280">
        <v>6.5214301333916475E-3</v>
      </c>
    </row>
    <row r="281" spans="1:7" x14ac:dyDescent="0.25">
      <c r="A281" s="1">
        <v>46050</v>
      </c>
      <c r="B281">
        <v>0.86850000000000005</v>
      </c>
      <c r="C281">
        <v>182.76</v>
      </c>
      <c r="D281">
        <v>1.1974</v>
      </c>
      <c r="E281">
        <v>1.1974</v>
      </c>
      <c r="F281">
        <v>1.3786989061600461</v>
      </c>
      <c r="G281">
        <v>6.5517618734952949E-3</v>
      </c>
    </row>
    <row r="282" spans="1:7" x14ac:dyDescent="0.25">
      <c r="A282" s="1">
        <v>46051</v>
      </c>
      <c r="B282">
        <v>0.86619999999999997</v>
      </c>
      <c r="C282">
        <v>183.48</v>
      </c>
      <c r="D282">
        <v>1.1968000000000001</v>
      </c>
      <c r="E282">
        <v>1.1968000000000001</v>
      </c>
      <c r="F282">
        <v>1.3816670514892635</v>
      </c>
      <c r="G282">
        <v>6.5227817745803366E-3</v>
      </c>
    </row>
    <row r="283" spans="1:7" x14ac:dyDescent="0.25">
      <c r="A283" s="1">
        <v>46052</v>
      </c>
      <c r="B283">
        <v>0.86619999999999997</v>
      </c>
      <c r="C283">
        <v>183.59</v>
      </c>
      <c r="D283">
        <v>1.1919</v>
      </c>
      <c r="E283">
        <v>1.1919</v>
      </c>
      <c r="F283">
        <v>1.376010159316555</v>
      </c>
      <c r="G283">
        <v>6.4921836701345385E-3</v>
      </c>
    </row>
    <row r="284" spans="1:7" x14ac:dyDescent="0.25">
      <c r="A284" s="1">
        <v>46055</v>
      </c>
      <c r="B284">
        <v>0.86580000000000001</v>
      </c>
      <c r="C284">
        <v>183.59</v>
      </c>
      <c r="D284">
        <v>1.1839999999999999</v>
      </c>
      <c r="E284">
        <v>1.1839999999999999</v>
      </c>
      <c r="F284">
        <v>1.3675213675213673</v>
      </c>
      <c r="G284">
        <v>6.4491530039762508E-3</v>
      </c>
    </row>
    <row r="285" spans="1:7" x14ac:dyDescent="0.25">
      <c r="A285" s="1">
        <v>46056</v>
      </c>
      <c r="B285">
        <v>0.86229999999999996</v>
      </c>
      <c r="C285">
        <v>183.92</v>
      </c>
      <c r="D285">
        <v>1.1800999999999999</v>
      </c>
      <c r="E285">
        <v>1.1800999999999999</v>
      </c>
      <c r="F285">
        <v>1.3685492288066798</v>
      </c>
      <c r="G285">
        <v>6.4163766855154418E-3</v>
      </c>
    </row>
    <row r="286" spans="1:7" x14ac:dyDescent="0.25">
      <c r="A286" s="1">
        <v>46057</v>
      </c>
      <c r="B286">
        <v>0.86160000000000003</v>
      </c>
      <c r="C286">
        <v>185.15</v>
      </c>
      <c r="D286">
        <v>1.1819999999999999</v>
      </c>
      <c r="E286">
        <v>1.1819999999999999</v>
      </c>
      <c r="F286">
        <v>1.3718662952646239</v>
      </c>
      <c r="G286">
        <v>6.3840129624628678E-3</v>
      </c>
    </row>
    <row r="287" spans="1:7" x14ac:dyDescent="0.25">
      <c r="A287" s="1">
        <v>46058</v>
      </c>
      <c r="B287">
        <v>0.86909999999999998</v>
      </c>
      <c r="C287">
        <v>185.11</v>
      </c>
      <c r="D287">
        <v>1.1798</v>
      </c>
      <c r="E287">
        <v>1.1798</v>
      </c>
      <c r="F287">
        <v>1.3574962604993672</v>
      </c>
      <c r="G287">
        <v>6.3735076441035054E-3</v>
      </c>
    </row>
    <row r="288" spans="1:7" x14ac:dyDescent="0.25">
      <c r="A288" s="1">
        <v>46059</v>
      </c>
      <c r="B288">
        <v>0.8679</v>
      </c>
      <c r="C288">
        <v>185.27</v>
      </c>
      <c r="D288">
        <v>1.1794</v>
      </c>
      <c r="E288">
        <v>1.1794</v>
      </c>
      <c r="F288">
        <v>1.3589123170872219</v>
      </c>
      <c r="G288">
        <v>6.3658444432449935E-3</v>
      </c>
    </row>
    <row r="289" spans="1:7" x14ac:dyDescent="0.25">
      <c r="A289" s="1">
        <v>46062</v>
      </c>
      <c r="B289">
        <v>0.87009999999999998</v>
      </c>
      <c r="C289">
        <v>185.65</v>
      </c>
      <c r="D289">
        <v>1.1886000000000001</v>
      </c>
      <c r="E289">
        <v>1.1886000000000001</v>
      </c>
      <c r="F289">
        <v>1.3660498793242157</v>
      </c>
      <c r="G289">
        <v>6.4023700511715602E-3</v>
      </c>
    </row>
    <row r="290" spans="1:7" x14ac:dyDescent="0.25">
      <c r="A290" s="1">
        <v>46063</v>
      </c>
      <c r="B290">
        <v>0.86950000000000005</v>
      </c>
      <c r="C290">
        <v>184.51</v>
      </c>
      <c r="D290">
        <v>1.1894</v>
      </c>
      <c r="E290">
        <v>1.1894</v>
      </c>
      <c r="F290">
        <v>1.3679125934445082</v>
      </c>
      <c r="G290">
        <v>6.4462630751720776E-3</v>
      </c>
    </row>
    <row r="291" spans="1:7" x14ac:dyDescent="0.25">
      <c r="A291" s="1">
        <v>46064</v>
      </c>
      <c r="B291">
        <v>0.86990000000000001</v>
      </c>
      <c r="C291">
        <v>182.79</v>
      </c>
      <c r="D291">
        <v>1.19</v>
      </c>
      <c r="E291">
        <v>1.19</v>
      </c>
      <c r="F291">
        <v>1.3679733302678467</v>
      </c>
      <c r="G291">
        <v>6.5102029651512667E-3</v>
      </c>
    </row>
    <row r="292" spans="1:7" x14ac:dyDescent="0.25">
      <c r="A292" s="1">
        <v>46065</v>
      </c>
      <c r="B292">
        <v>0.87109999999999999</v>
      </c>
      <c r="C292">
        <v>182.52</v>
      </c>
      <c r="D292">
        <v>1.1874</v>
      </c>
      <c r="E292">
        <v>1.1874</v>
      </c>
      <c r="F292">
        <v>1.3631041212260362</v>
      </c>
      <c r="G292">
        <v>6.5055884286653511E-3</v>
      </c>
    </row>
    <row r="293" spans="1:7" x14ac:dyDescent="0.25">
      <c r="A293" s="1">
        <v>46066</v>
      </c>
      <c r="B293">
        <v>0.87160000000000004</v>
      </c>
      <c r="C293">
        <v>181.83</v>
      </c>
      <c r="D293">
        <v>1.1861999999999999</v>
      </c>
      <c r="E293">
        <v>1.1861999999999999</v>
      </c>
      <c r="F293">
        <v>1.3609453877925652</v>
      </c>
      <c r="G293">
        <v>6.5236759610625304E-3</v>
      </c>
    </row>
    <row r="294" spans="1:7" x14ac:dyDescent="0.25">
      <c r="A294" s="1">
        <v>46069</v>
      </c>
      <c r="B294">
        <v>0.86899999999999999</v>
      </c>
      <c r="C294">
        <v>181.79</v>
      </c>
      <c r="D294">
        <v>1.1855</v>
      </c>
      <c r="E294">
        <v>1.1855</v>
      </c>
      <c r="F294">
        <v>1.3642117376294591</v>
      </c>
      <c r="G294">
        <v>6.5212607954232907E-3</v>
      </c>
    </row>
    <row r="295" spans="1:7" x14ac:dyDescent="0.25">
      <c r="A295" s="1">
        <v>46070</v>
      </c>
      <c r="B295">
        <v>0.87329999999999997</v>
      </c>
      <c r="C295">
        <v>181.06</v>
      </c>
      <c r="D295">
        <v>1.1826000000000001</v>
      </c>
      <c r="E295">
        <v>1.1826000000000001</v>
      </c>
      <c r="F295">
        <v>1.3541738234283753</v>
      </c>
      <c r="G295">
        <v>6.5315365072351715E-3</v>
      </c>
    </row>
    <row r="296" spans="1:7" x14ac:dyDescent="0.25">
      <c r="A296" s="1">
        <v>46071</v>
      </c>
      <c r="B296">
        <v>0.87239999999999995</v>
      </c>
      <c r="C296">
        <v>181.99</v>
      </c>
      <c r="D296">
        <v>1.1845000000000001</v>
      </c>
      <c r="E296">
        <v>1.1845000000000001</v>
      </c>
      <c r="F296">
        <v>1.3577487391104999</v>
      </c>
      <c r="G296">
        <v>6.5085993735919554E-3</v>
      </c>
    </row>
    <row r="297" spans="1:7" x14ac:dyDescent="0.25">
      <c r="A297" s="1">
        <v>46072</v>
      </c>
      <c r="B297">
        <v>0.87380000000000002</v>
      </c>
      <c r="C297">
        <v>182.05</v>
      </c>
      <c r="D297">
        <v>1.1753</v>
      </c>
      <c r="E297">
        <v>1.1753</v>
      </c>
      <c r="F297">
        <v>1.3450446326390477</v>
      </c>
      <c r="G297">
        <v>6.4559187036528423E-3</v>
      </c>
    </row>
    <row r="298" spans="1:7" x14ac:dyDescent="0.25">
      <c r="A298" s="1">
        <v>46073</v>
      </c>
      <c r="B298">
        <v>0.87280000000000002</v>
      </c>
      <c r="C298">
        <v>182.63</v>
      </c>
      <c r="D298">
        <v>1.1767000000000001</v>
      </c>
      <c r="E298">
        <v>1.1767000000000001</v>
      </c>
      <c r="F298">
        <v>1.3481897341888176</v>
      </c>
      <c r="G298">
        <v>6.4430816404752785E-3</v>
      </c>
    </row>
    <row r="299" spans="1:7" x14ac:dyDescent="0.25">
      <c r="A299" s="1">
        <v>46076</v>
      </c>
      <c r="B299">
        <v>0.87339999999999995</v>
      </c>
      <c r="C299">
        <v>182.44</v>
      </c>
      <c r="D299">
        <v>1.1783999999999999</v>
      </c>
      <c r="E299">
        <v>1.1783999999999999</v>
      </c>
      <c r="F299">
        <v>1.3492099839706893</v>
      </c>
      <c r="G299">
        <v>6.4591098443323829E-3</v>
      </c>
    </row>
    <row r="300" spans="1:7" x14ac:dyDescent="0.25">
      <c r="A300" s="1">
        <v>46077</v>
      </c>
      <c r="B300">
        <v>0.87309999999999999</v>
      </c>
      <c r="C300">
        <v>183.53</v>
      </c>
      <c r="D300">
        <v>1.1777</v>
      </c>
      <c r="E300">
        <v>1.1777</v>
      </c>
      <c r="F300">
        <v>1.348871835986714</v>
      </c>
      <c r="G300">
        <v>6.4169345611071755E-3</v>
      </c>
    </row>
    <row r="301" spans="1:7" x14ac:dyDescent="0.25">
      <c r="A301" s="1">
        <v>46078</v>
      </c>
      <c r="B301">
        <v>0.87139999999999995</v>
      </c>
      <c r="C301">
        <v>184.7</v>
      </c>
      <c r="D301">
        <v>1.1783999999999999</v>
      </c>
      <c r="E301">
        <v>1.1783999999999999</v>
      </c>
      <c r="F301">
        <v>1.3523066330043607</v>
      </c>
      <c r="G301">
        <v>6.3800757985923119E-3</v>
      </c>
    </row>
    <row r="302" spans="1:7" x14ac:dyDescent="0.25">
      <c r="A302" s="1">
        <v>46079</v>
      </c>
      <c r="B302">
        <v>0.87190000000000001</v>
      </c>
      <c r="C302">
        <v>184.37</v>
      </c>
      <c r="D302">
        <v>1.1814</v>
      </c>
      <c r="E302">
        <v>1.1814</v>
      </c>
      <c r="F302">
        <v>1.3549719004472991</v>
      </c>
      <c r="G302">
        <v>6.4077669902912618E-3</v>
      </c>
    </row>
    <row r="303" spans="1:7" x14ac:dyDescent="0.25">
      <c r="A303" s="1">
        <v>46080</v>
      </c>
      <c r="B303">
        <v>0.87629999999999997</v>
      </c>
      <c r="C303">
        <v>184.13</v>
      </c>
      <c r="D303">
        <v>1.1805000000000001</v>
      </c>
      <c r="E303">
        <v>1.1805000000000001</v>
      </c>
      <c r="F303">
        <v>1.347141389934954</v>
      </c>
      <c r="G303">
        <v>6.411231195351111E-3</v>
      </c>
    </row>
    <row r="304" spans="1:7" x14ac:dyDescent="0.25">
      <c r="A304" s="1">
        <v>46083</v>
      </c>
      <c r="B304">
        <v>0.87390000000000001</v>
      </c>
      <c r="C304">
        <v>184.19</v>
      </c>
      <c r="D304">
        <v>1.1698</v>
      </c>
      <c r="E304">
        <v>1.1698</v>
      </c>
      <c r="F304">
        <v>1.3385970934889575</v>
      </c>
      <c r="G304">
        <v>6.3510505456322273E-3</v>
      </c>
    </row>
    <row r="305" spans="1:7" x14ac:dyDescent="0.25">
      <c r="A305" s="1">
        <v>46084</v>
      </c>
      <c r="B305">
        <v>0.87170000000000003</v>
      </c>
      <c r="C305">
        <v>182.98</v>
      </c>
      <c r="D305">
        <v>1.1606000000000001</v>
      </c>
      <c r="E305">
        <v>1.1606000000000001</v>
      </c>
      <c r="F305">
        <v>1.3314213605598257</v>
      </c>
      <c r="G305">
        <v>6.3427697016067335E-3</v>
      </c>
    </row>
    <row r="306" spans="1:7" x14ac:dyDescent="0.25">
      <c r="A306" s="1">
        <v>46085</v>
      </c>
      <c r="B306">
        <v>0.87050000000000005</v>
      </c>
      <c r="C306">
        <v>183.02</v>
      </c>
      <c r="D306">
        <v>1.1649</v>
      </c>
      <c r="E306">
        <v>1.1649</v>
      </c>
      <c r="F306">
        <v>1.3381964388282597</v>
      </c>
      <c r="G306">
        <v>6.3648781553928531E-3</v>
      </c>
    </row>
    <row r="307" spans="1:7" x14ac:dyDescent="0.25">
      <c r="A307" s="1">
        <v>46086</v>
      </c>
      <c r="B307">
        <v>0.86950000000000005</v>
      </c>
      <c r="C307">
        <v>183.03</v>
      </c>
      <c r="D307">
        <v>1.1617999999999999</v>
      </c>
      <c r="E307">
        <v>1.1617999999999999</v>
      </c>
      <c r="F307">
        <v>1.3361702127659574</v>
      </c>
      <c r="G307">
        <v>6.347593290717368E-3</v>
      </c>
    </row>
    <row r="308" spans="1:7" x14ac:dyDescent="0.25">
      <c r="A308" s="1">
        <v>46087</v>
      </c>
      <c r="B308">
        <v>0.86692999999999998</v>
      </c>
      <c r="C308">
        <v>182.57</v>
      </c>
      <c r="D308">
        <v>1.1560999999999999</v>
      </c>
      <c r="E308">
        <v>1.1560999999999999</v>
      </c>
      <c r="F308">
        <v>1.3335563424959338</v>
      </c>
      <c r="G308">
        <v>6.3323656679629726E-3</v>
      </c>
    </row>
    <row r="309" spans="1:7" x14ac:dyDescent="0.25">
      <c r="A309" s="1">
        <v>46090</v>
      </c>
      <c r="B309">
        <v>0.86529999999999996</v>
      </c>
      <c r="C309">
        <v>183.15</v>
      </c>
      <c r="D309">
        <v>1.1555</v>
      </c>
      <c r="E309">
        <v>1.1555</v>
      </c>
      <c r="F309">
        <v>1.3353750144458569</v>
      </c>
      <c r="G309">
        <v>6.3090363090363083E-3</v>
      </c>
    </row>
    <row r="310" spans="1:7" x14ac:dyDescent="0.25">
      <c r="A310" s="1">
        <v>46091</v>
      </c>
      <c r="B310">
        <v>0.86545000000000005</v>
      </c>
      <c r="C310">
        <v>183.67</v>
      </c>
      <c r="D310">
        <v>1.1640999999999999</v>
      </c>
      <c r="E310">
        <v>1.1640999999999999</v>
      </c>
      <c r="F310">
        <v>1.345080593910682</v>
      </c>
      <c r="G310">
        <v>6.3379974955082487E-3</v>
      </c>
    </row>
    <row r="311" spans="1:7" x14ac:dyDescent="0.25">
      <c r="A311" s="1">
        <v>46092</v>
      </c>
      <c r="B311">
        <v>0.86363000000000001</v>
      </c>
      <c r="C311">
        <v>183.63</v>
      </c>
      <c r="D311">
        <v>1.1580999999999999</v>
      </c>
      <c r="E311">
        <v>1.1580999999999999</v>
      </c>
      <c r="F311">
        <v>1.3409677755520302</v>
      </c>
      <c r="G311">
        <v>6.3067036976528889E-3</v>
      </c>
    </row>
    <row r="312" spans="1:7" x14ac:dyDescent="0.25">
      <c r="A312" s="1">
        <v>46093</v>
      </c>
      <c r="B312">
        <v>0.86243000000000003</v>
      </c>
      <c r="C312">
        <v>183.43</v>
      </c>
      <c r="D312">
        <v>1.1547000000000001</v>
      </c>
      <c r="E312">
        <v>1.1547000000000001</v>
      </c>
      <c r="F312">
        <v>1.338891272335146</v>
      </c>
      <c r="G312">
        <v>6.2950444311181382E-3</v>
      </c>
    </row>
    <row r="313" spans="1:7" x14ac:dyDescent="0.25">
      <c r="A313" s="1">
        <v>46094</v>
      </c>
      <c r="B313">
        <v>0.86502999999999997</v>
      </c>
      <c r="C313">
        <v>182.85</v>
      </c>
      <c r="D313">
        <v>1.1476</v>
      </c>
      <c r="E313">
        <v>1.1476</v>
      </c>
      <c r="F313">
        <v>1.3266591910107164</v>
      </c>
      <c r="G313">
        <v>6.2761826633852885E-3</v>
      </c>
    </row>
    <row r="314" spans="1:7" x14ac:dyDescent="0.25">
      <c r="A314" s="1">
        <v>46097</v>
      </c>
      <c r="B314">
        <v>0.86407999999999996</v>
      </c>
      <c r="C314">
        <v>182.66</v>
      </c>
      <c r="D314">
        <v>1.1477999999999999</v>
      </c>
      <c r="E314">
        <v>1.1477999999999999</v>
      </c>
      <c r="F314">
        <v>1.3283492269234329</v>
      </c>
      <c r="G314">
        <v>6.283805978320376E-3</v>
      </c>
    </row>
    <row r="315" spans="1:7" x14ac:dyDescent="0.25">
      <c r="A315" s="1">
        <v>46098</v>
      </c>
      <c r="B315">
        <v>0.86429999999999996</v>
      </c>
      <c r="C315">
        <v>183.29</v>
      </c>
      <c r="D315">
        <v>1.1531</v>
      </c>
      <c r="E315">
        <v>1.1531</v>
      </c>
      <c r="F315">
        <v>1.3341432373018629</v>
      </c>
      <c r="G315">
        <v>6.2911233564297018E-3</v>
      </c>
    </row>
    <row r="316" spans="1:7" x14ac:dyDescent="0.25">
      <c r="A316" s="1">
        <v>46099</v>
      </c>
      <c r="B316">
        <v>0.86392999999999998</v>
      </c>
      <c r="C316">
        <v>183.49</v>
      </c>
      <c r="D316">
        <v>1.1499999999999999</v>
      </c>
      <c r="E316">
        <v>1.1499999999999999</v>
      </c>
      <c r="F316">
        <v>1.3311263644045235</v>
      </c>
      <c r="G316">
        <v>6.267371518883862E-3</v>
      </c>
    </row>
    <row r="317" spans="1:7" x14ac:dyDescent="0.25">
      <c r="A317" s="1">
        <v>46100</v>
      </c>
      <c r="B317">
        <v>0.86387999999999998</v>
      </c>
      <c r="C317">
        <v>182.46</v>
      </c>
      <c r="D317">
        <v>1.1489</v>
      </c>
      <c r="E317">
        <v>1.1489</v>
      </c>
      <c r="F317">
        <v>1.3299300828818819</v>
      </c>
      <c r="G317">
        <v>6.2967225693302637E-3</v>
      </c>
    </row>
    <row r="318" spans="1:7" x14ac:dyDescent="0.25">
      <c r="A318" s="1">
        <v>46101</v>
      </c>
      <c r="B318">
        <v>0.86438000000000004</v>
      </c>
      <c r="C318">
        <v>183.46</v>
      </c>
      <c r="D318">
        <v>1.1555</v>
      </c>
      <c r="E318">
        <v>1.1555</v>
      </c>
      <c r="F318">
        <v>1.3367963164349013</v>
      </c>
      <c r="G318">
        <v>6.2983756677204832E-3</v>
      </c>
    </row>
    <row r="319" spans="1:7" x14ac:dyDescent="0.25">
      <c r="A319" s="1">
        <v>46104</v>
      </c>
      <c r="B319">
        <v>0.86419999999999997</v>
      </c>
      <c r="C319">
        <v>183.86</v>
      </c>
      <c r="D319">
        <v>1.1596</v>
      </c>
      <c r="E319">
        <v>1.1596</v>
      </c>
      <c r="F319">
        <v>1.3418190233742189</v>
      </c>
      <c r="G319">
        <v>6.3069726966169908E-3</v>
      </c>
    </row>
    <row r="320" spans="1:7" x14ac:dyDescent="0.25">
      <c r="A320" s="1">
        <v>46105</v>
      </c>
      <c r="B320">
        <v>0.86541000000000001</v>
      </c>
      <c r="C320">
        <v>183.91</v>
      </c>
      <c r="D320">
        <v>1.1572</v>
      </c>
      <c r="E320">
        <v>1.1572</v>
      </c>
      <c r="F320">
        <v>1.3371696652453751</v>
      </c>
      <c r="G320">
        <v>6.2922081452884563E-3</v>
      </c>
    </row>
    <row r="321" spans="1:7" x14ac:dyDescent="0.25">
      <c r="A321" s="1">
        <v>46106</v>
      </c>
      <c r="B321">
        <v>0.86558000000000002</v>
      </c>
      <c r="C321">
        <v>184.27</v>
      </c>
      <c r="D321">
        <v>1.1592</v>
      </c>
      <c r="E321">
        <v>1.1592</v>
      </c>
      <c r="F321">
        <v>1.3392176344185402</v>
      </c>
      <c r="G321">
        <v>6.2907689803006457E-3</v>
      </c>
    </row>
    <row r="322" spans="1:7" x14ac:dyDescent="0.25">
      <c r="A322" s="1">
        <v>46107</v>
      </c>
      <c r="B322">
        <v>0.86514999999999997</v>
      </c>
      <c r="C322">
        <v>184.19</v>
      </c>
      <c r="D322">
        <v>1.1538999999999999</v>
      </c>
      <c r="E322">
        <v>1.1538999999999999</v>
      </c>
      <c r="F322">
        <v>1.3337571519389702</v>
      </c>
      <c r="G322">
        <v>6.2647266409685647E-3</v>
      </c>
    </row>
    <row r="323" spans="1:7" x14ac:dyDescent="0.25">
      <c r="A323" s="1">
        <v>46108</v>
      </c>
      <c r="B323">
        <v>0.86719999999999997</v>
      </c>
      <c r="C323">
        <v>184.16</v>
      </c>
      <c r="D323">
        <v>1.1516999999999999</v>
      </c>
      <c r="E323">
        <v>1.1516999999999999</v>
      </c>
      <c r="F323">
        <v>1.3280673431734318</v>
      </c>
      <c r="G323">
        <v>6.2538010425716769E-3</v>
      </c>
    </row>
    <row r="324" spans="1:7" x14ac:dyDescent="0.25">
      <c r="A324" s="1">
        <v>46111</v>
      </c>
      <c r="B324">
        <v>0.86802999999999997</v>
      </c>
      <c r="C324">
        <v>183.12</v>
      </c>
      <c r="D324">
        <v>1.1484000000000001</v>
      </c>
      <c r="E324">
        <v>1.1484000000000001</v>
      </c>
      <c r="F324">
        <v>1.3229957489948505</v>
      </c>
      <c r="G324">
        <v>6.2712975098296198E-3</v>
      </c>
    </row>
    <row r="325" spans="1:7" x14ac:dyDescent="0.25">
      <c r="A325" s="1">
        <v>46112</v>
      </c>
      <c r="B325">
        <v>0.86833000000000005</v>
      </c>
      <c r="C325">
        <v>183.39</v>
      </c>
      <c r="D325">
        <v>1.1497999999999999</v>
      </c>
      <c r="E325">
        <v>1.1497999999999999</v>
      </c>
      <c r="F325">
        <v>1.3241509564336138</v>
      </c>
      <c r="G325">
        <v>6.2696984568406128E-3</v>
      </c>
    </row>
    <row r="326" spans="1:7" x14ac:dyDescent="0.25">
      <c r="A326" s="1">
        <v>46113</v>
      </c>
      <c r="B326">
        <v>0.87112999999999996</v>
      </c>
      <c r="C326">
        <v>183.73</v>
      </c>
      <c r="D326">
        <v>1.1605000000000001</v>
      </c>
      <c r="E326">
        <v>1.1605000000000001</v>
      </c>
      <c r="F326">
        <v>1.3321777461458109</v>
      </c>
      <c r="G326">
        <v>6.3163337506123123E-3</v>
      </c>
    </row>
    <row r="327" spans="1:7" x14ac:dyDescent="0.25">
      <c r="A327" s="1">
        <v>46114</v>
      </c>
      <c r="B327">
        <v>0.87253000000000003</v>
      </c>
      <c r="C327">
        <v>183.94</v>
      </c>
      <c r="D327">
        <v>1.1525000000000001</v>
      </c>
      <c r="E327">
        <v>1.1525000000000001</v>
      </c>
      <c r="F327">
        <v>1.3208714886594157</v>
      </c>
      <c r="G327">
        <v>6.2656300967706864E-3</v>
      </c>
    </row>
    <row r="328" spans="1:7" x14ac:dyDescent="0.25">
      <c r="A328" s="1">
        <v>46119</v>
      </c>
      <c r="B328">
        <v>0.87258000000000002</v>
      </c>
      <c r="C328">
        <v>184.73</v>
      </c>
      <c r="D328">
        <v>1.1556999999999999</v>
      </c>
      <c r="E328">
        <v>1.1556999999999999</v>
      </c>
      <c r="F328">
        <v>1.3244630864791767</v>
      </c>
      <c r="G328">
        <v>6.2561576354679804E-3</v>
      </c>
    </row>
    <row r="329" spans="1:7" x14ac:dyDescent="0.25">
      <c r="A329" s="1">
        <v>46120</v>
      </c>
      <c r="B329">
        <v>0.86892999999999998</v>
      </c>
      <c r="C329">
        <v>185.13</v>
      </c>
      <c r="D329">
        <v>1.1706000000000001</v>
      </c>
      <c r="E329">
        <v>1.1706000000000001</v>
      </c>
      <c r="F329">
        <v>1.3471741106878576</v>
      </c>
      <c r="G329">
        <v>6.3231242910387299E-3</v>
      </c>
    </row>
    <row r="330" spans="1:7" x14ac:dyDescent="0.25">
      <c r="A330" s="1">
        <v>46121</v>
      </c>
      <c r="B330">
        <v>0.87053000000000003</v>
      </c>
      <c r="C330">
        <v>185.7</v>
      </c>
      <c r="D330">
        <v>1.1685000000000001</v>
      </c>
      <c r="E330">
        <v>1.1685000000000001</v>
      </c>
      <c r="F330">
        <v>1.3422857339781513</v>
      </c>
      <c r="G330">
        <v>6.2924071082390964E-3</v>
      </c>
    </row>
    <row r="331" spans="1:7" x14ac:dyDescent="0.25">
      <c r="A331" s="1">
        <v>46122</v>
      </c>
      <c r="B331">
        <v>0.87104999999999999</v>
      </c>
      <c r="C331">
        <v>186.43</v>
      </c>
      <c r="D331">
        <v>1.1711</v>
      </c>
      <c r="E331">
        <v>1.1711</v>
      </c>
      <c r="F331">
        <v>1.3444693186384249</v>
      </c>
      <c r="G331">
        <v>6.2817143163653921E-3</v>
      </c>
    </row>
    <row r="332" spans="1:7" x14ac:dyDescent="0.25">
      <c r="A332" s="1">
        <v>46125</v>
      </c>
      <c r="B332">
        <v>0.87058000000000002</v>
      </c>
      <c r="C332">
        <v>186.75</v>
      </c>
      <c r="D332">
        <v>1.1684000000000001</v>
      </c>
      <c r="E332">
        <v>1.1684000000000001</v>
      </c>
      <c r="F332">
        <v>1.3420937765627514</v>
      </c>
      <c r="G332">
        <v>6.2564926372155293E-3</v>
      </c>
    </row>
    <row r="333" spans="1:7" x14ac:dyDescent="0.25">
      <c r="A333" s="1">
        <v>46126</v>
      </c>
      <c r="B333">
        <v>0.86912999999999996</v>
      </c>
      <c r="C333">
        <v>187.33</v>
      </c>
      <c r="D333">
        <v>1.1793</v>
      </c>
      <c r="E333">
        <v>1.1793</v>
      </c>
      <c r="F333">
        <v>1.3568741154948052</v>
      </c>
      <c r="G333">
        <v>6.2953077456894251E-3</v>
      </c>
    </row>
    <row r="334" spans="1:7" x14ac:dyDescent="0.25">
      <c r="A334" s="1">
        <v>46127</v>
      </c>
      <c r="B334">
        <v>0.86934999999999996</v>
      </c>
      <c r="C334">
        <v>187.41</v>
      </c>
      <c r="D334">
        <v>1.1779999999999999</v>
      </c>
      <c r="E334">
        <v>1.1779999999999999</v>
      </c>
      <c r="F334">
        <v>1.3550353712543854</v>
      </c>
      <c r="G334">
        <v>6.2856837948882128E-3</v>
      </c>
    </row>
    <row r="335" spans="1:7" x14ac:dyDescent="0.25">
      <c r="A335" s="1">
        <v>46128</v>
      </c>
      <c r="B335">
        <v>0.86992999999999998</v>
      </c>
      <c r="C335">
        <v>187.31</v>
      </c>
      <c r="D335">
        <v>1.1781999999999999</v>
      </c>
      <c r="E335">
        <v>1.1781999999999999</v>
      </c>
      <c r="F335">
        <v>1.3543618452059361</v>
      </c>
      <c r="G335">
        <v>6.2901073087395223E-3</v>
      </c>
    </row>
    <row r="336" spans="1:7" x14ac:dyDescent="0.25">
      <c r="A336" s="1">
        <v>46129</v>
      </c>
      <c r="B336">
        <v>0.87168000000000001</v>
      </c>
      <c r="C336">
        <v>187.72</v>
      </c>
      <c r="D336">
        <v>1.1797</v>
      </c>
      <c r="E336">
        <v>1.1797</v>
      </c>
      <c r="F336">
        <v>1.3533636196769456</v>
      </c>
      <c r="G336">
        <v>6.2843596846366926E-3</v>
      </c>
    </row>
    <row r="337" spans="1:7" x14ac:dyDescent="0.25">
      <c r="A337" s="1">
        <v>46132</v>
      </c>
      <c r="B337">
        <v>0.87044999999999995</v>
      </c>
      <c r="C337">
        <v>186.88</v>
      </c>
      <c r="D337">
        <v>1.1759999999999999</v>
      </c>
      <c r="E337">
        <v>1.1759999999999999</v>
      </c>
      <c r="F337">
        <v>1.3510253317249699</v>
      </c>
      <c r="G337">
        <v>6.2928082191780824E-3</v>
      </c>
    </row>
    <row r="338" spans="1:7" x14ac:dyDescent="0.25">
      <c r="A338" s="1">
        <v>46133</v>
      </c>
      <c r="B338">
        <v>0.87034999999999996</v>
      </c>
      <c r="C338">
        <v>187.14</v>
      </c>
      <c r="D338">
        <v>1.1767000000000001</v>
      </c>
      <c r="E338">
        <v>1.1767000000000001</v>
      </c>
      <c r="F338">
        <v>1.351984833687597</v>
      </c>
      <c r="G338">
        <v>6.2878059207010801E-3</v>
      </c>
    </row>
    <row r="339" spans="1:7" x14ac:dyDescent="0.25">
      <c r="A339" s="1">
        <v>46134</v>
      </c>
      <c r="B339">
        <v>0.86902999999999997</v>
      </c>
      <c r="C339">
        <v>186.81</v>
      </c>
      <c r="D339">
        <v>1.1733</v>
      </c>
      <c r="E339">
        <v>1.1733</v>
      </c>
      <c r="F339">
        <v>1.3501260025545725</v>
      </c>
      <c r="G339">
        <v>6.2807130239280551E-3</v>
      </c>
    </row>
    <row r="340" spans="1:7" x14ac:dyDescent="0.25">
      <c r="A340" s="1">
        <v>46135</v>
      </c>
      <c r="B340">
        <v>0.86575000000000002</v>
      </c>
      <c r="C340">
        <v>186.5</v>
      </c>
      <c r="D340">
        <v>1.1694</v>
      </c>
      <c r="E340">
        <v>1.1694</v>
      </c>
      <c r="F340">
        <v>1.3507363557609009</v>
      </c>
      <c r="G340">
        <v>6.2702412868632712E-3</v>
      </c>
    </row>
    <row r="341" spans="1:7" x14ac:dyDescent="0.25">
      <c r="A341" s="1">
        <v>46136</v>
      </c>
      <c r="B341">
        <v>0.86802999999999997</v>
      </c>
      <c r="C341">
        <v>186.71</v>
      </c>
      <c r="D341">
        <v>1.1712</v>
      </c>
      <c r="E341">
        <v>1.1712</v>
      </c>
      <c r="F341">
        <v>1.3492621222768799</v>
      </c>
      <c r="G341">
        <v>6.2728295217181727E-3</v>
      </c>
    </row>
    <row r="342" spans="1:7" x14ac:dyDescent="0.25">
      <c r="A342" s="1">
        <v>46139</v>
      </c>
      <c r="B342">
        <v>0.86580000000000001</v>
      </c>
      <c r="C342">
        <v>187.06</v>
      </c>
      <c r="D342">
        <v>1.1749000000000001</v>
      </c>
      <c r="E342">
        <v>1.1749000000000001</v>
      </c>
      <c r="F342">
        <v>1.357010857010857</v>
      </c>
      <c r="G342">
        <v>6.280872447343099E-3</v>
      </c>
    </row>
    <row r="343" spans="1:7" x14ac:dyDescent="0.25">
      <c r="A343" s="1">
        <v>46140</v>
      </c>
      <c r="B343">
        <v>0.86714999999999998</v>
      </c>
      <c r="C343">
        <v>186.58</v>
      </c>
      <c r="D343">
        <v>1.1679999999999999</v>
      </c>
      <c r="E343">
        <v>1.1679999999999999</v>
      </c>
      <c r="F343">
        <v>1.3469411289857578</v>
      </c>
      <c r="G343">
        <v>6.2600493086075668E-3</v>
      </c>
    </row>
    <row r="344" spans="1:7" x14ac:dyDescent="0.25">
      <c r="A344" s="1">
        <v>46141</v>
      </c>
      <c r="B344">
        <v>0.86643000000000003</v>
      </c>
      <c r="C344">
        <v>187.05</v>
      </c>
      <c r="D344">
        <v>1.1706000000000001</v>
      </c>
      <c r="E344">
        <v>1.1706000000000001</v>
      </c>
      <c r="F344">
        <v>1.3510612513417126</v>
      </c>
      <c r="G344">
        <v>6.2582197273456297E-3</v>
      </c>
    </row>
    <row r="345" spans="1:7" x14ac:dyDescent="0.25">
      <c r="A345" s="1">
        <v>46142</v>
      </c>
      <c r="B345">
        <v>0.86624999999999996</v>
      </c>
      <c r="C345">
        <v>183.21</v>
      </c>
      <c r="D345">
        <v>1.1701999999999999</v>
      </c>
      <c r="E345">
        <v>1.1701999999999999</v>
      </c>
      <c r="F345">
        <v>1.3508802308802308</v>
      </c>
      <c r="G345">
        <v>6.3872059385404719E-3</v>
      </c>
    </row>
    <row r="346" spans="1:7" x14ac:dyDescent="0.25">
      <c r="A346" s="1">
        <v>46146</v>
      </c>
      <c r="B346">
        <v>0.86358000000000001</v>
      </c>
      <c r="C346">
        <v>183.83</v>
      </c>
      <c r="D346">
        <v>1.17</v>
      </c>
      <c r="E346">
        <v>1.17</v>
      </c>
      <c r="F346">
        <v>1.354825262280275</v>
      </c>
      <c r="G346">
        <v>6.3645759669259637E-3</v>
      </c>
    </row>
    <row r="347" spans="1:7" x14ac:dyDescent="0.25">
      <c r="A347" s="1">
        <v>46147</v>
      </c>
      <c r="B347">
        <v>0.86343000000000003</v>
      </c>
      <c r="C347">
        <v>184.42</v>
      </c>
      <c r="D347">
        <v>1.1686000000000001</v>
      </c>
      <c r="E347">
        <v>1.1686000000000001</v>
      </c>
      <c r="F347">
        <v>1.3534391902065019</v>
      </c>
      <c r="G347">
        <v>6.336622925929943E-3</v>
      </c>
    </row>
    <row r="348" spans="1:7" x14ac:dyDescent="0.25">
      <c r="A348" s="1">
        <v>46148</v>
      </c>
      <c r="B348">
        <v>0.86370000000000002</v>
      </c>
      <c r="C348">
        <v>183.74</v>
      </c>
      <c r="D348">
        <v>1.1761999999999999</v>
      </c>
      <c r="E348">
        <v>1.1761999999999999</v>
      </c>
      <c r="F348">
        <v>1.3618154451777236</v>
      </c>
      <c r="G348">
        <v>6.4014368128877753E-3</v>
      </c>
    </row>
    <row r="349" spans="1:7" x14ac:dyDescent="0.25">
      <c r="A349" s="1">
        <v>46149</v>
      </c>
      <c r="B349">
        <v>0.86409999999999998</v>
      </c>
      <c r="C349">
        <v>184.07</v>
      </c>
      <c r="D349">
        <v>1.177</v>
      </c>
      <c r="E349">
        <v>1.177</v>
      </c>
      <c r="F349">
        <v>1.3621108667978243</v>
      </c>
      <c r="G349">
        <v>6.3943065138262626E-3</v>
      </c>
    </row>
    <row r="350" spans="1:7" x14ac:dyDescent="0.25">
      <c r="A350" s="1">
        <v>46150</v>
      </c>
      <c r="B350">
        <v>0.86409999999999998</v>
      </c>
      <c r="C350">
        <v>184.37</v>
      </c>
      <c r="D350">
        <v>1.1760999999999999</v>
      </c>
      <c r="E350">
        <v>1.1760999999999999</v>
      </c>
      <c r="F350">
        <v>1.3610693206804767</v>
      </c>
      <c r="G350">
        <v>6.3790204480121491E-3</v>
      </c>
    </row>
    <row r="351" spans="1:7" x14ac:dyDescent="0.25">
      <c r="A351" s="1">
        <v>46153</v>
      </c>
      <c r="B351">
        <v>0.86487999999999998</v>
      </c>
      <c r="C351">
        <v>184.87</v>
      </c>
      <c r="D351">
        <v>1.1765000000000001</v>
      </c>
      <c r="E351">
        <v>1.1765000000000001</v>
      </c>
      <c r="F351">
        <v>1.3603043196744058</v>
      </c>
      <c r="G351">
        <v>6.3639314112619687E-3</v>
      </c>
    </row>
    <row r="352" spans="1:7" x14ac:dyDescent="0.25">
      <c r="A352" s="1">
        <v>46154</v>
      </c>
      <c r="B352">
        <v>0.86802999999999997</v>
      </c>
      <c r="C352">
        <v>184.98</v>
      </c>
      <c r="D352">
        <v>1.1738</v>
      </c>
      <c r="E352">
        <v>1.1738</v>
      </c>
      <c r="F352">
        <v>1.3522574104581639</v>
      </c>
      <c r="G352">
        <v>6.3455508703643641E-3</v>
      </c>
    </row>
    <row r="353" spans="1:7" x14ac:dyDescent="0.25">
      <c r="A353" s="1">
        <v>46155</v>
      </c>
      <c r="B353">
        <v>0.86712999999999996</v>
      </c>
      <c r="C353">
        <v>184.83</v>
      </c>
      <c r="D353">
        <v>1.1715</v>
      </c>
      <c r="E353">
        <v>1.1715</v>
      </c>
      <c r="F353">
        <v>1.3510084993022962</v>
      </c>
      <c r="G353">
        <v>6.3382567764973217E-3</v>
      </c>
    </row>
    <row r="354" spans="1:7" x14ac:dyDescent="0.25">
      <c r="A354" s="1">
        <v>46156</v>
      </c>
      <c r="B354">
        <v>0.86617999999999995</v>
      </c>
      <c r="C354">
        <v>184.83</v>
      </c>
      <c r="D354">
        <v>1.1701999999999999</v>
      </c>
      <c r="E354">
        <v>1.1701999999999999</v>
      </c>
      <c r="F354">
        <v>1.3509894017409776</v>
      </c>
      <c r="G354">
        <v>6.3312232862630519E-3</v>
      </c>
    </row>
    <row r="355" spans="1:7" x14ac:dyDescent="0.25">
      <c r="A355" s="1">
        <v>46157</v>
      </c>
      <c r="B355">
        <v>0.87050000000000005</v>
      </c>
      <c r="C355">
        <v>184.36</v>
      </c>
      <c r="D355">
        <v>1.1628000000000001</v>
      </c>
      <c r="E355">
        <v>1.1628000000000001</v>
      </c>
      <c r="F355">
        <v>1.3357840321654222</v>
      </c>
      <c r="G355">
        <v>6.3072249945758298E-3</v>
      </c>
    </row>
    <row r="356" spans="1:7" x14ac:dyDescent="0.25">
      <c r="A356" s="1">
        <v>46160</v>
      </c>
      <c r="B356">
        <v>0.87019999999999997</v>
      </c>
      <c r="C356">
        <v>184.93</v>
      </c>
      <c r="D356">
        <v>1.1648000000000001</v>
      </c>
      <c r="E356">
        <v>1.1648000000000001</v>
      </c>
      <c r="F356">
        <v>1.3385428637094923</v>
      </c>
      <c r="G356">
        <v>6.2985994700697559E-3</v>
      </c>
    </row>
    <row r="357" spans="1:7" x14ac:dyDescent="0.25">
      <c r="A357" s="1">
        <v>46161</v>
      </c>
      <c r="B357">
        <v>0.86670999999999998</v>
      </c>
      <c r="C357">
        <v>184.89</v>
      </c>
      <c r="D357">
        <v>1.1619999999999999</v>
      </c>
      <c r="E357">
        <v>1.1619999999999999</v>
      </c>
      <c r="F357">
        <v>1.3407021956594478</v>
      </c>
      <c r="G357">
        <v>6.284817999891828E-3</v>
      </c>
    </row>
    <row r="358" spans="1:7" x14ac:dyDescent="0.25">
      <c r="A358" s="1">
        <v>46162</v>
      </c>
      <c r="B358">
        <v>0.86555000000000004</v>
      </c>
      <c r="C358">
        <v>184.48</v>
      </c>
      <c r="D358">
        <v>1.1599999999999999</v>
      </c>
      <c r="E358">
        <v>1.1599999999999999</v>
      </c>
      <c r="F358">
        <v>1.3401883195655939</v>
      </c>
      <c r="G358">
        <v>6.2879444926279273E-3</v>
      </c>
    </row>
    <row r="359" spans="1:7" x14ac:dyDescent="0.25">
      <c r="A359" s="1">
        <v>46163</v>
      </c>
      <c r="B359">
        <v>0.86433000000000004</v>
      </c>
      <c r="C359">
        <v>184.59</v>
      </c>
      <c r="D359">
        <v>1.1598999999999999</v>
      </c>
      <c r="E359">
        <v>1.1598999999999999</v>
      </c>
      <c r="F359">
        <v>1.3419642960443348</v>
      </c>
      <c r="G359">
        <v>6.2836556693211983E-3</v>
      </c>
    </row>
    <row r="360" spans="1:7" x14ac:dyDescent="0.25">
      <c r="A360" s="1">
        <v>46164</v>
      </c>
      <c r="B360">
        <v>0.86417999999999995</v>
      </c>
      <c r="C360">
        <v>184.53</v>
      </c>
      <c r="D360">
        <v>1.1595</v>
      </c>
      <c r="E360">
        <v>1.1595</v>
      </c>
      <c r="F360">
        <v>1.3417343608970353</v>
      </c>
      <c r="G360">
        <v>6.2835311331490814E-3</v>
      </c>
    </row>
    <row r="361" spans="1:7" x14ac:dyDescent="0.25">
      <c r="A361" s="1">
        <v>46167</v>
      </c>
      <c r="B361">
        <v>0.86255000000000004</v>
      </c>
      <c r="C361">
        <v>185.04</v>
      </c>
      <c r="D361">
        <v>1.1642999999999999</v>
      </c>
      <c r="E361">
        <v>1.1642999999999999</v>
      </c>
      <c r="F361">
        <v>1.3498347921859601</v>
      </c>
      <c r="G361">
        <v>6.2921530479896235E-3</v>
      </c>
    </row>
    <row r="362" spans="1:7" x14ac:dyDescent="0.25">
      <c r="A362" s="1">
        <v>46168</v>
      </c>
      <c r="B362">
        <v>0.86375000000000002</v>
      </c>
      <c r="C362">
        <v>185.22</v>
      </c>
      <c r="D362">
        <v>1.1634</v>
      </c>
      <c r="E362">
        <v>1.1634</v>
      </c>
      <c r="F362">
        <v>1.3469175108538349</v>
      </c>
      <c r="G362">
        <v>6.2811791383219958E-3</v>
      </c>
    </row>
    <row r="363" spans="1:7" x14ac:dyDescent="0.25">
      <c r="A363" s="1">
        <v>46169</v>
      </c>
      <c r="B363">
        <v>0.86617999999999995</v>
      </c>
      <c r="C363">
        <v>185.52</v>
      </c>
      <c r="D363">
        <v>1.1637</v>
      </c>
      <c r="E363">
        <v>1.1637</v>
      </c>
      <c r="F363">
        <v>1.3434851878362466</v>
      </c>
      <c r="G363">
        <v>6.2726390685640355E-3</v>
      </c>
    </row>
    <row r="364" spans="1:7" x14ac:dyDescent="0.25">
      <c r="A364" s="1">
        <v>46170</v>
      </c>
      <c r="B364">
        <v>0.86665000000000003</v>
      </c>
      <c r="C364">
        <v>185.24</v>
      </c>
      <c r="D364">
        <v>1.1617</v>
      </c>
      <c r="E364">
        <v>1.1617</v>
      </c>
      <c r="F364">
        <v>1.3404488547856688</v>
      </c>
      <c r="G364">
        <v>6.2713236881882959E-3</v>
      </c>
    </row>
    <row r="365" spans="1:7" x14ac:dyDescent="0.25">
      <c r="A365" s="1">
        <v>46171</v>
      </c>
      <c r="B365">
        <v>0.86722999999999995</v>
      </c>
      <c r="C365">
        <v>185.45</v>
      </c>
      <c r="D365">
        <v>1.1644000000000001</v>
      </c>
      <c r="E365">
        <v>1.1644000000000001</v>
      </c>
      <c r="F365">
        <v>1.3426657288147321</v>
      </c>
      <c r="G365">
        <v>6.2787813426799684E-3</v>
      </c>
    </row>
    <row r="366" spans="1:7" x14ac:dyDescent="0.25">
      <c r="A366" s="1">
        <v>46174</v>
      </c>
      <c r="B366">
        <v>0.86492999999999998</v>
      </c>
      <c r="C366">
        <v>185.74</v>
      </c>
      <c r="D366">
        <v>1.1646000000000001</v>
      </c>
      <c r="E366">
        <v>1.1646000000000001</v>
      </c>
      <c r="F366">
        <v>1.3464673441781416</v>
      </c>
      <c r="G366">
        <v>6.2700549154732421E-3</v>
      </c>
    </row>
    <row r="367" spans="1:7" x14ac:dyDescent="0.25">
      <c r="A367" s="1">
        <v>46175</v>
      </c>
      <c r="B367">
        <v>0.86465000000000003</v>
      </c>
      <c r="C367">
        <v>186.09</v>
      </c>
      <c r="D367">
        <v>1.1649</v>
      </c>
      <c r="E367">
        <v>1.1649</v>
      </c>
      <c r="F367">
        <v>1.3472503325044816</v>
      </c>
      <c r="G367">
        <v>6.2598742543930356E-3</v>
      </c>
    </row>
    <row r="368" spans="1:7" x14ac:dyDescent="0.25">
      <c r="A368" s="1">
        <v>46176</v>
      </c>
      <c r="B368">
        <v>0.86370000000000002</v>
      </c>
      <c r="C368">
        <v>185.66</v>
      </c>
      <c r="D368">
        <v>1.1614</v>
      </c>
      <c r="E368">
        <v>1.1614</v>
      </c>
      <c r="F368">
        <v>1.3446798656941068</v>
      </c>
      <c r="G368">
        <v>6.2555208445545622E-3</v>
      </c>
    </row>
    <row r="369" spans="1:7" x14ac:dyDescent="0.25">
      <c r="A369" s="1">
        <v>46177</v>
      </c>
      <c r="B369">
        <v>0.8649</v>
      </c>
      <c r="C369">
        <v>186.01</v>
      </c>
      <c r="D369">
        <v>1.1639999999999999</v>
      </c>
      <c r="E369">
        <v>1.1639999999999999</v>
      </c>
      <c r="F369">
        <v>1.3458203260492541</v>
      </c>
      <c r="G369">
        <v>6.2577280791355303E-3</v>
      </c>
    </row>
    <row r="370" spans="1:7" x14ac:dyDescent="0.25">
      <c r="A370" s="1">
        <v>46178</v>
      </c>
      <c r="B370">
        <v>0.86433000000000004</v>
      </c>
      <c r="C370">
        <v>186.08</v>
      </c>
      <c r="D370">
        <v>1.1639999999999999</v>
      </c>
      <c r="E370">
        <v>1.1639999999999999</v>
      </c>
      <c r="F370">
        <v>1.3467078546388531</v>
      </c>
      <c r="G370">
        <v>6.2553740326741179E-3</v>
      </c>
    </row>
    <row r="371" spans="1:7" x14ac:dyDescent="0.25">
      <c r="A371" s="1">
        <v>46181</v>
      </c>
      <c r="B371">
        <v>0.86360000000000003</v>
      </c>
      <c r="C371">
        <v>184.6</v>
      </c>
      <c r="D371">
        <v>1.1539999999999999</v>
      </c>
      <c r="E371">
        <v>1.1539999999999999</v>
      </c>
      <c r="F371">
        <v>1.3362667901806391</v>
      </c>
      <c r="G371">
        <v>6.2513542795232932E-3</v>
      </c>
    </row>
    <row r="372" spans="1:7" x14ac:dyDescent="0.25">
      <c r="A372" s="1">
        <v>46182</v>
      </c>
      <c r="B372">
        <v>0.86339999999999995</v>
      </c>
      <c r="C372">
        <v>185.35</v>
      </c>
      <c r="D372">
        <v>1.1573</v>
      </c>
      <c r="E372">
        <v>1.1573</v>
      </c>
      <c r="F372">
        <v>1.3403984248320593</v>
      </c>
      <c r="G372">
        <v>6.2438629619638525E-3</v>
      </c>
    </row>
    <row r="373" spans="1:7" x14ac:dyDescent="0.25">
      <c r="A373" s="1">
        <v>46183</v>
      </c>
      <c r="B373">
        <v>0.86228000000000005</v>
      </c>
      <c r="C373">
        <v>185.19</v>
      </c>
      <c r="D373">
        <v>1.1538999999999999</v>
      </c>
      <c r="E373">
        <v>1.1538999999999999</v>
      </c>
      <c r="F373">
        <v>1.3381964095189496</v>
      </c>
      <c r="G373">
        <v>6.2308979966520864E-3</v>
      </c>
    </row>
    <row r="374" spans="1:7" x14ac:dyDescent="0.25">
      <c r="A374" s="1">
        <v>46184</v>
      </c>
      <c r="B374">
        <v>0.86329999999999996</v>
      </c>
      <c r="C374">
        <v>185.21</v>
      </c>
      <c r="D374">
        <v>1.1536999999999999</v>
      </c>
      <c r="E374">
        <v>1.1536999999999999</v>
      </c>
      <c r="F374">
        <v>1.336383644156145</v>
      </c>
      <c r="G374">
        <v>6.2291452945305321E-3</v>
      </c>
    </row>
    <row r="375" spans="1:7" x14ac:dyDescent="0.25">
      <c r="A375" s="1">
        <v>46185</v>
      </c>
      <c r="B375">
        <v>0.86304999999999998</v>
      </c>
      <c r="C375">
        <v>185.3</v>
      </c>
      <c r="D375">
        <v>1.1567000000000001</v>
      </c>
      <c r="E375">
        <v>1.1567000000000001</v>
      </c>
      <c r="F375">
        <v>1.3402467991425759</v>
      </c>
      <c r="G375">
        <v>6.2423097679438749E-3</v>
      </c>
    </row>
    <row r="376" spans="1:7" x14ac:dyDescent="0.25">
      <c r="A376" s="1">
        <v>46188</v>
      </c>
      <c r="B376">
        <v>0.86482999999999999</v>
      </c>
      <c r="C376">
        <v>185.93</v>
      </c>
      <c r="D376">
        <v>1.1607000000000001</v>
      </c>
      <c r="E376">
        <v>1.1607000000000001</v>
      </c>
      <c r="F376">
        <v>1.3421134789496203</v>
      </c>
      <c r="G376">
        <v>6.2426719733232935E-3</v>
      </c>
    </row>
    <row r="377" spans="1:7" x14ac:dyDescent="0.25">
      <c r="A377" s="1">
        <v>46189</v>
      </c>
      <c r="B377">
        <v>0.86470999999999998</v>
      </c>
      <c r="C377">
        <v>185.94</v>
      </c>
      <c r="D377">
        <v>1.1594</v>
      </c>
      <c r="E377">
        <v>1.1594</v>
      </c>
      <c r="F377">
        <v>1.3407963363439765</v>
      </c>
      <c r="G377">
        <v>6.2353447348607082E-3</v>
      </c>
    </row>
    <row r="378" spans="1:7" x14ac:dyDescent="0.25">
      <c r="A378" s="1">
        <v>46190</v>
      </c>
      <c r="B378">
        <v>0.86463000000000001</v>
      </c>
      <c r="C378">
        <v>185.82</v>
      </c>
      <c r="D378">
        <v>1.1591</v>
      </c>
      <c r="E378">
        <v>1.1591</v>
      </c>
      <c r="F378">
        <v>1.3405734244705827</v>
      </c>
      <c r="G378">
        <v>6.2377569691098918E-3</v>
      </c>
    </row>
    <row r="379" spans="1:7" x14ac:dyDescent="0.25">
      <c r="A379" s="1">
        <v>46191</v>
      </c>
      <c r="B379">
        <v>0.86638000000000004</v>
      </c>
      <c r="C379">
        <v>184.44</v>
      </c>
      <c r="D379">
        <v>1.1460999999999999</v>
      </c>
      <c r="E379">
        <v>1.1460999999999999</v>
      </c>
      <c r="F379">
        <v>1.3228606385188946</v>
      </c>
      <c r="G379">
        <v>6.2139449143352845E-3</v>
      </c>
    </row>
    <row r="380" spans="1:7" x14ac:dyDescent="0.25">
      <c r="A380" s="1">
        <v>46192</v>
      </c>
      <c r="B380">
        <v>0.86653000000000002</v>
      </c>
      <c r="C380">
        <v>184.88</v>
      </c>
      <c r="D380">
        <v>1.1467000000000001</v>
      </c>
      <c r="E380">
        <v>1.1467000000000001</v>
      </c>
      <c r="F380">
        <v>1.3233240626406473</v>
      </c>
      <c r="G380">
        <v>6.2024015577672011E-3</v>
      </c>
    </row>
    <row r="381" spans="1:7" x14ac:dyDescent="0.25">
      <c r="A381" s="1">
        <v>46195</v>
      </c>
      <c r="B381">
        <v>0.86468</v>
      </c>
      <c r="C381">
        <v>185.33</v>
      </c>
      <c r="D381">
        <v>1.1456</v>
      </c>
      <c r="E381">
        <v>1.1456</v>
      </c>
      <c r="F381">
        <v>1.3248831937826711</v>
      </c>
      <c r="G381">
        <v>6.1814061403982082E-3</v>
      </c>
    </row>
    <row r="382" spans="1:7" x14ac:dyDescent="0.25">
      <c r="A382" s="1">
        <v>46196</v>
      </c>
      <c r="B382">
        <v>0.86199999999999999</v>
      </c>
      <c r="C382">
        <v>184.02</v>
      </c>
      <c r="D382">
        <v>1.1392</v>
      </c>
      <c r="E382">
        <v>1.1392</v>
      </c>
      <c r="F382">
        <v>1.3215777262180974</v>
      </c>
      <c r="G382">
        <v>6.1906314531029235E-3</v>
      </c>
    </row>
    <row r="383" spans="1:7" x14ac:dyDescent="0.25">
      <c r="A383" s="1">
        <v>46197</v>
      </c>
      <c r="B383">
        <v>0.86165000000000003</v>
      </c>
      <c r="C383">
        <v>183.35</v>
      </c>
      <c r="D383">
        <v>1.1339999999999999</v>
      </c>
      <c r="E383">
        <v>1.1339999999999999</v>
      </c>
      <c r="F383">
        <v>1.3160796146927405</v>
      </c>
      <c r="G383">
        <v>6.1848922825197706E-3</v>
      </c>
    </row>
    <row r="384" spans="1:7" x14ac:dyDescent="0.25">
      <c r="A384" s="1">
        <v>46198</v>
      </c>
      <c r="B384">
        <v>0.86182999999999998</v>
      </c>
      <c r="C384">
        <v>183.57</v>
      </c>
      <c r="D384">
        <v>1.1342000000000001</v>
      </c>
      <c r="E384">
        <v>1.1342000000000001</v>
      </c>
      <c r="F384">
        <v>1.3160368054024576</v>
      </c>
      <c r="G384">
        <v>6.1785694830309972E-3</v>
      </c>
    </row>
    <row r="385" spans="1:7" x14ac:dyDescent="0.25">
      <c r="A385" s="1">
        <v>46199</v>
      </c>
      <c r="B385">
        <v>0.86253000000000002</v>
      </c>
      <c r="C385">
        <v>184.3</v>
      </c>
      <c r="D385">
        <v>1.1400999999999999</v>
      </c>
      <c r="E385">
        <v>1.1400999999999999</v>
      </c>
      <c r="F385">
        <v>1.3218090964951943</v>
      </c>
      <c r="G385">
        <v>6.1861096039066733E-3</v>
      </c>
    </row>
    <row r="386" spans="1:7" x14ac:dyDescent="0.25">
      <c r="A386" s="1">
        <v>46202</v>
      </c>
      <c r="B386">
        <v>0.86214999999999997</v>
      </c>
      <c r="C386">
        <v>184.62</v>
      </c>
      <c r="D386">
        <v>1.1406000000000001</v>
      </c>
      <c r="E386">
        <v>1.1406000000000001</v>
      </c>
      <c r="F386">
        <v>1.3229716406657774</v>
      </c>
      <c r="G386">
        <v>6.1780955476113102E-3</v>
      </c>
    </row>
    <row r="387" spans="1:7" x14ac:dyDescent="0.25">
      <c r="A387" s="1">
        <v>46203</v>
      </c>
      <c r="B387">
        <v>0.86177999999999999</v>
      </c>
      <c r="C387">
        <v>185.08</v>
      </c>
      <c r="D387">
        <v>1.1394</v>
      </c>
      <c r="E387">
        <v>1.1394</v>
      </c>
      <c r="F387">
        <v>1.3221471837359884</v>
      </c>
      <c r="G387">
        <v>6.1562567538361781E-3</v>
      </c>
    </row>
    <row r="388" spans="1:7" x14ac:dyDescent="0.25">
      <c r="A388" s="1">
        <v>46204</v>
      </c>
      <c r="B388">
        <v>0.85972999999999999</v>
      </c>
      <c r="C388">
        <v>185.21</v>
      </c>
      <c r="D388">
        <v>1.1383000000000001</v>
      </c>
      <c r="E388">
        <v>1.1383000000000001</v>
      </c>
      <c r="F388">
        <v>1.3240203319646866</v>
      </c>
      <c r="G388">
        <v>6.145996436477512E-3</v>
      </c>
    </row>
    <row r="389" spans="1:7" x14ac:dyDescent="0.25">
      <c r="A389" s="1">
        <v>46205</v>
      </c>
      <c r="B389">
        <v>0.85665000000000002</v>
      </c>
      <c r="C389">
        <v>184.19</v>
      </c>
      <c r="D389">
        <v>1.1398999999999999</v>
      </c>
      <c r="E389">
        <v>1.1398999999999999</v>
      </c>
      <c r="F389">
        <v>1.3306484561956458</v>
      </c>
      <c r="G389">
        <v>6.1887181714533899E-3</v>
      </c>
    </row>
    <row r="390" spans="1:7" x14ac:dyDescent="0.25">
      <c r="A390" s="1">
        <v>46206</v>
      </c>
      <c r="B390">
        <v>0.85719999999999996</v>
      </c>
      <c r="C390">
        <v>184.48</v>
      </c>
      <c r="D390">
        <v>1.1448</v>
      </c>
      <c r="E390">
        <v>1.1448</v>
      </c>
      <c r="F390">
        <v>1.3355109659356044</v>
      </c>
      <c r="G390">
        <v>6.2055507372072863E-3</v>
      </c>
    </row>
    <row r="391" spans="1:7" x14ac:dyDescent="0.25">
      <c r="A391" s="1">
        <v>46209</v>
      </c>
      <c r="B391">
        <v>0.85538000000000003</v>
      </c>
      <c r="C391">
        <v>185.31</v>
      </c>
      <c r="D391">
        <v>1.1415</v>
      </c>
      <c r="E391">
        <v>1.1415</v>
      </c>
      <c r="F391">
        <v>1.3344946105824311</v>
      </c>
      <c r="G391">
        <v>6.1599481949166255E-3</v>
      </c>
    </row>
    <row r="392" spans="1:7" x14ac:dyDescent="0.25">
      <c r="A392" s="1">
        <v>46210</v>
      </c>
      <c r="B392">
        <v>0.85411000000000004</v>
      </c>
      <c r="C392">
        <v>185.09</v>
      </c>
      <c r="D392">
        <v>1.1433</v>
      </c>
      <c r="E392">
        <v>1.1433</v>
      </c>
      <c r="F392">
        <v>1.3385863647539544</v>
      </c>
      <c r="G392">
        <v>6.176994975417364E-3</v>
      </c>
    </row>
    <row r="393" spans="1:7" x14ac:dyDescent="0.25">
      <c r="A393" s="1">
        <v>46211</v>
      </c>
      <c r="B393">
        <v>0.85435000000000005</v>
      </c>
      <c r="C393">
        <v>185.3</v>
      </c>
      <c r="D393">
        <v>1.1404000000000001</v>
      </c>
      <c r="E393">
        <v>1.1404000000000001</v>
      </c>
      <c r="F393">
        <v>1.3348159419441681</v>
      </c>
      <c r="G393">
        <v>6.1543443065299516E-3</v>
      </c>
    </row>
    <row r="394" spans="1:7" x14ac:dyDescent="0.25">
      <c r="A394" s="1">
        <v>46212</v>
      </c>
      <c r="B394">
        <v>0.85363</v>
      </c>
      <c r="C394">
        <v>185.72</v>
      </c>
      <c r="D394">
        <v>1.1435</v>
      </c>
      <c r="E394">
        <v>1.1435</v>
      </c>
      <c r="F394">
        <v>1.3395733514520343</v>
      </c>
      <c r="G394">
        <v>6.1571182425156148E-3</v>
      </c>
    </row>
    <row r="395" spans="1:7" x14ac:dyDescent="0.25">
      <c r="A395" s="1">
        <v>46213</v>
      </c>
      <c r="B395">
        <v>0.85155000000000003</v>
      </c>
      <c r="C395">
        <v>185.02</v>
      </c>
      <c r="D395">
        <v>1.143</v>
      </c>
      <c r="E395">
        <v>1.143</v>
      </c>
      <c r="F395">
        <v>1.3422582349832657</v>
      </c>
      <c r="G395">
        <v>6.1777105177818611E-3</v>
      </c>
    </row>
    <row r="396" spans="1:7" x14ac:dyDescent="0.25">
      <c r="A396" s="1">
        <v>46216</v>
      </c>
      <c r="B396">
        <v>0.85329999999999995</v>
      </c>
      <c r="C396">
        <v>185.23</v>
      </c>
      <c r="D396">
        <v>1.1424000000000001</v>
      </c>
      <c r="E396">
        <v>1.1424000000000001</v>
      </c>
      <c r="F396">
        <v>1.3388022969647253</v>
      </c>
      <c r="G396">
        <v>6.167467472871566E-3</v>
      </c>
    </row>
    <row r="397" spans="1:7" x14ac:dyDescent="0.25">
      <c r="A397" s="1">
        <v>46217</v>
      </c>
      <c r="B397">
        <v>0.85214999999999996</v>
      </c>
      <c r="C397">
        <v>185.01</v>
      </c>
      <c r="D397">
        <v>1.1405000000000001</v>
      </c>
      <c r="E397">
        <v>1.1405000000000001</v>
      </c>
      <c r="F397">
        <v>1.338379393299302</v>
      </c>
      <c r="G397">
        <v>6.164531646938004E-3</v>
      </c>
    </row>
    <row r="398" spans="1:7" x14ac:dyDescent="0.25">
      <c r="A398" s="1">
        <v>46218</v>
      </c>
      <c r="B398">
        <v>0.85092999999999996</v>
      </c>
      <c r="C398">
        <v>185.22</v>
      </c>
      <c r="D398">
        <v>1.1406000000000001</v>
      </c>
      <c r="E398">
        <v>1.1406000000000001</v>
      </c>
      <c r="F398">
        <v>1.3404157803814651</v>
      </c>
      <c r="G398">
        <v>6.1580822805312602E-3</v>
      </c>
    </row>
    <row r="399" spans="1:7" x14ac:dyDescent="0.25">
      <c r="A399" s="1">
        <v>46219</v>
      </c>
      <c r="B399">
        <v>0.84872999999999998</v>
      </c>
      <c r="C399">
        <v>185.99</v>
      </c>
      <c r="D399">
        <v>1.1467000000000001</v>
      </c>
      <c r="E399">
        <v>1.1467000000000001</v>
      </c>
      <c r="F399">
        <v>1.3510774922531312</v>
      </c>
      <c r="G399">
        <v>6.1653852357653636E-3</v>
      </c>
    </row>
    <row r="400" spans="1:7" x14ac:dyDescent="0.25">
      <c r="A400" s="1">
        <v>46220</v>
      </c>
      <c r="B400">
        <v>0.85097999999999996</v>
      </c>
      <c r="C400">
        <v>185.65</v>
      </c>
      <c r="D400">
        <v>1.1435</v>
      </c>
      <c r="E400">
        <v>1.1435</v>
      </c>
      <c r="F400">
        <v>1.3437448588685985</v>
      </c>
      <c r="G400">
        <v>6.1594398060867217E-3</v>
      </c>
    </row>
    <row r="401" spans="1:7" x14ac:dyDescent="0.25">
      <c r="A401" s="1">
        <v>46223</v>
      </c>
      <c r="B401">
        <v>0.84887999999999997</v>
      </c>
      <c r="C401">
        <v>185.54</v>
      </c>
      <c r="D401">
        <v>1.1426000000000001</v>
      </c>
      <c r="E401">
        <v>1.1426000000000001</v>
      </c>
      <c r="F401">
        <v>1.3460088587315051</v>
      </c>
      <c r="G401">
        <v>6.1582408106068782E-3</v>
      </c>
    </row>
    <row r="402" spans="1:7" x14ac:dyDescent="0.25">
      <c r="A402" s="1">
        <v>46224</v>
      </c>
      <c r="B402">
        <v>0.85204999999999997</v>
      </c>
      <c r="C402">
        <v>185.82</v>
      </c>
      <c r="D402">
        <v>1.1417999999999999</v>
      </c>
      <c r="E402">
        <v>1.1417999999999999</v>
      </c>
      <c r="F402">
        <v>1.3400622029223637</v>
      </c>
      <c r="G402">
        <v>6.1446561188246689E-3</v>
      </c>
    </row>
    <row r="403" spans="1:7" x14ac:dyDescent="0.25">
      <c r="A403" s="1">
        <v>46225</v>
      </c>
      <c r="B403">
        <v>0.85340000000000005</v>
      </c>
      <c r="C403">
        <v>186.03</v>
      </c>
      <c r="D403">
        <v>1.1408</v>
      </c>
      <c r="E403">
        <v>1.1408</v>
      </c>
      <c r="F403">
        <v>1.3367705647996251</v>
      </c>
      <c r="G403">
        <v>6.132344245551793E-3</v>
      </c>
    </row>
    <row r="404" spans="1:7" x14ac:dyDescent="0.25">
      <c r="A404" s="1">
        <v>46226</v>
      </c>
      <c r="B404">
        <v>0.85318000000000005</v>
      </c>
      <c r="C404">
        <v>186.23</v>
      </c>
      <c r="D404">
        <v>1.1392</v>
      </c>
      <c r="E404">
        <v>1.1392</v>
      </c>
      <c r="F404">
        <v>1.3352399259241894</v>
      </c>
      <c r="G404">
        <v>6.1171669441013807E-3</v>
      </c>
    </row>
    <row r="405" spans="1:7" x14ac:dyDescent="0.25">
      <c r="A405" s="1">
        <v>46227</v>
      </c>
      <c r="B405">
        <v>0.85387999999999997</v>
      </c>
      <c r="C405">
        <v>186.38</v>
      </c>
      <c r="D405">
        <v>1.1376999999999999</v>
      </c>
      <c r="E405">
        <v>1.1376999999999999</v>
      </c>
      <c r="F405">
        <v>1.3323886260364455</v>
      </c>
      <c r="G405">
        <v>6.1041957291554884E-3</v>
      </c>
    </row>
    <row r="406" spans="1:7" x14ac:dyDescent="0.25">
      <c r="A406" s="1">
        <v>46230</v>
      </c>
      <c r="B406">
        <v>0.85524</v>
      </c>
      <c r="C406">
        <v>186.37</v>
      </c>
      <c r="D406">
        <v>1.1389</v>
      </c>
      <c r="E406">
        <v>1.1389</v>
      </c>
      <c r="F406">
        <v>1.3316729806837846</v>
      </c>
      <c r="G406">
        <v>6.1109620647099858E-3</v>
      </c>
    </row>
    <row r="407" spans="1:7" x14ac:dyDescent="0.25">
      <c r="A407" s="1">
        <v>46231</v>
      </c>
      <c r="B407">
        <v>0.85550000000000004</v>
      </c>
      <c r="C407">
        <v>186.32</v>
      </c>
      <c r="D407">
        <v>1.1367</v>
      </c>
      <c r="E407">
        <v>1.1367</v>
      </c>
      <c r="F407">
        <v>1.3286966686148451</v>
      </c>
      <c r="G407">
        <v>6.1007943323314728E-3</v>
      </c>
    </row>
    <row r="408" spans="1:7" x14ac:dyDescent="0.25">
      <c r="A408" s="1">
        <v>46232</v>
      </c>
      <c r="B408">
        <v>0.85634999999999994</v>
      </c>
      <c r="C408">
        <v>186.27</v>
      </c>
      <c r="D408">
        <v>1.1379999999999999</v>
      </c>
      <c r="E408">
        <v>1.1379999999999999</v>
      </c>
      <c r="F408">
        <v>1.3288958953698837</v>
      </c>
      <c r="G408">
        <v>6.1094110699522189E-3</v>
      </c>
    </row>
    <row r="409" spans="1:7" x14ac:dyDescent="0.25">
      <c r="A409" s="1">
        <v>46233</v>
      </c>
      <c r="B409">
        <v>0.85714999999999997</v>
      </c>
      <c r="C409">
        <v>186.99</v>
      </c>
      <c r="D409">
        <v>1.1476</v>
      </c>
      <c r="E409">
        <v>1.1476</v>
      </c>
      <c r="F409">
        <v>1.3388555095374206</v>
      </c>
      <c r="G409">
        <v>6.1372265896572006E-3</v>
      </c>
    </row>
    <row r="410" spans="1:7" x14ac:dyDescent="0.25">
      <c r="A410" s="1">
        <v>46234</v>
      </c>
      <c r="B410">
        <v>0.85572999999999999</v>
      </c>
      <c r="C410">
        <v>184.03</v>
      </c>
      <c r="D410">
        <v>1.1485000000000001</v>
      </c>
      <c r="E410">
        <v>1.1485000000000001</v>
      </c>
      <c r="F410">
        <v>1.3421289425402874</v>
      </c>
      <c r="G410">
        <v>6.2408302994077054E-3</v>
      </c>
    </row>
    <row r="411" spans="1:7" x14ac:dyDescent="0.25">
      <c r="A411" s="1">
        <v>46237</v>
      </c>
      <c r="B411">
        <v>0.85633000000000004</v>
      </c>
      <c r="C411">
        <v>180.73</v>
      </c>
      <c r="D411">
        <v>1.1535</v>
      </c>
      <c r="E411">
        <v>1.1535</v>
      </c>
      <c r="F411">
        <v>1.3470274310137447</v>
      </c>
      <c r="G411">
        <v>6.3824489570076916E-3</v>
      </c>
    </row>
    <row r="412" spans="1:7" x14ac:dyDescent="0.25">
      <c r="A412" s="1">
        <v>46238</v>
      </c>
      <c r="B412">
        <v>0.85638999999999998</v>
      </c>
      <c r="C412">
        <v>181.26</v>
      </c>
      <c r="D412">
        <v>1.1515</v>
      </c>
      <c r="E412">
        <v>1.1515</v>
      </c>
      <c r="F412">
        <v>1.3445976716215742</v>
      </c>
      <c r="G412">
        <v>6.352752951561293E-3</v>
      </c>
    </row>
    <row r="413" spans="1:7" x14ac:dyDescent="0.25">
      <c r="A413" s="1">
        <v>46239</v>
      </c>
      <c r="B413">
        <v>0.85719999999999996</v>
      </c>
      <c r="C413">
        <v>182.08</v>
      </c>
      <c r="D413">
        <v>1.1554</v>
      </c>
      <c r="E413">
        <v>1.1554</v>
      </c>
      <c r="F413">
        <v>1.3478768082127859</v>
      </c>
      <c r="G413">
        <v>6.3455623901581713E-3</v>
      </c>
    </row>
    <row r="414" spans="1:7" x14ac:dyDescent="0.25">
      <c r="A414" s="1">
        <v>46240</v>
      </c>
      <c r="B414">
        <v>0.85704999999999998</v>
      </c>
      <c r="C414">
        <v>182.17</v>
      </c>
      <c r="D414">
        <v>1.1541999999999999</v>
      </c>
      <c r="E414">
        <v>1.1541999999999999</v>
      </c>
      <c r="F414">
        <v>1.3467125605273904</v>
      </c>
      <c r="G414">
        <v>6.3358401493110832E-3</v>
      </c>
    </row>
    <row r="415" spans="1:7" x14ac:dyDescent="0.25">
      <c r="A415" s="1">
        <v>46241</v>
      </c>
      <c r="B415">
        <v>0.85765000000000002</v>
      </c>
      <c r="C415">
        <v>182.64</v>
      </c>
      <c r="D415">
        <v>1.1535</v>
      </c>
      <c r="E415">
        <v>1.1535</v>
      </c>
      <c r="F415">
        <v>1.3449542354107153</v>
      </c>
      <c r="G415">
        <v>6.315703022339028E-3</v>
      </c>
    </row>
    <row r="416" spans="1:7" x14ac:dyDescent="0.25">
      <c r="A416" s="1">
        <v>46244</v>
      </c>
      <c r="B416">
        <v>0.85565000000000002</v>
      </c>
      <c r="C416">
        <v>183.31</v>
      </c>
      <c r="D416">
        <v>1.1555</v>
      </c>
      <c r="E416">
        <v>1.1555</v>
      </c>
      <c r="F416">
        <v>1.3504353415532051</v>
      </c>
      <c r="G416">
        <v>6.3035295401232885E-3</v>
      </c>
    </row>
    <row r="417" spans="1:7" x14ac:dyDescent="0.25">
      <c r="A417" s="1">
        <v>46245</v>
      </c>
      <c r="B417">
        <v>0.85482999999999998</v>
      </c>
      <c r="C417">
        <v>183.72</v>
      </c>
      <c r="D417">
        <v>1.1539999999999999</v>
      </c>
      <c r="E417">
        <v>1.1539999999999999</v>
      </c>
      <c r="F417">
        <v>1.3499760186235858</v>
      </c>
      <c r="G417">
        <v>6.2812976268234264E-3</v>
      </c>
    </row>
    <row r="418" spans="1:7" x14ac:dyDescent="0.25">
      <c r="A418" s="1">
        <v>46246</v>
      </c>
      <c r="B418">
        <v>0.85358000000000001</v>
      </c>
      <c r="C418">
        <v>183.67</v>
      </c>
      <c r="D418">
        <v>1.1545000000000001</v>
      </c>
      <c r="E418">
        <v>1.1545000000000001</v>
      </c>
      <c r="F418">
        <v>1.3525387192764593</v>
      </c>
      <c r="G418">
        <v>6.285729841563675E-3</v>
      </c>
    </row>
    <row r="419" spans="1:7" x14ac:dyDescent="0.25">
      <c r="A419" s="1">
        <v>46247</v>
      </c>
      <c r="B419">
        <v>0.85489999999999999</v>
      </c>
      <c r="C419">
        <v>183.77</v>
      </c>
      <c r="D419">
        <v>1.1534</v>
      </c>
      <c r="E419">
        <v>1.1534</v>
      </c>
      <c r="F419">
        <v>1.3491636448707451</v>
      </c>
      <c r="G419">
        <v>6.2763236654513792E-3</v>
      </c>
    </row>
    <row r="420" spans="1:7" x14ac:dyDescent="0.25">
      <c r="A420" s="1">
        <v>46248</v>
      </c>
      <c r="B420">
        <v>0.85450000000000004</v>
      </c>
      <c r="C420">
        <v>183.93</v>
      </c>
      <c r="D420">
        <v>1.1567000000000001</v>
      </c>
      <c r="E420">
        <v>1.1567000000000001</v>
      </c>
      <c r="F420">
        <v>1.3536571094207139</v>
      </c>
      <c r="G420">
        <v>6.2888055238405913E-3</v>
      </c>
    </row>
    <row r="421" spans="1:7" x14ac:dyDescent="0.25">
      <c r="A421" s="1">
        <v>46251</v>
      </c>
      <c r="B421">
        <v>0.85499999999999998</v>
      </c>
      <c r="C421">
        <v>184.59</v>
      </c>
      <c r="D421">
        <v>1.1593</v>
      </c>
      <c r="E421">
        <v>1.1593</v>
      </c>
      <c r="F421">
        <v>1.3559064327485379</v>
      </c>
      <c r="G421">
        <v>6.2804052223847445E-3</v>
      </c>
    </row>
    <row r="422" spans="1:7" x14ac:dyDescent="0.25">
      <c r="A422" s="1">
        <v>46252</v>
      </c>
      <c r="B422">
        <v>0.85585</v>
      </c>
      <c r="C422">
        <v>184.87</v>
      </c>
      <c r="D422">
        <v>1.1576</v>
      </c>
      <c r="E422">
        <v>1.1576</v>
      </c>
      <c r="F422">
        <v>1.3525734649763392</v>
      </c>
      <c r="G422">
        <v>6.2616974089901006E-3</v>
      </c>
    </row>
    <row r="423" spans="1:7" x14ac:dyDescent="0.25">
      <c r="A423" s="1">
        <v>46253</v>
      </c>
      <c r="B423">
        <v>0.85607999999999995</v>
      </c>
      <c r="C423">
        <v>184.62</v>
      </c>
      <c r="D423">
        <v>1.1605000000000001</v>
      </c>
      <c r="E423">
        <v>1.1605000000000001</v>
      </c>
      <c r="F423">
        <v>1.3555976077002152</v>
      </c>
      <c r="G423">
        <v>6.2858845195536781E-3</v>
      </c>
    </row>
    <row r="424" spans="1:7" x14ac:dyDescent="0.25">
      <c r="A424" s="1">
        <v>46254</v>
      </c>
      <c r="B424">
        <v>0.85724999999999996</v>
      </c>
      <c r="C424">
        <v>185.45</v>
      </c>
      <c r="D424">
        <v>1.1680999999999999</v>
      </c>
      <c r="E424">
        <v>1.1680999999999999</v>
      </c>
      <c r="F424">
        <v>1.3626130067074949</v>
      </c>
      <c r="G424">
        <v>6.2987328120787276E-3</v>
      </c>
    </row>
    <row r="425" spans="1:7" x14ac:dyDescent="0.25">
      <c r="A425" s="1">
        <v>46255</v>
      </c>
      <c r="B425">
        <v>0.85670000000000002</v>
      </c>
      <c r="C425">
        <v>185.66</v>
      </c>
      <c r="D425">
        <v>1.1698999999999999</v>
      </c>
      <c r="E425">
        <v>1.1698999999999999</v>
      </c>
      <c r="F425">
        <v>1.3655888875919224</v>
      </c>
      <c r="G425">
        <v>6.3013034579338578E-3</v>
      </c>
    </row>
    <row r="426" spans="1:7" x14ac:dyDescent="0.25">
      <c r="A426" s="1">
        <v>46258</v>
      </c>
      <c r="B426">
        <v>0.85550000000000004</v>
      </c>
      <c r="C426">
        <v>185.6</v>
      </c>
      <c r="D426">
        <v>1.1664000000000001</v>
      </c>
      <c r="E426">
        <v>1.1664000000000001</v>
      </c>
      <c r="F426">
        <v>1.3634132086499124</v>
      </c>
      <c r="G426">
        <v>6.2844827586206907E-3</v>
      </c>
    </row>
    <row r="427" spans="1:7" x14ac:dyDescent="0.25">
      <c r="A427" s="1">
        <v>46259</v>
      </c>
      <c r="B427">
        <v>0.85550000000000004</v>
      </c>
      <c r="C427">
        <v>185.7</v>
      </c>
      <c r="D427">
        <v>1.1661999999999999</v>
      </c>
      <c r="E427">
        <v>1.1661999999999999</v>
      </c>
      <c r="F427">
        <v>1.3631794272355346</v>
      </c>
      <c r="G427">
        <v>6.2800215401184701E-3</v>
      </c>
    </row>
    <row r="428" spans="1:7" x14ac:dyDescent="0.25">
      <c r="A428" s="1">
        <v>46260</v>
      </c>
      <c r="B428">
        <v>0.85612999999999995</v>
      </c>
      <c r="C428">
        <v>185.62</v>
      </c>
      <c r="D428">
        <v>1.1669</v>
      </c>
      <c r="E428">
        <v>1.1669</v>
      </c>
      <c r="F428">
        <v>1.3629939378365437</v>
      </c>
      <c r="G428">
        <v>6.2864992996444352E-3</v>
      </c>
    </row>
    <row r="429" spans="1:7" x14ac:dyDescent="0.25">
      <c r="A429" s="1">
        <v>46261</v>
      </c>
      <c r="B429">
        <v>0.85740000000000005</v>
      </c>
      <c r="C429">
        <v>185.61</v>
      </c>
      <c r="D429">
        <v>1.1645000000000001</v>
      </c>
      <c r="E429">
        <v>1.1645000000000001</v>
      </c>
      <c r="F429">
        <v>1.3581758805691626</v>
      </c>
      <c r="G429">
        <v>6.2739076558375089E-3</v>
      </c>
    </row>
    <row r="430" spans="1:7" x14ac:dyDescent="0.25">
      <c r="A430" s="1">
        <v>46262</v>
      </c>
      <c r="B430">
        <v>0.85719999999999996</v>
      </c>
      <c r="C430">
        <v>185.92</v>
      </c>
      <c r="D430">
        <v>1.1642999999999999</v>
      </c>
      <c r="E430">
        <v>1.1642999999999999</v>
      </c>
      <c r="F430">
        <v>1.3582594493700419</v>
      </c>
      <c r="G430">
        <v>6.2623709122203094E-3</v>
      </c>
    </row>
    <row r="431" spans="1:7" x14ac:dyDescent="0.25">
      <c r="A431" s="1">
        <v>46265</v>
      </c>
      <c r="B431">
        <v>0.85648000000000002</v>
      </c>
      <c r="C431">
        <v>185.22</v>
      </c>
      <c r="D431">
        <v>1.1596</v>
      </c>
      <c r="E431">
        <v>1.1596</v>
      </c>
      <c r="F431">
        <v>1.353913693256118</v>
      </c>
      <c r="G431">
        <v>6.2606629953568726E-3</v>
      </c>
    </row>
    <row r="432" spans="1:7" x14ac:dyDescent="0.25">
      <c r="A432" s="1">
        <v>46266</v>
      </c>
      <c r="B432">
        <v>0.85655000000000003</v>
      </c>
      <c r="C432">
        <v>185.63</v>
      </c>
      <c r="D432">
        <v>1.159</v>
      </c>
      <c r="E432">
        <v>1.159</v>
      </c>
      <c r="F432">
        <v>1.3531025626058024</v>
      </c>
      <c r="G432">
        <v>6.2436028659160698E-3</v>
      </c>
    </row>
    <row r="433" spans="1:7" x14ac:dyDescent="0.25">
      <c r="A433" s="1">
        <v>46267</v>
      </c>
      <c r="B433">
        <v>0.85870000000000002</v>
      </c>
      <c r="C433">
        <v>184.78</v>
      </c>
      <c r="D433">
        <v>1.1577999999999999</v>
      </c>
      <c r="E433">
        <v>1.1577999999999999</v>
      </c>
      <c r="F433">
        <v>1.3483172237102596</v>
      </c>
      <c r="G433">
        <v>6.2658296352419091E-3</v>
      </c>
    </row>
    <row r="434" spans="1:7" x14ac:dyDescent="0.25">
      <c r="A434" s="1">
        <v>46268</v>
      </c>
      <c r="B434">
        <v>0.86055000000000004</v>
      </c>
      <c r="C434">
        <v>181.21</v>
      </c>
      <c r="D434">
        <v>1.1615</v>
      </c>
      <c r="E434">
        <v>1.1615</v>
      </c>
      <c r="F434">
        <v>1.3497182034745221</v>
      </c>
      <c r="G434">
        <v>6.4096904144362891E-3</v>
      </c>
    </row>
    <row r="435" spans="1:7" x14ac:dyDescent="0.25">
      <c r="A435" s="1">
        <v>46269</v>
      </c>
      <c r="B435">
        <v>0.85897999999999997</v>
      </c>
      <c r="C435">
        <v>181.59</v>
      </c>
      <c r="D435">
        <v>1.1621999999999999</v>
      </c>
      <c r="E435">
        <v>1.1621999999999999</v>
      </c>
      <c r="F435">
        <v>1.3530000698502875</v>
      </c>
      <c r="G435">
        <v>6.400132165868164E-3</v>
      </c>
    </row>
    <row r="436" spans="1:7" x14ac:dyDescent="0.25">
      <c r="A436" s="1">
        <v>46272</v>
      </c>
      <c r="B436">
        <v>0.85894000000000004</v>
      </c>
      <c r="C436">
        <v>179.85</v>
      </c>
      <c r="D436">
        <v>1.1621999999999999</v>
      </c>
      <c r="E436">
        <v>1.1621999999999999</v>
      </c>
      <c r="F436">
        <v>1.3530630777469903</v>
      </c>
      <c r="G436">
        <v>6.4620517097581315E-3</v>
      </c>
    </row>
    <row r="437" spans="1:7" x14ac:dyDescent="0.25">
      <c r="A437" s="1">
        <v>46273</v>
      </c>
      <c r="B437">
        <v>0.85740000000000005</v>
      </c>
      <c r="C437">
        <v>179.2</v>
      </c>
      <c r="D437">
        <v>1.1614</v>
      </c>
      <c r="E437">
        <v>1.1614</v>
      </c>
      <c r="F437">
        <v>1.3545602985770935</v>
      </c>
      <c r="G437">
        <v>6.4810267857142861E-3</v>
      </c>
    </row>
    <row r="438" spans="1:7" x14ac:dyDescent="0.25">
      <c r="A438" s="1">
        <v>46274</v>
      </c>
      <c r="B438">
        <v>0.85897999999999997</v>
      </c>
      <c r="C438">
        <v>178.59</v>
      </c>
      <c r="D438">
        <v>1.1652</v>
      </c>
      <c r="E438">
        <v>1.1652</v>
      </c>
      <c r="F438">
        <v>1.3564925842278051</v>
      </c>
      <c r="G438">
        <v>6.5244414580883587E-3</v>
      </c>
    </row>
    <row r="439" spans="1:7" x14ac:dyDescent="0.25">
      <c r="A439" s="1">
        <v>46275</v>
      </c>
      <c r="B439">
        <v>0.85914999999999997</v>
      </c>
      <c r="C439">
        <v>179.09</v>
      </c>
      <c r="D439">
        <v>1.1616</v>
      </c>
      <c r="E439">
        <v>1.1616</v>
      </c>
      <c r="F439">
        <v>1.3520339870802538</v>
      </c>
      <c r="G439">
        <v>6.4861242950471831E-3</v>
      </c>
    </row>
    <row r="440" spans="1:7" x14ac:dyDescent="0.25">
      <c r="A440" s="1">
        <v>46276</v>
      </c>
      <c r="B440">
        <v>0.85814999999999997</v>
      </c>
      <c r="C440">
        <v>178.56</v>
      </c>
      <c r="D440">
        <v>1.1592</v>
      </c>
      <c r="E440">
        <v>1.1592</v>
      </c>
      <c r="F440">
        <v>1.3508127949659152</v>
      </c>
      <c r="G440">
        <v>6.4919354838709675E-3</v>
      </c>
    </row>
    <row r="441" spans="1:7" x14ac:dyDescent="0.25">
      <c r="A441" s="1">
        <v>46279</v>
      </c>
      <c r="B441">
        <v>0.85597999999999996</v>
      </c>
      <c r="C441">
        <v>178.52</v>
      </c>
      <c r="D441">
        <v>1.1551</v>
      </c>
      <c r="E441">
        <v>1.1551</v>
      </c>
      <c r="F441">
        <v>1.3494474169957242</v>
      </c>
      <c r="G441">
        <v>6.4704234819628051E-3</v>
      </c>
    </row>
    <row r="442" spans="1:7" x14ac:dyDescent="0.25">
      <c r="A442" s="1">
        <v>46280</v>
      </c>
      <c r="B442">
        <v>0.85580000000000001</v>
      </c>
      <c r="C442">
        <v>178.86</v>
      </c>
      <c r="D442">
        <v>1.1538999999999999</v>
      </c>
      <c r="E442">
        <v>1.1538999999999999</v>
      </c>
      <c r="F442">
        <v>1.3483290488431876</v>
      </c>
      <c r="G442">
        <v>6.4514145141451405E-3</v>
      </c>
    </row>
    <row r="443" spans="1:7" x14ac:dyDescent="0.25">
      <c r="A443" s="1">
        <v>46281</v>
      </c>
      <c r="B443">
        <v>0.85740000000000005</v>
      </c>
      <c r="C443">
        <v>178.88</v>
      </c>
      <c r="D443">
        <v>1.1536999999999999</v>
      </c>
      <c r="E443">
        <v>1.1536999999999999</v>
      </c>
      <c r="F443">
        <v>1.3455796594355025</v>
      </c>
      <c r="G443">
        <v>6.4495751341681574E-3</v>
      </c>
    </row>
    <row r="444" spans="1:7" x14ac:dyDescent="0.25">
      <c r="A444" s="1">
        <v>46282</v>
      </c>
      <c r="B444">
        <v>0.85829999999999995</v>
      </c>
      <c r="C444">
        <v>178.75</v>
      </c>
      <c r="D444">
        <v>1.1480999999999999</v>
      </c>
      <c r="E444">
        <v>1.1480999999999999</v>
      </c>
      <c r="F444">
        <v>1.3376441803565187</v>
      </c>
      <c r="G444">
        <v>6.4229370629370628E-3</v>
      </c>
    </row>
    <row r="445" spans="1:7" x14ac:dyDescent="0.25">
      <c r="A445" s="1">
        <v>46283</v>
      </c>
      <c r="B445">
        <v>0.85880000000000001</v>
      </c>
      <c r="C445">
        <v>180.94</v>
      </c>
      <c r="D445">
        <v>1.1459999999999999</v>
      </c>
      <c r="E445">
        <v>1.1459999999999999</v>
      </c>
      <c r="F445">
        <v>1.3344201210992082</v>
      </c>
      <c r="G445">
        <v>6.3335912457168119E-3</v>
      </c>
    </row>
    <row r="446" spans="1:7" x14ac:dyDescent="0.25">
      <c r="A446" s="1">
        <v>46286</v>
      </c>
      <c r="B446">
        <v>0.85780000000000001</v>
      </c>
      <c r="C446">
        <v>180.7</v>
      </c>
      <c r="D446">
        <v>1.149</v>
      </c>
      <c r="E446">
        <v>1.149</v>
      </c>
      <c r="F446">
        <v>1.3394730706458382</v>
      </c>
      <c r="G446">
        <v>6.3586054233536254E-3</v>
      </c>
    </row>
    <row r="447" spans="1:7" x14ac:dyDescent="0.25">
      <c r="A447" s="1">
        <v>46287</v>
      </c>
      <c r="B447">
        <v>0.85780000000000001</v>
      </c>
      <c r="C447">
        <v>180.17</v>
      </c>
      <c r="D447">
        <v>1.1463000000000001</v>
      </c>
      <c r="E447">
        <v>1.1463000000000001</v>
      </c>
      <c r="F447">
        <v>1.3363254837957568</v>
      </c>
      <c r="G447">
        <v>6.3623244713326308E-3</v>
      </c>
    </row>
    <row r="448" spans="1:7" x14ac:dyDescent="0.25">
      <c r="A448" s="1">
        <v>46288</v>
      </c>
      <c r="B448">
        <v>0.85950000000000004</v>
      </c>
      <c r="C448">
        <v>180.2</v>
      </c>
      <c r="D448">
        <v>1.1411</v>
      </c>
      <c r="E448">
        <v>1.1411</v>
      </c>
      <c r="F448">
        <v>1.327632344386271</v>
      </c>
      <c r="G448">
        <v>6.3324084350721427E-3</v>
      </c>
    </row>
    <row r="449" spans="1:7" x14ac:dyDescent="0.25">
      <c r="A449" s="1">
        <v>46289</v>
      </c>
      <c r="B449">
        <v>0.85985999999999996</v>
      </c>
      <c r="C449">
        <v>180.57</v>
      </c>
      <c r="D449">
        <v>1.1367</v>
      </c>
      <c r="E449">
        <v>1.1367</v>
      </c>
      <c r="F449">
        <v>1.3219593887377017</v>
      </c>
      <c r="G449">
        <v>6.2950656255191901E-3</v>
      </c>
    </row>
    <row r="450" spans="1:7" x14ac:dyDescent="0.25">
      <c r="A450" s="1">
        <v>46290</v>
      </c>
      <c r="B450">
        <v>0.86045000000000005</v>
      </c>
      <c r="C450">
        <v>179.7</v>
      </c>
      <c r="D450">
        <v>1.1403000000000001</v>
      </c>
      <c r="E450">
        <v>1.1403000000000001</v>
      </c>
      <c r="F450">
        <v>1.3252367947004475</v>
      </c>
      <c r="G450">
        <v>6.3455759599332232E-3</v>
      </c>
    </row>
    <row r="451" spans="1:7" x14ac:dyDescent="0.25">
      <c r="A451" s="1">
        <v>46293</v>
      </c>
      <c r="B451">
        <v>0.85785</v>
      </c>
      <c r="C451">
        <v>178.5</v>
      </c>
      <c r="D451">
        <v>1.1377999999999999</v>
      </c>
      <c r="E451">
        <v>1.1377999999999999</v>
      </c>
      <c r="F451">
        <v>1.3263391035728855</v>
      </c>
      <c r="G451">
        <v>6.3742296918767507E-3</v>
      </c>
    </row>
    <row r="452" spans="1:7" x14ac:dyDescent="0.25">
      <c r="A452" s="1">
        <v>46294</v>
      </c>
      <c r="B452">
        <v>0.85718000000000005</v>
      </c>
      <c r="C452">
        <v>178.41</v>
      </c>
      <c r="D452">
        <v>1.1355</v>
      </c>
      <c r="E452">
        <v>1.1355</v>
      </c>
      <c r="F452">
        <v>1.324692596654145</v>
      </c>
      <c r="G452">
        <v>6.3645535564149994E-3</v>
      </c>
    </row>
    <row r="453" spans="1:7" x14ac:dyDescent="0.25">
      <c r="A453" s="1">
        <v>46295</v>
      </c>
      <c r="B453">
        <v>0.85463</v>
      </c>
      <c r="C453">
        <v>178.27</v>
      </c>
      <c r="D453">
        <v>1.1355</v>
      </c>
      <c r="E453">
        <v>1.1355</v>
      </c>
      <c r="F453">
        <v>1.3286451446824941</v>
      </c>
      <c r="G453">
        <v>6.3695518034442133E-3</v>
      </c>
    </row>
    <row r="454" spans="1:7" x14ac:dyDescent="0.25">
      <c r="A454" s="1">
        <v>46296</v>
      </c>
      <c r="B454">
        <v>0.85372999999999999</v>
      </c>
      <c r="C454">
        <v>178.49</v>
      </c>
      <c r="D454">
        <v>1.1297999999999999</v>
      </c>
      <c r="E454">
        <v>1.1297999999999999</v>
      </c>
      <c r="F454">
        <v>1.3233692150914222</v>
      </c>
      <c r="G454">
        <v>6.3297663734663001E-3</v>
      </c>
    </row>
    <row r="455" spans="1:7" x14ac:dyDescent="0.25">
      <c r="A455" s="1">
        <v>46297</v>
      </c>
      <c r="B455">
        <v>0.85033000000000003</v>
      </c>
      <c r="C455">
        <v>176.99</v>
      </c>
      <c r="D455">
        <v>1.1225000000000001</v>
      </c>
      <c r="E455">
        <v>1.1225000000000001</v>
      </c>
      <c r="F455">
        <v>1.3200757353027648</v>
      </c>
      <c r="G455">
        <v>6.3421662240804562E-3</v>
      </c>
    </row>
    <row r="456" spans="1:7" x14ac:dyDescent="0.25">
      <c r="A456" s="1">
        <v>46300</v>
      </c>
      <c r="B456">
        <v>0.84719999999999995</v>
      </c>
      <c r="C456">
        <v>177.28</v>
      </c>
      <c r="D456">
        <v>1.1204000000000001</v>
      </c>
      <c r="E456">
        <v>1.1204000000000001</v>
      </c>
      <c r="F456">
        <v>1.3224740321057602</v>
      </c>
      <c r="G456">
        <v>6.3199458483754519E-3</v>
      </c>
    </row>
    <row r="457" spans="1:7" x14ac:dyDescent="0.25">
      <c r="A457" s="1">
        <v>46301</v>
      </c>
      <c r="B457">
        <v>0.8488</v>
      </c>
      <c r="C457">
        <v>178.15</v>
      </c>
      <c r="D457">
        <v>1.1269</v>
      </c>
      <c r="E457">
        <v>1.1269</v>
      </c>
      <c r="F457">
        <v>1.3276390197926484</v>
      </c>
      <c r="G457">
        <v>6.3255683412854332E-3</v>
      </c>
    </row>
    <row r="458" spans="1:7" x14ac:dyDescent="0.25">
      <c r="A458" s="1">
        <v>46302</v>
      </c>
      <c r="B458">
        <v>0.84645000000000004</v>
      </c>
      <c r="C458">
        <v>176.85</v>
      </c>
      <c r="D458">
        <v>1.1176999999999999</v>
      </c>
      <c r="E458">
        <v>1.1176999999999999</v>
      </c>
      <c r="F458">
        <v>1.320456022210408</v>
      </c>
      <c r="G458">
        <v>6.3200452360757699E-3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/>
  </sheetViews>
  <sheetFormatPr defaultRowHeight="15" x14ac:dyDescent="0.25"/>
  <cols>
    <col min="1" max="1" width="13.7109375" customWidth="1"/>
    <col min="2" max="2" width="26.28515625" customWidth="1"/>
    <col min="3" max="3" width="15.140625" customWidth="1"/>
    <col min="4" max="4" width="11.5703125" customWidth="1"/>
    <col min="5" max="5" width="12.140625" customWidth="1"/>
    <col min="6" max="6" width="22" customWidth="1"/>
    <col min="7" max="7" width="23.140625" customWidth="1"/>
    <col min="8" max="8" width="21.42578125" customWidth="1"/>
    <col min="9" max="9" width="21.7109375" customWidth="1"/>
    <col min="10" max="10" width="21.28515625" customWidth="1"/>
  </cols>
  <sheetData>
    <row r="1" spans="1:10" x14ac:dyDescent="0.25">
      <c r="A1" t="s">
        <v>53</v>
      </c>
      <c r="B1" t="s">
        <v>52</v>
      </c>
      <c r="C1" t="s">
        <v>3088</v>
      </c>
      <c r="D1" t="s">
        <v>2</v>
      </c>
      <c r="E1" t="s">
        <v>54</v>
      </c>
      <c r="F1" t="s">
        <v>3089</v>
      </c>
      <c r="G1" t="s">
        <v>60</v>
      </c>
      <c r="H1" t="s">
        <v>3090</v>
      </c>
      <c r="I1" t="s">
        <v>3091</v>
      </c>
      <c r="J1" t="s">
        <v>3092</v>
      </c>
    </row>
    <row r="2" spans="1:10" x14ac:dyDescent="0.25">
      <c r="A2" t="s">
        <v>73</v>
      </c>
      <c r="B2" t="s">
        <v>24</v>
      </c>
      <c r="C2" t="s">
        <v>3093</v>
      </c>
      <c r="D2" t="s">
        <v>6</v>
      </c>
      <c r="E2" t="s">
        <v>74</v>
      </c>
      <c r="F2" t="s">
        <v>31</v>
      </c>
      <c r="G2">
        <v>30</v>
      </c>
      <c r="H2">
        <v>6500</v>
      </c>
      <c r="I2">
        <v>42000</v>
      </c>
      <c r="J2">
        <v>10</v>
      </c>
    </row>
    <row r="3" spans="1:10" x14ac:dyDescent="0.25">
      <c r="A3" t="s">
        <v>123</v>
      </c>
      <c r="B3" t="s">
        <v>20</v>
      </c>
      <c r="C3" t="s">
        <v>3094</v>
      </c>
      <c r="D3" t="s">
        <v>6</v>
      </c>
      <c r="E3" t="s">
        <v>124</v>
      </c>
      <c r="F3" t="s">
        <v>31</v>
      </c>
      <c r="G3">
        <v>45</v>
      </c>
      <c r="H3">
        <v>9000</v>
      </c>
      <c r="I3">
        <v>76000</v>
      </c>
      <c r="J3">
        <v>6</v>
      </c>
    </row>
    <row r="4" spans="1:10" x14ac:dyDescent="0.25">
      <c r="A4" t="s">
        <v>106</v>
      </c>
      <c r="B4" t="s">
        <v>32</v>
      </c>
      <c r="C4" t="s">
        <v>3095</v>
      </c>
      <c r="D4" t="s">
        <v>6</v>
      </c>
      <c r="E4" t="s">
        <v>74</v>
      </c>
      <c r="F4" t="s">
        <v>31</v>
      </c>
      <c r="G4">
        <v>30</v>
      </c>
      <c r="H4">
        <v>3000</v>
      </c>
      <c r="I4">
        <v>26000</v>
      </c>
      <c r="J4">
        <v>8</v>
      </c>
    </row>
    <row r="5" spans="1:10" x14ac:dyDescent="0.25">
      <c r="A5" t="s">
        <v>87</v>
      </c>
      <c r="B5" t="s">
        <v>38</v>
      </c>
      <c r="C5" t="s">
        <v>3093</v>
      </c>
      <c r="D5" t="s">
        <v>6</v>
      </c>
      <c r="E5" t="s">
        <v>88</v>
      </c>
      <c r="F5" t="s">
        <v>33</v>
      </c>
      <c r="G5">
        <v>30</v>
      </c>
      <c r="H5">
        <v>1800</v>
      </c>
      <c r="I5">
        <v>12000</v>
      </c>
      <c r="J5">
        <v>7</v>
      </c>
    </row>
    <row r="6" spans="1:10" x14ac:dyDescent="0.25">
      <c r="A6" t="s">
        <v>116</v>
      </c>
      <c r="B6" t="s">
        <v>36</v>
      </c>
      <c r="C6" t="s">
        <v>3096</v>
      </c>
      <c r="D6" t="s">
        <v>6</v>
      </c>
      <c r="E6" t="s">
        <v>74</v>
      </c>
      <c r="F6" t="s">
        <v>31</v>
      </c>
      <c r="G6">
        <v>45</v>
      </c>
      <c r="H6">
        <v>4000</v>
      </c>
      <c r="I6">
        <v>28000</v>
      </c>
      <c r="J6">
        <v>6</v>
      </c>
    </row>
    <row r="7" spans="1:10" x14ac:dyDescent="0.25">
      <c r="A7" t="s">
        <v>215</v>
      </c>
      <c r="B7" t="s">
        <v>43</v>
      </c>
      <c r="C7" t="s">
        <v>3097</v>
      </c>
      <c r="D7" t="s">
        <v>6</v>
      </c>
      <c r="E7" t="s">
        <v>152</v>
      </c>
      <c r="F7" t="s">
        <v>35</v>
      </c>
      <c r="G7">
        <v>30</v>
      </c>
      <c r="H7">
        <v>950</v>
      </c>
      <c r="I7">
        <v>13000</v>
      </c>
      <c r="J7">
        <v>4</v>
      </c>
    </row>
    <row r="8" spans="1:10" x14ac:dyDescent="0.25">
      <c r="A8" t="s">
        <v>169</v>
      </c>
      <c r="B8" t="s">
        <v>25</v>
      </c>
      <c r="C8" t="s">
        <v>3098</v>
      </c>
      <c r="D8" t="s">
        <v>6</v>
      </c>
      <c r="E8" t="s">
        <v>124</v>
      </c>
      <c r="F8" t="s">
        <v>31</v>
      </c>
      <c r="G8">
        <v>60</v>
      </c>
      <c r="H8">
        <v>12000</v>
      </c>
      <c r="I8">
        <v>85000</v>
      </c>
      <c r="J8">
        <v>4</v>
      </c>
    </row>
    <row r="9" spans="1:10" x14ac:dyDescent="0.25">
      <c r="A9" t="s">
        <v>91</v>
      </c>
      <c r="B9" t="s">
        <v>37</v>
      </c>
      <c r="C9" t="s">
        <v>3099</v>
      </c>
      <c r="D9" t="s">
        <v>6</v>
      </c>
      <c r="E9" t="s">
        <v>74</v>
      </c>
      <c r="F9" t="s">
        <v>31</v>
      </c>
      <c r="G9">
        <v>30</v>
      </c>
      <c r="H9">
        <v>2500</v>
      </c>
      <c r="I9">
        <v>23000</v>
      </c>
      <c r="J9">
        <v>7</v>
      </c>
    </row>
    <row r="10" spans="1:10" x14ac:dyDescent="0.25">
      <c r="A10" t="s">
        <v>94</v>
      </c>
      <c r="B10" t="s">
        <v>26</v>
      </c>
      <c r="C10" t="s">
        <v>3100</v>
      </c>
      <c r="D10" t="s">
        <v>8</v>
      </c>
      <c r="E10" t="s">
        <v>74</v>
      </c>
      <c r="F10" t="s">
        <v>31</v>
      </c>
      <c r="G10">
        <v>30</v>
      </c>
      <c r="H10">
        <v>4000</v>
      </c>
      <c r="I10">
        <v>32000</v>
      </c>
      <c r="J10">
        <v>8</v>
      </c>
    </row>
    <row r="11" spans="1:10" x14ac:dyDescent="0.25">
      <c r="A11" t="s">
        <v>82</v>
      </c>
      <c r="B11" t="s">
        <v>39</v>
      </c>
      <c r="C11" t="s">
        <v>3100</v>
      </c>
      <c r="D11" t="s">
        <v>8</v>
      </c>
      <c r="E11" t="s">
        <v>83</v>
      </c>
      <c r="F11" t="s">
        <v>33</v>
      </c>
      <c r="G11">
        <v>45</v>
      </c>
      <c r="H11">
        <v>1000</v>
      </c>
      <c r="I11">
        <v>15000</v>
      </c>
      <c r="J11">
        <v>5</v>
      </c>
    </row>
    <row r="12" spans="1:10" x14ac:dyDescent="0.25">
      <c r="A12" t="s">
        <v>151</v>
      </c>
      <c r="B12" t="s">
        <v>42</v>
      </c>
      <c r="C12" t="s">
        <v>3100</v>
      </c>
      <c r="D12" t="s">
        <v>8</v>
      </c>
      <c r="E12" t="s">
        <v>152</v>
      </c>
      <c r="F12" t="s">
        <v>35</v>
      </c>
      <c r="G12">
        <v>30</v>
      </c>
      <c r="H12">
        <v>1400</v>
      </c>
      <c r="I12">
        <v>9000</v>
      </c>
      <c r="J12">
        <v>4</v>
      </c>
    </row>
    <row r="13" spans="1:10" x14ac:dyDescent="0.25">
      <c r="A13" t="s">
        <v>177</v>
      </c>
      <c r="B13" t="s">
        <v>34</v>
      </c>
      <c r="C13" t="s">
        <v>3100</v>
      </c>
      <c r="D13" t="s">
        <v>8</v>
      </c>
      <c r="E13" t="s">
        <v>74</v>
      </c>
      <c r="F13" t="s">
        <v>31</v>
      </c>
      <c r="G13">
        <v>60</v>
      </c>
      <c r="H13">
        <v>2500</v>
      </c>
      <c r="I13">
        <v>28000</v>
      </c>
      <c r="J13">
        <v>5</v>
      </c>
    </row>
    <row r="14" spans="1:10" x14ac:dyDescent="0.25">
      <c r="A14" t="s">
        <v>111</v>
      </c>
      <c r="B14" t="s">
        <v>28</v>
      </c>
      <c r="C14" t="s">
        <v>3101</v>
      </c>
      <c r="D14" t="s">
        <v>9</v>
      </c>
      <c r="E14" t="s">
        <v>74</v>
      </c>
      <c r="F14" t="s">
        <v>31</v>
      </c>
      <c r="G14">
        <v>45</v>
      </c>
      <c r="H14">
        <v>650000</v>
      </c>
      <c r="I14">
        <v>5500000</v>
      </c>
      <c r="J14">
        <v>9</v>
      </c>
    </row>
    <row r="15" spans="1:10" x14ac:dyDescent="0.25">
      <c r="A15" t="s">
        <v>127</v>
      </c>
      <c r="B15" t="s">
        <v>22</v>
      </c>
      <c r="C15" t="s">
        <v>3101</v>
      </c>
      <c r="D15" t="s">
        <v>9</v>
      </c>
      <c r="E15" t="s">
        <v>124</v>
      </c>
      <c r="F15" t="s">
        <v>31</v>
      </c>
      <c r="G15">
        <v>60</v>
      </c>
      <c r="H15">
        <v>1800000</v>
      </c>
      <c r="I15">
        <v>14000000</v>
      </c>
      <c r="J15">
        <v>5</v>
      </c>
    </row>
    <row r="16" spans="1:10" x14ac:dyDescent="0.25">
      <c r="A16" t="s">
        <v>78</v>
      </c>
      <c r="B16" t="s">
        <v>40</v>
      </c>
      <c r="C16" t="s">
        <v>3101</v>
      </c>
      <c r="D16" t="s">
        <v>9</v>
      </c>
      <c r="E16" t="s">
        <v>79</v>
      </c>
      <c r="F16" t="s">
        <v>33</v>
      </c>
      <c r="G16">
        <v>30</v>
      </c>
      <c r="H16">
        <v>180000</v>
      </c>
      <c r="I16">
        <v>2400000</v>
      </c>
      <c r="J16">
        <v>6</v>
      </c>
    </row>
    <row r="17" spans="1:10" x14ac:dyDescent="0.25">
      <c r="A17" t="s">
        <v>103</v>
      </c>
      <c r="B17" t="s">
        <v>30</v>
      </c>
      <c r="C17" t="s">
        <v>3101</v>
      </c>
      <c r="D17" t="s">
        <v>9</v>
      </c>
      <c r="E17" t="s">
        <v>74</v>
      </c>
      <c r="F17" t="s">
        <v>31</v>
      </c>
      <c r="G17">
        <v>30</v>
      </c>
      <c r="H17">
        <v>450000</v>
      </c>
      <c r="I17">
        <v>3800000</v>
      </c>
      <c r="J17">
        <v>8</v>
      </c>
    </row>
    <row r="18" spans="1:10" x14ac:dyDescent="0.25">
      <c r="A18" t="s">
        <v>138</v>
      </c>
      <c r="B18" t="s">
        <v>44</v>
      </c>
      <c r="C18" t="s">
        <v>3101</v>
      </c>
      <c r="D18" t="s">
        <v>9</v>
      </c>
      <c r="E18" t="s">
        <v>88</v>
      </c>
      <c r="F18" t="s">
        <v>33</v>
      </c>
      <c r="G18">
        <v>45</v>
      </c>
      <c r="H18">
        <v>120000</v>
      </c>
      <c r="I18">
        <v>1400000</v>
      </c>
      <c r="J18">
        <v>6</v>
      </c>
    </row>
    <row r="19" spans="1:10" x14ac:dyDescent="0.25">
      <c r="A19" t="s">
        <v>172</v>
      </c>
      <c r="B19" t="s">
        <v>41</v>
      </c>
      <c r="C19" t="s">
        <v>3101</v>
      </c>
      <c r="D19" t="s">
        <v>9</v>
      </c>
      <c r="E19" t="s">
        <v>83</v>
      </c>
      <c r="F19" t="s">
        <v>33</v>
      </c>
      <c r="G19">
        <v>30</v>
      </c>
      <c r="H19">
        <v>300000</v>
      </c>
      <c r="I19">
        <v>2400000</v>
      </c>
      <c r="J19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/>
  </sheetViews>
  <sheetFormatPr defaultRowHeight="15" x14ac:dyDescent="0.25"/>
  <cols>
    <col min="1" max="1" width="17.42578125" customWidth="1"/>
    <col min="2" max="2" width="11.5703125" customWidth="1"/>
    <col min="3" max="3" width="23" customWidth="1"/>
  </cols>
  <sheetData>
    <row r="1" spans="1:3" x14ac:dyDescent="0.25">
      <c r="A1" t="s">
        <v>67</v>
      </c>
      <c r="B1" t="s">
        <v>2</v>
      </c>
      <c r="C1" t="s">
        <v>68</v>
      </c>
    </row>
    <row r="2" spans="1:3" x14ac:dyDescent="0.25">
      <c r="A2" t="s">
        <v>11</v>
      </c>
      <c r="B2" t="s">
        <v>6</v>
      </c>
      <c r="C2">
        <v>1.052</v>
      </c>
    </row>
    <row r="3" spans="1:3" x14ac:dyDescent="0.25">
      <c r="A3" t="s">
        <v>11</v>
      </c>
      <c r="B3" t="s">
        <v>8</v>
      </c>
      <c r="C3">
        <v>1.238</v>
      </c>
    </row>
    <row r="4" spans="1:3" x14ac:dyDescent="0.25">
      <c r="A4" t="s">
        <v>11</v>
      </c>
      <c r="B4" t="s">
        <v>9</v>
      </c>
      <c r="C4">
        <v>6.5599999999999999E-3</v>
      </c>
    </row>
    <row r="5" spans="1:3" x14ac:dyDescent="0.25">
      <c r="A5" t="s">
        <v>12</v>
      </c>
      <c r="B5" t="s">
        <v>6</v>
      </c>
      <c r="C5">
        <v>1.07</v>
      </c>
    </row>
    <row r="6" spans="1:3" x14ac:dyDescent="0.25">
      <c r="A6" t="s">
        <v>12</v>
      </c>
      <c r="B6" t="s">
        <v>8</v>
      </c>
      <c r="C6">
        <v>1.26</v>
      </c>
    </row>
    <row r="7" spans="1:3" x14ac:dyDescent="0.25">
      <c r="A7" t="s">
        <v>12</v>
      </c>
      <c r="B7" t="s">
        <v>9</v>
      </c>
      <c r="C7">
        <v>6.7000000000000002E-3</v>
      </c>
    </row>
    <row r="8" spans="1:3" x14ac:dyDescent="0.25">
      <c r="A8" t="s">
        <v>13</v>
      </c>
      <c r="B8" t="s">
        <v>6</v>
      </c>
      <c r="C8">
        <v>1.0880000000000001</v>
      </c>
    </row>
    <row r="9" spans="1:3" x14ac:dyDescent="0.25">
      <c r="A9" t="s">
        <v>13</v>
      </c>
      <c r="B9" t="s">
        <v>8</v>
      </c>
      <c r="C9">
        <v>1.282</v>
      </c>
    </row>
    <row r="10" spans="1:3" x14ac:dyDescent="0.25">
      <c r="A10" t="s">
        <v>13</v>
      </c>
      <c r="B10" t="s">
        <v>9</v>
      </c>
      <c r="C10">
        <v>6.8399999999999997E-3</v>
      </c>
    </row>
    <row r="11" spans="1:3" x14ac:dyDescent="0.25">
      <c r="A11" t="s">
        <v>14</v>
      </c>
      <c r="B11" t="s">
        <v>6</v>
      </c>
      <c r="C11">
        <v>1.1060000000000001</v>
      </c>
    </row>
    <row r="12" spans="1:3" x14ac:dyDescent="0.25">
      <c r="A12" t="s">
        <v>14</v>
      </c>
      <c r="B12" t="s">
        <v>8</v>
      </c>
      <c r="C12">
        <v>1.304</v>
      </c>
    </row>
    <row r="13" spans="1:3" x14ac:dyDescent="0.25">
      <c r="A13" t="s">
        <v>14</v>
      </c>
      <c r="B13" t="s">
        <v>9</v>
      </c>
      <c r="C13">
        <v>6.9800000000000001E-3</v>
      </c>
    </row>
    <row r="14" spans="1:3" x14ac:dyDescent="0.25">
      <c r="A14" t="s">
        <v>16</v>
      </c>
      <c r="B14" t="s">
        <v>6</v>
      </c>
      <c r="C14">
        <v>1.0649999999999999</v>
      </c>
    </row>
    <row r="15" spans="1:3" x14ac:dyDescent="0.25">
      <c r="A15" t="s">
        <v>16</v>
      </c>
      <c r="B15" t="s">
        <v>8</v>
      </c>
      <c r="C15">
        <v>1.2490000000000001</v>
      </c>
    </row>
    <row r="16" spans="1:3" x14ac:dyDescent="0.25">
      <c r="A16" t="s">
        <v>16</v>
      </c>
      <c r="B16" t="s">
        <v>9</v>
      </c>
      <c r="C16">
        <v>6.4599999999999996E-3</v>
      </c>
    </row>
    <row r="17" spans="1:3" x14ac:dyDescent="0.25">
      <c r="A17" t="s">
        <v>19</v>
      </c>
      <c r="B17" t="s">
        <v>6</v>
      </c>
      <c r="C17">
        <v>1.083</v>
      </c>
    </row>
    <row r="18" spans="1:3" x14ac:dyDescent="0.25">
      <c r="A18" t="s">
        <v>19</v>
      </c>
      <c r="B18" t="s">
        <v>8</v>
      </c>
      <c r="C18">
        <v>1.2709999999999999</v>
      </c>
    </row>
    <row r="19" spans="1:3" x14ac:dyDescent="0.25">
      <c r="A19" t="s">
        <v>19</v>
      </c>
      <c r="B19" t="s">
        <v>9</v>
      </c>
      <c r="C19">
        <v>6.6E-3</v>
      </c>
    </row>
    <row r="20" spans="1:3" x14ac:dyDescent="0.25">
      <c r="A20" t="s">
        <v>21</v>
      </c>
      <c r="B20" t="s">
        <v>6</v>
      </c>
      <c r="C20">
        <v>1.101</v>
      </c>
    </row>
    <row r="21" spans="1:3" x14ac:dyDescent="0.25">
      <c r="A21" t="s">
        <v>21</v>
      </c>
      <c r="B21" t="s">
        <v>8</v>
      </c>
      <c r="C21">
        <v>1.2929999999999999</v>
      </c>
    </row>
    <row r="22" spans="1:3" x14ac:dyDescent="0.25">
      <c r="A22" t="s">
        <v>21</v>
      </c>
      <c r="B22" t="s">
        <v>9</v>
      </c>
      <c r="C22">
        <v>6.7400000000000003E-3</v>
      </c>
    </row>
    <row r="23" spans="1:3" x14ac:dyDescent="0.25">
      <c r="A23" t="s">
        <v>23</v>
      </c>
      <c r="B23" t="s">
        <v>6</v>
      </c>
      <c r="C23">
        <v>1.119</v>
      </c>
    </row>
    <row r="24" spans="1:3" x14ac:dyDescent="0.25">
      <c r="A24" t="s">
        <v>23</v>
      </c>
      <c r="B24" t="s">
        <v>8</v>
      </c>
      <c r="C24">
        <v>1.3149999999999999</v>
      </c>
    </row>
    <row r="25" spans="1:3" x14ac:dyDescent="0.25">
      <c r="A25" t="s">
        <v>23</v>
      </c>
      <c r="B25" t="s">
        <v>9</v>
      </c>
      <c r="C25">
        <v>6.8799999999999998E-3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501"/>
  <sheetViews>
    <sheetView workbookViewId="0"/>
  </sheetViews>
  <sheetFormatPr defaultRowHeight="15" x14ac:dyDescent="0.25"/>
  <cols>
    <col min="1" max="1" width="12.7109375" customWidth="1"/>
    <col min="2" max="2" width="26.28515625" customWidth="1"/>
    <col min="3" max="3" width="13.7109375" customWidth="1"/>
    <col min="4" max="4" width="14.140625" customWidth="1"/>
    <col min="5" max="5" width="12.140625" customWidth="1"/>
    <col min="6" max="6" width="15" customWidth="1"/>
    <col min="7" max="7" width="12.140625" customWidth="1"/>
    <col min="8" max="8" width="11.5703125" customWidth="1"/>
    <col min="9" max="9" width="23.7109375" customWidth="1"/>
    <col min="10" max="10" width="16.42578125" customWidth="1"/>
    <col min="11" max="11" width="18" customWidth="1"/>
    <col min="12" max="12" width="23.140625" customWidth="1"/>
    <col min="13" max="13" width="26.28515625" customWidth="1"/>
    <col min="14" max="15" width="14.42578125" customWidth="1"/>
    <col min="16" max="16" width="13.7109375" customWidth="1"/>
    <col min="17" max="17" width="18" customWidth="1"/>
    <col min="18" max="18" width="22.7109375" customWidth="1"/>
    <col min="19" max="19" width="17.42578125" customWidth="1"/>
    <col min="20" max="20" width="23" customWidth="1"/>
    <col min="21" max="21" width="32.5703125" customWidth="1"/>
    <col min="22" max="22" width="26.28515625" customWidth="1"/>
    <col min="23" max="23" width="25.28515625" customWidth="1"/>
  </cols>
  <sheetData>
    <row r="1" spans="1:23" x14ac:dyDescent="0.25">
      <c r="A1" t="s">
        <v>51</v>
      </c>
      <c r="B1" t="s">
        <v>52</v>
      </c>
      <c r="C1" t="s">
        <v>53</v>
      </c>
      <c r="D1" t="s">
        <v>29</v>
      </c>
      <c r="E1" t="s">
        <v>54</v>
      </c>
      <c r="F1" t="s">
        <v>55</v>
      </c>
      <c r="G1" t="s">
        <v>56</v>
      </c>
      <c r="H1" t="s">
        <v>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</row>
    <row r="2" spans="1:23" x14ac:dyDescent="0.25">
      <c r="A2" t="s">
        <v>3084</v>
      </c>
      <c r="B2" t="s">
        <v>24</v>
      </c>
      <c r="C2" t="s">
        <v>73</v>
      </c>
      <c r="D2" t="s">
        <v>31</v>
      </c>
      <c r="E2" t="s">
        <v>74</v>
      </c>
      <c r="F2" s="1">
        <v>46143</v>
      </c>
      <c r="G2">
        <v>46173</v>
      </c>
      <c r="H2" t="s">
        <v>6</v>
      </c>
      <c r="I2">
        <v>48002.75</v>
      </c>
      <c r="J2" t="s">
        <v>75</v>
      </c>
      <c r="K2" t="s">
        <v>3085</v>
      </c>
      <c r="L2">
        <v>30</v>
      </c>
      <c r="M2" t="s">
        <v>24</v>
      </c>
      <c r="N2">
        <v>1.1701999999999999</v>
      </c>
      <c r="O2">
        <v>1.3508802308802308</v>
      </c>
      <c r="P2">
        <v>6.3872059385404719E-3</v>
      </c>
      <c r="Q2">
        <v>1.1701999999999999</v>
      </c>
      <c r="R2">
        <v>56172.818049999994</v>
      </c>
      <c r="S2" t="s">
        <v>19</v>
      </c>
      <c r="T2">
        <v>1.083</v>
      </c>
      <c r="U2">
        <v>51986.97825</v>
      </c>
      <c r="V2">
        <v>4185.8397999999943</v>
      </c>
      <c r="W2">
        <v>8.0517082179131935E-2</v>
      </c>
    </row>
    <row r="3" spans="1:23" x14ac:dyDescent="0.25">
      <c r="A3" t="s">
        <v>3082</v>
      </c>
      <c r="B3" t="s">
        <v>25</v>
      </c>
      <c r="C3" t="s">
        <v>169</v>
      </c>
      <c r="D3" t="s">
        <v>31</v>
      </c>
      <c r="E3" t="s">
        <v>124</v>
      </c>
      <c r="F3" s="1">
        <v>46142</v>
      </c>
      <c r="G3">
        <v>46202</v>
      </c>
      <c r="H3" t="s">
        <v>6</v>
      </c>
      <c r="I3">
        <v>25029.56</v>
      </c>
      <c r="J3" t="s">
        <v>75</v>
      </c>
      <c r="K3" t="s">
        <v>3083</v>
      </c>
      <c r="L3">
        <v>60</v>
      </c>
      <c r="M3" t="s">
        <v>25</v>
      </c>
      <c r="N3">
        <v>1.1701999999999999</v>
      </c>
      <c r="O3">
        <v>1.3508802308802308</v>
      </c>
      <c r="P3">
        <v>6.3872059385404719E-3</v>
      </c>
      <c r="Q3">
        <v>1.1701999999999999</v>
      </c>
      <c r="R3">
        <v>29289.591111999998</v>
      </c>
      <c r="S3" t="s">
        <v>19</v>
      </c>
      <c r="T3">
        <v>1.083</v>
      </c>
      <c r="U3">
        <v>27107.013480000001</v>
      </c>
      <c r="V3">
        <v>2182.5776319999968</v>
      </c>
      <c r="W3">
        <v>8.0517082179131921E-2</v>
      </c>
    </row>
    <row r="4" spans="1:23" x14ac:dyDescent="0.25">
      <c r="A4" t="s">
        <v>3080</v>
      </c>
      <c r="B4" t="s">
        <v>39</v>
      </c>
      <c r="C4" t="s">
        <v>82</v>
      </c>
      <c r="D4" t="s">
        <v>33</v>
      </c>
      <c r="E4" t="s">
        <v>83</v>
      </c>
      <c r="F4" s="1">
        <v>46228</v>
      </c>
      <c r="G4">
        <v>46273</v>
      </c>
      <c r="H4" t="s">
        <v>8</v>
      </c>
      <c r="I4">
        <v>1308.01</v>
      </c>
      <c r="J4" t="s">
        <v>75</v>
      </c>
      <c r="K4" t="s">
        <v>3081</v>
      </c>
      <c r="L4">
        <v>45</v>
      </c>
      <c r="M4" t="s">
        <v>39</v>
      </c>
      <c r="N4">
        <v>1.1376999999999999</v>
      </c>
      <c r="O4">
        <v>1.3323886260364455</v>
      </c>
      <c r="P4">
        <v>6.1041957291554884E-3</v>
      </c>
      <c r="Q4">
        <v>1.3323886260364455</v>
      </c>
      <c r="R4">
        <v>1742.777646741931</v>
      </c>
      <c r="S4" t="s">
        <v>21</v>
      </c>
      <c r="T4">
        <v>1.2929999999999999</v>
      </c>
      <c r="U4">
        <v>1691.2569299999998</v>
      </c>
      <c r="V4">
        <v>51.52071674193121</v>
      </c>
      <c r="W4">
        <v>3.0462974506145095E-2</v>
      </c>
    </row>
    <row r="5" spans="1:23" x14ac:dyDescent="0.25">
      <c r="A5" t="s">
        <v>3078</v>
      </c>
      <c r="B5" t="s">
        <v>24</v>
      </c>
      <c r="C5" t="s">
        <v>73</v>
      </c>
      <c r="D5" t="s">
        <v>31</v>
      </c>
      <c r="E5" t="s">
        <v>74</v>
      </c>
      <c r="F5" s="1">
        <v>45955</v>
      </c>
      <c r="G5">
        <v>45985</v>
      </c>
      <c r="H5" t="s">
        <v>6</v>
      </c>
      <c r="I5">
        <v>8072.58</v>
      </c>
      <c r="J5" t="s">
        <v>75</v>
      </c>
      <c r="K5" t="s">
        <v>3079</v>
      </c>
      <c r="L5">
        <v>30</v>
      </c>
      <c r="M5" t="s">
        <v>24</v>
      </c>
      <c r="N5">
        <v>1.1640999999999999</v>
      </c>
      <c r="O5">
        <v>1.345080593910682</v>
      </c>
      <c r="P5">
        <v>6.3379974955082487E-3</v>
      </c>
      <c r="Q5">
        <v>1.1640999999999999</v>
      </c>
      <c r="R5">
        <v>9397.2903779999997</v>
      </c>
      <c r="S5" t="s">
        <v>14</v>
      </c>
      <c r="T5">
        <v>1.1060000000000001</v>
      </c>
      <c r="U5">
        <v>8928.2734799999998</v>
      </c>
      <c r="V5">
        <v>469.01689799999986</v>
      </c>
      <c r="W5">
        <v>5.2531645569620235E-2</v>
      </c>
    </row>
    <row r="6" spans="1:23" x14ac:dyDescent="0.25">
      <c r="A6" t="s">
        <v>3076</v>
      </c>
      <c r="B6" t="s">
        <v>20</v>
      </c>
      <c r="C6" t="s">
        <v>123</v>
      </c>
      <c r="D6" t="s">
        <v>31</v>
      </c>
      <c r="E6" t="s">
        <v>124</v>
      </c>
      <c r="F6" s="1">
        <v>46132</v>
      </c>
      <c r="G6">
        <v>46177</v>
      </c>
      <c r="H6" t="s">
        <v>6</v>
      </c>
      <c r="I6">
        <v>38286.949999999997</v>
      </c>
      <c r="J6" t="s">
        <v>75</v>
      </c>
      <c r="K6" t="s">
        <v>3077</v>
      </c>
      <c r="L6">
        <v>45</v>
      </c>
      <c r="M6" t="s">
        <v>20</v>
      </c>
      <c r="N6">
        <v>1.1759999999999999</v>
      </c>
      <c r="O6">
        <v>1.3510253317249699</v>
      </c>
      <c r="P6">
        <v>6.2928082191780824E-3</v>
      </c>
      <c r="Q6">
        <v>1.1759999999999999</v>
      </c>
      <c r="R6">
        <v>45025.453199999996</v>
      </c>
      <c r="S6" t="s">
        <v>19</v>
      </c>
      <c r="T6">
        <v>1.083</v>
      </c>
      <c r="U6">
        <v>41464.766849999993</v>
      </c>
      <c r="V6">
        <v>3560.6863500000036</v>
      </c>
      <c r="W6">
        <v>8.5872576177285415E-2</v>
      </c>
    </row>
    <row r="7" spans="1:23" x14ac:dyDescent="0.25">
      <c r="A7" t="s">
        <v>3074</v>
      </c>
      <c r="B7" t="s">
        <v>20</v>
      </c>
      <c r="C7" t="s">
        <v>123</v>
      </c>
      <c r="D7" t="s">
        <v>31</v>
      </c>
      <c r="E7" t="s">
        <v>124</v>
      </c>
      <c r="F7" s="1">
        <v>45923</v>
      </c>
      <c r="G7">
        <v>45968</v>
      </c>
      <c r="H7" t="s">
        <v>6</v>
      </c>
      <c r="I7">
        <v>75929.350000000006</v>
      </c>
      <c r="J7" t="s">
        <v>75</v>
      </c>
      <c r="K7" t="s">
        <v>3075</v>
      </c>
      <c r="L7">
        <v>45</v>
      </c>
      <c r="M7" t="s">
        <v>20</v>
      </c>
      <c r="N7">
        <v>1.1793</v>
      </c>
      <c r="O7">
        <v>1.3510138618398442</v>
      </c>
      <c r="P7">
        <v>6.7659208261617899E-3</v>
      </c>
      <c r="Q7">
        <v>1.1793</v>
      </c>
      <c r="R7">
        <v>89543.482455000005</v>
      </c>
      <c r="S7" t="s">
        <v>13</v>
      </c>
      <c r="T7">
        <v>1.0880000000000001</v>
      </c>
      <c r="U7">
        <v>82611.132800000007</v>
      </c>
      <c r="V7">
        <v>6932.3496549999982</v>
      </c>
      <c r="W7">
        <v>8.3915441176470554E-2</v>
      </c>
    </row>
    <row r="8" spans="1:23" x14ac:dyDescent="0.25">
      <c r="A8" t="s">
        <v>3072</v>
      </c>
      <c r="B8" t="s">
        <v>30</v>
      </c>
      <c r="C8" t="s">
        <v>103</v>
      </c>
      <c r="D8" t="s">
        <v>31</v>
      </c>
      <c r="E8" t="s">
        <v>74</v>
      </c>
      <c r="F8" s="1">
        <v>46251</v>
      </c>
      <c r="G8">
        <v>46281</v>
      </c>
      <c r="H8" t="s">
        <v>9</v>
      </c>
      <c r="I8">
        <v>3270909.62</v>
      </c>
      <c r="J8" t="s">
        <v>75</v>
      </c>
      <c r="K8" t="s">
        <v>3073</v>
      </c>
      <c r="L8">
        <v>30</v>
      </c>
      <c r="M8" t="s">
        <v>30</v>
      </c>
      <c r="N8">
        <v>1.1593</v>
      </c>
      <c r="O8">
        <v>1.3559064327485379</v>
      </c>
      <c r="P8">
        <v>6.2804052223847445E-3</v>
      </c>
      <c r="Q8">
        <v>6.2804052223847445E-3</v>
      </c>
      <c r="R8">
        <v>20542.637859396502</v>
      </c>
      <c r="S8" t="s">
        <v>21</v>
      </c>
      <c r="T8">
        <v>6.7400000000000003E-3</v>
      </c>
      <c r="U8">
        <v>22045.930838800003</v>
      </c>
      <c r="V8">
        <v>-1503.2929794035008</v>
      </c>
      <c r="W8">
        <v>-6.8189136144696696E-2</v>
      </c>
    </row>
    <row r="9" spans="1:23" x14ac:dyDescent="0.25">
      <c r="A9" t="s">
        <v>3070</v>
      </c>
      <c r="B9" t="s">
        <v>42</v>
      </c>
      <c r="C9" t="s">
        <v>151</v>
      </c>
      <c r="D9" t="s">
        <v>35</v>
      </c>
      <c r="E9" t="s">
        <v>152</v>
      </c>
      <c r="F9" s="1">
        <v>46248</v>
      </c>
      <c r="G9">
        <v>46278</v>
      </c>
      <c r="H9" t="s">
        <v>8</v>
      </c>
      <c r="I9">
        <v>1873.06</v>
      </c>
      <c r="J9" t="s">
        <v>75</v>
      </c>
      <c r="K9" t="s">
        <v>3071</v>
      </c>
      <c r="L9">
        <v>30</v>
      </c>
      <c r="M9" t="s">
        <v>42</v>
      </c>
      <c r="N9">
        <v>1.1567000000000001</v>
      </c>
      <c r="O9">
        <v>1.3536571094207139</v>
      </c>
      <c r="P9">
        <v>6.2888055238405913E-3</v>
      </c>
      <c r="Q9">
        <v>1.3536571094207139</v>
      </c>
      <c r="R9">
        <v>2535.4809853715624</v>
      </c>
      <c r="S9" t="s">
        <v>21</v>
      </c>
      <c r="T9">
        <v>1.2929999999999999</v>
      </c>
      <c r="U9">
        <v>2421.8665799999999</v>
      </c>
      <c r="V9">
        <v>113.6144053715625</v>
      </c>
      <c r="W9">
        <v>4.6911917572091233E-2</v>
      </c>
    </row>
    <row r="10" spans="1:23" x14ac:dyDescent="0.25">
      <c r="A10" t="s">
        <v>3068</v>
      </c>
      <c r="B10" t="s">
        <v>24</v>
      </c>
      <c r="C10" t="s">
        <v>73</v>
      </c>
      <c r="D10" t="s">
        <v>31</v>
      </c>
      <c r="E10" t="s">
        <v>74</v>
      </c>
      <c r="F10" s="1">
        <v>46349</v>
      </c>
      <c r="G10">
        <v>46379</v>
      </c>
      <c r="H10" t="s">
        <v>6</v>
      </c>
      <c r="I10">
        <v>10654.3</v>
      </c>
      <c r="J10" t="s">
        <v>84</v>
      </c>
      <c r="K10" t="s">
        <v>3069</v>
      </c>
      <c r="L10">
        <v>30</v>
      </c>
      <c r="M10" t="s">
        <v>24</v>
      </c>
      <c r="N10">
        <v>1.1176999999999999</v>
      </c>
      <c r="O10">
        <v>1.320456022210408</v>
      </c>
      <c r="P10">
        <v>6.3200452360757699E-3</v>
      </c>
      <c r="Q10">
        <v>1.1176999999999999</v>
      </c>
      <c r="R10">
        <v>11908.311109999999</v>
      </c>
      <c r="S10" t="s">
        <v>23</v>
      </c>
      <c r="T10">
        <v>1.119</v>
      </c>
      <c r="U10">
        <v>11922.161699999999</v>
      </c>
      <c r="V10">
        <v>-13.850590000000011</v>
      </c>
      <c r="W10">
        <v>-1.1617515638963371E-3</v>
      </c>
    </row>
    <row r="11" spans="1:23" x14ac:dyDescent="0.25">
      <c r="A11" t="s">
        <v>3066</v>
      </c>
      <c r="B11" t="s">
        <v>36</v>
      </c>
      <c r="C11" t="s">
        <v>116</v>
      </c>
      <c r="D11" t="s">
        <v>31</v>
      </c>
      <c r="E11" t="s">
        <v>74</v>
      </c>
      <c r="F11" s="1">
        <v>46169</v>
      </c>
      <c r="G11">
        <v>46214</v>
      </c>
      <c r="H11" t="s">
        <v>6</v>
      </c>
      <c r="I11">
        <v>25734.78</v>
      </c>
      <c r="J11" t="s">
        <v>75</v>
      </c>
      <c r="K11" t="s">
        <v>3067</v>
      </c>
      <c r="L11">
        <v>45</v>
      </c>
      <c r="M11" t="s">
        <v>36</v>
      </c>
      <c r="N11">
        <v>1.1637</v>
      </c>
      <c r="O11">
        <v>1.3434851878362466</v>
      </c>
      <c r="P11">
        <v>6.2726390685640355E-3</v>
      </c>
      <c r="Q11">
        <v>1.1637</v>
      </c>
      <c r="R11">
        <v>29947.563485999999</v>
      </c>
      <c r="S11" t="s">
        <v>19</v>
      </c>
      <c r="T11">
        <v>1.083</v>
      </c>
      <c r="U11">
        <v>27870.766739999999</v>
      </c>
      <c r="V11">
        <v>2076.796746</v>
      </c>
      <c r="W11">
        <v>7.4515235457063719E-2</v>
      </c>
    </row>
    <row r="12" spans="1:23" x14ac:dyDescent="0.25">
      <c r="A12" t="s">
        <v>3064</v>
      </c>
      <c r="B12" t="s">
        <v>26</v>
      </c>
      <c r="C12" t="s">
        <v>94</v>
      </c>
      <c r="D12" t="s">
        <v>31</v>
      </c>
      <c r="E12" t="s">
        <v>74</v>
      </c>
      <c r="F12" s="1">
        <v>46328</v>
      </c>
      <c r="G12">
        <v>46358</v>
      </c>
      <c r="H12" t="s">
        <v>8</v>
      </c>
      <c r="I12">
        <v>11312.33</v>
      </c>
      <c r="J12" t="s">
        <v>84</v>
      </c>
      <c r="K12" t="s">
        <v>3065</v>
      </c>
      <c r="L12">
        <v>30</v>
      </c>
      <c r="M12" t="s">
        <v>26</v>
      </c>
      <c r="N12">
        <v>1.1176999999999999</v>
      </c>
      <c r="O12">
        <v>1.320456022210408</v>
      </c>
      <c r="P12">
        <v>6.3200452360757699E-3</v>
      </c>
      <c r="Q12">
        <v>1.320456022210408</v>
      </c>
      <c r="R12">
        <v>14937.434273731466</v>
      </c>
      <c r="S12" t="s">
        <v>23</v>
      </c>
      <c r="T12">
        <v>1.3149999999999999</v>
      </c>
      <c r="U12">
        <v>14875.713949999999</v>
      </c>
      <c r="V12">
        <v>61.720323731466124</v>
      </c>
      <c r="W12">
        <v>4.1490663197019948E-3</v>
      </c>
    </row>
    <row r="13" spans="1:23" x14ac:dyDescent="0.25">
      <c r="A13" t="s">
        <v>3062</v>
      </c>
      <c r="B13" t="s">
        <v>40</v>
      </c>
      <c r="C13" t="s">
        <v>78</v>
      </c>
      <c r="D13" t="s">
        <v>33</v>
      </c>
      <c r="E13" t="s">
        <v>79</v>
      </c>
      <c r="F13" s="1">
        <v>46203</v>
      </c>
      <c r="G13">
        <v>46233</v>
      </c>
      <c r="H13" t="s">
        <v>9</v>
      </c>
      <c r="I13">
        <v>250092.87</v>
      </c>
      <c r="J13" t="s">
        <v>75</v>
      </c>
      <c r="K13" t="s">
        <v>3063</v>
      </c>
      <c r="L13">
        <v>30</v>
      </c>
      <c r="M13" t="s">
        <v>40</v>
      </c>
      <c r="N13">
        <v>1.1394</v>
      </c>
      <c r="O13">
        <v>1.3221471837359884</v>
      </c>
      <c r="P13">
        <v>6.1562567538361781E-3</v>
      </c>
      <c r="Q13">
        <v>6.1562567538361781E-3</v>
      </c>
      <c r="R13">
        <v>1539.6359200237732</v>
      </c>
      <c r="S13" t="s">
        <v>19</v>
      </c>
      <c r="T13">
        <v>6.6E-3</v>
      </c>
      <c r="U13">
        <v>1650.612942</v>
      </c>
      <c r="V13">
        <v>-110.97702197622675</v>
      </c>
      <c r="W13">
        <v>-6.7233825176336678E-2</v>
      </c>
    </row>
    <row r="14" spans="1:23" x14ac:dyDescent="0.25">
      <c r="A14" t="s">
        <v>3060</v>
      </c>
      <c r="B14" t="s">
        <v>38</v>
      </c>
      <c r="C14" t="s">
        <v>87</v>
      </c>
      <c r="D14" t="s">
        <v>33</v>
      </c>
      <c r="E14" t="s">
        <v>88</v>
      </c>
      <c r="F14" s="1">
        <v>45908</v>
      </c>
      <c r="G14">
        <v>45938</v>
      </c>
      <c r="H14" t="s">
        <v>6</v>
      </c>
      <c r="I14">
        <v>11713.8</v>
      </c>
      <c r="J14" t="s">
        <v>75</v>
      </c>
      <c r="K14" t="s">
        <v>3061</v>
      </c>
      <c r="L14">
        <v>30</v>
      </c>
      <c r="M14" t="s">
        <v>38</v>
      </c>
      <c r="N14">
        <v>1.1728000000000001</v>
      </c>
      <c r="O14">
        <v>1.3528665359326335</v>
      </c>
      <c r="P14">
        <v>6.7639425572409029E-3</v>
      </c>
      <c r="Q14">
        <v>1.1728000000000001</v>
      </c>
      <c r="R14">
        <v>13737.94464</v>
      </c>
      <c r="S14" t="s">
        <v>13</v>
      </c>
      <c r="T14">
        <v>1.0880000000000001</v>
      </c>
      <c r="U14">
        <v>12744.6144</v>
      </c>
      <c r="V14">
        <v>993.33023999999932</v>
      </c>
      <c r="W14">
        <v>7.794117647058818E-2</v>
      </c>
    </row>
    <row r="15" spans="1:23" x14ac:dyDescent="0.25">
      <c r="A15" t="s">
        <v>3058</v>
      </c>
      <c r="B15" t="s">
        <v>39</v>
      </c>
      <c r="C15" t="s">
        <v>82</v>
      </c>
      <c r="D15" t="s">
        <v>33</v>
      </c>
      <c r="E15" t="s">
        <v>83</v>
      </c>
      <c r="F15" s="1">
        <v>45884</v>
      </c>
      <c r="G15">
        <v>45929</v>
      </c>
      <c r="H15" t="s">
        <v>8</v>
      </c>
      <c r="I15">
        <v>14300.54</v>
      </c>
      <c r="J15" t="s">
        <v>75</v>
      </c>
      <c r="K15" t="s">
        <v>3059</v>
      </c>
      <c r="L15">
        <v>45</v>
      </c>
      <c r="M15" t="s">
        <v>39</v>
      </c>
      <c r="N15">
        <v>1.1688000000000001</v>
      </c>
      <c r="O15">
        <v>1.3556019485038275</v>
      </c>
      <c r="P15">
        <v>6.8028636284267509E-3</v>
      </c>
      <c r="Q15">
        <v>1.3556019485038275</v>
      </c>
      <c r="R15">
        <v>19385.839888656927</v>
      </c>
      <c r="S15" t="s">
        <v>13</v>
      </c>
      <c r="T15">
        <v>1.282</v>
      </c>
      <c r="U15">
        <v>18333.292280000001</v>
      </c>
      <c r="V15">
        <v>1052.5476086569251</v>
      </c>
      <c r="W15">
        <v>5.7411816305637658E-2</v>
      </c>
    </row>
    <row r="16" spans="1:23" x14ac:dyDescent="0.25">
      <c r="A16" t="s">
        <v>3056</v>
      </c>
      <c r="B16" t="s">
        <v>30</v>
      </c>
      <c r="C16" t="s">
        <v>103</v>
      </c>
      <c r="D16" t="s">
        <v>31</v>
      </c>
      <c r="E16" t="s">
        <v>74</v>
      </c>
      <c r="F16" s="1">
        <v>46060</v>
      </c>
      <c r="G16">
        <v>46090</v>
      </c>
      <c r="H16" t="s">
        <v>9</v>
      </c>
      <c r="I16">
        <v>3075447.86</v>
      </c>
      <c r="J16" t="s">
        <v>75</v>
      </c>
      <c r="K16" t="s">
        <v>3057</v>
      </c>
      <c r="L16">
        <v>30</v>
      </c>
      <c r="M16" t="s">
        <v>30</v>
      </c>
      <c r="N16">
        <v>1.1555</v>
      </c>
      <c r="O16">
        <v>1.3367963164349013</v>
      </c>
      <c r="P16">
        <v>6.2983756677204832E-3</v>
      </c>
      <c r="Q16">
        <v>6.2983756677204832E-3</v>
      </c>
      <c r="R16">
        <v>19370.325968767029</v>
      </c>
      <c r="S16" t="s">
        <v>16</v>
      </c>
      <c r="T16">
        <v>6.4599999999999996E-3</v>
      </c>
      <c r="U16">
        <v>19867.393175599998</v>
      </c>
      <c r="V16">
        <v>-497.06720683296953</v>
      </c>
      <c r="W16">
        <v>-2.5019246482897373E-2</v>
      </c>
    </row>
    <row r="17" spans="1:23" x14ac:dyDescent="0.25">
      <c r="A17" t="s">
        <v>3054</v>
      </c>
      <c r="B17" t="s">
        <v>37</v>
      </c>
      <c r="C17" t="s">
        <v>91</v>
      </c>
      <c r="D17" t="s">
        <v>31</v>
      </c>
      <c r="E17" t="s">
        <v>74</v>
      </c>
      <c r="F17" s="1">
        <v>45903</v>
      </c>
      <c r="G17">
        <v>45933</v>
      </c>
      <c r="H17" t="s">
        <v>6</v>
      </c>
      <c r="I17">
        <v>2877.21</v>
      </c>
      <c r="J17" t="s">
        <v>75</v>
      </c>
      <c r="K17" t="s">
        <v>3055</v>
      </c>
      <c r="L17">
        <v>30</v>
      </c>
      <c r="M17" t="s">
        <v>37</v>
      </c>
      <c r="N17">
        <v>1.1653</v>
      </c>
      <c r="O17">
        <v>1.3414297225739611</v>
      </c>
      <c r="P17">
        <v>6.7292256164462674E-3</v>
      </c>
      <c r="Q17">
        <v>1.1653</v>
      </c>
      <c r="R17">
        <v>3352.812813</v>
      </c>
      <c r="S17" t="s">
        <v>13</v>
      </c>
      <c r="T17">
        <v>1.0880000000000001</v>
      </c>
      <c r="U17">
        <v>3130.4044800000001</v>
      </c>
      <c r="V17">
        <v>222.40833299999986</v>
      </c>
      <c r="W17">
        <v>7.1047794117647015E-2</v>
      </c>
    </row>
    <row r="18" spans="1:23" x14ac:dyDescent="0.25">
      <c r="A18" t="s">
        <v>3052</v>
      </c>
      <c r="B18" t="s">
        <v>30</v>
      </c>
      <c r="C18" t="s">
        <v>103</v>
      </c>
      <c r="D18" t="s">
        <v>31</v>
      </c>
      <c r="E18" t="s">
        <v>74</v>
      </c>
      <c r="F18" s="1">
        <v>45703</v>
      </c>
      <c r="G18">
        <v>45733</v>
      </c>
      <c r="H18" t="s">
        <v>9</v>
      </c>
      <c r="I18">
        <v>1202482.6100000001</v>
      </c>
      <c r="J18" t="s">
        <v>75</v>
      </c>
      <c r="K18" t="s">
        <v>3053</v>
      </c>
      <c r="L18">
        <v>30</v>
      </c>
      <c r="M18" t="s">
        <v>30</v>
      </c>
      <c r="N18">
        <v>1.083</v>
      </c>
      <c r="O18">
        <v>1.2927021413736304</v>
      </c>
      <c r="P18">
        <v>6.741782868525897E-3</v>
      </c>
      <c r="Q18">
        <v>6.741782868525897E-3</v>
      </c>
      <c r="R18">
        <v>8106.8766597983085</v>
      </c>
      <c r="S18" t="s">
        <v>11</v>
      </c>
      <c r="T18">
        <v>6.5599999999999999E-3</v>
      </c>
      <c r="U18">
        <v>7888.2859216000006</v>
      </c>
      <c r="V18">
        <v>218.59073819830792</v>
      </c>
      <c r="W18">
        <v>2.7710803128947768E-2</v>
      </c>
    </row>
    <row r="19" spans="1:23" x14ac:dyDescent="0.25">
      <c r="A19" t="s">
        <v>3050</v>
      </c>
      <c r="B19" t="s">
        <v>24</v>
      </c>
      <c r="C19" t="s">
        <v>73</v>
      </c>
      <c r="D19" t="s">
        <v>31</v>
      </c>
      <c r="E19" t="s">
        <v>74</v>
      </c>
      <c r="F19" s="1">
        <v>45801</v>
      </c>
      <c r="G19">
        <v>45831</v>
      </c>
      <c r="H19" t="s">
        <v>6</v>
      </c>
      <c r="I19">
        <v>42954.65</v>
      </c>
      <c r="J19" t="s">
        <v>75</v>
      </c>
      <c r="K19" t="s">
        <v>3051</v>
      </c>
      <c r="L19">
        <v>30</v>
      </c>
      <c r="M19" t="s">
        <v>24</v>
      </c>
      <c r="N19">
        <v>1.1404000000000001</v>
      </c>
      <c r="O19">
        <v>1.3160992498557416</v>
      </c>
      <c r="P19">
        <v>6.6453003904201387E-3</v>
      </c>
      <c r="Q19">
        <v>1.1404000000000001</v>
      </c>
      <c r="R19">
        <v>48985.482860000004</v>
      </c>
      <c r="S19" t="s">
        <v>12</v>
      </c>
      <c r="T19">
        <v>1.07</v>
      </c>
      <c r="U19">
        <v>45961.475500000008</v>
      </c>
      <c r="V19">
        <v>3024.007359999996</v>
      </c>
      <c r="W19">
        <v>6.5794392523364387E-2</v>
      </c>
    </row>
    <row r="20" spans="1:23" x14ac:dyDescent="0.25">
      <c r="A20" t="s">
        <v>3048</v>
      </c>
      <c r="B20" t="s">
        <v>42</v>
      </c>
      <c r="C20" t="s">
        <v>151</v>
      </c>
      <c r="D20" t="s">
        <v>35</v>
      </c>
      <c r="E20" t="s">
        <v>152</v>
      </c>
      <c r="F20" s="1">
        <v>45830</v>
      </c>
      <c r="G20">
        <v>45860</v>
      </c>
      <c r="H20" t="s">
        <v>8</v>
      </c>
      <c r="I20">
        <v>1793.48</v>
      </c>
      <c r="J20" t="s">
        <v>75</v>
      </c>
      <c r="K20" t="s">
        <v>3049</v>
      </c>
      <c r="L20">
        <v>30</v>
      </c>
      <c r="M20" t="s">
        <v>42</v>
      </c>
      <c r="N20">
        <v>1.1685000000000001</v>
      </c>
      <c r="O20">
        <v>1.3513357233722678</v>
      </c>
      <c r="P20">
        <v>6.7590236001850998E-3</v>
      </c>
      <c r="Q20">
        <v>1.3513357233722678</v>
      </c>
      <c r="R20">
        <v>2423.5935931536951</v>
      </c>
      <c r="S20" t="s">
        <v>12</v>
      </c>
      <c r="T20">
        <v>1.26</v>
      </c>
      <c r="U20">
        <v>2259.7847999999999</v>
      </c>
      <c r="V20">
        <v>163.80879315369521</v>
      </c>
      <c r="W20">
        <v>7.2488669343069842E-2</v>
      </c>
    </row>
    <row r="21" spans="1:23" x14ac:dyDescent="0.25">
      <c r="A21" t="s">
        <v>3046</v>
      </c>
      <c r="B21" t="s">
        <v>41</v>
      </c>
      <c r="C21" t="s">
        <v>172</v>
      </c>
      <c r="D21" t="s">
        <v>33</v>
      </c>
      <c r="E21" t="s">
        <v>83</v>
      </c>
      <c r="F21" s="1">
        <v>46117</v>
      </c>
      <c r="G21">
        <v>46147</v>
      </c>
      <c r="H21" t="s">
        <v>9</v>
      </c>
      <c r="I21">
        <v>1988529.16</v>
      </c>
      <c r="J21" t="s">
        <v>75</v>
      </c>
      <c r="K21" t="s">
        <v>3047</v>
      </c>
      <c r="L21">
        <v>30</v>
      </c>
      <c r="M21" t="s">
        <v>41</v>
      </c>
      <c r="N21">
        <v>1.1525000000000001</v>
      </c>
      <c r="O21">
        <v>1.3208714886594157</v>
      </c>
      <c r="P21">
        <v>6.2656300967706864E-3</v>
      </c>
      <c r="Q21">
        <v>6.2656300967706864E-3</v>
      </c>
      <c r="R21">
        <v>12459.388153202131</v>
      </c>
      <c r="S21" t="s">
        <v>19</v>
      </c>
      <c r="T21">
        <v>6.6E-3</v>
      </c>
      <c r="U21">
        <v>13124.292455999999</v>
      </c>
      <c r="V21">
        <v>-664.90430279786779</v>
      </c>
      <c r="W21">
        <v>-5.0662106549895967E-2</v>
      </c>
    </row>
    <row r="22" spans="1:23" x14ac:dyDescent="0.25">
      <c r="A22" t="s">
        <v>3044</v>
      </c>
      <c r="B22" t="s">
        <v>24</v>
      </c>
      <c r="C22" t="s">
        <v>73</v>
      </c>
      <c r="D22" t="s">
        <v>31</v>
      </c>
      <c r="E22" t="s">
        <v>74</v>
      </c>
      <c r="F22" s="1">
        <v>46114</v>
      </c>
      <c r="G22">
        <v>46144</v>
      </c>
      <c r="H22" t="s">
        <v>6</v>
      </c>
      <c r="I22">
        <v>10824.2</v>
      </c>
      <c r="J22" t="s">
        <v>75</v>
      </c>
      <c r="K22" t="s">
        <v>3045</v>
      </c>
      <c r="L22">
        <v>30</v>
      </c>
      <c r="M22" t="s">
        <v>24</v>
      </c>
      <c r="N22">
        <v>1.1525000000000001</v>
      </c>
      <c r="O22">
        <v>1.3208714886594157</v>
      </c>
      <c r="P22">
        <v>6.2656300967706864E-3</v>
      </c>
      <c r="Q22">
        <v>1.1525000000000001</v>
      </c>
      <c r="R22">
        <v>12474.890500000001</v>
      </c>
      <c r="S22" t="s">
        <v>19</v>
      </c>
      <c r="T22">
        <v>1.083</v>
      </c>
      <c r="U22">
        <v>11722.6086</v>
      </c>
      <c r="V22">
        <v>752.28190000000177</v>
      </c>
      <c r="W22">
        <v>6.417359187442305E-2</v>
      </c>
    </row>
    <row r="23" spans="1:23" x14ac:dyDescent="0.25">
      <c r="A23" t="s">
        <v>3042</v>
      </c>
      <c r="B23" t="s">
        <v>30</v>
      </c>
      <c r="C23" t="s">
        <v>103</v>
      </c>
      <c r="D23" t="s">
        <v>31</v>
      </c>
      <c r="E23" t="s">
        <v>74</v>
      </c>
      <c r="F23" s="1">
        <v>45827</v>
      </c>
      <c r="G23">
        <v>45857</v>
      </c>
      <c r="H23" t="s">
        <v>9</v>
      </c>
      <c r="I23">
        <v>3006666.84</v>
      </c>
      <c r="J23" t="s">
        <v>75</v>
      </c>
      <c r="K23" t="s">
        <v>3043</v>
      </c>
      <c r="L23">
        <v>30</v>
      </c>
      <c r="M23" t="s">
        <v>30</v>
      </c>
      <c r="N23">
        <v>1.1477999999999999</v>
      </c>
      <c r="O23">
        <v>1.3438707411310151</v>
      </c>
      <c r="P23">
        <v>6.8648325358851674E-3</v>
      </c>
      <c r="Q23">
        <v>6.8648325358851674E-3</v>
      </c>
      <c r="R23">
        <v>20640.264347799042</v>
      </c>
      <c r="S23" t="s">
        <v>12</v>
      </c>
      <c r="T23">
        <v>6.7000000000000002E-3</v>
      </c>
      <c r="U23">
        <v>20144.667828000001</v>
      </c>
      <c r="V23">
        <v>495.59651979904083</v>
      </c>
      <c r="W23">
        <v>2.4601871027636824E-2</v>
      </c>
    </row>
    <row r="24" spans="1:23" x14ac:dyDescent="0.25">
      <c r="A24" t="s">
        <v>3040</v>
      </c>
      <c r="B24" t="s">
        <v>28</v>
      </c>
      <c r="C24" t="s">
        <v>111</v>
      </c>
      <c r="D24" t="s">
        <v>31</v>
      </c>
      <c r="E24" t="s">
        <v>74</v>
      </c>
      <c r="F24" s="1">
        <v>46195</v>
      </c>
      <c r="G24">
        <v>46240</v>
      </c>
      <c r="H24" t="s">
        <v>9</v>
      </c>
      <c r="I24">
        <v>1401192.49</v>
      </c>
      <c r="J24" t="s">
        <v>75</v>
      </c>
      <c r="K24" t="s">
        <v>3041</v>
      </c>
      <c r="L24">
        <v>45</v>
      </c>
      <c r="M24" t="s">
        <v>28</v>
      </c>
      <c r="N24">
        <v>1.1456</v>
      </c>
      <c r="O24">
        <v>1.3248831937826711</v>
      </c>
      <c r="P24">
        <v>6.1814061403982082E-3</v>
      </c>
      <c r="Q24">
        <v>6.1814061403982082E-3</v>
      </c>
      <c r="R24">
        <v>8661.3398615658552</v>
      </c>
      <c r="S24" t="s">
        <v>19</v>
      </c>
      <c r="T24">
        <v>6.6E-3</v>
      </c>
      <c r="U24">
        <v>9247.8704340000004</v>
      </c>
      <c r="V24">
        <v>-586.53057243414514</v>
      </c>
      <c r="W24">
        <v>-6.3423312060877549E-2</v>
      </c>
    </row>
    <row r="25" spans="1:23" x14ac:dyDescent="0.25">
      <c r="A25" t="s">
        <v>3038</v>
      </c>
      <c r="B25" t="s">
        <v>34</v>
      </c>
      <c r="C25" t="s">
        <v>177</v>
      </c>
      <c r="D25" t="s">
        <v>31</v>
      </c>
      <c r="E25" t="s">
        <v>74</v>
      </c>
      <c r="F25" s="1">
        <v>46076</v>
      </c>
      <c r="G25">
        <v>46136</v>
      </c>
      <c r="H25" t="s">
        <v>8</v>
      </c>
      <c r="I25">
        <v>20544.900000000001</v>
      </c>
      <c r="J25" t="s">
        <v>75</v>
      </c>
      <c r="K25" t="s">
        <v>3039</v>
      </c>
      <c r="L25">
        <v>60</v>
      </c>
      <c r="M25" t="s">
        <v>34</v>
      </c>
      <c r="N25">
        <v>1.1783999999999999</v>
      </c>
      <c r="O25">
        <v>1.3492099839706893</v>
      </c>
      <c r="P25">
        <v>6.4591098443323829E-3</v>
      </c>
      <c r="Q25">
        <v>1.3492099839706893</v>
      </c>
      <c r="R25">
        <v>27719.384199679414</v>
      </c>
      <c r="S25" t="s">
        <v>16</v>
      </c>
      <c r="T25">
        <v>1.2490000000000001</v>
      </c>
      <c r="U25">
        <v>25660.580100000003</v>
      </c>
      <c r="V25">
        <v>2058.8040996794116</v>
      </c>
      <c r="W25">
        <v>8.0232172914883215E-2</v>
      </c>
    </row>
    <row r="26" spans="1:23" x14ac:dyDescent="0.25">
      <c r="A26" t="s">
        <v>3036</v>
      </c>
      <c r="B26" t="s">
        <v>38</v>
      </c>
      <c r="C26" t="s">
        <v>87</v>
      </c>
      <c r="D26" t="s">
        <v>33</v>
      </c>
      <c r="E26" t="s">
        <v>88</v>
      </c>
      <c r="F26" s="1">
        <v>45730</v>
      </c>
      <c r="G26">
        <v>45760</v>
      </c>
      <c r="H26" t="s">
        <v>6</v>
      </c>
      <c r="I26">
        <v>4066.62</v>
      </c>
      <c r="J26" t="s">
        <v>75</v>
      </c>
      <c r="K26" t="s">
        <v>3037</v>
      </c>
      <c r="L26">
        <v>30</v>
      </c>
      <c r="M26" t="s">
        <v>38</v>
      </c>
      <c r="N26">
        <v>1.0889</v>
      </c>
      <c r="O26">
        <v>1.2934915600536925</v>
      </c>
      <c r="P26">
        <v>6.7265875957499381E-3</v>
      </c>
      <c r="Q26">
        <v>1.0889</v>
      </c>
      <c r="R26">
        <v>4428.1425179999997</v>
      </c>
      <c r="S26" t="s">
        <v>11</v>
      </c>
      <c r="T26">
        <v>1.052</v>
      </c>
      <c r="U26">
        <v>4278.0842400000001</v>
      </c>
      <c r="V26">
        <v>150.05827799999952</v>
      </c>
      <c r="W26">
        <v>3.5076045627376311E-2</v>
      </c>
    </row>
    <row r="27" spans="1:23" x14ac:dyDescent="0.25">
      <c r="A27" t="s">
        <v>3034</v>
      </c>
      <c r="B27" t="s">
        <v>40</v>
      </c>
      <c r="C27" t="s">
        <v>78</v>
      </c>
      <c r="D27" t="s">
        <v>33</v>
      </c>
      <c r="E27" t="s">
        <v>79</v>
      </c>
      <c r="F27" s="1">
        <v>45816</v>
      </c>
      <c r="G27">
        <v>45846</v>
      </c>
      <c r="H27" t="s">
        <v>9</v>
      </c>
      <c r="I27">
        <v>884547.13</v>
      </c>
      <c r="J27" t="s">
        <v>75</v>
      </c>
      <c r="K27" t="s">
        <v>3035</v>
      </c>
      <c r="L27">
        <v>30</v>
      </c>
      <c r="M27" t="s">
        <v>40</v>
      </c>
      <c r="N27">
        <v>1.1608000000000001</v>
      </c>
      <c r="O27">
        <v>1.3415000577834277</v>
      </c>
      <c r="P27">
        <v>6.725376593279259E-3</v>
      </c>
      <c r="Q27">
        <v>6.725376593279259E-3</v>
      </c>
      <c r="R27">
        <v>5948.9125637543457</v>
      </c>
      <c r="S27" t="s">
        <v>12</v>
      </c>
      <c r="T27">
        <v>6.7000000000000002E-3</v>
      </c>
      <c r="U27">
        <v>5926.4657710000001</v>
      </c>
      <c r="V27">
        <v>22.446792754345552</v>
      </c>
      <c r="W27">
        <v>3.7875512357102505E-3</v>
      </c>
    </row>
    <row r="28" spans="1:23" x14ac:dyDescent="0.25">
      <c r="A28" t="s">
        <v>3032</v>
      </c>
      <c r="B28" t="s">
        <v>41</v>
      </c>
      <c r="C28" t="s">
        <v>172</v>
      </c>
      <c r="D28" t="s">
        <v>33</v>
      </c>
      <c r="E28" t="s">
        <v>83</v>
      </c>
      <c r="F28" s="1">
        <v>46312</v>
      </c>
      <c r="G28">
        <v>46342</v>
      </c>
      <c r="H28" t="s">
        <v>9</v>
      </c>
      <c r="I28">
        <v>443336.67</v>
      </c>
      <c r="J28" t="s">
        <v>84</v>
      </c>
      <c r="K28" t="s">
        <v>3033</v>
      </c>
      <c r="L28">
        <v>30</v>
      </c>
      <c r="M28" t="s">
        <v>41</v>
      </c>
      <c r="N28">
        <v>1.1176999999999999</v>
      </c>
      <c r="O28">
        <v>1.320456022210408</v>
      </c>
      <c r="P28">
        <v>6.3200452360757699E-3</v>
      </c>
      <c r="Q28">
        <v>6.3200452360757699E-3</v>
      </c>
      <c r="R28">
        <v>2801.9078092111954</v>
      </c>
      <c r="S28" t="s">
        <v>23</v>
      </c>
      <c r="T28">
        <v>6.8799999999999998E-3</v>
      </c>
      <c r="U28">
        <v>3050.1562896</v>
      </c>
      <c r="V28">
        <v>-248.24848038880464</v>
      </c>
      <c r="W28">
        <v>-8.1388773826196345E-2</v>
      </c>
    </row>
    <row r="29" spans="1:23" x14ac:dyDescent="0.25">
      <c r="A29" t="s">
        <v>3030</v>
      </c>
      <c r="B29" t="s">
        <v>20</v>
      </c>
      <c r="C29" t="s">
        <v>123</v>
      </c>
      <c r="D29" t="s">
        <v>31</v>
      </c>
      <c r="E29" t="s">
        <v>124</v>
      </c>
      <c r="F29" s="1">
        <v>45857</v>
      </c>
      <c r="G29">
        <v>45902</v>
      </c>
      <c r="H29" t="s">
        <v>6</v>
      </c>
      <c r="I29">
        <v>49818.57</v>
      </c>
      <c r="J29" t="s">
        <v>75</v>
      </c>
      <c r="K29" t="s">
        <v>3031</v>
      </c>
      <c r="L29">
        <v>45</v>
      </c>
      <c r="M29" t="s">
        <v>20</v>
      </c>
      <c r="N29">
        <v>1.1655</v>
      </c>
      <c r="O29">
        <v>1.3410424577148774</v>
      </c>
      <c r="P29">
        <v>6.6330886119173637E-3</v>
      </c>
      <c r="Q29">
        <v>1.1655</v>
      </c>
      <c r="R29">
        <v>58063.543335000002</v>
      </c>
      <c r="S29" t="s">
        <v>13</v>
      </c>
      <c r="T29">
        <v>1.0880000000000001</v>
      </c>
      <c r="U29">
        <v>54202.604160000003</v>
      </c>
      <c r="V29">
        <v>3860.9391749999995</v>
      </c>
      <c r="W29">
        <v>7.1231617647058806E-2</v>
      </c>
    </row>
    <row r="30" spans="1:23" x14ac:dyDescent="0.25">
      <c r="A30" t="s">
        <v>3028</v>
      </c>
      <c r="B30" t="s">
        <v>28</v>
      </c>
      <c r="C30" t="s">
        <v>111</v>
      </c>
      <c r="D30" t="s">
        <v>31</v>
      </c>
      <c r="E30" t="s">
        <v>74</v>
      </c>
      <c r="F30" s="1">
        <v>46111</v>
      </c>
      <c r="G30">
        <v>46156</v>
      </c>
      <c r="H30" t="s">
        <v>9</v>
      </c>
      <c r="I30">
        <v>2562853.7599999998</v>
      </c>
      <c r="J30" t="s">
        <v>75</v>
      </c>
      <c r="K30" t="s">
        <v>3029</v>
      </c>
      <c r="L30">
        <v>45</v>
      </c>
      <c r="M30" t="s">
        <v>28</v>
      </c>
      <c r="N30">
        <v>1.1484000000000001</v>
      </c>
      <c r="O30">
        <v>1.3229957489948505</v>
      </c>
      <c r="P30">
        <v>6.2712975098296198E-3</v>
      </c>
      <c r="Q30">
        <v>6.2712975098296198E-3</v>
      </c>
      <c r="R30">
        <v>16072.418403145477</v>
      </c>
      <c r="S30" t="s">
        <v>16</v>
      </c>
      <c r="T30">
        <v>6.4599999999999996E-3</v>
      </c>
      <c r="U30">
        <v>16556.035289599997</v>
      </c>
      <c r="V30">
        <v>-483.61688645451977</v>
      </c>
      <c r="W30">
        <v>-2.9210911791080402E-2</v>
      </c>
    </row>
    <row r="31" spans="1:23" x14ac:dyDescent="0.25">
      <c r="A31" t="s">
        <v>3026</v>
      </c>
      <c r="B31" t="s">
        <v>40</v>
      </c>
      <c r="C31" t="s">
        <v>78</v>
      </c>
      <c r="D31" t="s">
        <v>33</v>
      </c>
      <c r="E31" t="s">
        <v>79</v>
      </c>
      <c r="F31" s="1">
        <v>46014</v>
      </c>
      <c r="G31">
        <v>46044</v>
      </c>
      <c r="H31" t="s">
        <v>9</v>
      </c>
      <c r="I31">
        <v>1409433.31</v>
      </c>
      <c r="J31" t="s">
        <v>75</v>
      </c>
      <c r="K31" t="s">
        <v>3027</v>
      </c>
      <c r="L31">
        <v>30</v>
      </c>
      <c r="M31" t="s">
        <v>40</v>
      </c>
      <c r="N31">
        <v>1.1786000000000001</v>
      </c>
      <c r="O31">
        <v>1.3502119372207584</v>
      </c>
      <c r="P31">
        <v>6.4092664092664101E-3</v>
      </c>
      <c r="Q31">
        <v>6.4092664092664101E-3</v>
      </c>
      <c r="R31">
        <v>9033.4335698841714</v>
      </c>
      <c r="S31" t="s">
        <v>14</v>
      </c>
      <c r="T31">
        <v>6.9800000000000001E-3</v>
      </c>
      <c r="U31">
        <v>9837.8445038000009</v>
      </c>
      <c r="V31">
        <v>-804.41093391582945</v>
      </c>
      <c r="W31">
        <v>-8.1766990076445584E-2</v>
      </c>
    </row>
    <row r="32" spans="1:23" x14ac:dyDescent="0.25">
      <c r="A32" t="s">
        <v>3024</v>
      </c>
      <c r="B32" t="s">
        <v>38</v>
      </c>
      <c r="C32" t="s">
        <v>87</v>
      </c>
      <c r="D32" t="s">
        <v>33</v>
      </c>
      <c r="E32" t="s">
        <v>88</v>
      </c>
      <c r="F32" s="1">
        <v>46215</v>
      </c>
      <c r="G32">
        <v>46245</v>
      </c>
      <c r="H32" t="s">
        <v>6</v>
      </c>
      <c r="I32">
        <v>4515.47</v>
      </c>
      <c r="J32" t="s">
        <v>75</v>
      </c>
      <c r="K32" t="s">
        <v>3025</v>
      </c>
      <c r="L32">
        <v>30</v>
      </c>
      <c r="M32" t="s">
        <v>38</v>
      </c>
      <c r="N32">
        <v>1.143</v>
      </c>
      <c r="O32">
        <v>1.3422582349832657</v>
      </c>
      <c r="P32">
        <v>6.1777105177818611E-3</v>
      </c>
      <c r="Q32">
        <v>1.143</v>
      </c>
      <c r="R32">
        <v>5161.1822099999999</v>
      </c>
      <c r="S32" t="s">
        <v>21</v>
      </c>
      <c r="T32">
        <v>1.101</v>
      </c>
      <c r="U32">
        <v>4971.5324700000001</v>
      </c>
      <c r="V32">
        <v>189.64973999999984</v>
      </c>
      <c r="W32">
        <v>3.8147138964577623E-2</v>
      </c>
    </row>
    <row r="33" spans="1:23" x14ac:dyDescent="0.25">
      <c r="A33" t="s">
        <v>3022</v>
      </c>
      <c r="B33" t="s">
        <v>30</v>
      </c>
      <c r="C33" t="s">
        <v>103</v>
      </c>
      <c r="D33" t="s">
        <v>31</v>
      </c>
      <c r="E33" t="s">
        <v>74</v>
      </c>
      <c r="F33" s="1">
        <v>45924</v>
      </c>
      <c r="G33">
        <v>45954</v>
      </c>
      <c r="H33" t="s">
        <v>9</v>
      </c>
      <c r="I33">
        <v>995461.14</v>
      </c>
      <c r="J33" t="s">
        <v>75</v>
      </c>
      <c r="K33" t="s">
        <v>3023</v>
      </c>
      <c r="L33">
        <v>30</v>
      </c>
      <c r="M33" t="s">
        <v>30</v>
      </c>
      <c r="N33">
        <v>1.1756</v>
      </c>
      <c r="O33">
        <v>1.3464666132172718</v>
      </c>
      <c r="P33">
        <v>6.7365767004756178E-3</v>
      </c>
      <c r="Q33">
        <v>6.7365767004756178E-3</v>
      </c>
      <c r="R33">
        <v>6706.0003219528971</v>
      </c>
      <c r="S33" t="s">
        <v>13</v>
      </c>
      <c r="T33">
        <v>6.8399999999999997E-3</v>
      </c>
      <c r="U33">
        <v>6808.9541976</v>
      </c>
      <c r="V33">
        <v>-102.9538756471029</v>
      </c>
      <c r="W33">
        <v>-1.5120365427541249E-2</v>
      </c>
    </row>
    <row r="34" spans="1:23" x14ac:dyDescent="0.25">
      <c r="A34" t="s">
        <v>3020</v>
      </c>
      <c r="B34" t="s">
        <v>42</v>
      </c>
      <c r="C34" t="s">
        <v>151</v>
      </c>
      <c r="D34" t="s">
        <v>35</v>
      </c>
      <c r="E34" t="s">
        <v>152</v>
      </c>
      <c r="F34" s="1">
        <v>46304</v>
      </c>
      <c r="G34">
        <v>46334</v>
      </c>
      <c r="H34" t="s">
        <v>8</v>
      </c>
      <c r="I34">
        <v>11411.72</v>
      </c>
      <c r="J34" t="s">
        <v>84</v>
      </c>
      <c r="K34" t="s">
        <v>3021</v>
      </c>
      <c r="L34">
        <v>30</v>
      </c>
      <c r="M34" t="s">
        <v>42</v>
      </c>
      <c r="N34">
        <v>1.1176999999999999</v>
      </c>
      <c r="O34">
        <v>1.320456022210408</v>
      </c>
      <c r="P34">
        <v>6.3200452360757699E-3</v>
      </c>
      <c r="Q34">
        <v>1.320456022210408</v>
      </c>
      <c r="R34">
        <v>15068.674397778957</v>
      </c>
      <c r="S34" t="s">
        <v>23</v>
      </c>
      <c r="T34">
        <v>1.3149999999999999</v>
      </c>
      <c r="U34">
        <v>15006.411799999998</v>
      </c>
      <c r="V34">
        <v>62.262597778959389</v>
      </c>
      <c r="W34">
        <v>4.1490663197020486E-3</v>
      </c>
    </row>
    <row r="35" spans="1:23" x14ac:dyDescent="0.25">
      <c r="A35" t="s">
        <v>3018</v>
      </c>
      <c r="B35" t="s">
        <v>28</v>
      </c>
      <c r="C35" t="s">
        <v>111</v>
      </c>
      <c r="D35" t="s">
        <v>31</v>
      </c>
      <c r="E35" t="s">
        <v>74</v>
      </c>
      <c r="F35" s="1">
        <v>45876</v>
      </c>
      <c r="G35">
        <v>45921</v>
      </c>
      <c r="H35" t="s">
        <v>9</v>
      </c>
      <c r="I35">
        <v>3517180.07</v>
      </c>
      <c r="J35" t="s">
        <v>75</v>
      </c>
      <c r="K35" t="s">
        <v>3019</v>
      </c>
      <c r="L35">
        <v>45</v>
      </c>
      <c r="M35" t="s">
        <v>28</v>
      </c>
      <c r="N35">
        <v>1.1642999999999999</v>
      </c>
      <c r="O35">
        <v>1.3424420615703907</v>
      </c>
      <c r="P35">
        <v>6.7849650349650348E-3</v>
      </c>
      <c r="Q35">
        <v>6.7849650349650348E-3</v>
      </c>
      <c r="R35">
        <v>23863.943796625874</v>
      </c>
      <c r="S35" t="s">
        <v>13</v>
      </c>
      <c r="T35">
        <v>6.8399999999999997E-3</v>
      </c>
      <c r="U35">
        <v>24057.511678799998</v>
      </c>
      <c r="V35">
        <v>-193.56788217412395</v>
      </c>
      <c r="W35">
        <v>-8.0460475197316507E-3</v>
      </c>
    </row>
    <row r="36" spans="1:23" x14ac:dyDescent="0.25">
      <c r="A36" t="s">
        <v>3016</v>
      </c>
      <c r="B36" t="s">
        <v>32</v>
      </c>
      <c r="C36" t="s">
        <v>106</v>
      </c>
      <c r="D36" t="s">
        <v>31</v>
      </c>
      <c r="E36" t="s">
        <v>74</v>
      </c>
      <c r="F36" s="1">
        <v>46212</v>
      </c>
      <c r="G36">
        <v>46242</v>
      </c>
      <c r="H36" t="s">
        <v>6</v>
      </c>
      <c r="I36">
        <v>29757.119999999999</v>
      </c>
      <c r="J36" t="s">
        <v>75</v>
      </c>
      <c r="K36" t="s">
        <v>3017</v>
      </c>
      <c r="L36">
        <v>30</v>
      </c>
      <c r="M36" t="s">
        <v>32</v>
      </c>
      <c r="N36">
        <v>1.1435</v>
      </c>
      <c r="O36">
        <v>1.3395733514520343</v>
      </c>
      <c r="P36">
        <v>6.1571182425156148E-3</v>
      </c>
      <c r="Q36">
        <v>1.1435</v>
      </c>
      <c r="R36">
        <v>34027.26672</v>
      </c>
      <c r="S36" t="s">
        <v>21</v>
      </c>
      <c r="T36">
        <v>1.101</v>
      </c>
      <c r="U36">
        <v>32762.589119999997</v>
      </c>
      <c r="V36">
        <v>1264.6776000000027</v>
      </c>
      <c r="W36">
        <v>3.8601271571298904E-2</v>
      </c>
    </row>
    <row r="37" spans="1:23" x14ac:dyDescent="0.25">
      <c r="A37" t="s">
        <v>3014</v>
      </c>
      <c r="B37" t="s">
        <v>32</v>
      </c>
      <c r="C37" t="s">
        <v>106</v>
      </c>
      <c r="D37" t="s">
        <v>31</v>
      </c>
      <c r="E37" t="s">
        <v>74</v>
      </c>
      <c r="F37" s="1">
        <v>46213</v>
      </c>
      <c r="G37">
        <v>46243</v>
      </c>
      <c r="H37" t="s">
        <v>6</v>
      </c>
      <c r="I37">
        <v>16570.330000000002</v>
      </c>
      <c r="J37" t="s">
        <v>75</v>
      </c>
      <c r="K37" t="s">
        <v>3015</v>
      </c>
      <c r="L37">
        <v>30</v>
      </c>
      <c r="M37" t="s">
        <v>32</v>
      </c>
      <c r="N37">
        <v>1.143</v>
      </c>
      <c r="O37">
        <v>1.3422582349832657</v>
      </c>
      <c r="P37">
        <v>6.1777105177818611E-3</v>
      </c>
      <c r="Q37">
        <v>1.143</v>
      </c>
      <c r="R37">
        <v>18939.887190000001</v>
      </c>
      <c r="S37" t="s">
        <v>21</v>
      </c>
      <c r="T37">
        <v>1.101</v>
      </c>
      <c r="U37">
        <v>18243.93333</v>
      </c>
      <c r="V37">
        <v>695.95386000000144</v>
      </c>
      <c r="W37">
        <v>3.8147138964577734E-2</v>
      </c>
    </row>
    <row r="38" spans="1:23" x14ac:dyDescent="0.25">
      <c r="A38" t="s">
        <v>3012</v>
      </c>
      <c r="B38" t="s">
        <v>44</v>
      </c>
      <c r="C38" t="s">
        <v>138</v>
      </c>
      <c r="D38" t="s">
        <v>33</v>
      </c>
      <c r="E38" t="s">
        <v>88</v>
      </c>
      <c r="F38" s="1">
        <v>45745</v>
      </c>
      <c r="G38">
        <v>45790</v>
      </c>
      <c r="H38" t="s">
        <v>9</v>
      </c>
      <c r="I38">
        <v>269414.49</v>
      </c>
      <c r="J38" t="s">
        <v>75</v>
      </c>
      <c r="K38" t="s">
        <v>3013</v>
      </c>
      <c r="L38">
        <v>45</v>
      </c>
      <c r="M38" t="s">
        <v>44</v>
      </c>
      <c r="N38">
        <v>1.1185</v>
      </c>
      <c r="O38">
        <v>1.3277540360873694</v>
      </c>
      <c r="P38">
        <v>6.8493570116350275E-3</v>
      </c>
      <c r="Q38">
        <v>6.8493570116350275E-3</v>
      </c>
      <c r="R38">
        <v>1845.3160261175749</v>
      </c>
      <c r="S38" t="s">
        <v>11</v>
      </c>
      <c r="T38">
        <v>6.5599999999999999E-3</v>
      </c>
      <c r="U38">
        <v>1767.3590543999999</v>
      </c>
      <c r="V38">
        <v>77.956971717575016</v>
      </c>
      <c r="W38">
        <v>4.4109300554120059E-2</v>
      </c>
    </row>
    <row r="39" spans="1:23" x14ac:dyDescent="0.25">
      <c r="A39" t="s">
        <v>3010</v>
      </c>
      <c r="B39" t="s">
        <v>36</v>
      </c>
      <c r="C39" t="s">
        <v>116</v>
      </c>
      <c r="D39" t="s">
        <v>31</v>
      </c>
      <c r="E39" t="s">
        <v>74</v>
      </c>
      <c r="F39" s="1">
        <v>45989</v>
      </c>
      <c r="G39">
        <v>46034</v>
      </c>
      <c r="H39" t="s">
        <v>6</v>
      </c>
      <c r="I39">
        <v>8924.34</v>
      </c>
      <c r="J39" t="s">
        <v>75</v>
      </c>
      <c r="K39" t="s">
        <v>3011</v>
      </c>
      <c r="L39">
        <v>45</v>
      </c>
      <c r="M39" t="s">
        <v>36</v>
      </c>
      <c r="N39">
        <v>1.1566000000000001</v>
      </c>
      <c r="O39">
        <v>1.3215265082266912</v>
      </c>
      <c r="P39">
        <v>6.405272193609127E-3</v>
      </c>
      <c r="Q39">
        <v>1.1566000000000001</v>
      </c>
      <c r="R39">
        <v>10321.891644000001</v>
      </c>
      <c r="S39" t="s">
        <v>14</v>
      </c>
      <c r="T39">
        <v>1.1060000000000001</v>
      </c>
      <c r="U39">
        <v>9870.3200400000005</v>
      </c>
      <c r="V39">
        <v>451.57160400000066</v>
      </c>
      <c r="W39">
        <v>4.5750452079566066E-2</v>
      </c>
    </row>
    <row r="40" spans="1:23" x14ac:dyDescent="0.25">
      <c r="A40" t="s">
        <v>3008</v>
      </c>
      <c r="B40" t="s">
        <v>26</v>
      </c>
      <c r="C40" t="s">
        <v>94</v>
      </c>
      <c r="D40" t="s">
        <v>31</v>
      </c>
      <c r="E40" t="s">
        <v>74</v>
      </c>
      <c r="F40" s="1">
        <v>46287</v>
      </c>
      <c r="G40">
        <v>46317</v>
      </c>
      <c r="H40" t="s">
        <v>8</v>
      </c>
      <c r="I40">
        <v>6221.24</v>
      </c>
      <c r="J40" t="s">
        <v>75</v>
      </c>
      <c r="K40" t="s">
        <v>3009</v>
      </c>
      <c r="L40">
        <v>30</v>
      </c>
      <c r="M40" t="s">
        <v>26</v>
      </c>
      <c r="N40">
        <v>1.1463000000000001</v>
      </c>
      <c r="O40">
        <v>1.3363254837957568</v>
      </c>
      <c r="P40">
        <v>6.3623244713326308E-3</v>
      </c>
      <c r="Q40">
        <v>1.3363254837957568</v>
      </c>
      <c r="R40">
        <v>8313.601552809514</v>
      </c>
      <c r="S40" t="s">
        <v>21</v>
      </c>
      <c r="T40">
        <v>1.2929999999999999</v>
      </c>
      <c r="U40">
        <v>8044.0633199999993</v>
      </c>
      <c r="V40">
        <v>269.53823280951474</v>
      </c>
      <c r="W40">
        <v>3.3507721419765595E-2</v>
      </c>
    </row>
    <row r="41" spans="1:23" x14ac:dyDescent="0.25">
      <c r="A41" t="s">
        <v>3006</v>
      </c>
      <c r="B41" t="s">
        <v>20</v>
      </c>
      <c r="C41" t="s">
        <v>123</v>
      </c>
      <c r="D41" t="s">
        <v>31</v>
      </c>
      <c r="E41" t="s">
        <v>124</v>
      </c>
      <c r="F41" s="1">
        <v>45863</v>
      </c>
      <c r="G41">
        <v>45908</v>
      </c>
      <c r="H41" t="s">
        <v>6</v>
      </c>
      <c r="I41">
        <v>50198.6</v>
      </c>
      <c r="J41" t="s">
        <v>75</v>
      </c>
      <c r="K41" t="s">
        <v>3007</v>
      </c>
      <c r="L41">
        <v>45</v>
      </c>
      <c r="M41" t="s">
        <v>20</v>
      </c>
      <c r="N41">
        <v>1.1724000000000001</v>
      </c>
      <c r="O41">
        <v>1.3452667814113597</v>
      </c>
      <c r="P41">
        <v>6.7725723528392354E-3</v>
      </c>
      <c r="Q41">
        <v>1.1724000000000001</v>
      </c>
      <c r="R41">
        <v>58852.838640000002</v>
      </c>
      <c r="S41" t="s">
        <v>13</v>
      </c>
      <c r="T41">
        <v>1.0880000000000001</v>
      </c>
      <c r="U41">
        <v>54616.076800000003</v>
      </c>
      <c r="V41">
        <v>4236.7618399999992</v>
      </c>
      <c r="W41">
        <v>7.7573529411764694E-2</v>
      </c>
    </row>
    <row r="42" spans="1:23" x14ac:dyDescent="0.25">
      <c r="A42" t="s">
        <v>3004</v>
      </c>
      <c r="B42" t="s">
        <v>39</v>
      </c>
      <c r="C42" t="s">
        <v>82</v>
      </c>
      <c r="D42" t="s">
        <v>33</v>
      </c>
      <c r="E42" t="s">
        <v>83</v>
      </c>
      <c r="F42" s="1">
        <v>46031</v>
      </c>
      <c r="G42">
        <v>46076</v>
      </c>
      <c r="H42" t="s">
        <v>8</v>
      </c>
      <c r="I42">
        <v>1407.85</v>
      </c>
      <c r="J42" t="s">
        <v>75</v>
      </c>
      <c r="K42" t="s">
        <v>3005</v>
      </c>
      <c r="L42">
        <v>45</v>
      </c>
      <c r="M42" t="s">
        <v>39</v>
      </c>
      <c r="N42">
        <v>1.1641999999999999</v>
      </c>
      <c r="O42">
        <v>1.3417079635818829</v>
      </c>
      <c r="P42">
        <v>6.3437227550130768E-3</v>
      </c>
      <c r="Q42">
        <v>1.3417079635818829</v>
      </c>
      <c r="R42">
        <v>1888.9235565287538</v>
      </c>
      <c r="S42" t="s">
        <v>16</v>
      </c>
      <c r="T42">
        <v>1.2490000000000001</v>
      </c>
      <c r="U42">
        <v>1758.4046499999999</v>
      </c>
      <c r="V42">
        <v>130.51890652875386</v>
      </c>
      <c r="W42">
        <v>7.4225751466679674E-2</v>
      </c>
    </row>
    <row r="43" spans="1:23" x14ac:dyDescent="0.25">
      <c r="A43" t="s">
        <v>3002</v>
      </c>
      <c r="B43" t="s">
        <v>37</v>
      </c>
      <c r="C43" t="s">
        <v>91</v>
      </c>
      <c r="D43" t="s">
        <v>31</v>
      </c>
      <c r="E43" t="s">
        <v>74</v>
      </c>
      <c r="F43" s="1">
        <v>46383</v>
      </c>
      <c r="G43">
        <v>46413</v>
      </c>
      <c r="H43" t="s">
        <v>6</v>
      </c>
      <c r="I43">
        <v>30870.05</v>
      </c>
      <c r="J43" t="s">
        <v>84</v>
      </c>
      <c r="K43" t="s">
        <v>3003</v>
      </c>
      <c r="L43">
        <v>30</v>
      </c>
      <c r="M43" t="s">
        <v>37</v>
      </c>
      <c r="N43">
        <v>1.1176999999999999</v>
      </c>
      <c r="O43">
        <v>1.320456022210408</v>
      </c>
      <c r="P43">
        <v>6.3200452360757699E-3</v>
      </c>
      <c r="Q43">
        <v>1.1176999999999999</v>
      </c>
      <c r="R43">
        <v>34503.454884999999</v>
      </c>
      <c r="S43" t="s">
        <v>23</v>
      </c>
      <c r="T43">
        <v>1.119</v>
      </c>
      <c r="U43">
        <v>34543.585950000001</v>
      </c>
      <c r="V43">
        <v>-40.131065000001399</v>
      </c>
      <c r="W43">
        <v>-1.1617515638963766E-3</v>
      </c>
    </row>
    <row r="44" spans="1:23" x14ac:dyDescent="0.25">
      <c r="A44" t="s">
        <v>3000</v>
      </c>
      <c r="B44" t="s">
        <v>22</v>
      </c>
      <c r="C44" t="s">
        <v>127</v>
      </c>
      <c r="D44" t="s">
        <v>31</v>
      </c>
      <c r="E44" t="s">
        <v>124</v>
      </c>
      <c r="F44" s="1">
        <v>46194</v>
      </c>
      <c r="G44">
        <v>46254</v>
      </c>
      <c r="H44" t="s">
        <v>9</v>
      </c>
      <c r="I44">
        <v>11667556.42</v>
      </c>
      <c r="J44" t="s">
        <v>75</v>
      </c>
      <c r="K44" t="s">
        <v>3001</v>
      </c>
      <c r="L44">
        <v>60</v>
      </c>
      <c r="M44" t="s">
        <v>22</v>
      </c>
      <c r="N44">
        <v>1.1467000000000001</v>
      </c>
      <c r="O44">
        <v>1.3233240626406473</v>
      </c>
      <c r="P44">
        <v>6.2024015577672011E-3</v>
      </c>
      <c r="Q44">
        <v>6.2024015577672011E-3</v>
      </c>
      <c r="R44">
        <v>72366.870114744714</v>
      </c>
      <c r="S44" t="s">
        <v>19</v>
      </c>
      <c r="T44">
        <v>6.6E-3</v>
      </c>
      <c r="U44">
        <v>77005.872371999998</v>
      </c>
      <c r="V44">
        <v>-4639.0022572552843</v>
      </c>
      <c r="W44">
        <v>-6.0242188217090646E-2</v>
      </c>
    </row>
    <row r="45" spans="1:23" x14ac:dyDescent="0.25">
      <c r="A45" t="s">
        <v>2998</v>
      </c>
      <c r="B45" t="s">
        <v>37</v>
      </c>
      <c r="C45" t="s">
        <v>91</v>
      </c>
      <c r="D45" t="s">
        <v>31</v>
      </c>
      <c r="E45" t="s">
        <v>74</v>
      </c>
      <c r="F45" s="1">
        <v>46258</v>
      </c>
      <c r="G45">
        <v>46288</v>
      </c>
      <c r="H45" t="s">
        <v>6</v>
      </c>
      <c r="I45">
        <v>8035.89</v>
      </c>
      <c r="J45" t="s">
        <v>75</v>
      </c>
      <c r="K45" t="s">
        <v>2999</v>
      </c>
      <c r="L45">
        <v>30</v>
      </c>
      <c r="M45" t="s">
        <v>37</v>
      </c>
      <c r="N45">
        <v>1.1664000000000001</v>
      </c>
      <c r="O45">
        <v>1.3634132086499124</v>
      </c>
      <c r="P45">
        <v>6.2844827586206907E-3</v>
      </c>
      <c r="Q45">
        <v>1.1664000000000001</v>
      </c>
      <c r="R45">
        <v>9373.0620960000015</v>
      </c>
      <c r="S45" t="s">
        <v>21</v>
      </c>
      <c r="T45">
        <v>1.101</v>
      </c>
      <c r="U45">
        <v>8847.5148900000004</v>
      </c>
      <c r="V45">
        <v>525.5472060000011</v>
      </c>
      <c r="W45">
        <v>5.9400544959128186E-2</v>
      </c>
    </row>
    <row r="46" spans="1:23" x14ac:dyDescent="0.25">
      <c r="A46" t="s">
        <v>2996</v>
      </c>
      <c r="B46" t="s">
        <v>32</v>
      </c>
      <c r="C46" t="s">
        <v>106</v>
      </c>
      <c r="D46" t="s">
        <v>31</v>
      </c>
      <c r="E46" t="s">
        <v>74</v>
      </c>
      <c r="F46" s="1">
        <v>45980</v>
      </c>
      <c r="G46">
        <v>46010</v>
      </c>
      <c r="H46" t="s">
        <v>6</v>
      </c>
      <c r="I46">
        <v>4336.09</v>
      </c>
      <c r="J46" t="s">
        <v>75</v>
      </c>
      <c r="K46" t="s">
        <v>2997</v>
      </c>
      <c r="L46">
        <v>30</v>
      </c>
      <c r="M46" t="s">
        <v>32</v>
      </c>
      <c r="N46">
        <v>1.1583000000000001</v>
      </c>
      <c r="O46">
        <v>1.3122238586156112</v>
      </c>
      <c r="P46">
        <v>6.4047553220901304E-3</v>
      </c>
      <c r="Q46">
        <v>1.1583000000000001</v>
      </c>
      <c r="R46">
        <v>5022.4930470000008</v>
      </c>
      <c r="S46" t="s">
        <v>14</v>
      </c>
      <c r="T46">
        <v>1.1060000000000001</v>
      </c>
      <c r="U46">
        <v>4795.7155400000001</v>
      </c>
      <c r="V46">
        <v>226.7775070000007</v>
      </c>
      <c r="W46">
        <v>4.7287522603978442E-2</v>
      </c>
    </row>
    <row r="47" spans="1:23" x14ac:dyDescent="0.25">
      <c r="A47" t="s">
        <v>2994</v>
      </c>
      <c r="B47" t="s">
        <v>32</v>
      </c>
      <c r="C47" t="s">
        <v>106</v>
      </c>
      <c r="D47" t="s">
        <v>31</v>
      </c>
      <c r="E47" t="s">
        <v>74</v>
      </c>
      <c r="F47" s="1">
        <v>45687</v>
      </c>
      <c r="G47">
        <v>45717</v>
      </c>
      <c r="H47" t="s">
        <v>6</v>
      </c>
      <c r="I47">
        <v>21203.64</v>
      </c>
      <c r="J47" t="s">
        <v>75</v>
      </c>
      <c r="K47" t="s">
        <v>2995</v>
      </c>
      <c r="L47">
        <v>30</v>
      </c>
      <c r="M47" t="s">
        <v>32</v>
      </c>
      <c r="N47">
        <v>1.0403</v>
      </c>
      <c r="O47">
        <v>1.2431140586724025</v>
      </c>
      <c r="P47">
        <v>6.4888972055888224E-3</v>
      </c>
      <c r="Q47">
        <v>1.0403</v>
      </c>
      <c r="R47">
        <v>22058.146691999998</v>
      </c>
      <c r="S47" t="s">
        <v>11</v>
      </c>
      <c r="T47">
        <v>1.052</v>
      </c>
      <c r="U47">
        <v>22306.22928</v>
      </c>
      <c r="V47">
        <v>-248.08258800000112</v>
      </c>
      <c r="W47">
        <v>-1.1121673003802332E-2</v>
      </c>
    </row>
    <row r="48" spans="1:23" x14ac:dyDescent="0.25">
      <c r="A48" t="s">
        <v>2992</v>
      </c>
      <c r="B48" t="s">
        <v>28</v>
      </c>
      <c r="C48" t="s">
        <v>111</v>
      </c>
      <c r="D48" t="s">
        <v>31</v>
      </c>
      <c r="E48" t="s">
        <v>74</v>
      </c>
      <c r="F48" s="1">
        <v>45874</v>
      </c>
      <c r="G48">
        <v>45919</v>
      </c>
      <c r="H48" t="s">
        <v>9</v>
      </c>
      <c r="I48">
        <v>1212831.06</v>
      </c>
      <c r="J48" t="s">
        <v>75</v>
      </c>
      <c r="K48" t="s">
        <v>2993</v>
      </c>
      <c r="L48">
        <v>45</v>
      </c>
      <c r="M48" t="s">
        <v>28</v>
      </c>
      <c r="N48">
        <v>1.1546000000000001</v>
      </c>
      <c r="O48">
        <v>1.3281950995053493</v>
      </c>
      <c r="P48">
        <v>6.7750264053514858E-3</v>
      </c>
      <c r="Q48">
        <v>6.7750264053514858E-3</v>
      </c>
      <c r="R48">
        <v>8216.9624567304327</v>
      </c>
      <c r="S48" t="s">
        <v>13</v>
      </c>
      <c r="T48">
        <v>6.8399999999999997E-3</v>
      </c>
      <c r="U48">
        <v>8295.7644504</v>
      </c>
      <c r="V48">
        <v>-78.80199366956731</v>
      </c>
      <c r="W48">
        <v>-9.499063545104356E-3</v>
      </c>
    </row>
    <row r="49" spans="1:23" x14ac:dyDescent="0.25">
      <c r="A49" t="s">
        <v>2990</v>
      </c>
      <c r="B49" t="s">
        <v>28</v>
      </c>
      <c r="C49" t="s">
        <v>111</v>
      </c>
      <c r="D49" t="s">
        <v>31</v>
      </c>
      <c r="E49" t="s">
        <v>74</v>
      </c>
      <c r="F49" s="1">
        <v>45917</v>
      </c>
      <c r="G49">
        <v>45962</v>
      </c>
      <c r="H49" t="s">
        <v>9</v>
      </c>
      <c r="I49">
        <v>1811307.14</v>
      </c>
      <c r="J49" t="s">
        <v>75</v>
      </c>
      <c r="K49" t="s">
        <v>2991</v>
      </c>
      <c r="L49">
        <v>45</v>
      </c>
      <c r="M49" t="s">
        <v>28</v>
      </c>
      <c r="N49">
        <v>1.1837</v>
      </c>
      <c r="O49">
        <v>1.3644956772334293</v>
      </c>
      <c r="P49">
        <v>6.8311403508771931E-3</v>
      </c>
      <c r="Q49">
        <v>6.8311403508771931E-3</v>
      </c>
      <c r="R49">
        <v>12373.293291885964</v>
      </c>
      <c r="S49" t="s">
        <v>13</v>
      </c>
      <c r="T49">
        <v>6.8399999999999997E-3</v>
      </c>
      <c r="U49">
        <v>12389.340837599999</v>
      </c>
      <c r="V49">
        <v>-16.047545714034641</v>
      </c>
      <c r="W49">
        <v>-1.2952703395916333E-3</v>
      </c>
    </row>
    <row r="50" spans="1:23" x14ac:dyDescent="0.25">
      <c r="A50" t="s">
        <v>2988</v>
      </c>
      <c r="B50" t="s">
        <v>24</v>
      </c>
      <c r="C50" t="s">
        <v>73</v>
      </c>
      <c r="D50" t="s">
        <v>31</v>
      </c>
      <c r="E50" t="s">
        <v>74</v>
      </c>
      <c r="F50" s="1">
        <v>45898</v>
      </c>
      <c r="G50">
        <v>45928</v>
      </c>
      <c r="H50" t="s">
        <v>6</v>
      </c>
      <c r="I50">
        <v>26968.240000000002</v>
      </c>
      <c r="J50" t="s">
        <v>75</v>
      </c>
      <c r="K50" t="s">
        <v>2989</v>
      </c>
      <c r="L50">
        <v>30</v>
      </c>
      <c r="M50" t="s">
        <v>24</v>
      </c>
      <c r="N50">
        <v>1.1657999999999999</v>
      </c>
      <c r="O50">
        <v>1.3449469312413473</v>
      </c>
      <c r="P50">
        <v>6.7889587700908456E-3</v>
      </c>
      <c r="Q50">
        <v>1.1657999999999999</v>
      </c>
      <c r="R50">
        <v>31439.574192</v>
      </c>
      <c r="S50" t="s">
        <v>13</v>
      </c>
      <c r="T50">
        <v>1.0880000000000001</v>
      </c>
      <c r="U50">
        <v>29341.445120000004</v>
      </c>
      <c r="V50">
        <v>2098.1290719999961</v>
      </c>
      <c r="W50">
        <v>7.1507352941176328E-2</v>
      </c>
    </row>
    <row r="51" spans="1:23" x14ac:dyDescent="0.25">
      <c r="A51" t="s">
        <v>2986</v>
      </c>
      <c r="B51" t="s">
        <v>41</v>
      </c>
      <c r="C51" t="s">
        <v>172</v>
      </c>
      <c r="D51" t="s">
        <v>33</v>
      </c>
      <c r="E51" t="s">
        <v>83</v>
      </c>
      <c r="F51" s="1">
        <v>46049</v>
      </c>
      <c r="G51">
        <v>46079</v>
      </c>
      <c r="H51" t="s">
        <v>9</v>
      </c>
      <c r="I51">
        <v>1943162.02</v>
      </c>
      <c r="J51" t="s">
        <v>75</v>
      </c>
      <c r="K51" t="s">
        <v>2987</v>
      </c>
      <c r="L51">
        <v>30</v>
      </c>
      <c r="M51" t="s">
        <v>41</v>
      </c>
      <c r="N51">
        <v>1.1929000000000001</v>
      </c>
      <c r="O51">
        <v>1.3738339283657723</v>
      </c>
      <c r="P51">
        <v>6.5214301333916475E-3</v>
      </c>
      <c r="Q51">
        <v>6.5214301333916475E-3</v>
      </c>
      <c r="R51">
        <v>12672.195351290184</v>
      </c>
      <c r="S51" t="s">
        <v>16</v>
      </c>
      <c r="T51">
        <v>6.4599999999999996E-3</v>
      </c>
      <c r="U51">
        <v>12552.826649199998</v>
      </c>
      <c r="V51">
        <v>119.36870209018525</v>
      </c>
      <c r="W51">
        <v>9.5093085745586014E-3</v>
      </c>
    </row>
    <row r="52" spans="1:23" x14ac:dyDescent="0.25">
      <c r="A52" t="s">
        <v>2984</v>
      </c>
      <c r="B52" t="s">
        <v>44</v>
      </c>
      <c r="C52" t="s">
        <v>138</v>
      </c>
      <c r="D52" t="s">
        <v>33</v>
      </c>
      <c r="E52" t="s">
        <v>88</v>
      </c>
      <c r="F52" s="1">
        <v>46147</v>
      </c>
      <c r="G52">
        <v>46192</v>
      </c>
      <c r="H52" t="s">
        <v>9</v>
      </c>
      <c r="I52">
        <v>1391603.77</v>
      </c>
      <c r="J52" t="s">
        <v>75</v>
      </c>
      <c r="K52" t="s">
        <v>2985</v>
      </c>
      <c r="L52">
        <v>45</v>
      </c>
      <c r="M52" t="s">
        <v>44</v>
      </c>
      <c r="N52">
        <v>1.1686000000000001</v>
      </c>
      <c r="O52">
        <v>1.3534391902065019</v>
      </c>
      <c r="P52">
        <v>6.336622925929943E-3</v>
      </c>
      <c r="Q52">
        <v>6.336622925929943E-3</v>
      </c>
      <c r="R52">
        <v>8818.0683527925394</v>
      </c>
      <c r="S52" t="s">
        <v>19</v>
      </c>
      <c r="T52">
        <v>6.6E-3</v>
      </c>
      <c r="U52">
        <v>9184.5848819999992</v>
      </c>
      <c r="V52">
        <v>-366.51652920745983</v>
      </c>
      <c r="W52">
        <v>-3.9905617283341896E-2</v>
      </c>
    </row>
    <row r="53" spans="1:23" x14ac:dyDescent="0.25">
      <c r="A53" t="s">
        <v>2982</v>
      </c>
      <c r="B53" t="s">
        <v>28</v>
      </c>
      <c r="C53" t="s">
        <v>111</v>
      </c>
      <c r="D53" t="s">
        <v>31</v>
      </c>
      <c r="E53" t="s">
        <v>74</v>
      </c>
      <c r="F53" s="1">
        <v>46157</v>
      </c>
      <c r="G53">
        <v>46202</v>
      </c>
      <c r="H53" t="s">
        <v>9</v>
      </c>
      <c r="I53">
        <v>2341652.5699999998</v>
      </c>
      <c r="J53" t="s">
        <v>75</v>
      </c>
      <c r="K53" t="s">
        <v>2983</v>
      </c>
      <c r="L53">
        <v>45</v>
      </c>
      <c r="M53" t="s">
        <v>28</v>
      </c>
      <c r="N53">
        <v>1.1628000000000001</v>
      </c>
      <c r="O53">
        <v>1.3357840321654222</v>
      </c>
      <c r="P53">
        <v>6.3072249945758298E-3</v>
      </c>
      <c r="Q53">
        <v>6.3072249945758298E-3</v>
      </c>
      <c r="R53">
        <v>14769.329618116726</v>
      </c>
      <c r="S53" t="s">
        <v>19</v>
      </c>
      <c r="T53">
        <v>6.6E-3</v>
      </c>
      <c r="U53">
        <v>15454.906961999999</v>
      </c>
      <c r="V53">
        <v>-685.57734388327299</v>
      </c>
      <c r="W53">
        <v>-4.4359849306692518E-2</v>
      </c>
    </row>
    <row r="54" spans="1:23" x14ac:dyDescent="0.25">
      <c r="A54" t="s">
        <v>2980</v>
      </c>
      <c r="B54" t="s">
        <v>39</v>
      </c>
      <c r="C54" t="s">
        <v>82</v>
      </c>
      <c r="D54" t="s">
        <v>33</v>
      </c>
      <c r="E54" t="s">
        <v>83</v>
      </c>
      <c r="F54" s="1">
        <v>45969</v>
      </c>
      <c r="G54">
        <v>46014</v>
      </c>
      <c r="H54" t="s">
        <v>8</v>
      </c>
      <c r="I54">
        <v>1336.25</v>
      </c>
      <c r="J54" t="s">
        <v>75</v>
      </c>
      <c r="K54" t="s">
        <v>2981</v>
      </c>
      <c r="L54">
        <v>45</v>
      </c>
      <c r="M54" t="s">
        <v>39</v>
      </c>
      <c r="N54">
        <v>1.1555</v>
      </c>
      <c r="O54">
        <v>1.3367963164349013</v>
      </c>
      <c r="P54">
        <v>6.2983756677204832E-3</v>
      </c>
      <c r="Q54">
        <v>1.3367963164349013</v>
      </c>
      <c r="R54">
        <v>1786.2940778361369</v>
      </c>
      <c r="S54" t="s">
        <v>14</v>
      </c>
      <c r="T54">
        <v>1.304</v>
      </c>
      <c r="U54">
        <v>1742.47</v>
      </c>
      <c r="V54">
        <v>43.824077836136894</v>
      </c>
      <c r="W54">
        <v>2.5150549413267886E-2</v>
      </c>
    </row>
    <row r="55" spans="1:23" x14ac:dyDescent="0.25">
      <c r="A55" t="s">
        <v>2978</v>
      </c>
      <c r="B55" t="s">
        <v>38</v>
      </c>
      <c r="C55" t="s">
        <v>87</v>
      </c>
      <c r="D55" t="s">
        <v>33</v>
      </c>
      <c r="E55" t="s">
        <v>88</v>
      </c>
      <c r="F55" s="1">
        <v>46316</v>
      </c>
      <c r="G55">
        <v>46346</v>
      </c>
      <c r="H55" t="s">
        <v>6</v>
      </c>
      <c r="I55">
        <v>8367.86</v>
      </c>
      <c r="J55" t="s">
        <v>84</v>
      </c>
      <c r="K55" t="s">
        <v>2979</v>
      </c>
      <c r="L55">
        <v>30</v>
      </c>
      <c r="M55" t="s">
        <v>38</v>
      </c>
      <c r="N55">
        <v>1.1176999999999999</v>
      </c>
      <c r="O55">
        <v>1.320456022210408</v>
      </c>
      <c r="P55">
        <v>6.3200452360757699E-3</v>
      </c>
      <c r="Q55">
        <v>1.1176999999999999</v>
      </c>
      <c r="R55">
        <v>9352.7571219999991</v>
      </c>
      <c r="S55" t="s">
        <v>23</v>
      </c>
      <c r="T55">
        <v>1.119</v>
      </c>
      <c r="U55">
        <v>9363.6353400000007</v>
      </c>
      <c r="V55">
        <v>-10.878218000001652</v>
      </c>
      <c r="W55">
        <v>-1.1617515638965123E-3</v>
      </c>
    </row>
    <row r="56" spans="1:23" x14ac:dyDescent="0.25">
      <c r="A56" t="s">
        <v>2976</v>
      </c>
      <c r="B56" t="s">
        <v>24</v>
      </c>
      <c r="C56" t="s">
        <v>73</v>
      </c>
      <c r="D56" t="s">
        <v>31</v>
      </c>
      <c r="E56" t="s">
        <v>74</v>
      </c>
      <c r="F56" s="1">
        <v>45812</v>
      </c>
      <c r="G56">
        <v>45842</v>
      </c>
      <c r="H56" t="s">
        <v>6</v>
      </c>
      <c r="I56">
        <v>23485.49</v>
      </c>
      <c r="J56" t="s">
        <v>75</v>
      </c>
      <c r="K56" t="s">
        <v>2977</v>
      </c>
      <c r="L56">
        <v>30</v>
      </c>
      <c r="M56" t="s">
        <v>24</v>
      </c>
      <c r="N56">
        <v>1.1384000000000001</v>
      </c>
      <c r="O56">
        <v>1.3518584491153072</v>
      </c>
      <c r="P56">
        <v>6.9351203167834297E-3</v>
      </c>
      <c r="Q56">
        <v>1.1384000000000001</v>
      </c>
      <c r="R56">
        <v>26735.881816000005</v>
      </c>
      <c r="S56" t="s">
        <v>12</v>
      </c>
      <c r="T56">
        <v>1.07</v>
      </c>
      <c r="U56">
        <v>25129.474300000002</v>
      </c>
      <c r="V56">
        <v>1606.4075160000029</v>
      </c>
      <c r="W56">
        <v>6.3925233644859927E-2</v>
      </c>
    </row>
    <row r="57" spans="1:23" x14ac:dyDescent="0.25">
      <c r="A57" t="s">
        <v>2974</v>
      </c>
      <c r="B57" t="s">
        <v>24</v>
      </c>
      <c r="C57" t="s">
        <v>73</v>
      </c>
      <c r="D57" t="s">
        <v>31</v>
      </c>
      <c r="E57" t="s">
        <v>74</v>
      </c>
      <c r="F57" s="1">
        <v>45666</v>
      </c>
      <c r="G57">
        <v>45696</v>
      </c>
      <c r="H57" t="s">
        <v>6</v>
      </c>
      <c r="I57">
        <v>36251.050000000003</v>
      </c>
      <c r="J57" t="s">
        <v>75</v>
      </c>
      <c r="K57" t="s">
        <v>2975</v>
      </c>
      <c r="L57">
        <v>30</v>
      </c>
      <c r="M57" t="s">
        <v>24</v>
      </c>
      <c r="N57">
        <v>1.0305</v>
      </c>
      <c r="O57">
        <v>1.2295962199312713</v>
      </c>
      <c r="P57">
        <v>6.339197834645669E-3</v>
      </c>
      <c r="Q57">
        <v>1.0305</v>
      </c>
      <c r="R57">
        <v>37356.707025000003</v>
      </c>
      <c r="S57" t="s">
        <v>11</v>
      </c>
      <c r="T57">
        <v>1.052</v>
      </c>
      <c r="U57">
        <v>38136.104600000006</v>
      </c>
      <c r="V57">
        <v>-779.39757500000269</v>
      </c>
      <c r="W57">
        <v>-2.0437262357414516E-2</v>
      </c>
    </row>
    <row r="58" spans="1:23" x14ac:dyDescent="0.25">
      <c r="A58" t="s">
        <v>2972</v>
      </c>
      <c r="B58" t="s">
        <v>20</v>
      </c>
      <c r="C58" t="s">
        <v>123</v>
      </c>
      <c r="D58" t="s">
        <v>31</v>
      </c>
      <c r="E58" t="s">
        <v>124</v>
      </c>
      <c r="F58" s="1">
        <v>46162</v>
      </c>
      <c r="G58">
        <v>46207</v>
      </c>
      <c r="H58" t="s">
        <v>6</v>
      </c>
      <c r="I58">
        <v>98218.66</v>
      </c>
      <c r="J58" t="s">
        <v>75</v>
      </c>
      <c r="K58" t="s">
        <v>2973</v>
      </c>
      <c r="L58">
        <v>45</v>
      </c>
      <c r="M58" t="s">
        <v>20</v>
      </c>
      <c r="N58">
        <v>1.1599999999999999</v>
      </c>
      <c r="O58">
        <v>1.3401883195655939</v>
      </c>
      <c r="P58">
        <v>6.2879444926279273E-3</v>
      </c>
      <c r="Q58">
        <v>1.1599999999999999</v>
      </c>
      <c r="R58">
        <v>113933.6456</v>
      </c>
      <c r="S58" t="s">
        <v>19</v>
      </c>
      <c r="T58">
        <v>1.083</v>
      </c>
      <c r="U58">
        <v>106370.80878000001</v>
      </c>
      <c r="V58">
        <v>7562.8368199999968</v>
      </c>
      <c r="W58">
        <v>7.1098799630655546E-2</v>
      </c>
    </row>
    <row r="59" spans="1:23" x14ac:dyDescent="0.25">
      <c r="A59" t="s">
        <v>2970</v>
      </c>
      <c r="B59" t="s">
        <v>30</v>
      </c>
      <c r="C59" t="s">
        <v>103</v>
      </c>
      <c r="D59" t="s">
        <v>31</v>
      </c>
      <c r="E59" t="s">
        <v>74</v>
      </c>
      <c r="F59" s="1">
        <v>46086</v>
      </c>
      <c r="G59">
        <v>46116</v>
      </c>
      <c r="H59" t="s">
        <v>9</v>
      </c>
      <c r="I59">
        <v>3516031.77</v>
      </c>
      <c r="J59" t="s">
        <v>75</v>
      </c>
      <c r="K59" t="s">
        <v>2971</v>
      </c>
      <c r="L59">
        <v>30</v>
      </c>
      <c r="M59" t="s">
        <v>30</v>
      </c>
      <c r="N59">
        <v>1.1617999999999999</v>
      </c>
      <c r="O59">
        <v>1.3361702127659574</v>
      </c>
      <c r="P59">
        <v>6.347593290717368E-3</v>
      </c>
      <c r="Q59">
        <v>6.347593290717368E-3</v>
      </c>
      <c r="R59">
        <v>22318.339673201113</v>
      </c>
      <c r="S59" t="s">
        <v>16</v>
      </c>
      <c r="T59">
        <v>6.4599999999999996E-3</v>
      </c>
      <c r="U59">
        <v>22713.565234199999</v>
      </c>
      <c r="V59">
        <v>-395.22556099888607</v>
      </c>
      <c r="W59">
        <v>-1.7400419393596198E-2</v>
      </c>
    </row>
    <row r="60" spans="1:23" x14ac:dyDescent="0.25">
      <c r="A60" t="s">
        <v>2968</v>
      </c>
      <c r="B60" t="s">
        <v>24</v>
      </c>
      <c r="C60" t="s">
        <v>73</v>
      </c>
      <c r="D60" t="s">
        <v>31</v>
      </c>
      <c r="E60" t="s">
        <v>74</v>
      </c>
      <c r="F60" s="1">
        <v>46165</v>
      </c>
      <c r="G60">
        <v>46195</v>
      </c>
      <c r="H60" t="s">
        <v>6</v>
      </c>
      <c r="I60">
        <v>27996.77</v>
      </c>
      <c r="J60" t="s">
        <v>75</v>
      </c>
      <c r="K60" t="s">
        <v>2969</v>
      </c>
      <c r="L60">
        <v>30</v>
      </c>
      <c r="M60" t="s">
        <v>24</v>
      </c>
      <c r="N60">
        <v>1.1595</v>
      </c>
      <c r="O60">
        <v>1.3417343608970353</v>
      </c>
      <c r="P60">
        <v>6.2835311331490814E-3</v>
      </c>
      <c r="Q60">
        <v>1.1595</v>
      </c>
      <c r="R60">
        <v>32462.254815</v>
      </c>
      <c r="S60" t="s">
        <v>19</v>
      </c>
      <c r="T60">
        <v>1.083</v>
      </c>
      <c r="U60">
        <v>30320.501909999999</v>
      </c>
      <c r="V60">
        <v>2141.7529050000012</v>
      </c>
      <c r="W60">
        <v>7.0637119113573454E-2</v>
      </c>
    </row>
    <row r="61" spans="1:23" x14ac:dyDescent="0.25">
      <c r="A61" t="s">
        <v>2966</v>
      </c>
      <c r="B61" t="s">
        <v>41</v>
      </c>
      <c r="C61" t="s">
        <v>172</v>
      </c>
      <c r="D61" t="s">
        <v>33</v>
      </c>
      <c r="E61" t="s">
        <v>83</v>
      </c>
      <c r="F61" s="1">
        <v>45781</v>
      </c>
      <c r="G61">
        <v>45811</v>
      </c>
      <c r="H61" t="s">
        <v>9</v>
      </c>
      <c r="I61">
        <v>2334281.2599999998</v>
      </c>
      <c r="J61" t="s">
        <v>75</v>
      </c>
      <c r="K61" t="s">
        <v>2967</v>
      </c>
      <c r="L61">
        <v>30</v>
      </c>
      <c r="M61" t="s">
        <v>41</v>
      </c>
      <c r="N61">
        <v>1.1767000000000001</v>
      </c>
      <c r="O61">
        <v>1.3642898550724638</v>
      </c>
      <c r="P61">
        <v>6.9250235404896433E-3</v>
      </c>
      <c r="Q61">
        <v>6.9250235404896433E-3</v>
      </c>
      <c r="R61">
        <v>16164.952675623825</v>
      </c>
      <c r="S61" t="s">
        <v>12</v>
      </c>
      <c r="T61">
        <v>6.7000000000000002E-3</v>
      </c>
      <c r="U61">
        <v>15639.684442</v>
      </c>
      <c r="V61">
        <v>525.26823362382493</v>
      </c>
      <c r="W61">
        <v>3.3585603058155673E-2</v>
      </c>
    </row>
    <row r="62" spans="1:23" x14ac:dyDescent="0.25">
      <c r="A62" t="s">
        <v>2964</v>
      </c>
      <c r="B62" t="s">
        <v>28</v>
      </c>
      <c r="C62" t="s">
        <v>111</v>
      </c>
      <c r="D62" t="s">
        <v>31</v>
      </c>
      <c r="E62" t="s">
        <v>74</v>
      </c>
      <c r="F62" s="1">
        <v>46291</v>
      </c>
      <c r="G62">
        <v>46336</v>
      </c>
      <c r="H62" t="s">
        <v>9</v>
      </c>
      <c r="I62">
        <v>932901.61</v>
      </c>
      <c r="J62" t="s">
        <v>75</v>
      </c>
      <c r="K62" t="s">
        <v>2965</v>
      </c>
      <c r="L62">
        <v>45</v>
      </c>
      <c r="M62" t="s">
        <v>28</v>
      </c>
      <c r="N62">
        <v>1.1403000000000001</v>
      </c>
      <c r="O62">
        <v>1.3252367947004475</v>
      </c>
      <c r="P62">
        <v>6.3455759599332232E-3</v>
      </c>
      <c r="Q62">
        <v>6.3455759599332232E-3</v>
      </c>
      <c r="R62">
        <v>5919.7980293989995</v>
      </c>
      <c r="S62" t="s">
        <v>21</v>
      </c>
      <c r="T62">
        <v>6.7400000000000003E-3</v>
      </c>
      <c r="U62">
        <v>6287.7568514000004</v>
      </c>
      <c r="V62">
        <v>-367.95882200100095</v>
      </c>
      <c r="W62">
        <v>-5.8519887250263677E-2</v>
      </c>
    </row>
    <row r="63" spans="1:23" x14ac:dyDescent="0.25">
      <c r="A63" t="s">
        <v>2962</v>
      </c>
      <c r="B63" t="s">
        <v>26</v>
      </c>
      <c r="C63" t="s">
        <v>94</v>
      </c>
      <c r="D63" t="s">
        <v>31</v>
      </c>
      <c r="E63" t="s">
        <v>74</v>
      </c>
      <c r="F63" s="1">
        <v>45706</v>
      </c>
      <c r="G63">
        <v>45736</v>
      </c>
      <c r="H63" t="s">
        <v>8</v>
      </c>
      <c r="I63">
        <v>10528.35</v>
      </c>
      <c r="J63" t="s">
        <v>75</v>
      </c>
      <c r="K63" t="s">
        <v>2963</v>
      </c>
      <c r="L63">
        <v>30</v>
      </c>
      <c r="M63" t="s">
        <v>26</v>
      </c>
      <c r="N63">
        <v>1.0447</v>
      </c>
      <c r="O63">
        <v>1.2582956940680516</v>
      </c>
      <c r="P63">
        <v>6.5890886155786808E-3</v>
      </c>
      <c r="Q63">
        <v>1.2582956940680516</v>
      </c>
      <c r="R63">
        <v>13247.777470641371</v>
      </c>
      <c r="S63" t="s">
        <v>11</v>
      </c>
      <c r="T63">
        <v>1.238</v>
      </c>
      <c r="U63">
        <v>13034.097299999999</v>
      </c>
      <c r="V63">
        <v>213.68017064137166</v>
      </c>
      <c r="W63">
        <v>1.6393937050122501E-2</v>
      </c>
    </row>
    <row r="64" spans="1:23" x14ac:dyDescent="0.25">
      <c r="A64" t="s">
        <v>2960</v>
      </c>
      <c r="B64" t="s">
        <v>37</v>
      </c>
      <c r="C64" t="s">
        <v>91</v>
      </c>
      <c r="D64" t="s">
        <v>31</v>
      </c>
      <c r="E64" t="s">
        <v>74</v>
      </c>
      <c r="F64" s="1">
        <v>46279</v>
      </c>
      <c r="G64">
        <v>46309</v>
      </c>
      <c r="H64" t="s">
        <v>6</v>
      </c>
      <c r="I64">
        <v>11558.98</v>
      </c>
      <c r="J64" t="s">
        <v>75</v>
      </c>
      <c r="K64" t="s">
        <v>2961</v>
      </c>
      <c r="L64">
        <v>30</v>
      </c>
      <c r="M64" t="s">
        <v>37</v>
      </c>
      <c r="N64">
        <v>1.1551</v>
      </c>
      <c r="O64">
        <v>1.3494474169957242</v>
      </c>
      <c r="P64">
        <v>6.4704234819628051E-3</v>
      </c>
      <c r="Q64">
        <v>1.1551</v>
      </c>
      <c r="R64">
        <v>13351.777797999999</v>
      </c>
      <c r="S64" t="s">
        <v>21</v>
      </c>
      <c r="T64">
        <v>1.101</v>
      </c>
      <c r="U64">
        <v>12726.436979999999</v>
      </c>
      <c r="V64">
        <v>625.34081800000058</v>
      </c>
      <c r="W64">
        <v>4.9137148047229844E-2</v>
      </c>
    </row>
    <row r="65" spans="1:23" x14ac:dyDescent="0.25">
      <c r="A65" t="s">
        <v>2958</v>
      </c>
      <c r="B65" t="s">
        <v>37</v>
      </c>
      <c r="C65" t="s">
        <v>91</v>
      </c>
      <c r="D65" t="s">
        <v>31</v>
      </c>
      <c r="E65" t="s">
        <v>74</v>
      </c>
      <c r="F65" s="1">
        <v>45879</v>
      </c>
      <c r="G65">
        <v>45909</v>
      </c>
      <c r="H65" t="s">
        <v>6</v>
      </c>
      <c r="I65">
        <v>22576.26</v>
      </c>
      <c r="J65" t="s">
        <v>75</v>
      </c>
      <c r="K65" t="s">
        <v>2959</v>
      </c>
      <c r="L65">
        <v>30</v>
      </c>
      <c r="M65" t="s">
        <v>37</v>
      </c>
      <c r="N65">
        <v>1.1583000000000001</v>
      </c>
      <c r="O65">
        <v>1.3122238586156112</v>
      </c>
      <c r="P65">
        <v>6.4047553220901304E-3</v>
      </c>
      <c r="Q65">
        <v>1.1583000000000001</v>
      </c>
      <c r="R65">
        <v>26150.081957999999</v>
      </c>
      <c r="S65" t="s">
        <v>13</v>
      </c>
      <c r="T65">
        <v>1.0880000000000001</v>
      </c>
      <c r="U65">
        <v>24562.970880000001</v>
      </c>
      <c r="V65">
        <v>1587.1110779999981</v>
      </c>
      <c r="W65">
        <v>6.4613970588235217E-2</v>
      </c>
    </row>
    <row r="66" spans="1:23" x14ac:dyDescent="0.25">
      <c r="A66" t="s">
        <v>2956</v>
      </c>
      <c r="B66" t="s">
        <v>26</v>
      </c>
      <c r="C66" t="s">
        <v>94</v>
      </c>
      <c r="D66" t="s">
        <v>31</v>
      </c>
      <c r="E66" t="s">
        <v>74</v>
      </c>
      <c r="F66" s="1">
        <v>46197</v>
      </c>
      <c r="G66">
        <v>46227</v>
      </c>
      <c r="H66" t="s">
        <v>8</v>
      </c>
      <c r="I66">
        <v>20223.59</v>
      </c>
      <c r="J66" t="s">
        <v>75</v>
      </c>
      <c r="K66" t="s">
        <v>2957</v>
      </c>
      <c r="L66">
        <v>30</v>
      </c>
      <c r="M66" t="s">
        <v>26</v>
      </c>
      <c r="N66">
        <v>1.1339999999999999</v>
      </c>
      <c r="O66">
        <v>1.3160796146927405</v>
      </c>
      <c r="P66">
        <v>6.1848922825197706E-3</v>
      </c>
      <c r="Q66">
        <v>1.3160796146927405</v>
      </c>
      <c r="R66">
        <v>26615.85453490396</v>
      </c>
      <c r="S66" t="s">
        <v>19</v>
      </c>
      <c r="T66">
        <v>1.2709999999999999</v>
      </c>
      <c r="U66">
        <v>25704.18289</v>
      </c>
      <c r="V66">
        <v>911.67164490395953</v>
      </c>
      <c r="W66">
        <v>3.5467832173674656E-2</v>
      </c>
    </row>
    <row r="67" spans="1:23" x14ac:dyDescent="0.25">
      <c r="A67" t="s">
        <v>2954</v>
      </c>
      <c r="B67" t="s">
        <v>30</v>
      </c>
      <c r="C67" t="s">
        <v>103</v>
      </c>
      <c r="D67" t="s">
        <v>31</v>
      </c>
      <c r="E67" t="s">
        <v>74</v>
      </c>
      <c r="F67" s="1">
        <v>45923</v>
      </c>
      <c r="G67">
        <v>45953</v>
      </c>
      <c r="H67" t="s">
        <v>9</v>
      </c>
      <c r="I67">
        <v>817297.16</v>
      </c>
      <c r="J67" t="s">
        <v>75</v>
      </c>
      <c r="K67" t="s">
        <v>2955</v>
      </c>
      <c r="L67">
        <v>30</v>
      </c>
      <c r="M67" t="s">
        <v>30</v>
      </c>
      <c r="N67">
        <v>1.1793</v>
      </c>
      <c r="O67">
        <v>1.3510138618398442</v>
      </c>
      <c r="P67">
        <v>6.7659208261617899E-3</v>
      </c>
      <c r="Q67">
        <v>6.7659208261617899E-3</v>
      </c>
      <c r="R67">
        <v>5529.7678760068848</v>
      </c>
      <c r="S67" t="s">
        <v>13</v>
      </c>
      <c r="T67">
        <v>6.8399999999999997E-3</v>
      </c>
      <c r="U67">
        <v>5590.3125743999999</v>
      </c>
      <c r="V67">
        <v>-60.544698393115141</v>
      </c>
      <c r="W67">
        <v>-1.0830288572837686E-2</v>
      </c>
    </row>
    <row r="68" spans="1:23" x14ac:dyDescent="0.25">
      <c r="A68" t="s">
        <v>2952</v>
      </c>
      <c r="B68" t="s">
        <v>37</v>
      </c>
      <c r="C68" t="s">
        <v>91</v>
      </c>
      <c r="D68" t="s">
        <v>31</v>
      </c>
      <c r="E68" t="s">
        <v>74</v>
      </c>
      <c r="F68" s="1">
        <v>46361</v>
      </c>
      <c r="G68">
        <v>46391</v>
      </c>
      <c r="H68" t="s">
        <v>6</v>
      </c>
      <c r="I68">
        <v>9362.83</v>
      </c>
      <c r="J68" t="s">
        <v>84</v>
      </c>
      <c r="K68" t="s">
        <v>2953</v>
      </c>
      <c r="L68">
        <v>30</v>
      </c>
      <c r="M68" t="s">
        <v>37</v>
      </c>
      <c r="N68">
        <v>1.1176999999999999</v>
      </c>
      <c r="O68">
        <v>1.320456022210408</v>
      </c>
      <c r="P68">
        <v>6.3200452360757699E-3</v>
      </c>
      <c r="Q68">
        <v>1.1176999999999999</v>
      </c>
      <c r="R68">
        <v>10464.835090999999</v>
      </c>
      <c r="S68" t="s">
        <v>23</v>
      </c>
      <c r="T68">
        <v>1.119</v>
      </c>
      <c r="U68">
        <v>10477.00677</v>
      </c>
      <c r="V68">
        <v>-12.17167900000095</v>
      </c>
      <c r="W68">
        <v>-1.1617515638964267E-3</v>
      </c>
    </row>
    <row r="69" spans="1:23" x14ac:dyDescent="0.25">
      <c r="A69" t="s">
        <v>2950</v>
      </c>
      <c r="B69" t="s">
        <v>41</v>
      </c>
      <c r="C69" t="s">
        <v>172</v>
      </c>
      <c r="D69" t="s">
        <v>33</v>
      </c>
      <c r="E69" t="s">
        <v>83</v>
      </c>
      <c r="F69" s="1">
        <v>45989</v>
      </c>
      <c r="G69">
        <v>46019</v>
      </c>
      <c r="H69" t="s">
        <v>9</v>
      </c>
      <c r="I69">
        <v>1826026.95</v>
      </c>
      <c r="J69" t="s">
        <v>75</v>
      </c>
      <c r="K69" t="s">
        <v>2951</v>
      </c>
      <c r="L69">
        <v>30</v>
      </c>
      <c r="M69" t="s">
        <v>41</v>
      </c>
      <c r="N69">
        <v>1.1566000000000001</v>
      </c>
      <c r="O69">
        <v>1.3215265082266912</v>
      </c>
      <c r="P69">
        <v>6.405272193609127E-3</v>
      </c>
      <c r="Q69">
        <v>6.405272193609127E-3</v>
      </c>
      <c r="R69">
        <v>11696.199647615884</v>
      </c>
      <c r="S69" t="s">
        <v>14</v>
      </c>
      <c r="T69">
        <v>6.9800000000000001E-3</v>
      </c>
      <c r="U69">
        <v>12745.668110999999</v>
      </c>
      <c r="V69">
        <v>-1049.4684633841152</v>
      </c>
      <c r="W69">
        <v>-8.233922727662929E-2</v>
      </c>
    </row>
    <row r="70" spans="1:23" x14ac:dyDescent="0.25">
      <c r="A70" t="s">
        <v>2948</v>
      </c>
      <c r="B70" t="s">
        <v>36</v>
      </c>
      <c r="C70" t="s">
        <v>116</v>
      </c>
      <c r="D70" t="s">
        <v>31</v>
      </c>
      <c r="E70" t="s">
        <v>74</v>
      </c>
      <c r="F70" s="1">
        <v>45701</v>
      </c>
      <c r="G70">
        <v>45746</v>
      </c>
      <c r="H70" t="s">
        <v>6</v>
      </c>
      <c r="I70">
        <v>15379.43</v>
      </c>
      <c r="J70" t="s">
        <v>75</v>
      </c>
      <c r="K70" t="s">
        <v>2949</v>
      </c>
      <c r="L70">
        <v>45</v>
      </c>
      <c r="M70" t="s">
        <v>36</v>
      </c>
      <c r="N70">
        <v>1.0389999999999999</v>
      </c>
      <c r="O70">
        <v>1.2471042934476011</v>
      </c>
      <c r="P70">
        <v>6.5022842480755988E-3</v>
      </c>
      <c r="Q70">
        <v>1.0389999999999999</v>
      </c>
      <c r="R70">
        <v>15979.22777</v>
      </c>
      <c r="S70" t="s">
        <v>11</v>
      </c>
      <c r="T70">
        <v>1.052</v>
      </c>
      <c r="U70">
        <v>16179.160360000002</v>
      </c>
      <c r="V70">
        <v>-199.93259000000216</v>
      </c>
      <c r="W70">
        <v>-1.2357414448669333E-2</v>
      </c>
    </row>
    <row r="71" spans="1:23" x14ac:dyDescent="0.25">
      <c r="A71" t="s">
        <v>2946</v>
      </c>
      <c r="B71" t="s">
        <v>20</v>
      </c>
      <c r="C71" t="s">
        <v>123</v>
      </c>
      <c r="D71" t="s">
        <v>31</v>
      </c>
      <c r="E71" t="s">
        <v>124</v>
      </c>
      <c r="F71" s="1">
        <v>46309</v>
      </c>
      <c r="G71">
        <v>46354</v>
      </c>
      <c r="H71" t="s">
        <v>6</v>
      </c>
      <c r="I71">
        <v>24070.9</v>
      </c>
      <c r="J71" t="s">
        <v>84</v>
      </c>
      <c r="K71" t="s">
        <v>2947</v>
      </c>
      <c r="L71">
        <v>45</v>
      </c>
      <c r="M71" t="s">
        <v>20</v>
      </c>
      <c r="N71">
        <v>1.1176999999999999</v>
      </c>
      <c r="O71">
        <v>1.320456022210408</v>
      </c>
      <c r="P71">
        <v>6.3200452360757699E-3</v>
      </c>
      <c r="Q71">
        <v>1.1176999999999999</v>
      </c>
      <c r="R71">
        <v>26904.04493</v>
      </c>
      <c r="S71" t="s">
        <v>23</v>
      </c>
      <c r="T71">
        <v>1.119</v>
      </c>
      <c r="U71">
        <v>26935.337100000001</v>
      </c>
      <c r="V71">
        <v>-31.292170000000624</v>
      </c>
      <c r="W71">
        <v>-1.1617515638963592E-3</v>
      </c>
    </row>
    <row r="72" spans="1:23" x14ac:dyDescent="0.25">
      <c r="A72" t="s">
        <v>2944</v>
      </c>
      <c r="B72" t="s">
        <v>36</v>
      </c>
      <c r="C72" t="s">
        <v>116</v>
      </c>
      <c r="D72" t="s">
        <v>31</v>
      </c>
      <c r="E72" t="s">
        <v>74</v>
      </c>
      <c r="F72" s="1">
        <v>46188</v>
      </c>
      <c r="G72">
        <v>46233</v>
      </c>
      <c r="H72" t="s">
        <v>6</v>
      </c>
      <c r="I72">
        <v>17470.64</v>
      </c>
      <c r="J72" t="s">
        <v>75</v>
      </c>
      <c r="K72" t="s">
        <v>2945</v>
      </c>
      <c r="L72">
        <v>45</v>
      </c>
      <c r="M72" t="s">
        <v>36</v>
      </c>
      <c r="N72">
        <v>1.1607000000000001</v>
      </c>
      <c r="O72">
        <v>1.3421134789496203</v>
      </c>
      <c r="P72">
        <v>6.2426719733232935E-3</v>
      </c>
      <c r="Q72">
        <v>1.1607000000000001</v>
      </c>
      <c r="R72">
        <v>20278.171848000002</v>
      </c>
      <c r="S72" t="s">
        <v>19</v>
      </c>
      <c r="T72">
        <v>1.083</v>
      </c>
      <c r="U72">
        <v>18920.703119999998</v>
      </c>
      <c r="V72">
        <v>1357.4687280000035</v>
      </c>
      <c r="W72">
        <v>7.1745152354570824E-2</v>
      </c>
    </row>
    <row r="73" spans="1:23" x14ac:dyDescent="0.25">
      <c r="A73" t="s">
        <v>2942</v>
      </c>
      <c r="B73" t="s">
        <v>40</v>
      </c>
      <c r="C73" t="s">
        <v>78</v>
      </c>
      <c r="D73" t="s">
        <v>33</v>
      </c>
      <c r="E73" t="s">
        <v>79</v>
      </c>
      <c r="F73" s="1">
        <v>45935</v>
      </c>
      <c r="G73">
        <v>45965</v>
      </c>
      <c r="H73" t="s">
        <v>9</v>
      </c>
      <c r="I73">
        <v>1689673.97</v>
      </c>
      <c r="J73" t="s">
        <v>75</v>
      </c>
      <c r="K73" t="s">
        <v>2943</v>
      </c>
      <c r="L73">
        <v>30</v>
      </c>
      <c r="M73" t="s">
        <v>40</v>
      </c>
      <c r="N73">
        <v>1.1894</v>
      </c>
      <c r="O73">
        <v>1.3679125934445082</v>
      </c>
      <c r="P73">
        <v>6.4462630751720776E-3</v>
      </c>
      <c r="Q73">
        <v>6.4462630751720776E-3</v>
      </c>
      <c r="R73">
        <v>10892.082921890413</v>
      </c>
      <c r="S73" t="s">
        <v>14</v>
      </c>
      <c r="T73">
        <v>6.9800000000000001E-3</v>
      </c>
      <c r="U73">
        <v>11793.924310599999</v>
      </c>
      <c r="V73">
        <v>-901.84138870958668</v>
      </c>
      <c r="W73">
        <v>-7.6466608141536122E-2</v>
      </c>
    </row>
    <row r="74" spans="1:23" x14ac:dyDescent="0.25">
      <c r="A74" t="s">
        <v>2940</v>
      </c>
      <c r="B74" t="s">
        <v>26</v>
      </c>
      <c r="C74" t="s">
        <v>94</v>
      </c>
      <c r="D74" t="s">
        <v>31</v>
      </c>
      <c r="E74" t="s">
        <v>74</v>
      </c>
      <c r="F74" s="1">
        <v>45804</v>
      </c>
      <c r="G74">
        <v>45834</v>
      </c>
      <c r="H74" t="s">
        <v>8</v>
      </c>
      <c r="I74">
        <v>31888.73</v>
      </c>
      <c r="J74" t="s">
        <v>75</v>
      </c>
      <c r="K74" t="s">
        <v>2941</v>
      </c>
      <c r="L74">
        <v>30</v>
      </c>
      <c r="M74" t="s">
        <v>26</v>
      </c>
      <c r="N74">
        <v>1.1355999999999999</v>
      </c>
      <c r="O74">
        <v>1.3549695740365111</v>
      </c>
      <c r="P74">
        <v>6.9362325922306374E-3</v>
      </c>
      <c r="Q74">
        <v>1.3549695740365111</v>
      </c>
      <c r="R74">
        <v>43208.258904665308</v>
      </c>
      <c r="S74" t="s">
        <v>12</v>
      </c>
      <c r="T74">
        <v>1.26</v>
      </c>
      <c r="U74">
        <v>40179.799800000001</v>
      </c>
      <c r="V74">
        <v>3028.4591046653077</v>
      </c>
      <c r="W74">
        <v>7.5372677806754718E-2</v>
      </c>
    </row>
    <row r="75" spans="1:23" x14ac:dyDescent="0.25">
      <c r="A75" t="s">
        <v>2938</v>
      </c>
      <c r="B75" t="s">
        <v>37</v>
      </c>
      <c r="C75" t="s">
        <v>91</v>
      </c>
      <c r="D75" t="s">
        <v>31</v>
      </c>
      <c r="E75" t="s">
        <v>74</v>
      </c>
      <c r="F75" s="1">
        <v>45922</v>
      </c>
      <c r="G75">
        <v>45952</v>
      </c>
      <c r="H75" t="s">
        <v>6</v>
      </c>
      <c r="I75">
        <v>2780.75</v>
      </c>
      <c r="J75" t="s">
        <v>75</v>
      </c>
      <c r="K75" t="s">
        <v>2939</v>
      </c>
      <c r="L75">
        <v>30</v>
      </c>
      <c r="M75" t="s">
        <v>37</v>
      </c>
      <c r="N75">
        <v>1.1780999999999999</v>
      </c>
      <c r="O75">
        <v>1.3496391339214113</v>
      </c>
      <c r="P75">
        <v>6.7640810702187517E-3</v>
      </c>
      <c r="Q75">
        <v>1.1780999999999999</v>
      </c>
      <c r="R75">
        <v>3276.0015749999998</v>
      </c>
      <c r="S75" t="s">
        <v>13</v>
      </c>
      <c r="T75">
        <v>1.0880000000000001</v>
      </c>
      <c r="U75">
        <v>3025.4560000000001</v>
      </c>
      <c r="V75">
        <v>250.54557499999964</v>
      </c>
      <c r="W75">
        <v>8.2812499999999872E-2</v>
      </c>
    </row>
    <row r="76" spans="1:23" x14ac:dyDescent="0.25">
      <c r="A76" t="s">
        <v>2936</v>
      </c>
      <c r="B76" t="s">
        <v>20</v>
      </c>
      <c r="C76" t="s">
        <v>123</v>
      </c>
      <c r="D76" t="s">
        <v>31</v>
      </c>
      <c r="E76" t="s">
        <v>124</v>
      </c>
      <c r="F76" s="1">
        <v>46044</v>
      </c>
      <c r="G76">
        <v>46089</v>
      </c>
      <c r="H76" t="s">
        <v>6</v>
      </c>
      <c r="I76">
        <v>96551.039999999994</v>
      </c>
      <c r="J76" t="s">
        <v>75</v>
      </c>
      <c r="K76" t="s">
        <v>2937</v>
      </c>
      <c r="L76">
        <v>45</v>
      </c>
      <c r="M76" t="s">
        <v>20</v>
      </c>
      <c r="N76">
        <v>1.1706000000000001</v>
      </c>
      <c r="O76">
        <v>1.3421233662004128</v>
      </c>
      <c r="P76">
        <v>6.2976113621691417E-3</v>
      </c>
      <c r="Q76">
        <v>1.1706000000000001</v>
      </c>
      <c r="R76">
        <v>113022.647424</v>
      </c>
      <c r="S76" t="s">
        <v>16</v>
      </c>
      <c r="T76">
        <v>1.0649999999999999</v>
      </c>
      <c r="U76">
        <v>102826.85759999999</v>
      </c>
      <c r="V76">
        <v>10195.789824000007</v>
      </c>
      <c r="W76">
        <v>9.915492957746487E-2</v>
      </c>
    </row>
    <row r="77" spans="1:23" x14ac:dyDescent="0.25">
      <c r="A77" t="s">
        <v>2934</v>
      </c>
      <c r="B77" t="s">
        <v>20</v>
      </c>
      <c r="C77" t="s">
        <v>123</v>
      </c>
      <c r="D77" t="s">
        <v>31</v>
      </c>
      <c r="E77" t="s">
        <v>124</v>
      </c>
      <c r="F77" s="1">
        <v>46343</v>
      </c>
      <c r="G77">
        <v>46388</v>
      </c>
      <c r="H77" t="s">
        <v>6</v>
      </c>
      <c r="I77">
        <v>15231.33</v>
      </c>
      <c r="J77" t="s">
        <v>84</v>
      </c>
      <c r="K77" t="s">
        <v>2935</v>
      </c>
      <c r="L77">
        <v>45</v>
      </c>
      <c r="M77" t="s">
        <v>20</v>
      </c>
      <c r="N77">
        <v>1.1176999999999999</v>
      </c>
      <c r="O77">
        <v>1.320456022210408</v>
      </c>
      <c r="P77">
        <v>6.3200452360757699E-3</v>
      </c>
      <c r="Q77">
        <v>1.1176999999999999</v>
      </c>
      <c r="R77">
        <v>17024.057540999998</v>
      </c>
      <c r="S77" t="s">
        <v>23</v>
      </c>
      <c r="T77">
        <v>1.119</v>
      </c>
      <c r="U77">
        <v>17043.858270000001</v>
      </c>
      <c r="V77">
        <v>-19.80072900000232</v>
      </c>
      <c r="W77">
        <v>-1.1617515638964722E-3</v>
      </c>
    </row>
    <row r="78" spans="1:23" x14ac:dyDescent="0.25">
      <c r="A78" t="s">
        <v>2932</v>
      </c>
      <c r="B78" t="s">
        <v>28</v>
      </c>
      <c r="C78" t="s">
        <v>111</v>
      </c>
      <c r="D78" t="s">
        <v>31</v>
      </c>
      <c r="E78" t="s">
        <v>74</v>
      </c>
      <c r="F78" s="1">
        <v>45808</v>
      </c>
      <c r="G78">
        <v>45853</v>
      </c>
      <c r="H78" t="s">
        <v>9</v>
      </c>
      <c r="I78">
        <v>555213.91</v>
      </c>
      <c r="J78" t="s">
        <v>75</v>
      </c>
      <c r="K78" t="s">
        <v>2933</v>
      </c>
      <c r="L78">
        <v>45</v>
      </c>
      <c r="M78" t="s">
        <v>28</v>
      </c>
      <c r="N78">
        <v>1.1606000000000001</v>
      </c>
      <c r="O78">
        <v>1.3462475350887368</v>
      </c>
      <c r="P78">
        <v>6.7359257109692395E-3</v>
      </c>
      <c r="Q78">
        <v>6.7359257109692395E-3</v>
      </c>
      <c r="R78">
        <v>3739.8796514567616</v>
      </c>
      <c r="S78" t="s">
        <v>12</v>
      </c>
      <c r="T78">
        <v>6.7000000000000002E-3</v>
      </c>
      <c r="U78">
        <v>3719.9331970000003</v>
      </c>
      <c r="V78">
        <v>19.94645445676133</v>
      </c>
      <c r="W78">
        <v>5.362046413319322E-3</v>
      </c>
    </row>
    <row r="79" spans="1:23" x14ac:dyDescent="0.25">
      <c r="A79" t="s">
        <v>2930</v>
      </c>
      <c r="B79" t="s">
        <v>32</v>
      </c>
      <c r="C79" t="s">
        <v>106</v>
      </c>
      <c r="D79" t="s">
        <v>31</v>
      </c>
      <c r="E79" t="s">
        <v>74</v>
      </c>
      <c r="F79" s="1">
        <v>46183</v>
      </c>
      <c r="G79">
        <v>46213</v>
      </c>
      <c r="H79" t="s">
        <v>6</v>
      </c>
      <c r="I79">
        <v>6337.83</v>
      </c>
      <c r="J79" t="s">
        <v>75</v>
      </c>
      <c r="K79" t="s">
        <v>2931</v>
      </c>
      <c r="L79">
        <v>30</v>
      </c>
      <c r="M79" t="s">
        <v>32</v>
      </c>
      <c r="N79">
        <v>1.1538999999999999</v>
      </c>
      <c r="O79">
        <v>1.3381964095189496</v>
      </c>
      <c r="P79">
        <v>6.2308979966520864E-3</v>
      </c>
      <c r="Q79">
        <v>1.1538999999999999</v>
      </c>
      <c r="R79">
        <v>7313.2220369999995</v>
      </c>
      <c r="S79" t="s">
        <v>19</v>
      </c>
      <c r="T79">
        <v>1.083</v>
      </c>
      <c r="U79">
        <v>6863.8698899999999</v>
      </c>
      <c r="V79">
        <v>449.3521469999996</v>
      </c>
      <c r="W79">
        <v>6.5466297322252939E-2</v>
      </c>
    </row>
    <row r="80" spans="1:23" x14ac:dyDescent="0.25">
      <c r="A80" t="s">
        <v>2928</v>
      </c>
      <c r="B80" t="s">
        <v>28</v>
      </c>
      <c r="C80" t="s">
        <v>111</v>
      </c>
      <c r="D80" t="s">
        <v>31</v>
      </c>
      <c r="E80" t="s">
        <v>74</v>
      </c>
      <c r="F80" s="1">
        <v>46351</v>
      </c>
      <c r="G80">
        <v>46396</v>
      </c>
      <c r="H80" t="s">
        <v>9</v>
      </c>
      <c r="I80">
        <v>2830124.88</v>
      </c>
      <c r="J80" t="s">
        <v>84</v>
      </c>
      <c r="K80" t="s">
        <v>2929</v>
      </c>
      <c r="L80">
        <v>45</v>
      </c>
      <c r="M80" t="s">
        <v>28</v>
      </c>
      <c r="N80">
        <v>1.1176999999999999</v>
      </c>
      <c r="O80">
        <v>1.320456022210408</v>
      </c>
      <c r="P80">
        <v>6.3200452360757699E-3</v>
      </c>
      <c r="Q80">
        <v>6.3200452360757699E-3</v>
      </c>
      <c r="R80">
        <v>17886.517265343507</v>
      </c>
      <c r="S80" t="s">
        <v>23</v>
      </c>
      <c r="T80">
        <v>6.8799999999999998E-3</v>
      </c>
      <c r="U80">
        <v>19471.259174399998</v>
      </c>
      <c r="V80">
        <v>-1584.7419090564908</v>
      </c>
      <c r="W80">
        <v>-8.138877382619629E-2</v>
      </c>
    </row>
    <row r="81" spans="1:23" x14ac:dyDescent="0.25">
      <c r="A81" t="s">
        <v>2926</v>
      </c>
      <c r="B81" t="s">
        <v>38</v>
      </c>
      <c r="C81" t="s">
        <v>87</v>
      </c>
      <c r="D81" t="s">
        <v>33</v>
      </c>
      <c r="E81" t="s">
        <v>88</v>
      </c>
      <c r="F81" s="1">
        <v>46349</v>
      </c>
      <c r="G81">
        <v>46379</v>
      </c>
      <c r="H81" t="s">
        <v>6</v>
      </c>
      <c r="I81">
        <v>9009.74</v>
      </c>
      <c r="J81" t="s">
        <v>84</v>
      </c>
      <c r="K81" t="s">
        <v>2927</v>
      </c>
      <c r="L81">
        <v>30</v>
      </c>
      <c r="M81" t="s">
        <v>38</v>
      </c>
      <c r="N81">
        <v>1.1176999999999999</v>
      </c>
      <c r="O81">
        <v>1.320456022210408</v>
      </c>
      <c r="P81">
        <v>6.3200452360757699E-3</v>
      </c>
      <c r="Q81">
        <v>1.1176999999999999</v>
      </c>
      <c r="R81">
        <v>10070.186398</v>
      </c>
      <c r="S81" t="s">
        <v>23</v>
      </c>
      <c r="T81">
        <v>1.119</v>
      </c>
      <c r="U81">
        <v>10081.89906</v>
      </c>
      <c r="V81">
        <v>-11.712661999999909</v>
      </c>
      <c r="W81">
        <v>-1.1617515638963271E-3</v>
      </c>
    </row>
    <row r="82" spans="1:23" x14ac:dyDescent="0.25">
      <c r="A82" t="s">
        <v>2924</v>
      </c>
      <c r="B82" t="s">
        <v>44</v>
      </c>
      <c r="C82" t="s">
        <v>138</v>
      </c>
      <c r="D82" t="s">
        <v>33</v>
      </c>
      <c r="E82" t="s">
        <v>88</v>
      </c>
      <c r="F82" s="1">
        <v>46366</v>
      </c>
      <c r="G82">
        <v>46411</v>
      </c>
      <c r="H82" t="s">
        <v>9</v>
      </c>
      <c r="I82">
        <v>609487.94999999995</v>
      </c>
      <c r="J82" t="s">
        <v>84</v>
      </c>
      <c r="K82" t="s">
        <v>2925</v>
      </c>
      <c r="L82">
        <v>45</v>
      </c>
      <c r="M82" t="s">
        <v>44</v>
      </c>
      <c r="N82">
        <v>1.1176999999999999</v>
      </c>
      <c r="O82">
        <v>1.320456022210408</v>
      </c>
      <c r="P82">
        <v>6.3200452360757699E-3</v>
      </c>
      <c r="Q82">
        <v>6.3200452360757699E-3</v>
      </c>
      <c r="R82">
        <v>3851.9914148430867</v>
      </c>
      <c r="S82" t="s">
        <v>23</v>
      </c>
      <c r="T82">
        <v>6.8799999999999998E-3</v>
      </c>
      <c r="U82">
        <v>4193.2770959999998</v>
      </c>
      <c r="V82">
        <v>-341.28568115691314</v>
      </c>
      <c r="W82">
        <v>-8.138877382619629E-2</v>
      </c>
    </row>
    <row r="83" spans="1:23" x14ac:dyDescent="0.25">
      <c r="A83" t="s">
        <v>2922</v>
      </c>
      <c r="B83" t="s">
        <v>30</v>
      </c>
      <c r="C83" t="s">
        <v>103</v>
      </c>
      <c r="D83" t="s">
        <v>31</v>
      </c>
      <c r="E83" t="s">
        <v>74</v>
      </c>
      <c r="F83" s="1">
        <v>46190</v>
      </c>
      <c r="G83">
        <v>46220</v>
      </c>
      <c r="H83" t="s">
        <v>9</v>
      </c>
      <c r="I83">
        <v>2298302.3199999998</v>
      </c>
      <c r="J83" t="s">
        <v>75</v>
      </c>
      <c r="K83" t="s">
        <v>2923</v>
      </c>
      <c r="L83">
        <v>30</v>
      </c>
      <c r="M83" t="s">
        <v>30</v>
      </c>
      <c r="N83">
        <v>1.1591</v>
      </c>
      <c r="O83">
        <v>1.3405734244705827</v>
      </c>
      <c r="P83">
        <v>6.2377569691098918E-3</v>
      </c>
      <c r="Q83">
        <v>6.2377569691098918E-3</v>
      </c>
      <c r="R83">
        <v>14336.251313701432</v>
      </c>
      <c r="S83" t="s">
        <v>19</v>
      </c>
      <c r="T83">
        <v>6.6E-3</v>
      </c>
      <c r="U83">
        <v>15168.795311999998</v>
      </c>
      <c r="V83">
        <v>-832.54399829856629</v>
      </c>
      <c r="W83">
        <v>-5.4885307710622389E-2</v>
      </c>
    </row>
    <row r="84" spans="1:23" x14ac:dyDescent="0.25">
      <c r="A84" t="s">
        <v>2920</v>
      </c>
      <c r="B84" t="s">
        <v>20</v>
      </c>
      <c r="C84" t="s">
        <v>123</v>
      </c>
      <c r="D84" t="s">
        <v>31</v>
      </c>
      <c r="E84" t="s">
        <v>124</v>
      </c>
      <c r="F84" s="1">
        <v>45892</v>
      </c>
      <c r="G84">
        <v>45937</v>
      </c>
      <c r="H84" t="s">
        <v>6</v>
      </c>
      <c r="I84">
        <v>24308.48</v>
      </c>
      <c r="J84" t="s">
        <v>75</v>
      </c>
      <c r="K84" t="s">
        <v>2921</v>
      </c>
      <c r="L84">
        <v>45</v>
      </c>
      <c r="M84" t="s">
        <v>20</v>
      </c>
      <c r="N84">
        <v>1.1655</v>
      </c>
      <c r="O84">
        <v>1.3326091927738395</v>
      </c>
      <c r="P84">
        <v>6.4289260301174916E-3</v>
      </c>
      <c r="Q84">
        <v>1.1655</v>
      </c>
      <c r="R84">
        <v>28331.533439999999</v>
      </c>
      <c r="S84" t="s">
        <v>13</v>
      </c>
      <c r="T84">
        <v>1.0880000000000001</v>
      </c>
      <c r="U84">
        <v>26447.626240000001</v>
      </c>
      <c r="V84">
        <v>1883.9071999999978</v>
      </c>
      <c r="W84">
        <v>7.1231617647058737E-2</v>
      </c>
    </row>
    <row r="85" spans="1:23" x14ac:dyDescent="0.25">
      <c r="A85" t="s">
        <v>2918</v>
      </c>
      <c r="B85" t="s">
        <v>34</v>
      </c>
      <c r="C85" t="s">
        <v>177</v>
      </c>
      <c r="D85" t="s">
        <v>31</v>
      </c>
      <c r="E85" t="s">
        <v>74</v>
      </c>
      <c r="F85" s="1">
        <v>46196</v>
      </c>
      <c r="G85">
        <v>46256</v>
      </c>
      <c r="H85" t="s">
        <v>8</v>
      </c>
      <c r="I85">
        <v>12463.36</v>
      </c>
      <c r="J85" t="s">
        <v>75</v>
      </c>
      <c r="K85" t="s">
        <v>2919</v>
      </c>
      <c r="L85">
        <v>60</v>
      </c>
      <c r="M85" t="s">
        <v>34</v>
      </c>
      <c r="N85">
        <v>1.1392</v>
      </c>
      <c r="O85">
        <v>1.3215777262180974</v>
      </c>
      <c r="P85">
        <v>6.1906314531029235E-3</v>
      </c>
      <c r="Q85">
        <v>1.3215777262180974</v>
      </c>
      <c r="R85">
        <v>16471.298969837586</v>
      </c>
      <c r="S85" t="s">
        <v>19</v>
      </c>
      <c r="T85">
        <v>1.2709999999999999</v>
      </c>
      <c r="U85">
        <v>15840.930559999999</v>
      </c>
      <c r="V85">
        <v>630.36840983758702</v>
      </c>
      <c r="W85">
        <v>3.9793647693231668E-2</v>
      </c>
    </row>
    <row r="86" spans="1:23" x14ac:dyDescent="0.25">
      <c r="A86" t="s">
        <v>2916</v>
      </c>
      <c r="B86" t="s">
        <v>38</v>
      </c>
      <c r="C86" t="s">
        <v>87</v>
      </c>
      <c r="D86" t="s">
        <v>33</v>
      </c>
      <c r="E86" t="s">
        <v>88</v>
      </c>
      <c r="F86" s="1">
        <v>46232</v>
      </c>
      <c r="G86">
        <v>46262</v>
      </c>
      <c r="H86" t="s">
        <v>6</v>
      </c>
      <c r="I86">
        <v>11962.79</v>
      </c>
      <c r="J86" t="s">
        <v>75</v>
      </c>
      <c r="K86" t="s">
        <v>2917</v>
      </c>
      <c r="L86">
        <v>30</v>
      </c>
      <c r="M86" t="s">
        <v>38</v>
      </c>
      <c r="N86">
        <v>1.1379999999999999</v>
      </c>
      <c r="O86">
        <v>1.3288958953698837</v>
      </c>
      <c r="P86">
        <v>6.1094110699522189E-3</v>
      </c>
      <c r="Q86">
        <v>1.1379999999999999</v>
      </c>
      <c r="R86">
        <v>13613.65502</v>
      </c>
      <c r="S86" t="s">
        <v>21</v>
      </c>
      <c r="T86">
        <v>1.101</v>
      </c>
      <c r="U86">
        <v>13171.031790000001</v>
      </c>
      <c r="V86">
        <v>442.62322999999924</v>
      </c>
      <c r="W86">
        <v>3.3605812897365972E-2</v>
      </c>
    </row>
    <row r="87" spans="1:23" x14ac:dyDescent="0.25">
      <c r="A87" t="s">
        <v>2914</v>
      </c>
      <c r="B87" t="s">
        <v>32</v>
      </c>
      <c r="C87" t="s">
        <v>106</v>
      </c>
      <c r="D87" t="s">
        <v>31</v>
      </c>
      <c r="E87" t="s">
        <v>74</v>
      </c>
      <c r="F87" s="1">
        <v>45814</v>
      </c>
      <c r="G87">
        <v>45844</v>
      </c>
      <c r="H87" t="s">
        <v>6</v>
      </c>
      <c r="I87">
        <v>26447.06</v>
      </c>
      <c r="J87" t="s">
        <v>75</v>
      </c>
      <c r="K87" t="s">
        <v>2915</v>
      </c>
      <c r="L87">
        <v>30</v>
      </c>
      <c r="M87" t="s">
        <v>32</v>
      </c>
      <c r="N87">
        <v>1.1411</v>
      </c>
      <c r="O87">
        <v>1.3542606218846427</v>
      </c>
      <c r="P87">
        <v>6.9317215405175553E-3</v>
      </c>
      <c r="Q87">
        <v>1.1411</v>
      </c>
      <c r="R87">
        <v>30178.740166000003</v>
      </c>
      <c r="S87" t="s">
        <v>12</v>
      </c>
      <c r="T87">
        <v>1.07</v>
      </c>
      <c r="U87">
        <v>28298.354200000002</v>
      </c>
      <c r="V87">
        <v>1880.3859660000016</v>
      </c>
      <c r="W87">
        <v>6.6448598130841183E-2</v>
      </c>
    </row>
    <row r="88" spans="1:23" x14ac:dyDescent="0.25">
      <c r="A88" t="s">
        <v>2912</v>
      </c>
      <c r="B88" t="s">
        <v>24</v>
      </c>
      <c r="C88" t="s">
        <v>73</v>
      </c>
      <c r="D88" t="s">
        <v>31</v>
      </c>
      <c r="E88" t="s">
        <v>74</v>
      </c>
      <c r="F88" s="1">
        <v>46227</v>
      </c>
      <c r="G88">
        <v>46257</v>
      </c>
      <c r="H88" t="s">
        <v>6</v>
      </c>
      <c r="I88">
        <v>28004.959999999999</v>
      </c>
      <c r="J88" t="s">
        <v>75</v>
      </c>
      <c r="K88" t="s">
        <v>2913</v>
      </c>
      <c r="L88">
        <v>30</v>
      </c>
      <c r="M88" t="s">
        <v>24</v>
      </c>
      <c r="N88">
        <v>1.1376999999999999</v>
      </c>
      <c r="O88">
        <v>1.3323886260364455</v>
      </c>
      <c r="P88">
        <v>6.1041957291554884E-3</v>
      </c>
      <c r="Q88">
        <v>1.1376999999999999</v>
      </c>
      <c r="R88">
        <v>31861.242991999996</v>
      </c>
      <c r="S88" t="s">
        <v>21</v>
      </c>
      <c r="T88">
        <v>1.101</v>
      </c>
      <c r="U88">
        <v>30833.460959999997</v>
      </c>
      <c r="V88">
        <v>1027.7820319999992</v>
      </c>
      <c r="W88">
        <v>3.3333333333333312E-2</v>
      </c>
    </row>
    <row r="89" spans="1:23" x14ac:dyDescent="0.25">
      <c r="A89" t="s">
        <v>2910</v>
      </c>
      <c r="B89" t="s">
        <v>34</v>
      </c>
      <c r="C89" t="s">
        <v>177</v>
      </c>
      <c r="D89" t="s">
        <v>31</v>
      </c>
      <c r="E89" t="s">
        <v>74</v>
      </c>
      <c r="F89" s="1">
        <v>45779</v>
      </c>
      <c r="G89">
        <v>45839</v>
      </c>
      <c r="H89" t="s">
        <v>8</v>
      </c>
      <c r="I89">
        <v>25824.98</v>
      </c>
      <c r="J89" t="s">
        <v>75</v>
      </c>
      <c r="K89" t="s">
        <v>2911</v>
      </c>
      <c r="L89">
        <v>60</v>
      </c>
      <c r="M89" t="s">
        <v>34</v>
      </c>
      <c r="N89">
        <v>1.1343000000000001</v>
      </c>
      <c r="O89">
        <v>1.3293097386616666</v>
      </c>
      <c r="P89">
        <v>6.9194168242542554E-3</v>
      </c>
      <c r="Q89">
        <v>1.3293097386616666</v>
      </c>
      <c r="R89">
        <v>34329.397414742765</v>
      </c>
      <c r="S89" t="s">
        <v>12</v>
      </c>
      <c r="T89">
        <v>1.26</v>
      </c>
      <c r="U89">
        <v>32539.4748</v>
      </c>
      <c r="V89">
        <v>1789.9226147427653</v>
      </c>
      <c r="W89">
        <v>5.5007729096560751E-2</v>
      </c>
    </row>
    <row r="90" spans="1:23" x14ac:dyDescent="0.25">
      <c r="A90" t="s">
        <v>2907</v>
      </c>
      <c r="B90" t="s">
        <v>43</v>
      </c>
      <c r="C90" t="s">
        <v>215</v>
      </c>
      <c r="D90" t="s">
        <v>35</v>
      </c>
      <c r="E90" t="s">
        <v>152</v>
      </c>
      <c r="F90" s="1">
        <v>46154</v>
      </c>
      <c r="G90">
        <v>46184</v>
      </c>
      <c r="H90" t="s">
        <v>6</v>
      </c>
      <c r="I90">
        <v>10360.629999999999</v>
      </c>
      <c r="J90" t="s">
        <v>75</v>
      </c>
      <c r="K90" t="s">
        <v>2908</v>
      </c>
      <c r="L90">
        <v>30</v>
      </c>
      <c r="M90" t="s">
        <v>43</v>
      </c>
      <c r="N90">
        <v>1.1738</v>
      </c>
      <c r="O90">
        <v>1.3522574104581639</v>
      </c>
      <c r="P90">
        <v>6.3455508703643641E-3</v>
      </c>
      <c r="Q90">
        <v>1.1738</v>
      </c>
      <c r="R90">
        <v>12161.307493999999</v>
      </c>
      <c r="S90" t="s">
        <v>19</v>
      </c>
      <c r="T90">
        <v>1.083</v>
      </c>
      <c r="U90">
        <v>11220.562289999998</v>
      </c>
      <c r="V90">
        <v>940.74520400000074</v>
      </c>
      <c r="W90">
        <v>8.3841181902123807E-2</v>
      </c>
    </row>
    <row r="91" spans="1:23" x14ac:dyDescent="0.25">
      <c r="A91" t="s">
        <v>2907</v>
      </c>
      <c r="B91" t="s">
        <v>24</v>
      </c>
      <c r="C91" t="s">
        <v>73</v>
      </c>
      <c r="D91" t="s">
        <v>31</v>
      </c>
      <c r="E91" t="s">
        <v>74</v>
      </c>
      <c r="F91" s="1">
        <v>45932</v>
      </c>
      <c r="G91">
        <v>45962</v>
      </c>
      <c r="H91" t="s">
        <v>6</v>
      </c>
      <c r="I91">
        <v>7161.98</v>
      </c>
      <c r="J91" t="s">
        <v>75</v>
      </c>
      <c r="K91" t="s">
        <v>2909</v>
      </c>
      <c r="L91">
        <v>30</v>
      </c>
      <c r="M91" t="s">
        <v>24</v>
      </c>
      <c r="N91">
        <v>1.1754</v>
      </c>
      <c r="O91">
        <v>1.3477812177502579</v>
      </c>
      <c r="P91">
        <v>6.8127282211789255E-3</v>
      </c>
      <c r="Q91">
        <v>1.1754</v>
      </c>
      <c r="R91">
        <v>8418.1912919999995</v>
      </c>
      <c r="S91" t="s">
        <v>14</v>
      </c>
      <c r="T91">
        <v>1.1060000000000001</v>
      </c>
      <c r="U91">
        <v>7921.1498799999999</v>
      </c>
      <c r="V91">
        <v>497.04141199999958</v>
      </c>
      <c r="W91">
        <v>6.2748643761301931E-2</v>
      </c>
    </row>
    <row r="92" spans="1:23" x14ac:dyDescent="0.25">
      <c r="A92" t="s">
        <v>2905</v>
      </c>
      <c r="B92" t="s">
        <v>20</v>
      </c>
      <c r="C92" t="s">
        <v>123</v>
      </c>
      <c r="D92" t="s">
        <v>31</v>
      </c>
      <c r="E92" t="s">
        <v>124</v>
      </c>
      <c r="F92" s="1">
        <v>45692</v>
      </c>
      <c r="G92">
        <v>45737</v>
      </c>
      <c r="H92" t="s">
        <v>6</v>
      </c>
      <c r="I92">
        <v>63916.53</v>
      </c>
      <c r="J92" t="s">
        <v>75</v>
      </c>
      <c r="K92" t="s">
        <v>2906</v>
      </c>
      <c r="L92">
        <v>45</v>
      </c>
      <c r="M92" t="s">
        <v>20</v>
      </c>
      <c r="N92">
        <v>1.0335000000000001</v>
      </c>
      <c r="O92">
        <v>1.2423666875030055</v>
      </c>
      <c r="P92">
        <v>6.4384500373785196E-3</v>
      </c>
      <c r="Q92">
        <v>1.0335000000000001</v>
      </c>
      <c r="R92">
        <v>66057.733755000008</v>
      </c>
      <c r="S92" t="s">
        <v>11</v>
      </c>
      <c r="T92">
        <v>1.052</v>
      </c>
      <c r="U92">
        <v>67240.189559999999</v>
      </c>
      <c r="V92">
        <v>-1182.4558049999905</v>
      </c>
      <c r="W92">
        <v>-1.7585551330798338E-2</v>
      </c>
    </row>
    <row r="93" spans="1:23" x14ac:dyDescent="0.25">
      <c r="A93" t="s">
        <v>2903</v>
      </c>
      <c r="B93" t="s">
        <v>36</v>
      </c>
      <c r="C93" t="s">
        <v>116</v>
      </c>
      <c r="D93" t="s">
        <v>31</v>
      </c>
      <c r="E93" t="s">
        <v>74</v>
      </c>
      <c r="F93" s="1">
        <v>45831</v>
      </c>
      <c r="G93">
        <v>45876</v>
      </c>
      <c r="H93" t="s">
        <v>6</v>
      </c>
      <c r="I93">
        <v>6759.6</v>
      </c>
      <c r="J93" t="s">
        <v>75</v>
      </c>
      <c r="K93" t="s">
        <v>2904</v>
      </c>
      <c r="L93">
        <v>45</v>
      </c>
      <c r="M93" t="s">
        <v>36</v>
      </c>
      <c r="N93">
        <v>1.1472</v>
      </c>
      <c r="O93">
        <v>1.3390918641298004</v>
      </c>
      <c r="P93">
        <v>6.7773379807408276E-3</v>
      </c>
      <c r="Q93">
        <v>1.1472</v>
      </c>
      <c r="R93">
        <v>7754.61312</v>
      </c>
      <c r="S93" t="s">
        <v>12</v>
      </c>
      <c r="T93">
        <v>1.07</v>
      </c>
      <c r="U93">
        <v>7232.7720000000008</v>
      </c>
      <c r="V93">
        <v>521.84111999999914</v>
      </c>
      <c r="W93">
        <v>7.214953271028024E-2</v>
      </c>
    </row>
    <row r="94" spans="1:23" x14ac:dyDescent="0.25">
      <c r="A94" t="s">
        <v>2901</v>
      </c>
      <c r="B94" t="s">
        <v>42</v>
      </c>
      <c r="C94" t="s">
        <v>151</v>
      </c>
      <c r="D94" t="s">
        <v>35</v>
      </c>
      <c r="E94" t="s">
        <v>152</v>
      </c>
      <c r="F94" s="1">
        <v>45854</v>
      </c>
      <c r="G94">
        <v>45884</v>
      </c>
      <c r="H94" t="s">
        <v>8</v>
      </c>
      <c r="I94">
        <v>2127.5</v>
      </c>
      <c r="J94" t="s">
        <v>75</v>
      </c>
      <c r="K94" t="s">
        <v>2902</v>
      </c>
      <c r="L94">
        <v>30</v>
      </c>
      <c r="M94" t="s">
        <v>42</v>
      </c>
      <c r="N94">
        <v>1.1601999999999999</v>
      </c>
      <c r="O94">
        <v>1.3398775840166299</v>
      </c>
      <c r="P94">
        <v>6.723458507185906E-3</v>
      </c>
      <c r="Q94">
        <v>1.3398775840166299</v>
      </c>
      <c r="R94">
        <v>2850.5895599953801</v>
      </c>
      <c r="S94" t="s">
        <v>13</v>
      </c>
      <c r="T94">
        <v>1.282</v>
      </c>
      <c r="U94">
        <v>2727.4549999999999</v>
      </c>
      <c r="V94">
        <v>123.13455999538019</v>
      </c>
      <c r="W94">
        <v>4.5146321385826783E-2</v>
      </c>
    </row>
    <row r="95" spans="1:23" x14ac:dyDescent="0.25">
      <c r="A95" t="s">
        <v>2899</v>
      </c>
      <c r="B95" t="s">
        <v>44</v>
      </c>
      <c r="C95" t="s">
        <v>138</v>
      </c>
      <c r="D95" t="s">
        <v>33</v>
      </c>
      <c r="E95" t="s">
        <v>88</v>
      </c>
      <c r="F95" s="1">
        <v>45818</v>
      </c>
      <c r="G95">
        <v>45863</v>
      </c>
      <c r="H95" t="s">
        <v>9</v>
      </c>
      <c r="I95">
        <v>791668.38</v>
      </c>
      <c r="J95" t="s">
        <v>75</v>
      </c>
      <c r="K95" t="s">
        <v>2900</v>
      </c>
      <c r="L95">
        <v>45</v>
      </c>
      <c r="M95" t="s">
        <v>44</v>
      </c>
      <c r="N95">
        <v>1.1429</v>
      </c>
      <c r="O95">
        <v>1.3503071833648392</v>
      </c>
      <c r="P95">
        <v>6.9170247533740853E-3</v>
      </c>
      <c r="Q95">
        <v>6.9170247533740853E-3</v>
      </c>
      <c r="R95">
        <v>5475.9897809235617</v>
      </c>
      <c r="S95" t="s">
        <v>12</v>
      </c>
      <c r="T95">
        <v>6.7000000000000002E-3</v>
      </c>
      <c r="U95">
        <v>5304.1781460000002</v>
      </c>
      <c r="V95">
        <v>171.81163492356154</v>
      </c>
      <c r="W95">
        <v>3.2391754234938085E-2</v>
      </c>
    </row>
    <row r="96" spans="1:23" x14ac:dyDescent="0.25">
      <c r="A96" t="s">
        <v>2897</v>
      </c>
      <c r="B96" t="s">
        <v>30</v>
      </c>
      <c r="C96" t="s">
        <v>103</v>
      </c>
      <c r="D96" t="s">
        <v>31</v>
      </c>
      <c r="E96" t="s">
        <v>74</v>
      </c>
      <c r="F96" s="1">
        <v>45752</v>
      </c>
      <c r="G96">
        <v>45782</v>
      </c>
      <c r="H96" t="s">
        <v>9</v>
      </c>
      <c r="I96">
        <v>913171.57</v>
      </c>
      <c r="J96" t="s">
        <v>75</v>
      </c>
      <c r="K96" t="s">
        <v>2898</v>
      </c>
      <c r="L96">
        <v>30</v>
      </c>
      <c r="M96" t="s">
        <v>30</v>
      </c>
      <c r="N96">
        <v>1.1380999999999999</v>
      </c>
      <c r="O96">
        <v>1.3561725452812201</v>
      </c>
      <c r="P96">
        <v>6.9980938326262062E-3</v>
      </c>
      <c r="Q96">
        <v>6.9980938326262062E-3</v>
      </c>
      <c r="R96">
        <v>6390.4603321465893</v>
      </c>
      <c r="S96" t="s">
        <v>12</v>
      </c>
      <c r="T96">
        <v>6.7000000000000002E-3</v>
      </c>
      <c r="U96">
        <v>6118.249519</v>
      </c>
      <c r="V96">
        <v>272.21081314658932</v>
      </c>
      <c r="W96">
        <v>4.4491616809881424E-2</v>
      </c>
    </row>
    <row r="97" spans="1:23" x14ac:dyDescent="0.25">
      <c r="A97" t="s">
        <v>2895</v>
      </c>
      <c r="B97" t="s">
        <v>40</v>
      </c>
      <c r="C97" t="s">
        <v>78</v>
      </c>
      <c r="D97" t="s">
        <v>33</v>
      </c>
      <c r="E97" t="s">
        <v>79</v>
      </c>
      <c r="F97" s="1">
        <v>45738</v>
      </c>
      <c r="G97">
        <v>45768</v>
      </c>
      <c r="H97" t="s">
        <v>9</v>
      </c>
      <c r="I97">
        <v>2257539.2400000002</v>
      </c>
      <c r="J97" t="s">
        <v>75</v>
      </c>
      <c r="K97" t="s">
        <v>2896</v>
      </c>
      <c r="L97">
        <v>30</v>
      </c>
      <c r="M97" t="s">
        <v>40</v>
      </c>
      <c r="N97">
        <v>1.1325000000000001</v>
      </c>
      <c r="O97">
        <v>1.3372298972724053</v>
      </c>
      <c r="P97">
        <v>7.0063103192279149E-3</v>
      </c>
      <c r="Q97">
        <v>7.0063103192279149E-3</v>
      </c>
      <c r="R97">
        <v>15817.020473273946</v>
      </c>
      <c r="S97" t="s">
        <v>11</v>
      </c>
      <c r="T97">
        <v>6.5599999999999999E-3</v>
      </c>
      <c r="U97">
        <v>14809.457414400002</v>
      </c>
      <c r="V97">
        <v>1007.5630588739441</v>
      </c>
      <c r="W97">
        <v>6.8035109638401634E-2</v>
      </c>
    </row>
    <row r="98" spans="1:23" x14ac:dyDescent="0.25">
      <c r="A98" t="s">
        <v>2893</v>
      </c>
      <c r="B98" t="s">
        <v>39</v>
      </c>
      <c r="C98" t="s">
        <v>82</v>
      </c>
      <c r="D98" t="s">
        <v>33</v>
      </c>
      <c r="E98" t="s">
        <v>83</v>
      </c>
      <c r="F98" s="1">
        <v>46019</v>
      </c>
      <c r="G98">
        <v>46064</v>
      </c>
      <c r="H98" t="s">
        <v>8</v>
      </c>
      <c r="I98">
        <v>8736.75</v>
      </c>
      <c r="J98" t="s">
        <v>75</v>
      </c>
      <c r="K98" t="s">
        <v>2894</v>
      </c>
      <c r="L98">
        <v>45</v>
      </c>
      <c r="M98" t="s">
        <v>39</v>
      </c>
      <c r="N98">
        <v>1.1555</v>
      </c>
      <c r="O98">
        <v>1.3367963164349013</v>
      </c>
      <c r="P98">
        <v>6.2983756677204832E-3</v>
      </c>
      <c r="Q98">
        <v>1.3367963164349013</v>
      </c>
      <c r="R98">
        <v>11679.255217612623</v>
      </c>
      <c r="S98" t="s">
        <v>14</v>
      </c>
      <c r="T98">
        <v>1.304</v>
      </c>
      <c r="U98">
        <v>11392.722</v>
      </c>
      <c r="V98">
        <v>286.53321761262305</v>
      </c>
      <c r="W98">
        <v>2.5150549413267789E-2</v>
      </c>
    </row>
    <row r="99" spans="1:23" x14ac:dyDescent="0.25">
      <c r="A99" t="s">
        <v>2891</v>
      </c>
      <c r="B99" t="s">
        <v>30</v>
      </c>
      <c r="C99" t="s">
        <v>103</v>
      </c>
      <c r="D99" t="s">
        <v>31</v>
      </c>
      <c r="E99" t="s">
        <v>74</v>
      </c>
      <c r="F99" s="1">
        <v>45837</v>
      </c>
      <c r="G99">
        <v>45867</v>
      </c>
      <c r="H99" t="s">
        <v>9</v>
      </c>
      <c r="I99">
        <v>1970602.5</v>
      </c>
      <c r="J99" t="s">
        <v>75</v>
      </c>
      <c r="K99" t="s">
        <v>2892</v>
      </c>
      <c r="L99">
        <v>30</v>
      </c>
      <c r="M99" t="s">
        <v>30</v>
      </c>
      <c r="N99">
        <v>1.1780999999999999</v>
      </c>
      <c r="O99">
        <v>1.3496391339214113</v>
      </c>
      <c r="P99">
        <v>6.7640810702187517E-3</v>
      </c>
      <c r="Q99">
        <v>6.7640810702187517E-3</v>
      </c>
      <c r="R99">
        <v>13329.315067175748</v>
      </c>
      <c r="S99" t="s">
        <v>12</v>
      </c>
      <c r="T99">
        <v>6.7000000000000002E-3</v>
      </c>
      <c r="U99">
        <v>13203.036750000001</v>
      </c>
      <c r="V99">
        <v>126.27831717574736</v>
      </c>
      <c r="W99">
        <v>9.5643388386196342E-3</v>
      </c>
    </row>
    <row r="100" spans="1:23" x14ac:dyDescent="0.25">
      <c r="A100" t="s">
        <v>2889</v>
      </c>
      <c r="B100" t="s">
        <v>34</v>
      </c>
      <c r="C100" t="s">
        <v>177</v>
      </c>
      <c r="D100" t="s">
        <v>31</v>
      </c>
      <c r="E100" t="s">
        <v>74</v>
      </c>
      <c r="F100" s="1">
        <v>46070</v>
      </c>
      <c r="G100">
        <v>46130</v>
      </c>
      <c r="H100" t="s">
        <v>8</v>
      </c>
      <c r="I100">
        <v>10070.209999999999</v>
      </c>
      <c r="J100" t="s">
        <v>75</v>
      </c>
      <c r="K100" t="s">
        <v>2890</v>
      </c>
      <c r="L100">
        <v>60</v>
      </c>
      <c r="M100" t="s">
        <v>34</v>
      </c>
      <c r="N100">
        <v>1.1826000000000001</v>
      </c>
      <c r="O100">
        <v>1.3541738234283753</v>
      </c>
      <c r="P100">
        <v>6.5315365072351715E-3</v>
      </c>
      <c r="Q100">
        <v>1.3541738234283753</v>
      </c>
      <c r="R100">
        <v>13636.814778426658</v>
      </c>
      <c r="S100" t="s">
        <v>16</v>
      </c>
      <c r="T100">
        <v>1.2490000000000001</v>
      </c>
      <c r="U100">
        <v>12577.692290000001</v>
      </c>
      <c r="V100">
        <v>1059.1224884266576</v>
      </c>
      <c r="W100">
        <v>8.4206423881805548E-2</v>
      </c>
    </row>
    <row r="101" spans="1:23" x14ac:dyDescent="0.25">
      <c r="A101" t="s">
        <v>2887</v>
      </c>
      <c r="B101" t="s">
        <v>20</v>
      </c>
      <c r="C101" t="s">
        <v>123</v>
      </c>
      <c r="D101" t="s">
        <v>31</v>
      </c>
      <c r="E101" t="s">
        <v>124</v>
      </c>
      <c r="F101" s="1">
        <v>46213</v>
      </c>
      <c r="G101">
        <v>46258</v>
      </c>
      <c r="H101" t="s">
        <v>6</v>
      </c>
      <c r="I101">
        <v>50364.21</v>
      </c>
      <c r="J101" t="s">
        <v>75</v>
      </c>
      <c r="K101" t="s">
        <v>2888</v>
      </c>
      <c r="L101">
        <v>45</v>
      </c>
      <c r="M101" t="s">
        <v>20</v>
      </c>
      <c r="N101">
        <v>1.143</v>
      </c>
      <c r="O101">
        <v>1.3422582349832657</v>
      </c>
      <c r="P101">
        <v>6.1777105177818611E-3</v>
      </c>
      <c r="Q101">
        <v>1.143</v>
      </c>
      <c r="R101">
        <v>57566.292029999997</v>
      </c>
      <c r="S101" t="s">
        <v>21</v>
      </c>
      <c r="T101">
        <v>1.101</v>
      </c>
      <c r="U101">
        <v>55450.995210000001</v>
      </c>
      <c r="V101">
        <v>2115.2968199999959</v>
      </c>
      <c r="W101">
        <v>3.8147138964577582E-2</v>
      </c>
    </row>
    <row r="102" spans="1:23" x14ac:dyDescent="0.25">
      <c r="A102" t="s">
        <v>2885</v>
      </c>
      <c r="B102" t="s">
        <v>39</v>
      </c>
      <c r="C102" t="s">
        <v>82</v>
      </c>
      <c r="D102" t="s">
        <v>33</v>
      </c>
      <c r="E102" t="s">
        <v>83</v>
      </c>
      <c r="F102" s="1">
        <v>45963</v>
      </c>
      <c r="G102">
        <v>46008</v>
      </c>
      <c r="H102" t="s">
        <v>8</v>
      </c>
      <c r="I102">
        <v>2180.4699999999998</v>
      </c>
      <c r="J102" t="s">
        <v>75</v>
      </c>
      <c r="K102" t="s">
        <v>2886</v>
      </c>
      <c r="L102">
        <v>45</v>
      </c>
      <c r="M102" t="s">
        <v>39</v>
      </c>
      <c r="N102">
        <v>1.1555</v>
      </c>
      <c r="O102">
        <v>1.3367963164349013</v>
      </c>
      <c r="P102">
        <v>6.2983756677204832E-3</v>
      </c>
      <c r="Q102">
        <v>1.3367963164349013</v>
      </c>
      <c r="R102">
        <v>2914.8442640968087</v>
      </c>
      <c r="S102" t="s">
        <v>14</v>
      </c>
      <c r="T102">
        <v>1.304</v>
      </c>
      <c r="U102">
        <v>2843.3328799999999</v>
      </c>
      <c r="V102">
        <v>71.511384096808797</v>
      </c>
      <c r="W102">
        <v>2.5150549413267713E-2</v>
      </c>
    </row>
    <row r="103" spans="1:23" x14ac:dyDescent="0.25">
      <c r="A103" t="s">
        <v>2883</v>
      </c>
      <c r="B103" t="s">
        <v>38</v>
      </c>
      <c r="C103" t="s">
        <v>87</v>
      </c>
      <c r="D103" t="s">
        <v>33</v>
      </c>
      <c r="E103" t="s">
        <v>88</v>
      </c>
      <c r="F103" s="1">
        <v>46258</v>
      </c>
      <c r="G103">
        <v>46288</v>
      </c>
      <c r="H103" t="s">
        <v>6</v>
      </c>
      <c r="I103">
        <v>9513.5</v>
      </c>
      <c r="J103" t="s">
        <v>75</v>
      </c>
      <c r="K103" t="s">
        <v>2884</v>
      </c>
      <c r="L103">
        <v>30</v>
      </c>
      <c r="M103" t="s">
        <v>38</v>
      </c>
      <c r="N103">
        <v>1.1664000000000001</v>
      </c>
      <c r="O103">
        <v>1.3634132086499124</v>
      </c>
      <c r="P103">
        <v>6.2844827586206907E-3</v>
      </c>
      <c r="Q103">
        <v>1.1664000000000001</v>
      </c>
      <c r="R103">
        <v>11096.546400000001</v>
      </c>
      <c r="S103" t="s">
        <v>21</v>
      </c>
      <c r="T103">
        <v>1.101</v>
      </c>
      <c r="U103">
        <v>10474.363499999999</v>
      </c>
      <c r="V103">
        <v>622.18290000000161</v>
      </c>
      <c r="W103">
        <v>5.9400544959128221E-2</v>
      </c>
    </row>
    <row r="104" spans="1:23" x14ac:dyDescent="0.25">
      <c r="A104" t="s">
        <v>2881</v>
      </c>
      <c r="B104" t="s">
        <v>22</v>
      </c>
      <c r="C104" t="s">
        <v>127</v>
      </c>
      <c r="D104" t="s">
        <v>31</v>
      </c>
      <c r="E104" t="s">
        <v>124</v>
      </c>
      <c r="F104" s="1">
        <v>45920</v>
      </c>
      <c r="G104">
        <v>45980</v>
      </c>
      <c r="H104" t="s">
        <v>9</v>
      </c>
      <c r="I104">
        <v>11507026.6</v>
      </c>
      <c r="J104" t="s">
        <v>75</v>
      </c>
      <c r="K104" t="s">
        <v>2882</v>
      </c>
      <c r="L104">
        <v>60</v>
      </c>
      <c r="M104" t="s">
        <v>22</v>
      </c>
      <c r="N104">
        <v>1.1728000000000001</v>
      </c>
      <c r="O104">
        <v>1.3446457234579225</v>
      </c>
      <c r="P104">
        <v>6.3332973323253052E-3</v>
      </c>
      <c r="Q104">
        <v>6.3332973323253052E-3</v>
      </c>
      <c r="R104">
        <v>72877.420868776331</v>
      </c>
      <c r="S104" t="s">
        <v>13</v>
      </c>
      <c r="T104">
        <v>6.8399999999999997E-3</v>
      </c>
      <c r="U104">
        <v>78708.061944000001</v>
      </c>
      <c r="V104">
        <v>-5830.6410752236698</v>
      </c>
      <c r="W104">
        <v>-7.4079337379341303E-2</v>
      </c>
    </row>
    <row r="105" spans="1:23" x14ac:dyDescent="0.25">
      <c r="A105" t="s">
        <v>2879</v>
      </c>
      <c r="B105" t="s">
        <v>37</v>
      </c>
      <c r="C105" t="s">
        <v>91</v>
      </c>
      <c r="D105" t="s">
        <v>31</v>
      </c>
      <c r="E105" t="s">
        <v>74</v>
      </c>
      <c r="F105" s="1">
        <v>46325</v>
      </c>
      <c r="G105">
        <v>46355</v>
      </c>
      <c r="H105" t="s">
        <v>6</v>
      </c>
      <c r="I105">
        <v>22376.89</v>
      </c>
      <c r="J105" t="s">
        <v>84</v>
      </c>
      <c r="K105" t="s">
        <v>2880</v>
      </c>
      <c r="L105">
        <v>30</v>
      </c>
      <c r="M105" t="s">
        <v>37</v>
      </c>
      <c r="N105">
        <v>1.1176999999999999</v>
      </c>
      <c r="O105">
        <v>1.320456022210408</v>
      </c>
      <c r="P105">
        <v>6.3200452360757699E-3</v>
      </c>
      <c r="Q105">
        <v>1.1176999999999999</v>
      </c>
      <c r="R105">
        <v>25010.649952999996</v>
      </c>
      <c r="S105" t="s">
        <v>23</v>
      </c>
      <c r="T105">
        <v>1.119</v>
      </c>
      <c r="U105">
        <v>25039.73991</v>
      </c>
      <c r="V105">
        <v>-29.089957000003778</v>
      </c>
      <c r="W105">
        <v>-1.1617515638964869E-3</v>
      </c>
    </row>
    <row r="106" spans="1:23" x14ac:dyDescent="0.25">
      <c r="A106" t="s">
        <v>2877</v>
      </c>
      <c r="B106" t="s">
        <v>36</v>
      </c>
      <c r="C106" t="s">
        <v>116</v>
      </c>
      <c r="D106" t="s">
        <v>31</v>
      </c>
      <c r="E106" t="s">
        <v>74</v>
      </c>
      <c r="F106" s="1">
        <v>46055</v>
      </c>
      <c r="G106">
        <v>46100</v>
      </c>
      <c r="H106" t="s">
        <v>6</v>
      </c>
      <c r="I106">
        <v>4750.71</v>
      </c>
      <c r="J106" t="s">
        <v>75</v>
      </c>
      <c r="K106" t="s">
        <v>2878</v>
      </c>
      <c r="L106">
        <v>45</v>
      </c>
      <c r="M106" t="s">
        <v>36</v>
      </c>
      <c r="N106">
        <v>1.1839999999999999</v>
      </c>
      <c r="O106">
        <v>1.3675213675213673</v>
      </c>
      <c r="P106">
        <v>6.4491530039762508E-3</v>
      </c>
      <c r="Q106">
        <v>1.1839999999999999</v>
      </c>
      <c r="R106">
        <v>5624.8406399999994</v>
      </c>
      <c r="S106" t="s">
        <v>16</v>
      </c>
      <c r="T106">
        <v>1.0649999999999999</v>
      </c>
      <c r="U106">
        <v>5059.5061500000002</v>
      </c>
      <c r="V106">
        <v>565.33448999999928</v>
      </c>
      <c r="W106">
        <v>0.11173708920187779</v>
      </c>
    </row>
    <row r="107" spans="1:23" x14ac:dyDescent="0.25">
      <c r="A107" t="s">
        <v>2875</v>
      </c>
      <c r="B107" t="s">
        <v>20</v>
      </c>
      <c r="C107" t="s">
        <v>123</v>
      </c>
      <c r="D107" t="s">
        <v>31</v>
      </c>
      <c r="E107" t="s">
        <v>124</v>
      </c>
      <c r="F107" s="1">
        <v>45789</v>
      </c>
      <c r="G107">
        <v>45834</v>
      </c>
      <c r="H107" t="s">
        <v>6</v>
      </c>
      <c r="I107">
        <v>36694.050000000003</v>
      </c>
      <c r="J107" t="s">
        <v>75</v>
      </c>
      <c r="K107" t="s">
        <v>2876</v>
      </c>
      <c r="L107">
        <v>45</v>
      </c>
      <c r="M107" t="s">
        <v>20</v>
      </c>
      <c r="N107">
        <v>1.1106</v>
      </c>
      <c r="O107">
        <v>1.3175940206430181</v>
      </c>
      <c r="P107">
        <v>6.753009850419555E-3</v>
      </c>
      <c r="Q107">
        <v>1.1106</v>
      </c>
      <c r="R107">
        <v>40752.411930000002</v>
      </c>
      <c r="S107" t="s">
        <v>12</v>
      </c>
      <c r="T107">
        <v>1.07</v>
      </c>
      <c r="U107">
        <v>39262.633500000004</v>
      </c>
      <c r="V107">
        <v>1489.7784299999985</v>
      </c>
      <c r="W107">
        <v>3.7943925233644815E-2</v>
      </c>
    </row>
    <row r="108" spans="1:23" x14ac:dyDescent="0.25">
      <c r="A108" t="s">
        <v>2873</v>
      </c>
      <c r="B108" t="s">
        <v>39</v>
      </c>
      <c r="C108" t="s">
        <v>82</v>
      </c>
      <c r="D108" t="s">
        <v>33</v>
      </c>
      <c r="E108" t="s">
        <v>83</v>
      </c>
      <c r="F108" s="1">
        <v>45760</v>
      </c>
      <c r="G108">
        <v>45805</v>
      </c>
      <c r="H108" t="s">
        <v>8</v>
      </c>
      <c r="I108">
        <v>1340.49</v>
      </c>
      <c r="J108" t="s">
        <v>75</v>
      </c>
      <c r="K108" t="s">
        <v>2874</v>
      </c>
      <c r="L108">
        <v>45</v>
      </c>
      <c r="M108" t="s">
        <v>39</v>
      </c>
      <c r="N108">
        <v>1.1423000000000001</v>
      </c>
      <c r="O108">
        <v>1.3568119729183989</v>
      </c>
      <c r="P108">
        <v>6.9797140413051456E-3</v>
      </c>
      <c r="Q108">
        <v>1.3568119729183989</v>
      </c>
      <c r="R108">
        <v>1818.7928815773846</v>
      </c>
      <c r="S108" t="s">
        <v>12</v>
      </c>
      <c r="T108">
        <v>1.26</v>
      </c>
      <c r="U108">
        <v>1689.0174</v>
      </c>
      <c r="V108">
        <v>129.77548157738465</v>
      </c>
      <c r="W108">
        <v>7.6834899141586491E-2</v>
      </c>
    </row>
    <row r="109" spans="1:23" x14ac:dyDescent="0.25">
      <c r="A109" t="s">
        <v>2871</v>
      </c>
      <c r="B109" t="s">
        <v>43</v>
      </c>
      <c r="C109" t="s">
        <v>215</v>
      </c>
      <c r="D109" t="s">
        <v>35</v>
      </c>
      <c r="E109" t="s">
        <v>152</v>
      </c>
      <c r="F109" s="1">
        <v>45821</v>
      </c>
      <c r="G109">
        <v>45851</v>
      </c>
      <c r="H109" t="s">
        <v>6</v>
      </c>
      <c r="I109">
        <v>3992</v>
      </c>
      <c r="J109" t="s">
        <v>75</v>
      </c>
      <c r="K109" t="s">
        <v>2872</v>
      </c>
      <c r="L109">
        <v>30</v>
      </c>
      <c r="M109" t="s">
        <v>43</v>
      </c>
      <c r="N109">
        <v>1.1512</v>
      </c>
      <c r="O109">
        <v>1.3535567313345092</v>
      </c>
      <c r="P109">
        <v>6.9374472700976259E-3</v>
      </c>
      <c r="Q109">
        <v>1.1512</v>
      </c>
      <c r="R109">
        <v>4595.5904</v>
      </c>
      <c r="S109" t="s">
        <v>12</v>
      </c>
      <c r="T109">
        <v>1.07</v>
      </c>
      <c r="U109">
        <v>4271.4400000000005</v>
      </c>
      <c r="V109">
        <v>324.15039999999954</v>
      </c>
      <c r="W109">
        <v>7.5887850467289603E-2</v>
      </c>
    </row>
    <row r="110" spans="1:23" x14ac:dyDescent="0.25">
      <c r="A110" t="s">
        <v>2869</v>
      </c>
      <c r="B110" t="s">
        <v>30</v>
      </c>
      <c r="C110" t="s">
        <v>103</v>
      </c>
      <c r="D110" t="s">
        <v>31</v>
      </c>
      <c r="E110" t="s">
        <v>74</v>
      </c>
      <c r="F110" s="1">
        <v>46378</v>
      </c>
      <c r="G110">
        <v>46408</v>
      </c>
      <c r="H110" t="s">
        <v>9</v>
      </c>
      <c r="I110">
        <v>2591039.7799999998</v>
      </c>
      <c r="J110" t="s">
        <v>84</v>
      </c>
      <c r="K110" t="s">
        <v>2870</v>
      </c>
      <c r="L110">
        <v>30</v>
      </c>
      <c r="M110" t="s">
        <v>30</v>
      </c>
      <c r="N110">
        <v>1.1176999999999999</v>
      </c>
      <c r="O110">
        <v>1.320456022210408</v>
      </c>
      <c r="P110">
        <v>6.3200452360757699E-3</v>
      </c>
      <c r="Q110">
        <v>6.3200452360757699E-3</v>
      </c>
      <c r="R110">
        <v>16375.488618071809</v>
      </c>
      <c r="S110" t="s">
        <v>23</v>
      </c>
      <c r="T110">
        <v>6.8799999999999998E-3</v>
      </c>
      <c r="U110">
        <v>17826.353686399998</v>
      </c>
      <c r="V110">
        <v>-1450.8650683281885</v>
      </c>
      <c r="W110">
        <v>-8.1388773826196206E-2</v>
      </c>
    </row>
    <row r="111" spans="1:23" x14ac:dyDescent="0.25">
      <c r="A111" t="s">
        <v>2867</v>
      </c>
      <c r="B111" t="s">
        <v>37</v>
      </c>
      <c r="C111" t="s">
        <v>91</v>
      </c>
      <c r="D111" t="s">
        <v>31</v>
      </c>
      <c r="E111" t="s">
        <v>74</v>
      </c>
      <c r="F111" s="1">
        <v>45760</v>
      </c>
      <c r="G111">
        <v>45790</v>
      </c>
      <c r="H111" t="s">
        <v>6</v>
      </c>
      <c r="I111">
        <v>19563.36</v>
      </c>
      <c r="J111" t="s">
        <v>75</v>
      </c>
      <c r="K111" t="s">
        <v>2868</v>
      </c>
      <c r="L111">
        <v>30</v>
      </c>
      <c r="M111" t="s">
        <v>37</v>
      </c>
      <c r="N111">
        <v>1.1423000000000001</v>
      </c>
      <c r="O111">
        <v>1.3568119729183989</v>
      </c>
      <c r="P111">
        <v>6.9797140413051456E-3</v>
      </c>
      <c r="Q111">
        <v>1.1423000000000001</v>
      </c>
      <c r="R111">
        <v>22347.226128000002</v>
      </c>
      <c r="S111" t="s">
        <v>12</v>
      </c>
      <c r="T111">
        <v>1.07</v>
      </c>
      <c r="U111">
        <v>20932.7952</v>
      </c>
      <c r="V111">
        <v>1414.4309280000016</v>
      </c>
      <c r="W111">
        <v>6.7570093457944E-2</v>
      </c>
    </row>
    <row r="112" spans="1:23" x14ac:dyDescent="0.25">
      <c r="A112" t="s">
        <v>2865</v>
      </c>
      <c r="B112" t="s">
        <v>20</v>
      </c>
      <c r="C112" t="s">
        <v>123</v>
      </c>
      <c r="D112" t="s">
        <v>31</v>
      </c>
      <c r="E112" t="s">
        <v>124</v>
      </c>
      <c r="F112" s="1">
        <v>46118</v>
      </c>
      <c r="G112">
        <v>46163</v>
      </c>
      <c r="H112" t="s">
        <v>6</v>
      </c>
      <c r="I112">
        <v>22574.5</v>
      </c>
      <c r="J112" t="s">
        <v>75</v>
      </c>
      <c r="K112" t="s">
        <v>2866</v>
      </c>
      <c r="L112">
        <v>45</v>
      </c>
      <c r="M112" t="s">
        <v>20</v>
      </c>
      <c r="N112">
        <v>1.1525000000000001</v>
      </c>
      <c r="O112">
        <v>1.3208714886594157</v>
      </c>
      <c r="P112">
        <v>6.2656300967706864E-3</v>
      </c>
      <c r="Q112">
        <v>1.1525000000000001</v>
      </c>
      <c r="R112">
        <v>26017.111250000002</v>
      </c>
      <c r="S112" t="s">
        <v>19</v>
      </c>
      <c r="T112">
        <v>1.083</v>
      </c>
      <c r="U112">
        <v>24448.183499999999</v>
      </c>
      <c r="V112">
        <v>1568.9277500000026</v>
      </c>
      <c r="W112">
        <v>6.4173591874423008E-2</v>
      </c>
    </row>
    <row r="113" spans="1:23" x14ac:dyDescent="0.25">
      <c r="A113" t="s">
        <v>2863</v>
      </c>
      <c r="B113" t="s">
        <v>43</v>
      </c>
      <c r="C113" t="s">
        <v>215</v>
      </c>
      <c r="D113" t="s">
        <v>35</v>
      </c>
      <c r="E113" t="s">
        <v>152</v>
      </c>
      <c r="F113" s="1">
        <v>46064</v>
      </c>
      <c r="G113">
        <v>46094</v>
      </c>
      <c r="H113" t="s">
        <v>6</v>
      </c>
      <c r="I113">
        <v>5254.62</v>
      </c>
      <c r="J113" t="s">
        <v>75</v>
      </c>
      <c r="K113" t="s">
        <v>2864</v>
      </c>
      <c r="L113">
        <v>30</v>
      </c>
      <c r="M113" t="s">
        <v>43</v>
      </c>
      <c r="N113">
        <v>1.19</v>
      </c>
      <c r="O113">
        <v>1.3679733302678467</v>
      </c>
      <c r="P113">
        <v>6.5102029651512667E-3</v>
      </c>
      <c r="Q113">
        <v>1.19</v>
      </c>
      <c r="R113">
        <v>6252.9977999999992</v>
      </c>
      <c r="S113" t="s">
        <v>16</v>
      </c>
      <c r="T113">
        <v>1.0649999999999999</v>
      </c>
      <c r="U113">
        <v>5596.1702999999998</v>
      </c>
      <c r="V113">
        <v>656.82749999999942</v>
      </c>
      <c r="W113">
        <v>0.11737089201877925</v>
      </c>
    </row>
    <row r="114" spans="1:23" x14ac:dyDescent="0.25">
      <c r="A114" t="s">
        <v>2861</v>
      </c>
      <c r="B114" t="s">
        <v>32</v>
      </c>
      <c r="C114" t="s">
        <v>106</v>
      </c>
      <c r="D114" t="s">
        <v>31</v>
      </c>
      <c r="E114" t="s">
        <v>806</v>
      </c>
      <c r="F114" s="1">
        <v>45993</v>
      </c>
      <c r="G114">
        <v>46023</v>
      </c>
      <c r="H114" t="s">
        <v>6</v>
      </c>
      <c r="I114">
        <v>9987.01</v>
      </c>
      <c r="J114" t="s">
        <v>75</v>
      </c>
      <c r="K114" t="s">
        <v>2862</v>
      </c>
      <c r="L114">
        <v>30</v>
      </c>
      <c r="M114" t="s">
        <v>32</v>
      </c>
      <c r="N114">
        <v>1.1614</v>
      </c>
      <c r="O114">
        <v>1.3203728967712596</v>
      </c>
      <c r="P114">
        <v>6.4073706278274306E-3</v>
      </c>
      <c r="Q114">
        <v>1.1614</v>
      </c>
      <c r="R114">
        <v>11598.913414000001</v>
      </c>
      <c r="S114" t="s">
        <v>14</v>
      </c>
      <c r="T114">
        <v>1.1060000000000001</v>
      </c>
      <c r="U114">
        <v>11045.633060000002</v>
      </c>
      <c r="V114">
        <v>553.28035399999862</v>
      </c>
      <c r="W114">
        <v>5.0090415913200591E-2</v>
      </c>
    </row>
    <row r="115" spans="1:23" x14ac:dyDescent="0.25">
      <c r="A115" t="s">
        <v>2859</v>
      </c>
      <c r="B115" t="s">
        <v>32</v>
      </c>
      <c r="C115" t="s">
        <v>106</v>
      </c>
      <c r="D115" t="s">
        <v>31</v>
      </c>
      <c r="E115" t="s">
        <v>74</v>
      </c>
      <c r="F115" s="1">
        <v>46094</v>
      </c>
      <c r="G115">
        <v>46124</v>
      </c>
      <c r="H115" t="s">
        <v>6</v>
      </c>
      <c r="I115">
        <v>17704.09</v>
      </c>
      <c r="J115" t="s">
        <v>75</v>
      </c>
      <c r="K115" t="s">
        <v>2860</v>
      </c>
      <c r="L115">
        <v>30</v>
      </c>
      <c r="M115" t="s">
        <v>32</v>
      </c>
      <c r="N115">
        <v>1.1476</v>
      </c>
      <c r="O115">
        <v>1.3266591910107164</v>
      </c>
      <c r="P115">
        <v>6.2761826633852885E-3</v>
      </c>
      <c r="Q115">
        <v>1.1476</v>
      </c>
      <c r="R115">
        <v>20317.213683999998</v>
      </c>
      <c r="S115" t="s">
        <v>16</v>
      </c>
      <c r="T115">
        <v>1.0649999999999999</v>
      </c>
      <c r="U115">
        <v>18854.85585</v>
      </c>
      <c r="V115">
        <v>1462.3578339999985</v>
      </c>
      <c r="W115">
        <v>7.7558685446009315E-2</v>
      </c>
    </row>
    <row r="116" spans="1:23" x14ac:dyDescent="0.25">
      <c r="A116" t="s">
        <v>2857</v>
      </c>
      <c r="B116" t="s">
        <v>30</v>
      </c>
      <c r="C116" t="s">
        <v>103</v>
      </c>
      <c r="D116" t="s">
        <v>31</v>
      </c>
      <c r="E116" t="s">
        <v>74</v>
      </c>
      <c r="F116" s="1">
        <v>46247</v>
      </c>
      <c r="G116">
        <v>46277</v>
      </c>
      <c r="H116" t="s">
        <v>9</v>
      </c>
      <c r="I116">
        <v>1601160.33</v>
      </c>
      <c r="J116" t="s">
        <v>75</v>
      </c>
      <c r="K116" t="s">
        <v>2858</v>
      </c>
      <c r="L116">
        <v>30</v>
      </c>
      <c r="M116" t="s">
        <v>30</v>
      </c>
      <c r="N116">
        <v>1.1534</v>
      </c>
      <c r="O116">
        <v>1.3491636448707451</v>
      </c>
      <c r="P116">
        <v>6.2763236654513792E-3</v>
      </c>
      <c r="Q116">
        <v>6.2763236654513792E-3</v>
      </c>
      <c r="R116">
        <v>10049.400471360941</v>
      </c>
      <c r="S116" t="s">
        <v>21</v>
      </c>
      <c r="T116">
        <v>6.7400000000000003E-3</v>
      </c>
      <c r="U116">
        <v>10791.820624200001</v>
      </c>
      <c r="V116">
        <v>-742.42015283906039</v>
      </c>
      <c r="W116">
        <v>-6.8794708390003109E-2</v>
      </c>
    </row>
    <row r="117" spans="1:23" x14ac:dyDescent="0.25">
      <c r="A117" t="s">
        <v>2855</v>
      </c>
      <c r="B117" t="s">
        <v>32</v>
      </c>
      <c r="C117" t="s">
        <v>106</v>
      </c>
      <c r="D117" t="s">
        <v>31</v>
      </c>
      <c r="E117" t="s">
        <v>74</v>
      </c>
      <c r="F117" s="1">
        <v>46128</v>
      </c>
      <c r="G117">
        <v>46158</v>
      </c>
      <c r="H117" t="s">
        <v>6</v>
      </c>
      <c r="I117">
        <v>29747.4</v>
      </c>
      <c r="J117" t="s">
        <v>75</v>
      </c>
      <c r="K117" t="s">
        <v>2856</v>
      </c>
      <c r="L117">
        <v>30</v>
      </c>
      <c r="M117" t="s">
        <v>32</v>
      </c>
      <c r="N117">
        <v>1.1781999999999999</v>
      </c>
      <c r="O117">
        <v>1.3543618452059361</v>
      </c>
      <c r="P117">
        <v>6.2901073087395223E-3</v>
      </c>
      <c r="Q117">
        <v>1.1781999999999999</v>
      </c>
      <c r="R117">
        <v>35048.386679999996</v>
      </c>
      <c r="S117" t="s">
        <v>19</v>
      </c>
      <c r="T117">
        <v>1.083</v>
      </c>
      <c r="U117">
        <v>32216.4342</v>
      </c>
      <c r="V117">
        <v>2831.9524799999963</v>
      </c>
      <c r="W117">
        <v>8.7903970452446786E-2</v>
      </c>
    </row>
    <row r="118" spans="1:23" x14ac:dyDescent="0.25">
      <c r="A118" t="s">
        <v>2853</v>
      </c>
      <c r="B118" t="s">
        <v>43</v>
      </c>
      <c r="C118" t="s">
        <v>215</v>
      </c>
      <c r="D118" t="s">
        <v>35</v>
      </c>
      <c r="E118" t="s">
        <v>152</v>
      </c>
      <c r="F118" s="1">
        <v>45961</v>
      </c>
      <c r="G118">
        <v>45991</v>
      </c>
      <c r="H118" t="s">
        <v>6</v>
      </c>
      <c r="I118">
        <v>930.63</v>
      </c>
      <c r="J118" t="s">
        <v>75</v>
      </c>
      <c r="K118" t="s">
        <v>2854</v>
      </c>
      <c r="L118">
        <v>30</v>
      </c>
      <c r="M118" t="s">
        <v>43</v>
      </c>
      <c r="N118">
        <v>1.1554</v>
      </c>
      <c r="O118">
        <v>1.3105716878402902</v>
      </c>
      <c r="P118">
        <v>6.4859099584596387E-3</v>
      </c>
      <c r="Q118">
        <v>1.1554</v>
      </c>
      <c r="R118">
        <v>1075.249902</v>
      </c>
      <c r="S118" t="s">
        <v>14</v>
      </c>
      <c r="T118">
        <v>1.1060000000000001</v>
      </c>
      <c r="U118">
        <v>1029.2767800000001</v>
      </c>
      <c r="V118">
        <v>45.973121999999876</v>
      </c>
      <c r="W118">
        <v>4.4665461121157199E-2</v>
      </c>
    </row>
    <row r="119" spans="1:23" x14ac:dyDescent="0.25">
      <c r="A119" t="s">
        <v>2851</v>
      </c>
      <c r="B119" t="s">
        <v>20</v>
      </c>
      <c r="C119" t="s">
        <v>123</v>
      </c>
      <c r="D119" t="s">
        <v>31</v>
      </c>
      <c r="E119" t="s">
        <v>124</v>
      </c>
      <c r="F119" s="1">
        <v>45871</v>
      </c>
      <c r="G119">
        <v>45916</v>
      </c>
      <c r="H119" t="s">
        <v>6</v>
      </c>
      <c r="I119">
        <v>28189.040000000001</v>
      </c>
      <c r="J119" t="s">
        <v>75</v>
      </c>
      <c r="K119" t="s">
        <v>2852</v>
      </c>
      <c r="L119">
        <v>45</v>
      </c>
      <c r="M119" t="s">
        <v>20</v>
      </c>
      <c r="N119">
        <v>1.1560999999999999</v>
      </c>
      <c r="O119">
        <v>1.3121098626716603</v>
      </c>
      <c r="P119">
        <v>6.5320074580484761E-3</v>
      </c>
      <c r="Q119">
        <v>1.1560999999999999</v>
      </c>
      <c r="R119">
        <v>32589.349144</v>
      </c>
      <c r="S119" t="s">
        <v>13</v>
      </c>
      <c r="T119">
        <v>1.0880000000000001</v>
      </c>
      <c r="U119">
        <v>30669.675520000004</v>
      </c>
      <c r="V119">
        <v>1919.6736239999955</v>
      </c>
      <c r="W119">
        <v>6.2591911764705729E-2</v>
      </c>
    </row>
    <row r="120" spans="1:23" x14ac:dyDescent="0.25">
      <c r="A120" t="s">
        <v>2849</v>
      </c>
      <c r="B120" t="s">
        <v>24</v>
      </c>
      <c r="C120" t="s">
        <v>73</v>
      </c>
      <c r="D120" t="s">
        <v>31</v>
      </c>
      <c r="E120" t="s">
        <v>74</v>
      </c>
      <c r="F120" s="1">
        <v>46351</v>
      </c>
      <c r="G120">
        <v>46381</v>
      </c>
      <c r="H120" t="s">
        <v>6</v>
      </c>
      <c r="I120">
        <v>41264.949999999997</v>
      </c>
      <c r="J120" t="s">
        <v>84</v>
      </c>
      <c r="K120" t="s">
        <v>2850</v>
      </c>
      <c r="L120">
        <v>30</v>
      </c>
      <c r="M120" t="s">
        <v>24</v>
      </c>
      <c r="N120">
        <v>1.1176999999999999</v>
      </c>
      <c r="O120">
        <v>1.320456022210408</v>
      </c>
      <c r="P120">
        <v>6.3200452360757699E-3</v>
      </c>
      <c r="Q120">
        <v>1.1176999999999999</v>
      </c>
      <c r="R120">
        <v>46121.834614999992</v>
      </c>
      <c r="S120" t="s">
        <v>23</v>
      </c>
      <c r="T120">
        <v>1.119</v>
      </c>
      <c r="U120">
        <v>46175.479049999994</v>
      </c>
      <c r="V120">
        <v>-53.644435000001977</v>
      </c>
      <c r="W120">
        <v>-1.161751563896379E-3</v>
      </c>
    </row>
    <row r="121" spans="1:23" x14ac:dyDescent="0.25">
      <c r="A121" t="s">
        <v>2847</v>
      </c>
      <c r="B121" t="s">
        <v>34</v>
      </c>
      <c r="C121" t="s">
        <v>177</v>
      </c>
      <c r="D121" t="s">
        <v>31</v>
      </c>
      <c r="E121" t="s">
        <v>74</v>
      </c>
      <c r="F121" s="1">
        <v>45890</v>
      </c>
      <c r="G121">
        <v>45950</v>
      </c>
      <c r="H121" t="s">
        <v>8</v>
      </c>
      <c r="I121">
        <v>11046.04</v>
      </c>
      <c r="J121" t="s">
        <v>75</v>
      </c>
      <c r="K121" t="s">
        <v>2848</v>
      </c>
      <c r="L121">
        <v>60</v>
      </c>
      <c r="M121" t="s">
        <v>34</v>
      </c>
      <c r="N121">
        <v>1.1638999999999999</v>
      </c>
      <c r="O121">
        <v>1.3449272012941993</v>
      </c>
      <c r="P121">
        <v>6.7633215178104474E-3</v>
      </c>
      <c r="Q121">
        <v>1.3449272012941993</v>
      </c>
      <c r="R121">
        <v>14856.119662583778</v>
      </c>
      <c r="S121" t="s">
        <v>13</v>
      </c>
      <c r="T121">
        <v>1.282</v>
      </c>
      <c r="U121">
        <v>14161.023280000001</v>
      </c>
      <c r="V121">
        <v>695.09638258377709</v>
      </c>
      <c r="W121">
        <v>4.9085180416692104E-2</v>
      </c>
    </row>
    <row r="122" spans="1:23" x14ac:dyDescent="0.25">
      <c r="A122" t="s">
        <v>2845</v>
      </c>
      <c r="B122" t="s">
        <v>32</v>
      </c>
      <c r="C122" t="s">
        <v>106</v>
      </c>
      <c r="D122" t="s">
        <v>31</v>
      </c>
      <c r="E122" t="s">
        <v>74</v>
      </c>
      <c r="F122" s="1">
        <v>46218</v>
      </c>
      <c r="G122">
        <v>46248</v>
      </c>
      <c r="H122" t="s">
        <v>6</v>
      </c>
      <c r="I122">
        <v>14943.11</v>
      </c>
      <c r="J122" t="s">
        <v>75</v>
      </c>
      <c r="K122" t="s">
        <v>2846</v>
      </c>
      <c r="L122">
        <v>30</v>
      </c>
      <c r="M122" t="s">
        <v>32</v>
      </c>
      <c r="N122">
        <v>1.1406000000000001</v>
      </c>
      <c r="O122">
        <v>1.3404157803814651</v>
      </c>
      <c r="P122">
        <v>6.1580822805312602E-3</v>
      </c>
      <c r="Q122">
        <v>1.1406000000000001</v>
      </c>
      <c r="R122">
        <v>17044.111266</v>
      </c>
      <c r="S122" t="s">
        <v>21</v>
      </c>
      <c r="T122">
        <v>1.101</v>
      </c>
      <c r="U122">
        <v>16452.364109999999</v>
      </c>
      <c r="V122">
        <v>591.74715600000127</v>
      </c>
      <c r="W122">
        <v>3.5967302452316156E-2</v>
      </c>
    </row>
    <row r="123" spans="1:23" x14ac:dyDescent="0.25">
      <c r="A123" t="s">
        <v>2843</v>
      </c>
      <c r="B123" t="s">
        <v>28</v>
      </c>
      <c r="C123" t="s">
        <v>111</v>
      </c>
      <c r="D123" t="s">
        <v>31</v>
      </c>
      <c r="E123" t="s">
        <v>74</v>
      </c>
      <c r="F123" s="1">
        <v>46071</v>
      </c>
      <c r="G123">
        <v>46116</v>
      </c>
      <c r="H123" t="s">
        <v>9</v>
      </c>
      <c r="I123">
        <v>2001849.18</v>
      </c>
      <c r="J123" t="s">
        <v>75</v>
      </c>
      <c r="K123" t="s">
        <v>2844</v>
      </c>
      <c r="L123">
        <v>45</v>
      </c>
      <c r="M123" t="s">
        <v>28</v>
      </c>
      <c r="N123">
        <v>1.1845000000000001</v>
      </c>
      <c r="O123">
        <v>1.3577487391104999</v>
      </c>
      <c r="P123">
        <v>6.5085993735919554E-3</v>
      </c>
      <c r="Q123">
        <v>6.5085993735919554E-3</v>
      </c>
      <c r="R123">
        <v>13029.234318973569</v>
      </c>
      <c r="S123" t="s">
        <v>16</v>
      </c>
      <c r="T123">
        <v>6.4599999999999996E-3</v>
      </c>
      <c r="U123">
        <v>12931.945702799998</v>
      </c>
      <c r="V123">
        <v>97.288616173571427</v>
      </c>
      <c r="W123">
        <v>7.523122847052064E-3</v>
      </c>
    </row>
    <row r="124" spans="1:23" x14ac:dyDescent="0.25">
      <c r="A124" t="s">
        <v>2841</v>
      </c>
      <c r="B124" t="s">
        <v>22</v>
      </c>
      <c r="C124" t="s">
        <v>127</v>
      </c>
      <c r="D124" t="s">
        <v>31</v>
      </c>
      <c r="E124" t="s">
        <v>124</v>
      </c>
      <c r="F124" s="1">
        <v>45843</v>
      </c>
      <c r="G124">
        <v>45903</v>
      </c>
      <c r="H124" t="s">
        <v>9</v>
      </c>
      <c r="I124">
        <v>10407117.34</v>
      </c>
      <c r="J124" t="s">
        <v>75</v>
      </c>
      <c r="K124" t="s">
        <v>2842</v>
      </c>
      <c r="L124">
        <v>60</v>
      </c>
      <c r="M124" t="s">
        <v>22</v>
      </c>
      <c r="N124">
        <v>1.1740999999999999</v>
      </c>
      <c r="O124">
        <v>1.344286695672086</v>
      </c>
      <c r="P124">
        <v>6.7570211786372007E-3</v>
      </c>
      <c r="Q124">
        <v>6.7570211786372007E-3</v>
      </c>
      <c r="R124">
        <v>70321.112274942454</v>
      </c>
      <c r="S124" t="s">
        <v>13</v>
      </c>
      <c r="T124">
        <v>6.8399999999999997E-3</v>
      </c>
      <c r="U124">
        <v>71184.682605599999</v>
      </c>
      <c r="V124">
        <v>-863.57033065754513</v>
      </c>
      <c r="W124">
        <v>-1.2131406631988119E-2</v>
      </c>
    </row>
    <row r="125" spans="1:23" x14ac:dyDescent="0.25">
      <c r="A125" t="s">
        <v>2839</v>
      </c>
      <c r="B125" t="s">
        <v>24</v>
      </c>
      <c r="C125" t="s">
        <v>73</v>
      </c>
      <c r="D125" t="s">
        <v>31</v>
      </c>
      <c r="E125" t="s">
        <v>74</v>
      </c>
      <c r="F125" s="1">
        <v>46278</v>
      </c>
      <c r="G125">
        <v>46308</v>
      </c>
      <c r="H125" t="s">
        <v>6</v>
      </c>
      <c r="I125">
        <v>47346.65</v>
      </c>
      <c r="J125" t="s">
        <v>75</v>
      </c>
      <c r="K125" t="s">
        <v>2840</v>
      </c>
      <c r="L125">
        <v>30</v>
      </c>
      <c r="M125" t="s">
        <v>24</v>
      </c>
      <c r="N125">
        <v>1.1592</v>
      </c>
      <c r="O125">
        <v>1.3508127949659152</v>
      </c>
      <c r="P125">
        <v>6.4919354838709675E-3</v>
      </c>
      <c r="Q125">
        <v>1.1592</v>
      </c>
      <c r="R125">
        <v>54884.236680000002</v>
      </c>
      <c r="S125" t="s">
        <v>21</v>
      </c>
      <c r="T125">
        <v>1.101</v>
      </c>
      <c r="U125">
        <v>52128.661650000002</v>
      </c>
      <c r="V125">
        <v>2755.57503</v>
      </c>
      <c r="W125">
        <v>5.2861035422343321E-2</v>
      </c>
    </row>
    <row r="126" spans="1:23" x14ac:dyDescent="0.25">
      <c r="A126" t="s">
        <v>2837</v>
      </c>
      <c r="B126" t="s">
        <v>44</v>
      </c>
      <c r="C126" t="s">
        <v>138</v>
      </c>
      <c r="D126" t="s">
        <v>33</v>
      </c>
      <c r="E126" t="s">
        <v>88</v>
      </c>
      <c r="F126" s="1">
        <v>45827</v>
      </c>
      <c r="G126">
        <v>45872</v>
      </c>
      <c r="H126" t="s">
        <v>9</v>
      </c>
      <c r="I126">
        <v>547878.89</v>
      </c>
      <c r="J126" t="s">
        <v>75</v>
      </c>
      <c r="K126" t="s">
        <v>2838</v>
      </c>
      <c r="L126">
        <v>45</v>
      </c>
      <c r="M126" t="s">
        <v>44</v>
      </c>
      <c r="N126">
        <v>1.1477999999999999</v>
      </c>
      <c r="O126">
        <v>1.3438707411310151</v>
      </c>
      <c r="P126">
        <v>6.8648325358851674E-3</v>
      </c>
      <c r="Q126">
        <v>6.8648325358851674E-3</v>
      </c>
      <c r="R126">
        <v>3761.0968297966506</v>
      </c>
      <c r="S126" t="s">
        <v>12</v>
      </c>
      <c r="T126">
        <v>6.7000000000000002E-3</v>
      </c>
      <c r="U126">
        <v>3670.7885630000001</v>
      </c>
      <c r="V126">
        <v>90.308266796650514</v>
      </c>
      <c r="W126">
        <v>2.460187102763688E-2</v>
      </c>
    </row>
    <row r="127" spans="1:23" x14ac:dyDescent="0.25">
      <c r="A127" t="s">
        <v>2835</v>
      </c>
      <c r="B127" t="s">
        <v>20</v>
      </c>
      <c r="C127" t="s">
        <v>123</v>
      </c>
      <c r="D127" t="s">
        <v>31</v>
      </c>
      <c r="E127" t="s">
        <v>124</v>
      </c>
      <c r="F127" s="1">
        <v>46001</v>
      </c>
      <c r="G127">
        <v>46046</v>
      </c>
      <c r="H127" t="s">
        <v>6</v>
      </c>
      <c r="I127">
        <v>68444.25</v>
      </c>
      <c r="J127" t="s">
        <v>75</v>
      </c>
      <c r="K127" t="s">
        <v>2836</v>
      </c>
      <c r="L127">
        <v>45</v>
      </c>
      <c r="M127" t="s">
        <v>20</v>
      </c>
      <c r="N127">
        <v>1.1634</v>
      </c>
      <c r="O127">
        <v>1.3309689966823017</v>
      </c>
      <c r="P127">
        <v>6.3810881965774462E-3</v>
      </c>
      <c r="Q127">
        <v>1.1634</v>
      </c>
      <c r="R127">
        <v>79628.04045</v>
      </c>
      <c r="S127" t="s">
        <v>14</v>
      </c>
      <c r="T127">
        <v>1.1060000000000001</v>
      </c>
      <c r="U127">
        <v>75699.340500000006</v>
      </c>
      <c r="V127">
        <v>3928.6999499999947</v>
      </c>
      <c r="W127">
        <v>5.189873417721512E-2</v>
      </c>
    </row>
    <row r="128" spans="1:23" x14ac:dyDescent="0.25">
      <c r="A128" t="s">
        <v>2833</v>
      </c>
      <c r="B128" t="s">
        <v>44</v>
      </c>
      <c r="C128" t="s">
        <v>138</v>
      </c>
      <c r="D128" t="s">
        <v>33</v>
      </c>
      <c r="E128" t="s">
        <v>88</v>
      </c>
      <c r="F128" s="1">
        <v>45859</v>
      </c>
      <c r="G128">
        <v>45904</v>
      </c>
      <c r="H128" t="s">
        <v>9</v>
      </c>
      <c r="I128">
        <v>1474479.32</v>
      </c>
      <c r="J128" t="s">
        <v>75</v>
      </c>
      <c r="K128" t="s">
        <v>2834</v>
      </c>
      <c r="L128">
        <v>45</v>
      </c>
      <c r="M128" t="s">
        <v>44</v>
      </c>
      <c r="N128">
        <v>1.1667000000000001</v>
      </c>
      <c r="O128">
        <v>1.3478512014787432</v>
      </c>
      <c r="P128">
        <v>6.7823508894314611E-3</v>
      </c>
      <c r="Q128">
        <v>6.7823508894314611E-3</v>
      </c>
      <c r="R128">
        <v>10000.436127450297</v>
      </c>
      <c r="S128" t="s">
        <v>13</v>
      </c>
      <c r="T128">
        <v>6.8399999999999997E-3</v>
      </c>
      <c r="U128">
        <v>10085.438548800001</v>
      </c>
      <c r="V128">
        <v>-85.002421349703582</v>
      </c>
      <c r="W128">
        <v>-8.4282325392600263E-3</v>
      </c>
    </row>
    <row r="129" spans="1:23" x14ac:dyDescent="0.25">
      <c r="A129" t="s">
        <v>2831</v>
      </c>
      <c r="B129" t="s">
        <v>22</v>
      </c>
      <c r="C129" t="s">
        <v>127</v>
      </c>
      <c r="D129" t="s">
        <v>31</v>
      </c>
      <c r="E129" t="s">
        <v>124</v>
      </c>
      <c r="F129" s="1">
        <v>46164</v>
      </c>
      <c r="G129">
        <v>46224</v>
      </c>
      <c r="H129" t="s">
        <v>9</v>
      </c>
      <c r="I129">
        <v>8764087.6300000008</v>
      </c>
      <c r="J129" t="s">
        <v>75</v>
      </c>
      <c r="K129" t="s">
        <v>2832</v>
      </c>
      <c r="L129">
        <v>60</v>
      </c>
      <c r="M129" t="s">
        <v>22</v>
      </c>
      <c r="N129">
        <v>1.1595</v>
      </c>
      <c r="O129">
        <v>1.3417343608970353</v>
      </c>
      <c r="P129">
        <v>6.2835311331490814E-3</v>
      </c>
      <c r="Q129">
        <v>6.2835311331490814E-3</v>
      </c>
      <c r="R129">
        <v>55069.417476751754</v>
      </c>
      <c r="S129" t="s">
        <v>19</v>
      </c>
      <c r="T129">
        <v>6.6E-3</v>
      </c>
      <c r="U129">
        <v>57842.978358000008</v>
      </c>
      <c r="V129">
        <v>-2773.5608812482533</v>
      </c>
      <c r="W129">
        <v>-4.7949828310745242E-2</v>
      </c>
    </row>
    <row r="130" spans="1:23" x14ac:dyDescent="0.25">
      <c r="A130" t="s">
        <v>2828</v>
      </c>
      <c r="B130" t="s">
        <v>32</v>
      </c>
      <c r="C130" t="s">
        <v>106</v>
      </c>
      <c r="D130" t="s">
        <v>31</v>
      </c>
      <c r="E130" t="s">
        <v>74</v>
      </c>
      <c r="F130" s="1">
        <v>45968</v>
      </c>
      <c r="G130">
        <v>45998</v>
      </c>
      <c r="H130" t="s">
        <v>6</v>
      </c>
      <c r="I130">
        <v>9627.0499999999993</v>
      </c>
      <c r="J130" t="s">
        <v>75</v>
      </c>
      <c r="K130" t="s">
        <v>2829</v>
      </c>
      <c r="L130">
        <v>30</v>
      </c>
      <c r="M130" t="s">
        <v>32</v>
      </c>
      <c r="N130">
        <v>1.1560999999999999</v>
      </c>
      <c r="O130">
        <v>1.3121098626716603</v>
      </c>
      <c r="P130">
        <v>6.5320074580484761E-3</v>
      </c>
      <c r="Q130">
        <v>1.1560999999999999</v>
      </c>
      <c r="R130">
        <v>11129.832504999998</v>
      </c>
      <c r="S130" t="s">
        <v>14</v>
      </c>
      <c r="T130">
        <v>1.1060000000000001</v>
      </c>
      <c r="U130">
        <v>10647.5173</v>
      </c>
      <c r="V130">
        <v>482.31520499999897</v>
      </c>
      <c r="W130">
        <v>4.5298372513562293E-2</v>
      </c>
    </row>
    <row r="131" spans="1:23" x14ac:dyDescent="0.25">
      <c r="A131" t="s">
        <v>2828</v>
      </c>
      <c r="B131" t="s">
        <v>20</v>
      </c>
      <c r="C131" t="s">
        <v>123</v>
      </c>
      <c r="D131" t="s">
        <v>31</v>
      </c>
      <c r="E131" t="s">
        <v>124</v>
      </c>
      <c r="F131" s="1">
        <v>46204</v>
      </c>
      <c r="G131">
        <v>46249</v>
      </c>
      <c r="H131" t="s">
        <v>6</v>
      </c>
      <c r="I131">
        <v>60070.79</v>
      </c>
      <c r="J131" t="s">
        <v>75</v>
      </c>
      <c r="K131" t="s">
        <v>2830</v>
      </c>
      <c r="L131">
        <v>45</v>
      </c>
      <c r="M131" t="s">
        <v>20</v>
      </c>
      <c r="N131">
        <v>1.1383000000000001</v>
      </c>
      <c r="O131">
        <v>1.3240203319646866</v>
      </c>
      <c r="P131">
        <v>6.145996436477512E-3</v>
      </c>
      <c r="Q131">
        <v>1.1383000000000001</v>
      </c>
      <c r="R131">
        <v>68378.580257000009</v>
      </c>
      <c r="S131" t="s">
        <v>21</v>
      </c>
      <c r="T131">
        <v>1.101</v>
      </c>
      <c r="U131">
        <v>66137.939790000004</v>
      </c>
      <c r="V131">
        <v>2240.6404670000047</v>
      </c>
      <c r="W131">
        <v>3.3878292461398798E-2</v>
      </c>
    </row>
    <row r="132" spans="1:23" x14ac:dyDescent="0.25">
      <c r="A132" t="s">
        <v>2826</v>
      </c>
      <c r="B132" t="s">
        <v>36</v>
      </c>
      <c r="C132" t="s">
        <v>116</v>
      </c>
      <c r="D132" t="s">
        <v>31</v>
      </c>
      <c r="E132" t="s">
        <v>74</v>
      </c>
      <c r="F132" s="1">
        <v>46362</v>
      </c>
      <c r="G132">
        <v>46407</v>
      </c>
      <c r="H132" t="s">
        <v>6</v>
      </c>
      <c r="I132">
        <v>15572.88</v>
      </c>
      <c r="J132" t="s">
        <v>84</v>
      </c>
      <c r="K132" t="s">
        <v>2827</v>
      </c>
      <c r="L132">
        <v>45</v>
      </c>
      <c r="M132" t="s">
        <v>36</v>
      </c>
      <c r="N132">
        <v>1.1176999999999999</v>
      </c>
      <c r="O132">
        <v>1.320456022210408</v>
      </c>
      <c r="P132">
        <v>6.3200452360757699E-3</v>
      </c>
      <c r="Q132">
        <v>1.1176999999999999</v>
      </c>
      <c r="R132">
        <v>17405.807975999996</v>
      </c>
      <c r="S132" t="s">
        <v>23</v>
      </c>
      <c r="T132">
        <v>1.119</v>
      </c>
      <c r="U132">
        <v>17426.05272</v>
      </c>
      <c r="V132">
        <v>-20.244744000003266</v>
      </c>
      <c r="W132">
        <v>-1.1617515638965234E-3</v>
      </c>
    </row>
    <row r="133" spans="1:23" x14ac:dyDescent="0.25">
      <c r="A133" t="s">
        <v>2824</v>
      </c>
      <c r="B133" t="s">
        <v>26</v>
      </c>
      <c r="C133" t="s">
        <v>94</v>
      </c>
      <c r="D133" t="s">
        <v>31</v>
      </c>
      <c r="E133" t="s">
        <v>74</v>
      </c>
      <c r="F133" s="1">
        <v>45896</v>
      </c>
      <c r="G133">
        <v>45926</v>
      </c>
      <c r="H133" t="s">
        <v>8</v>
      </c>
      <c r="I133">
        <v>21323.66</v>
      </c>
      <c r="J133" t="s">
        <v>75</v>
      </c>
      <c r="K133" t="s">
        <v>2825</v>
      </c>
      <c r="L133">
        <v>30</v>
      </c>
      <c r="M133" t="s">
        <v>26</v>
      </c>
      <c r="N133">
        <v>1.1593</v>
      </c>
      <c r="O133">
        <v>1.3439601205657314</v>
      </c>
      <c r="P133">
        <v>6.7546466235506612E-3</v>
      </c>
      <c r="Q133">
        <v>1.3439601205657314</v>
      </c>
      <c r="R133">
        <v>28658.148664502663</v>
      </c>
      <c r="S133" t="s">
        <v>13</v>
      </c>
      <c r="T133">
        <v>1.282</v>
      </c>
      <c r="U133">
        <v>27336.932120000001</v>
      </c>
      <c r="V133">
        <v>1321.2165445026621</v>
      </c>
      <c r="W133">
        <v>4.8330827274361395E-2</v>
      </c>
    </row>
    <row r="134" spans="1:23" x14ac:dyDescent="0.25">
      <c r="A134" t="s">
        <v>2822</v>
      </c>
      <c r="B134" t="s">
        <v>38</v>
      </c>
      <c r="C134" t="s">
        <v>87</v>
      </c>
      <c r="D134" t="s">
        <v>33</v>
      </c>
      <c r="E134" t="s">
        <v>88</v>
      </c>
      <c r="F134" s="1">
        <v>46227</v>
      </c>
      <c r="G134">
        <v>46257</v>
      </c>
      <c r="H134" t="s">
        <v>6</v>
      </c>
      <c r="I134">
        <v>13202.92</v>
      </c>
      <c r="J134" t="s">
        <v>75</v>
      </c>
      <c r="K134" t="s">
        <v>2823</v>
      </c>
      <c r="L134">
        <v>30</v>
      </c>
      <c r="M134" t="s">
        <v>38</v>
      </c>
      <c r="N134">
        <v>1.1376999999999999</v>
      </c>
      <c r="O134">
        <v>1.3323886260364455</v>
      </c>
      <c r="P134">
        <v>6.1041957291554884E-3</v>
      </c>
      <c r="Q134">
        <v>1.1376999999999999</v>
      </c>
      <c r="R134">
        <v>15020.962083999999</v>
      </c>
      <c r="S134" t="s">
        <v>21</v>
      </c>
      <c r="T134">
        <v>1.101</v>
      </c>
      <c r="U134">
        <v>14536.414919999999</v>
      </c>
      <c r="V134">
        <v>484.54716399999961</v>
      </c>
      <c r="W134">
        <v>3.3333333333333305E-2</v>
      </c>
    </row>
    <row r="135" spans="1:23" x14ac:dyDescent="0.25">
      <c r="A135" t="s">
        <v>2820</v>
      </c>
      <c r="B135" t="s">
        <v>32</v>
      </c>
      <c r="C135" t="s">
        <v>106</v>
      </c>
      <c r="D135" t="s">
        <v>31</v>
      </c>
      <c r="E135" t="s">
        <v>74</v>
      </c>
      <c r="F135" s="1">
        <v>45729</v>
      </c>
      <c r="G135">
        <v>45759</v>
      </c>
      <c r="H135" t="s">
        <v>6</v>
      </c>
      <c r="I135">
        <v>3092.68</v>
      </c>
      <c r="J135" t="s">
        <v>75</v>
      </c>
      <c r="K135" t="s">
        <v>2821</v>
      </c>
      <c r="L135">
        <v>30</v>
      </c>
      <c r="M135" t="s">
        <v>32</v>
      </c>
      <c r="N135">
        <v>1.083</v>
      </c>
      <c r="O135">
        <v>1.2927021413736304</v>
      </c>
      <c r="P135">
        <v>6.741782868525897E-3</v>
      </c>
      <c r="Q135">
        <v>1.083</v>
      </c>
      <c r="R135">
        <v>3349.3724399999996</v>
      </c>
      <c r="S135" t="s">
        <v>11</v>
      </c>
      <c r="T135">
        <v>1.052</v>
      </c>
      <c r="U135">
        <v>3253.4993599999998</v>
      </c>
      <c r="V135">
        <v>95.873079999999845</v>
      </c>
      <c r="W135">
        <v>2.9467680608364973E-2</v>
      </c>
    </row>
    <row r="136" spans="1:23" x14ac:dyDescent="0.25">
      <c r="A136" t="s">
        <v>2818</v>
      </c>
      <c r="B136" t="s">
        <v>37</v>
      </c>
      <c r="C136" t="s">
        <v>91</v>
      </c>
      <c r="D136" t="s">
        <v>31</v>
      </c>
      <c r="E136" t="s">
        <v>74</v>
      </c>
      <c r="F136" s="1">
        <v>45935</v>
      </c>
      <c r="G136">
        <v>45965</v>
      </c>
      <c r="H136" t="s">
        <v>6</v>
      </c>
      <c r="I136">
        <v>6796.72</v>
      </c>
      <c r="J136" t="s">
        <v>75</v>
      </c>
      <c r="K136" t="s">
        <v>2819</v>
      </c>
      <c r="L136">
        <v>30</v>
      </c>
      <c r="M136" t="s">
        <v>37</v>
      </c>
      <c r="N136">
        <v>1.1894</v>
      </c>
      <c r="O136">
        <v>1.3679125934445082</v>
      </c>
      <c r="P136">
        <v>6.4462630751720776E-3</v>
      </c>
      <c r="Q136">
        <v>1.1894</v>
      </c>
      <c r="R136">
        <v>8084.0187680000008</v>
      </c>
      <c r="S136" t="s">
        <v>14</v>
      </c>
      <c r="T136">
        <v>1.1060000000000001</v>
      </c>
      <c r="U136">
        <v>7517.1723200000006</v>
      </c>
      <c r="V136">
        <v>566.84644800000024</v>
      </c>
      <c r="W136">
        <v>7.5406871609403278E-2</v>
      </c>
    </row>
    <row r="137" spans="1:23" x14ac:dyDescent="0.25">
      <c r="A137" t="s">
        <v>2816</v>
      </c>
      <c r="B137" t="s">
        <v>37</v>
      </c>
      <c r="C137" t="s">
        <v>91</v>
      </c>
      <c r="D137" t="s">
        <v>31</v>
      </c>
      <c r="E137" t="s">
        <v>74</v>
      </c>
      <c r="F137" s="1">
        <v>45960</v>
      </c>
      <c r="G137">
        <v>45990</v>
      </c>
      <c r="H137" t="s">
        <v>6</v>
      </c>
      <c r="I137">
        <v>19129.57</v>
      </c>
      <c r="J137" t="s">
        <v>75</v>
      </c>
      <c r="K137" t="s">
        <v>2817</v>
      </c>
      <c r="L137">
        <v>30</v>
      </c>
      <c r="M137" t="s">
        <v>37</v>
      </c>
      <c r="N137">
        <v>1.155</v>
      </c>
      <c r="O137">
        <v>1.312350869219407</v>
      </c>
      <c r="P137">
        <v>6.4753041430733868E-3</v>
      </c>
      <c r="Q137">
        <v>1.155</v>
      </c>
      <c r="R137">
        <v>22094.653350000001</v>
      </c>
      <c r="S137" t="s">
        <v>14</v>
      </c>
      <c r="T137">
        <v>1.1060000000000001</v>
      </c>
      <c r="U137">
        <v>21157.30442</v>
      </c>
      <c r="V137">
        <v>937.34893000000011</v>
      </c>
      <c r="W137">
        <v>4.4303797468354437E-2</v>
      </c>
    </row>
    <row r="138" spans="1:23" x14ac:dyDescent="0.25">
      <c r="A138" t="s">
        <v>2814</v>
      </c>
      <c r="B138" t="s">
        <v>28</v>
      </c>
      <c r="C138" t="s">
        <v>111</v>
      </c>
      <c r="D138" t="s">
        <v>31</v>
      </c>
      <c r="E138" t="s">
        <v>74</v>
      </c>
      <c r="F138" s="1">
        <v>45793</v>
      </c>
      <c r="G138">
        <v>45838</v>
      </c>
      <c r="H138" t="s">
        <v>9</v>
      </c>
      <c r="I138">
        <v>5373251.3700000001</v>
      </c>
      <c r="J138" t="s">
        <v>75</v>
      </c>
      <c r="K138" t="s">
        <v>2815</v>
      </c>
      <c r="L138">
        <v>45</v>
      </c>
      <c r="M138" t="s">
        <v>28</v>
      </c>
      <c r="N138">
        <v>1.1194</v>
      </c>
      <c r="O138">
        <v>1.3283493532692536</v>
      </c>
      <c r="P138">
        <v>6.8653787181846048E-3</v>
      </c>
      <c r="Q138">
        <v>6.8653787181846048E-3</v>
      </c>
      <c r="R138">
        <v>36889.405603054271</v>
      </c>
      <c r="S138" t="s">
        <v>12</v>
      </c>
      <c r="T138">
        <v>6.7000000000000002E-3</v>
      </c>
      <c r="U138">
        <v>36000.784179000002</v>
      </c>
      <c r="V138">
        <v>888.62142405426857</v>
      </c>
      <c r="W138">
        <v>2.4683390773821524E-2</v>
      </c>
    </row>
    <row r="139" spans="1:23" x14ac:dyDescent="0.25">
      <c r="A139" t="s">
        <v>2812</v>
      </c>
      <c r="B139" t="s">
        <v>39</v>
      </c>
      <c r="C139" t="s">
        <v>82</v>
      </c>
      <c r="D139" t="s">
        <v>33</v>
      </c>
      <c r="E139" t="s">
        <v>83</v>
      </c>
      <c r="F139" s="1">
        <v>46073</v>
      </c>
      <c r="G139">
        <v>46118</v>
      </c>
      <c r="H139" t="s">
        <v>8</v>
      </c>
      <c r="I139">
        <v>7987.06</v>
      </c>
      <c r="J139" t="s">
        <v>75</v>
      </c>
      <c r="K139" t="s">
        <v>2813</v>
      </c>
      <c r="L139">
        <v>45</v>
      </c>
      <c r="M139" t="s">
        <v>39</v>
      </c>
      <c r="N139">
        <v>1.1767000000000001</v>
      </c>
      <c r="O139">
        <v>1.3481897341888176</v>
      </c>
      <c r="P139">
        <v>6.4430816404752785E-3</v>
      </c>
      <c r="Q139">
        <v>1.3481897341888176</v>
      </c>
      <c r="R139">
        <v>10768.072298350138</v>
      </c>
      <c r="S139" t="s">
        <v>16</v>
      </c>
      <c r="T139">
        <v>1.2490000000000001</v>
      </c>
      <c r="U139">
        <v>9975.8379400000013</v>
      </c>
      <c r="V139">
        <v>792.23435835013697</v>
      </c>
      <c r="W139">
        <v>7.9415319606739407E-2</v>
      </c>
    </row>
    <row r="140" spans="1:23" x14ac:dyDescent="0.25">
      <c r="A140" t="s">
        <v>2810</v>
      </c>
      <c r="B140" t="s">
        <v>34</v>
      </c>
      <c r="C140" t="s">
        <v>177</v>
      </c>
      <c r="D140" t="s">
        <v>31</v>
      </c>
      <c r="E140" t="s">
        <v>74</v>
      </c>
      <c r="F140" s="1">
        <v>46014</v>
      </c>
      <c r="G140">
        <v>46074</v>
      </c>
      <c r="H140" t="s">
        <v>8</v>
      </c>
      <c r="I140">
        <v>20181.57</v>
      </c>
      <c r="J140" t="s">
        <v>75</v>
      </c>
      <c r="K140" t="s">
        <v>2811</v>
      </c>
      <c r="L140">
        <v>60</v>
      </c>
      <c r="M140" t="s">
        <v>34</v>
      </c>
      <c r="N140">
        <v>1.1786000000000001</v>
      </c>
      <c r="O140">
        <v>1.3502119372207584</v>
      </c>
      <c r="P140">
        <v>6.4092664092664101E-3</v>
      </c>
      <c r="Q140">
        <v>1.3502119372207584</v>
      </c>
      <c r="R140">
        <v>27249.396725856339</v>
      </c>
      <c r="S140" t="s">
        <v>14</v>
      </c>
      <c r="T140">
        <v>1.304</v>
      </c>
      <c r="U140">
        <v>26316.76728</v>
      </c>
      <c r="V140">
        <v>932.62944585633886</v>
      </c>
      <c r="W140">
        <v>3.5438602163158195E-2</v>
      </c>
    </row>
    <row r="141" spans="1:23" x14ac:dyDescent="0.25">
      <c r="A141" t="s">
        <v>2808</v>
      </c>
      <c r="B141" t="s">
        <v>44</v>
      </c>
      <c r="C141" t="s">
        <v>138</v>
      </c>
      <c r="D141" t="s">
        <v>33</v>
      </c>
      <c r="E141" t="s">
        <v>88</v>
      </c>
      <c r="F141" s="1">
        <v>45932</v>
      </c>
      <c r="G141">
        <v>45977</v>
      </c>
      <c r="H141" t="s">
        <v>9</v>
      </c>
      <c r="I141">
        <v>612364.47</v>
      </c>
      <c r="J141" t="s">
        <v>75</v>
      </c>
      <c r="K141" t="s">
        <v>2809</v>
      </c>
      <c r="L141">
        <v>45</v>
      </c>
      <c r="M141" t="s">
        <v>44</v>
      </c>
      <c r="N141">
        <v>1.1754</v>
      </c>
      <c r="O141">
        <v>1.3477812177502579</v>
      </c>
      <c r="P141">
        <v>6.8127282211789255E-3</v>
      </c>
      <c r="Q141">
        <v>6.8127282211789255E-3</v>
      </c>
      <c r="R141">
        <v>4171.8727064162749</v>
      </c>
      <c r="S141" t="s">
        <v>14</v>
      </c>
      <c r="T141">
        <v>6.9800000000000001E-3</v>
      </c>
      <c r="U141">
        <v>4274.3040006000001</v>
      </c>
      <c r="V141">
        <v>-102.43129418372519</v>
      </c>
      <c r="W141">
        <v>-2.3964438226515127E-2</v>
      </c>
    </row>
    <row r="142" spans="1:23" x14ac:dyDescent="0.25">
      <c r="A142" t="s">
        <v>2806</v>
      </c>
      <c r="B142" t="s">
        <v>24</v>
      </c>
      <c r="C142" t="s">
        <v>73</v>
      </c>
      <c r="D142" t="s">
        <v>31</v>
      </c>
      <c r="E142" t="s">
        <v>806</v>
      </c>
      <c r="F142" s="1">
        <v>45827</v>
      </c>
      <c r="G142">
        <v>45857</v>
      </c>
      <c r="H142" t="s">
        <v>6</v>
      </c>
      <c r="I142">
        <v>11620.08</v>
      </c>
      <c r="J142" t="s">
        <v>75</v>
      </c>
      <c r="K142" t="s">
        <v>2807</v>
      </c>
      <c r="L142">
        <v>30</v>
      </c>
      <c r="M142" t="s">
        <v>24</v>
      </c>
      <c r="N142">
        <v>1.1477999999999999</v>
      </c>
      <c r="O142">
        <v>1.3438707411310151</v>
      </c>
      <c r="P142">
        <v>6.8648325358851674E-3</v>
      </c>
      <c r="Q142">
        <v>1.1477999999999999</v>
      </c>
      <c r="R142">
        <v>13337.527823999999</v>
      </c>
      <c r="S142" t="s">
        <v>12</v>
      </c>
      <c r="T142">
        <v>1.07</v>
      </c>
      <c r="U142">
        <v>12433.4856</v>
      </c>
      <c r="V142">
        <v>904.0422239999989</v>
      </c>
      <c r="W142">
        <v>7.271028037383169E-2</v>
      </c>
    </row>
    <row r="143" spans="1:23" x14ac:dyDescent="0.25">
      <c r="A143" t="s">
        <v>2804</v>
      </c>
      <c r="B143" t="s">
        <v>20</v>
      </c>
      <c r="C143" t="s">
        <v>123</v>
      </c>
      <c r="D143" t="s">
        <v>31</v>
      </c>
      <c r="E143" t="s">
        <v>124</v>
      </c>
      <c r="F143" s="1">
        <v>46297</v>
      </c>
      <c r="G143">
        <v>46342</v>
      </c>
      <c r="H143" t="s">
        <v>6</v>
      </c>
      <c r="I143">
        <v>33775.1</v>
      </c>
      <c r="J143" t="s">
        <v>84</v>
      </c>
      <c r="K143" t="s">
        <v>2805</v>
      </c>
      <c r="L143">
        <v>45</v>
      </c>
      <c r="M143" t="s">
        <v>20</v>
      </c>
      <c r="N143">
        <v>1.1225000000000001</v>
      </c>
      <c r="O143">
        <v>1.3200757353027648</v>
      </c>
      <c r="P143">
        <v>6.3421662240804562E-3</v>
      </c>
      <c r="Q143">
        <v>1.1225000000000001</v>
      </c>
      <c r="R143">
        <v>37912.549749999998</v>
      </c>
      <c r="S143" t="s">
        <v>23</v>
      </c>
      <c r="T143">
        <v>1.119</v>
      </c>
      <c r="U143">
        <v>37794.336899999995</v>
      </c>
      <c r="V143">
        <v>118.21285000000353</v>
      </c>
      <c r="W143">
        <v>3.1277926720286908E-3</v>
      </c>
    </row>
    <row r="144" spans="1:23" x14ac:dyDescent="0.25">
      <c r="A144" t="s">
        <v>2802</v>
      </c>
      <c r="B144" t="s">
        <v>32</v>
      </c>
      <c r="C144" t="s">
        <v>106</v>
      </c>
      <c r="D144" t="s">
        <v>31</v>
      </c>
      <c r="E144" t="s">
        <v>74</v>
      </c>
      <c r="F144" s="1">
        <v>46237</v>
      </c>
      <c r="G144">
        <v>46267</v>
      </c>
      <c r="H144" t="s">
        <v>6</v>
      </c>
      <c r="I144">
        <v>33582.42</v>
      </c>
      <c r="J144" t="s">
        <v>75</v>
      </c>
      <c r="K144" t="s">
        <v>2803</v>
      </c>
      <c r="L144">
        <v>30</v>
      </c>
      <c r="M144" t="s">
        <v>32</v>
      </c>
      <c r="N144">
        <v>1.1535</v>
      </c>
      <c r="O144">
        <v>1.3470274310137447</v>
      </c>
      <c r="P144">
        <v>6.3824489570076916E-3</v>
      </c>
      <c r="Q144">
        <v>1.1535</v>
      </c>
      <c r="R144">
        <v>38737.321469999995</v>
      </c>
      <c r="S144" t="s">
        <v>21</v>
      </c>
      <c r="T144">
        <v>1.101</v>
      </c>
      <c r="U144">
        <v>36974.244419999995</v>
      </c>
      <c r="V144">
        <v>1763.0770499999999</v>
      </c>
      <c r="W144">
        <v>4.7683923705722074E-2</v>
      </c>
    </row>
    <row r="145" spans="1:23" x14ac:dyDescent="0.25">
      <c r="A145" t="s">
        <v>2800</v>
      </c>
      <c r="B145" t="s">
        <v>39</v>
      </c>
      <c r="C145" t="s">
        <v>82</v>
      </c>
      <c r="D145" t="s">
        <v>33</v>
      </c>
      <c r="E145" t="s">
        <v>83</v>
      </c>
      <c r="F145" s="1">
        <v>46309</v>
      </c>
      <c r="G145">
        <v>46354</v>
      </c>
      <c r="H145" t="s">
        <v>8</v>
      </c>
      <c r="I145">
        <v>6849.42</v>
      </c>
      <c r="J145" t="s">
        <v>84</v>
      </c>
      <c r="K145" t="s">
        <v>2801</v>
      </c>
      <c r="L145">
        <v>45</v>
      </c>
      <c r="M145" t="s">
        <v>39</v>
      </c>
      <c r="N145">
        <v>1.1176999999999999</v>
      </c>
      <c r="O145">
        <v>1.320456022210408</v>
      </c>
      <c r="P145">
        <v>6.3200452360757699E-3</v>
      </c>
      <c r="Q145">
        <v>1.320456022210408</v>
      </c>
      <c r="R145">
        <v>9044.3578876484135</v>
      </c>
      <c r="S145" t="s">
        <v>23</v>
      </c>
      <c r="T145">
        <v>1.3149999999999999</v>
      </c>
      <c r="U145">
        <v>9006.9872999999989</v>
      </c>
      <c r="V145">
        <v>37.370587648414585</v>
      </c>
      <c r="W145">
        <v>4.1490663197021041E-3</v>
      </c>
    </row>
    <row r="146" spans="1:23" x14ac:dyDescent="0.25">
      <c r="A146" t="s">
        <v>2798</v>
      </c>
      <c r="B146" t="s">
        <v>34</v>
      </c>
      <c r="C146" t="s">
        <v>177</v>
      </c>
      <c r="D146" t="s">
        <v>31</v>
      </c>
      <c r="E146" t="s">
        <v>74</v>
      </c>
      <c r="F146" s="1">
        <v>45704</v>
      </c>
      <c r="G146">
        <v>45764</v>
      </c>
      <c r="H146" t="s">
        <v>8</v>
      </c>
      <c r="I146">
        <v>16382.19</v>
      </c>
      <c r="J146" t="s">
        <v>75</v>
      </c>
      <c r="K146" t="s">
        <v>2799</v>
      </c>
      <c r="L146">
        <v>60</v>
      </c>
      <c r="M146" t="s">
        <v>34</v>
      </c>
      <c r="N146">
        <v>1.0889</v>
      </c>
      <c r="O146">
        <v>1.2934915600536925</v>
      </c>
      <c r="P146">
        <v>6.7265875957499381E-3</v>
      </c>
      <c r="Q146">
        <v>1.2934915600536925</v>
      </c>
      <c r="R146">
        <v>21190.224500196</v>
      </c>
      <c r="S146" t="s">
        <v>11</v>
      </c>
      <c r="T146">
        <v>1.238</v>
      </c>
      <c r="U146">
        <v>20281.15122</v>
      </c>
      <c r="V146">
        <v>909.07328019600027</v>
      </c>
      <c r="W146">
        <v>4.4823554162917993E-2</v>
      </c>
    </row>
    <row r="147" spans="1:23" x14ac:dyDescent="0.25">
      <c r="A147" t="s">
        <v>2796</v>
      </c>
      <c r="B147" t="s">
        <v>20</v>
      </c>
      <c r="C147" t="s">
        <v>123</v>
      </c>
      <c r="D147" t="s">
        <v>31</v>
      </c>
      <c r="E147" t="s">
        <v>124</v>
      </c>
      <c r="F147" s="1">
        <v>46001</v>
      </c>
      <c r="G147">
        <v>46046</v>
      </c>
      <c r="H147" t="s">
        <v>6</v>
      </c>
      <c r="I147">
        <v>65575.009999999995</v>
      </c>
      <c r="J147" t="s">
        <v>75</v>
      </c>
      <c r="K147" t="s">
        <v>2797</v>
      </c>
      <c r="L147">
        <v>45</v>
      </c>
      <c r="M147" t="s">
        <v>20</v>
      </c>
      <c r="N147">
        <v>1.1634</v>
      </c>
      <c r="O147">
        <v>1.3309689966823017</v>
      </c>
      <c r="P147">
        <v>6.3810881965774462E-3</v>
      </c>
      <c r="Q147">
        <v>1.1634</v>
      </c>
      <c r="R147">
        <v>76289.966633999997</v>
      </c>
      <c r="S147" t="s">
        <v>14</v>
      </c>
      <c r="T147">
        <v>1.1060000000000001</v>
      </c>
      <c r="U147">
        <v>72525.961060000001</v>
      </c>
      <c r="V147">
        <v>3764.0055739999952</v>
      </c>
      <c r="W147">
        <v>5.1898734177215126E-2</v>
      </c>
    </row>
    <row r="148" spans="1:23" x14ac:dyDescent="0.25">
      <c r="A148" t="s">
        <v>2794</v>
      </c>
      <c r="B148" t="s">
        <v>22</v>
      </c>
      <c r="C148" t="s">
        <v>127</v>
      </c>
      <c r="D148" t="s">
        <v>31</v>
      </c>
      <c r="E148" t="s">
        <v>124</v>
      </c>
      <c r="F148" s="1">
        <v>46236</v>
      </c>
      <c r="G148">
        <v>46296</v>
      </c>
      <c r="H148" t="s">
        <v>9</v>
      </c>
      <c r="I148">
        <v>11427496.23</v>
      </c>
      <c r="J148" t="s">
        <v>75</v>
      </c>
      <c r="K148" t="s">
        <v>2795</v>
      </c>
      <c r="L148">
        <v>60</v>
      </c>
      <c r="M148" t="s">
        <v>22</v>
      </c>
      <c r="N148">
        <v>1.1485000000000001</v>
      </c>
      <c r="O148">
        <v>1.3421289425402874</v>
      </c>
      <c r="P148">
        <v>6.2408302994077054E-3</v>
      </c>
      <c r="Q148">
        <v>6.2408302994077054E-3</v>
      </c>
      <c r="R148">
        <v>71317.064718551323</v>
      </c>
      <c r="S148" t="s">
        <v>21</v>
      </c>
      <c r="T148">
        <v>6.7400000000000003E-3</v>
      </c>
      <c r="U148">
        <v>77021.324590200005</v>
      </c>
      <c r="V148">
        <v>-5704.2598716486827</v>
      </c>
      <c r="W148">
        <v>-7.4060786438025994E-2</v>
      </c>
    </row>
    <row r="149" spans="1:23" x14ac:dyDescent="0.25">
      <c r="A149" t="s">
        <v>2792</v>
      </c>
      <c r="B149" t="s">
        <v>28</v>
      </c>
      <c r="C149" t="s">
        <v>111</v>
      </c>
      <c r="D149" t="s">
        <v>31</v>
      </c>
      <c r="E149" t="s">
        <v>74</v>
      </c>
      <c r="F149" s="1">
        <v>45980</v>
      </c>
      <c r="G149">
        <v>46025</v>
      </c>
      <c r="H149" t="s">
        <v>9</v>
      </c>
      <c r="I149">
        <v>1367020.36</v>
      </c>
      <c r="J149" t="s">
        <v>75</v>
      </c>
      <c r="K149" t="s">
        <v>2793</v>
      </c>
      <c r="L149">
        <v>45</v>
      </c>
      <c r="M149" t="s">
        <v>28</v>
      </c>
      <c r="N149">
        <v>1.1583000000000001</v>
      </c>
      <c r="O149">
        <v>1.3122238586156112</v>
      </c>
      <c r="P149">
        <v>6.4047553220901304E-3</v>
      </c>
      <c r="Q149">
        <v>6.4047553220901304E-3</v>
      </c>
      <c r="R149">
        <v>8755.4309261155668</v>
      </c>
      <c r="S149" t="s">
        <v>14</v>
      </c>
      <c r="T149">
        <v>6.9800000000000001E-3</v>
      </c>
      <c r="U149">
        <v>9541.8021128</v>
      </c>
      <c r="V149">
        <v>-786.37118668443327</v>
      </c>
      <c r="W149">
        <v>-8.241327763751706E-2</v>
      </c>
    </row>
    <row r="150" spans="1:23" x14ac:dyDescent="0.25">
      <c r="A150" t="s">
        <v>2789</v>
      </c>
      <c r="B150" t="s">
        <v>25</v>
      </c>
      <c r="C150" t="s">
        <v>169</v>
      </c>
      <c r="D150" t="s">
        <v>31</v>
      </c>
      <c r="E150" t="s">
        <v>124</v>
      </c>
      <c r="F150" s="1">
        <v>46172</v>
      </c>
      <c r="G150">
        <v>46232</v>
      </c>
      <c r="H150" t="s">
        <v>6</v>
      </c>
      <c r="I150">
        <v>49309.84</v>
      </c>
      <c r="J150" t="s">
        <v>75</v>
      </c>
      <c r="K150" t="s">
        <v>2790</v>
      </c>
      <c r="L150">
        <v>60</v>
      </c>
      <c r="M150" t="s">
        <v>25</v>
      </c>
      <c r="N150">
        <v>1.1644000000000001</v>
      </c>
      <c r="O150">
        <v>1.3426657288147321</v>
      </c>
      <c r="P150">
        <v>6.2787813426799684E-3</v>
      </c>
      <c r="Q150">
        <v>1.1644000000000001</v>
      </c>
      <c r="R150">
        <v>57416.377696000003</v>
      </c>
      <c r="S150" t="s">
        <v>19</v>
      </c>
      <c r="T150">
        <v>1.083</v>
      </c>
      <c r="U150">
        <v>53402.556719999993</v>
      </c>
      <c r="V150">
        <v>4013.82097600001</v>
      </c>
      <c r="W150">
        <v>7.5161588180978955E-2</v>
      </c>
    </row>
    <row r="151" spans="1:23" x14ac:dyDescent="0.25">
      <c r="A151" t="s">
        <v>2789</v>
      </c>
      <c r="B151" t="s">
        <v>26</v>
      </c>
      <c r="C151" t="s">
        <v>94</v>
      </c>
      <c r="D151" t="s">
        <v>31</v>
      </c>
      <c r="E151" t="s">
        <v>74</v>
      </c>
      <c r="F151" s="1">
        <v>45832</v>
      </c>
      <c r="G151">
        <v>45862</v>
      </c>
      <c r="H151" t="s">
        <v>8</v>
      </c>
      <c r="I151">
        <v>9631.91</v>
      </c>
      <c r="J151" t="s">
        <v>75</v>
      </c>
      <c r="K151" t="s">
        <v>2791</v>
      </c>
      <c r="L151">
        <v>30</v>
      </c>
      <c r="M151" t="s">
        <v>26</v>
      </c>
      <c r="N151">
        <v>1.1607000000000001</v>
      </c>
      <c r="O151">
        <v>1.3612055822680897</v>
      </c>
      <c r="P151">
        <v>6.8978427527188451E-3</v>
      </c>
      <c r="Q151">
        <v>1.3612055822680897</v>
      </c>
      <c r="R151">
        <v>13111.009659903835</v>
      </c>
      <c r="S151" t="s">
        <v>12</v>
      </c>
      <c r="T151">
        <v>1.26</v>
      </c>
      <c r="U151">
        <v>12136.2066</v>
      </c>
      <c r="V151">
        <v>974.80305990383567</v>
      </c>
      <c r="W151">
        <v>8.0321890688960063E-2</v>
      </c>
    </row>
    <row r="152" spans="1:23" x14ac:dyDescent="0.25">
      <c r="A152" t="s">
        <v>2787</v>
      </c>
      <c r="B152" t="s">
        <v>26</v>
      </c>
      <c r="C152" t="s">
        <v>94</v>
      </c>
      <c r="D152" t="s">
        <v>31</v>
      </c>
      <c r="E152" t="s">
        <v>74</v>
      </c>
      <c r="F152" s="1">
        <v>46070</v>
      </c>
      <c r="G152">
        <v>46100</v>
      </c>
      <c r="H152" t="s">
        <v>8</v>
      </c>
      <c r="I152">
        <v>19685.169999999998</v>
      </c>
      <c r="J152" t="s">
        <v>75</v>
      </c>
      <c r="K152" t="s">
        <v>2788</v>
      </c>
      <c r="L152">
        <v>30</v>
      </c>
      <c r="M152" t="s">
        <v>26</v>
      </c>
      <c r="N152">
        <v>1.1826000000000001</v>
      </c>
      <c r="O152">
        <v>1.3541738234283753</v>
      </c>
      <c r="P152">
        <v>6.5315365072351715E-3</v>
      </c>
      <c r="Q152">
        <v>1.3541738234283753</v>
      </c>
      <c r="R152">
        <v>26657.141923737548</v>
      </c>
      <c r="S152" t="s">
        <v>16</v>
      </c>
      <c r="T152">
        <v>1.2490000000000001</v>
      </c>
      <c r="U152">
        <v>24586.777330000001</v>
      </c>
      <c r="V152">
        <v>2070.3645937375477</v>
      </c>
      <c r="W152">
        <v>8.4206423881805562E-2</v>
      </c>
    </row>
    <row r="153" spans="1:23" x14ac:dyDescent="0.25">
      <c r="A153" t="s">
        <v>2785</v>
      </c>
      <c r="B153" t="s">
        <v>20</v>
      </c>
      <c r="C153" t="s">
        <v>123</v>
      </c>
      <c r="D153" t="s">
        <v>31</v>
      </c>
      <c r="E153" t="s">
        <v>124</v>
      </c>
      <c r="F153" s="1">
        <v>45690</v>
      </c>
      <c r="G153">
        <v>45735</v>
      </c>
      <c r="H153" t="s">
        <v>6</v>
      </c>
      <c r="I153">
        <v>42649.43</v>
      </c>
      <c r="J153" t="s">
        <v>75</v>
      </c>
      <c r="K153" t="s">
        <v>2786</v>
      </c>
      <c r="L153">
        <v>45</v>
      </c>
      <c r="M153" t="s">
        <v>20</v>
      </c>
      <c r="N153">
        <v>1.0466</v>
      </c>
      <c r="O153">
        <v>1.2635518531932874</v>
      </c>
      <c r="P153">
        <v>6.6743192398443976E-3</v>
      </c>
      <c r="Q153">
        <v>1.0466</v>
      </c>
      <c r="R153">
        <v>44636.893437999999</v>
      </c>
      <c r="S153" t="s">
        <v>11</v>
      </c>
      <c r="T153">
        <v>1.052</v>
      </c>
      <c r="U153">
        <v>44867.200360000003</v>
      </c>
      <c r="V153">
        <v>-230.3069220000034</v>
      </c>
      <c r="W153">
        <v>-5.1330798479088209E-3</v>
      </c>
    </row>
    <row r="154" spans="1:23" x14ac:dyDescent="0.25">
      <c r="A154" t="s">
        <v>2783</v>
      </c>
      <c r="B154" t="s">
        <v>34</v>
      </c>
      <c r="C154" t="s">
        <v>177</v>
      </c>
      <c r="D154" t="s">
        <v>31</v>
      </c>
      <c r="E154" t="s">
        <v>74</v>
      </c>
      <c r="F154" s="1">
        <v>45803</v>
      </c>
      <c r="G154">
        <v>45863</v>
      </c>
      <c r="H154" t="s">
        <v>8</v>
      </c>
      <c r="I154">
        <v>14476.65</v>
      </c>
      <c r="J154" t="s">
        <v>75</v>
      </c>
      <c r="K154" t="s">
        <v>2784</v>
      </c>
      <c r="L154">
        <v>60</v>
      </c>
      <c r="M154" t="s">
        <v>34</v>
      </c>
      <c r="N154">
        <v>1.1380999999999999</v>
      </c>
      <c r="O154">
        <v>1.3561725452812201</v>
      </c>
      <c r="P154">
        <v>6.9980938326262062E-3</v>
      </c>
      <c r="Q154">
        <v>1.3561725452812201</v>
      </c>
      <c r="R154">
        <v>19632.835277645376</v>
      </c>
      <c r="S154" t="s">
        <v>12</v>
      </c>
      <c r="T154">
        <v>1.26</v>
      </c>
      <c r="U154">
        <v>18240.578999999998</v>
      </c>
      <c r="V154">
        <v>1392.2562776453778</v>
      </c>
      <c r="W154">
        <v>7.6327416889857391E-2</v>
      </c>
    </row>
    <row r="155" spans="1:23" x14ac:dyDescent="0.25">
      <c r="A155" t="s">
        <v>2781</v>
      </c>
      <c r="B155" t="s">
        <v>37</v>
      </c>
      <c r="C155" t="s">
        <v>91</v>
      </c>
      <c r="D155" t="s">
        <v>31</v>
      </c>
      <c r="E155" t="s">
        <v>74</v>
      </c>
      <c r="F155" s="1">
        <v>46302</v>
      </c>
      <c r="G155">
        <v>46332</v>
      </c>
      <c r="H155" t="s">
        <v>6</v>
      </c>
      <c r="I155">
        <v>21605.25</v>
      </c>
      <c r="J155" t="s">
        <v>84</v>
      </c>
      <c r="K155" t="s">
        <v>2782</v>
      </c>
      <c r="L155">
        <v>30</v>
      </c>
      <c r="M155" t="s">
        <v>37</v>
      </c>
      <c r="N155">
        <v>1.1176999999999999</v>
      </c>
      <c r="O155">
        <v>1.320456022210408</v>
      </c>
      <c r="P155">
        <v>6.3200452360757699E-3</v>
      </c>
      <c r="Q155">
        <v>1.1176999999999999</v>
      </c>
      <c r="R155">
        <v>24148.187924999998</v>
      </c>
      <c r="S155" t="s">
        <v>23</v>
      </c>
      <c r="T155">
        <v>1.119</v>
      </c>
      <c r="U155">
        <v>24176.27475</v>
      </c>
      <c r="V155">
        <v>-28.086825000002136</v>
      </c>
      <c r="W155">
        <v>-1.1617515638964243E-3</v>
      </c>
    </row>
    <row r="156" spans="1:23" x14ac:dyDescent="0.25">
      <c r="A156" t="s">
        <v>2779</v>
      </c>
      <c r="B156" t="s">
        <v>36</v>
      </c>
      <c r="C156" t="s">
        <v>116</v>
      </c>
      <c r="D156" t="s">
        <v>31</v>
      </c>
      <c r="E156" t="s">
        <v>74</v>
      </c>
      <c r="F156" s="1">
        <v>46019</v>
      </c>
      <c r="G156">
        <v>46064</v>
      </c>
      <c r="H156" t="s">
        <v>6</v>
      </c>
      <c r="I156">
        <v>16655.34</v>
      </c>
      <c r="J156" t="s">
        <v>75</v>
      </c>
      <c r="K156" t="s">
        <v>2780</v>
      </c>
      <c r="L156">
        <v>45</v>
      </c>
      <c r="M156" t="s">
        <v>36</v>
      </c>
      <c r="N156">
        <v>1.1555</v>
      </c>
      <c r="O156">
        <v>1.3367963164349013</v>
      </c>
      <c r="P156">
        <v>6.2983756677204832E-3</v>
      </c>
      <c r="Q156">
        <v>1.1555</v>
      </c>
      <c r="R156">
        <v>19245.245370000001</v>
      </c>
      <c r="S156" t="s">
        <v>14</v>
      </c>
      <c r="T156">
        <v>1.1060000000000001</v>
      </c>
      <c r="U156">
        <v>18420.806040000003</v>
      </c>
      <c r="V156">
        <v>824.43932999999743</v>
      </c>
      <c r="W156">
        <v>4.4755877034357898E-2</v>
      </c>
    </row>
    <row r="157" spans="1:23" x14ac:dyDescent="0.25">
      <c r="A157" t="s">
        <v>2777</v>
      </c>
      <c r="B157" t="s">
        <v>37</v>
      </c>
      <c r="C157" t="s">
        <v>91</v>
      </c>
      <c r="D157" t="s">
        <v>31</v>
      </c>
      <c r="E157" t="s">
        <v>74</v>
      </c>
      <c r="F157" s="1">
        <v>46223</v>
      </c>
      <c r="G157">
        <v>46253</v>
      </c>
      <c r="H157" t="s">
        <v>6</v>
      </c>
      <c r="I157">
        <v>5107.8599999999997</v>
      </c>
      <c r="J157" t="s">
        <v>75</v>
      </c>
      <c r="K157" t="s">
        <v>2778</v>
      </c>
      <c r="L157">
        <v>30</v>
      </c>
      <c r="M157" t="s">
        <v>37</v>
      </c>
      <c r="N157">
        <v>1.1426000000000001</v>
      </c>
      <c r="O157">
        <v>1.3460088587315051</v>
      </c>
      <c r="P157">
        <v>6.1582408106068782E-3</v>
      </c>
      <c r="Q157">
        <v>1.1426000000000001</v>
      </c>
      <c r="R157">
        <v>5836.2408359999999</v>
      </c>
      <c r="S157" t="s">
        <v>21</v>
      </c>
      <c r="T157">
        <v>1.101</v>
      </c>
      <c r="U157">
        <v>5623.7538599999998</v>
      </c>
      <c r="V157">
        <v>212.48697600000014</v>
      </c>
      <c r="W157">
        <v>3.778383287920075E-2</v>
      </c>
    </row>
    <row r="158" spans="1:23" x14ac:dyDescent="0.25">
      <c r="A158" t="s">
        <v>2775</v>
      </c>
      <c r="B158" t="s">
        <v>30</v>
      </c>
      <c r="C158" t="s">
        <v>103</v>
      </c>
      <c r="D158" t="s">
        <v>31</v>
      </c>
      <c r="E158" t="s">
        <v>74</v>
      </c>
      <c r="F158" s="1">
        <v>46005</v>
      </c>
      <c r="G158">
        <v>46035</v>
      </c>
      <c r="H158" t="s">
        <v>9</v>
      </c>
      <c r="I158">
        <v>1215710.76</v>
      </c>
      <c r="J158" t="s">
        <v>75</v>
      </c>
      <c r="K158" t="s">
        <v>2776</v>
      </c>
      <c r="L158">
        <v>30</v>
      </c>
      <c r="M158" t="s">
        <v>30</v>
      </c>
      <c r="N158">
        <v>1.1555</v>
      </c>
      <c r="O158">
        <v>1.3367963164349013</v>
      </c>
      <c r="P158">
        <v>6.2983756677204832E-3</v>
      </c>
      <c r="Q158">
        <v>6.2983756677204832E-3</v>
      </c>
      <c r="R158">
        <v>7657.0030697699758</v>
      </c>
      <c r="S158" t="s">
        <v>14</v>
      </c>
      <c r="T158">
        <v>6.9800000000000001E-3</v>
      </c>
      <c r="U158">
        <v>8485.6611047999995</v>
      </c>
      <c r="V158">
        <v>-828.65803503002371</v>
      </c>
      <c r="W158">
        <v>-9.7653915799357685E-2</v>
      </c>
    </row>
    <row r="159" spans="1:23" x14ac:dyDescent="0.25">
      <c r="A159" t="s">
        <v>2773</v>
      </c>
      <c r="B159" t="s">
        <v>41</v>
      </c>
      <c r="C159" t="s">
        <v>172</v>
      </c>
      <c r="D159" t="s">
        <v>33</v>
      </c>
      <c r="E159" t="s">
        <v>83</v>
      </c>
      <c r="F159" s="1">
        <v>46192</v>
      </c>
      <c r="G159">
        <v>46222</v>
      </c>
      <c r="H159" t="s">
        <v>9</v>
      </c>
      <c r="I159">
        <v>1585016.55</v>
      </c>
      <c r="J159" t="s">
        <v>75</v>
      </c>
      <c r="K159" t="s">
        <v>2774</v>
      </c>
      <c r="L159">
        <v>30</v>
      </c>
      <c r="M159" t="s">
        <v>41</v>
      </c>
      <c r="N159">
        <v>1.1467000000000001</v>
      </c>
      <c r="O159">
        <v>1.3233240626406473</v>
      </c>
      <c r="P159">
        <v>6.2024015577672011E-3</v>
      </c>
      <c r="Q159">
        <v>6.2024015577672011E-3</v>
      </c>
      <c r="R159">
        <v>9830.909118806796</v>
      </c>
      <c r="S159" t="s">
        <v>19</v>
      </c>
      <c r="T159">
        <v>6.6E-3</v>
      </c>
      <c r="U159">
        <v>10461.10923</v>
      </c>
      <c r="V159">
        <v>-630.20011119320407</v>
      </c>
      <c r="W159">
        <v>-6.0242188217090632E-2</v>
      </c>
    </row>
    <row r="160" spans="1:23" x14ac:dyDescent="0.25">
      <c r="A160" t="s">
        <v>2771</v>
      </c>
      <c r="B160" t="s">
        <v>26</v>
      </c>
      <c r="C160" t="s">
        <v>94</v>
      </c>
      <c r="D160" t="s">
        <v>31</v>
      </c>
      <c r="E160" t="s">
        <v>74</v>
      </c>
      <c r="F160" s="1">
        <v>45768</v>
      </c>
      <c r="G160">
        <v>45798</v>
      </c>
      <c r="H160" t="s">
        <v>8</v>
      </c>
      <c r="I160">
        <v>7844.76</v>
      </c>
      <c r="J160" t="s">
        <v>75</v>
      </c>
      <c r="K160" t="s">
        <v>2772</v>
      </c>
      <c r="L160">
        <v>30</v>
      </c>
      <c r="M160" t="s">
        <v>26</v>
      </c>
      <c r="N160">
        <v>1.1568000000000001</v>
      </c>
      <c r="O160">
        <v>1.356950146627566</v>
      </c>
      <c r="P160">
        <v>6.9124589184344195E-3</v>
      </c>
      <c r="Q160">
        <v>1.356950146627566</v>
      </c>
      <c r="R160">
        <v>10644.948232258064</v>
      </c>
      <c r="S160" t="s">
        <v>12</v>
      </c>
      <c r="T160">
        <v>1.26</v>
      </c>
      <c r="U160">
        <v>9884.3976000000002</v>
      </c>
      <c r="V160">
        <v>760.55063225806407</v>
      </c>
      <c r="W160">
        <v>7.6944560815528515E-2</v>
      </c>
    </row>
    <row r="161" spans="1:23" x14ac:dyDescent="0.25">
      <c r="A161" t="s">
        <v>2769</v>
      </c>
      <c r="B161" t="s">
        <v>38</v>
      </c>
      <c r="C161" t="s">
        <v>87</v>
      </c>
      <c r="D161" t="s">
        <v>33</v>
      </c>
      <c r="E161" t="s">
        <v>88</v>
      </c>
      <c r="F161" s="1">
        <v>45685</v>
      </c>
      <c r="G161">
        <v>45715</v>
      </c>
      <c r="H161" t="s">
        <v>6</v>
      </c>
      <c r="I161">
        <v>1933.56</v>
      </c>
      <c r="J161" t="s">
        <v>75</v>
      </c>
      <c r="K161" t="s">
        <v>2770</v>
      </c>
      <c r="L161">
        <v>30</v>
      </c>
      <c r="M161" t="s">
        <v>38</v>
      </c>
      <c r="N161">
        <v>1.0421</v>
      </c>
      <c r="O161">
        <v>1.2425478132303143</v>
      </c>
      <c r="P161">
        <v>6.4382799950574564E-3</v>
      </c>
      <c r="Q161">
        <v>1.0421</v>
      </c>
      <c r="R161">
        <v>2014.9628760000001</v>
      </c>
      <c r="S161" t="s">
        <v>11</v>
      </c>
      <c r="T161">
        <v>1.052</v>
      </c>
      <c r="U161">
        <v>2034.1051199999999</v>
      </c>
      <c r="V161">
        <v>-19.142243999999891</v>
      </c>
      <c r="W161">
        <v>-9.4106463878326461E-3</v>
      </c>
    </row>
    <row r="162" spans="1:23" x14ac:dyDescent="0.25">
      <c r="A162" t="s">
        <v>2767</v>
      </c>
      <c r="B162" t="s">
        <v>24</v>
      </c>
      <c r="C162" t="s">
        <v>73</v>
      </c>
      <c r="D162" t="s">
        <v>31</v>
      </c>
      <c r="E162" t="s">
        <v>74</v>
      </c>
      <c r="F162" s="1">
        <v>46124</v>
      </c>
      <c r="G162">
        <v>46154</v>
      </c>
      <c r="H162" t="s">
        <v>6</v>
      </c>
      <c r="I162">
        <v>14941.19</v>
      </c>
      <c r="J162" t="s">
        <v>75</v>
      </c>
      <c r="K162" t="s">
        <v>2768</v>
      </c>
      <c r="L162">
        <v>30</v>
      </c>
      <c r="M162" t="s">
        <v>24</v>
      </c>
      <c r="N162">
        <v>1.1711</v>
      </c>
      <c r="O162">
        <v>1.3444693186384249</v>
      </c>
      <c r="P162">
        <v>6.2817143163653921E-3</v>
      </c>
      <c r="Q162">
        <v>1.1711</v>
      </c>
      <c r="R162">
        <v>17497.627609000003</v>
      </c>
      <c r="S162" t="s">
        <v>19</v>
      </c>
      <c r="T162">
        <v>1.083</v>
      </c>
      <c r="U162">
        <v>16181.30877</v>
      </c>
      <c r="V162">
        <v>1316.3188390000032</v>
      </c>
      <c r="W162">
        <v>8.1348107109880163E-2</v>
      </c>
    </row>
    <row r="163" spans="1:23" x14ac:dyDescent="0.25">
      <c r="A163" t="s">
        <v>2764</v>
      </c>
      <c r="B163" t="s">
        <v>38</v>
      </c>
      <c r="C163" t="s">
        <v>87</v>
      </c>
      <c r="D163" t="s">
        <v>33</v>
      </c>
      <c r="E163" t="s">
        <v>88</v>
      </c>
      <c r="F163" s="1">
        <v>46079</v>
      </c>
      <c r="G163">
        <v>46109</v>
      </c>
      <c r="H163" t="s">
        <v>6</v>
      </c>
      <c r="I163">
        <v>9796.32</v>
      </c>
      <c r="J163" t="s">
        <v>75</v>
      </c>
      <c r="K163" t="s">
        <v>2765</v>
      </c>
      <c r="L163">
        <v>30</v>
      </c>
      <c r="M163" t="s">
        <v>38</v>
      </c>
      <c r="N163">
        <v>1.1814</v>
      </c>
      <c r="O163">
        <v>1.3549719004472991</v>
      </c>
      <c r="P163">
        <v>6.4077669902912618E-3</v>
      </c>
      <c r="Q163">
        <v>1.1814</v>
      </c>
      <c r="R163">
        <v>11573.372448</v>
      </c>
      <c r="S163" t="s">
        <v>16</v>
      </c>
      <c r="T163">
        <v>1.0649999999999999</v>
      </c>
      <c r="U163">
        <v>10433.0808</v>
      </c>
      <c r="V163">
        <v>1140.2916480000004</v>
      </c>
      <c r="W163">
        <v>0.10929577464788737</v>
      </c>
    </row>
    <row r="164" spans="1:23" x14ac:dyDescent="0.25">
      <c r="A164" t="s">
        <v>2764</v>
      </c>
      <c r="B164" t="s">
        <v>40</v>
      </c>
      <c r="C164" t="s">
        <v>78</v>
      </c>
      <c r="D164" t="s">
        <v>33</v>
      </c>
      <c r="E164" t="s">
        <v>79</v>
      </c>
      <c r="F164" s="1">
        <v>46197</v>
      </c>
      <c r="G164">
        <v>46227</v>
      </c>
      <c r="H164" t="s">
        <v>9</v>
      </c>
      <c r="I164">
        <v>1234843.8500000001</v>
      </c>
      <c r="J164" t="s">
        <v>75</v>
      </c>
      <c r="K164" t="s">
        <v>2766</v>
      </c>
      <c r="L164">
        <v>30</v>
      </c>
      <c r="M164" t="s">
        <v>40</v>
      </c>
      <c r="N164">
        <v>1.1339999999999999</v>
      </c>
      <c r="O164">
        <v>1.3160796146927405</v>
      </c>
      <c r="P164">
        <v>6.1848922825197706E-3</v>
      </c>
      <c r="Q164">
        <v>6.1848922825197706E-3</v>
      </c>
      <c r="R164">
        <v>7637.3761979820019</v>
      </c>
      <c r="S164" t="s">
        <v>19</v>
      </c>
      <c r="T164">
        <v>6.6E-3</v>
      </c>
      <c r="U164">
        <v>8149.9694100000006</v>
      </c>
      <c r="V164">
        <v>-512.59321201799867</v>
      </c>
      <c r="W164">
        <v>-6.2895108709125652E-2</v>
      </c>
    </row>
    <row r="165" spans="1:23" x14ac:dyDescent="0.25">
      <c r="A165" t="s">
        <v>2762</v>
      </c>
      <c r="B165" t="s">
        <v>26</v>
      </c>
      <c r="C165" t="s">
        <v>94</v>
      </c>
      <c r="D165" t="s">
        <v>31</v>
      </c>
      <c r="E165" t="s">
        <v>74</v>
      </c>
      <c r="F165" s="1">
        <v>45736</v>
      </c>
      <c r="G165">
        <v>45766</v>
      </c>
      <c r="H165" t="s">
        <v>8</v>
      </c>
      <c r="I165">
        <v>5557.93</v>
      </c>
      <c r="J165" t="s">
        <v>75</v>
      </c>
      <c r="K165" t="s">
        <v>2763</v>
      </c>
      <c r="L165">
        <v>30</v>
      </c>
      <c r="M165" t="s">
        <v>26</v>
      </c>
      <c r="N165">
        <v>1.0832999999999999</v>
      </c>
      <c r="O165">
        <v>1.2944198829011828</v>
      </c>
      <c r="P165">
        <v>6.7348461299347219E-3</v>
      </c>
      <c r="Q165">
        <v>1.2944198829011828</v>
      </c>
      <c r="R165">
        <v>7194.2950997729713</v>
      </c>
      <c r="S165" t="s">
        <v>11</v>
      </c>
      <c r="T165">
        <v>1.238</v>
      </c>
      <c r="U165">
        <v>6880.7173400000001</v>
      </c>
      <c r="V165">
        <v>313.57775977297115</v>
      </c>
      <c r="W165">
        <v>4.5573411067191309E-2</v>
      </c>
    </row>
    <row r="166" spans="1:23" x14ac:dyDescent="0.25">
      <c r="A166" t="s">
        <v>2760</v>
      </c>
      <c r="B166" t="s">
        <v>25</v>
      </c>
      <c r="C166" t="s">
        <v>169</v>
      </c>
      <c r="D166" t="s">
        <v>31</v>
      </c>
      <c r="E166" t="s">
        <v>124</v>
      </c>
      <c r="F166" s="1">
        <v>45738</v>
      </c>
      <c r="G166">
        <v>45798</v>
      </c>
      <c r="H166" t="s">
        <v>6</v>
      </c>
      <c r="I166">
        <v>61936.959999999999</v>
      </c>
      <c r="J166" t="s">
        <v>75</v>
      </c>
      <c r="K166" t="s">
        <v>2761</v>
      </c>
      <c r="L166">
        <v>60</v>
      </c>
      <c r="M166" t="s">
        <v>25</v>
      </c>
      <c r="N166">
        <v>1.1325000000000001</v>
      </c>
      <c r="O166">
        <v>1.3372298972724053</v>
      </c>
      <c r="P166">
        <v>7.0063103192279149E-3</v>
      </c>
      <c r="Q166">
        <v>1.1325000000000001</v>
      </c>
      <c r="R166">
        <v>70143.607199999999</v>
      </c>
      <c r="S166" t="s">
        <v>11</v>
      </c>
      <c r="T166">
        <v>1.052</v>
      </c>
      <c r="U166">
        <v>65157.681920000003</v>
      </c>
      <c r="V166">
        <v>4985.9252799999958</v>
      </c>
      <c r="W166">
        <v>7.652091254752845E-2</v>
      </c>
    </row>
    <row r="167" spans="1:23" x14ac:dyDescent="0.25">
      <c r="A167" t="s">
        <v>2758</v>
      </c>
      <c r="B167" t="s">
        <v>37</v>
      </c>
      <c r="C167" t="s">
        <v>91</v>
      </c>
      <c r="D167" t="s">
        <v>31</v>
      </c>
      <c r="E167" t="s">
        <v>74</v>
      </c>
      <c r="F167" s="1">
        <v>46340</v>
      </c>
      <c r="G167">
        <v>46370</v>
      </c>
      <c r="H167" t="s">
        <v>6</v>
      </c>
      <c r="I167">
        <v>6476.3</v>
      </c>
      <c r="J167" t="s">
        <v>84</v>
      </c>
      <c r="K167" t="s">
        <v>2759</v>
      </c>
      <c r="L167">
        <v>30</v>
      </c>
      <c r="M167" t="s">
        <v>37</v>
      </c>
      <c r="N167">
        <v>1.1176999999999999</v>
      </c>
      <c r="O167">
        <v>1.320456022210408</v>
      </c>
      <c r="P167">
        <v>6.3200452360757699E-3</v>
      </c>
      <c r="Q167">
        <v>1.1176999999999999</v>
      </c>
      <c r="R167">
        <v>7238.5605099999993</v>
      </c>
      <c r="S167" t="s">
        <v>23</v>
      </c>
      <c r="T167">
        <v>1.119</v>
      </c>
      <c r="U167">
        <v>7246.9796999999999</v>
      </c>
      <c r="V167">
        <v>-8.4191900000005262</v>
      </c>
      <c r="W167">
        <v>-1.1617515638964087E-3</v>
      </c>
    </row>
    <row r="168" spans="1:23" x14ac:dyDescent="0.25">
      <c r="A168" t="s">
        <v>2756</v>
      </c>
      <c r="B168" t="s">
        <v>24</v>
      </c>
      <c r="C168" t="s">
        <v>73</v>
      </c>
      <c r="D168" t="s">
        <v>31</v>
      </c>
      <c r="E168" t="s">
        <v>74</v>
      </c>
      <c r="F168" s="1">
        <v>46302</v>
      </c>
      <c r="G168">
        <v>46332</v>
      </c>
      <c r="H168" t="s">
        <v>6</v>
      </c>
      <c r="I168">
        <v>22931.24</v>
      </c>
      <c r="J168" t="s">
        <v>84</v>
      </c>
      <c r="K168" t="s">
        <v>2757</v>
      </c>
      <c r="L168">
        <v>30</v>
      </c>
      <c r="M168" t="s">
        <v>24</v>
      </c>
      <c r="N168">
        <v>1.1176999999999999</v>
      </c>
      <c r="O168">
        <v>1.320456022210408</v>
      </c>
      <c r="P168">
        <v>6.3200452360757699E-3</v>
      </c>
      <c r="Q168">
        <v>1.1176999999999999</v>
      </c>
      <c r="R168">
        <v>25630.246948</v>
      </c>
      <c r="S168" t="s">
        <v>23</v>
      </c>
      <c r="T168">
        <v>1.119</v>
      </c>
      <c r="U168">
        <v>25660.057560000001</v>
      </c>
      <c r="V168">
        <v>-29.810612000001129</v>
      </c>
      <c r="W168">
        <v>-1.16175156389638E-3</v>
      </c>
    </row>
    <row r="169" spans="1:23" x14ac:dyDescent="0.25">
      <c r="A169" t="s">
        <v>2754</v>
      </c>
      <c r="B169" t="s">
        <v>38</v>
      </c>
      <c r="C169" t="s">
        <v>87</v>
      </c>
      <c r="D169" t="s">
        <v>33</v>
      </c>
      <c r="E169" t="s">
        <v>88</v>
      </c>
      <c r="F169" s="1">
        <v>46084</v>
      </c>
      <c r="G169">
        <v>46114</v>
      </c>
      <c r="H169" t="s">
        <v>6</v>
      </c>
      <c r="I169">
        <v>8288.36</v>
      </c>
      <c r="J169" t="s">
        <v>75</v>
      </c>
      <c r="K169" t="s">
        <v>2755</v>
      </c>
      <c r="L169">
        <v>30</v>
      </c>
      <c r="M169" t="s">
        <v>38</v>
      </c>
      <c r="N169">
        <v>1.1606000000000001</v>
      </c>
      <c r="O169">
        <v>1.3314213605598257</v>
      </c>
      <c r="P169">
        <v>6.3427697016067335E-3</v>
      </c>
      <c r="Q169">
        <v>1.1606000000000001</v>
      </c>
      <c r="R169">
        <v>9619.4706160000005</v>
      </c>
      <c r="S169" t="s">
        <v>16</v>
      </c>
      <c r="T169">
        <v>1.0649999999999999</v>
      </c>
      <c r="U169">
        <v>8827.1034</v>
      </c>
      <c r="V169">
        <v>792.36721600000055</v>
      </c>
      <c r="W169">
        <v>8.9765258215962498E-2</v>
      </c>
    </row>
    <row r="170" spans="1:23" x14ac:dyDescent="0.25">
      <c r="A170" t="s">
        <v>2752</v>
      </c>
      <c r="B170" t="s">
        <v>26</v>
      </c>
      <c r="C170" t="s">
        <v>94</v>
      </c>
      <c r="D170" t="s">
        <v>31</v>
      </c>
      <c r="E170" t="s">
        <v>74</v>
      </c>
      <c r="F170" s="1">
        <v>45662</v>
      </c>
      <c r="G170">
        <v>45692</v>
      </c>
      <c r="H170" t="s">
        <v>8</v>
      </c>
      <c r="I170">
        <v>17554.47</v>
      </c>
      <c r="J170" t="s">
        <v>75</v>
      </c>
      <c r="K170" t="s">
        <v>2753</v>
      </c>
      <c r="L170">
        <v>30</v>
      </c>
      <c r="M170" t="s">
        <v>26</v>
      </c>
      <c r="N170">
        <v>1.03</v>
      </c>
      <c r="O170">
        <v>1.2216384187491844</v>
      </c>
      <c r="P170">
        <v>6.3678516228748072E-3</v>
      </c>
      <c r="Q170">
        <v>1.2216384187491844</v>
      </c>
      <c r="R170">
        <v>21445.214972779999</v>
      </c>
      <c r="S170" t="s">
        <v>11</v>
      </c>
      <c r="T170">
        <v>1.238</v>
      </c>
      <c r="U170">
        <v>21732.433860000001</v>
      </c>
      <c r="V170">
        <v>-287.21888722000222</v>
      </c>
      <c r="W170">
        <v>-1.3216139944115869E-2</v>
      </c>
    </row>
    <row r="171" spans="1:23" x14ac:dyDescent="0.25">
      <c r="A171" t="s">
        <v>2750</v>
      </c>
      <c r="B171" t="s">
        <v>37</v>
      </c>
      <c r="C171" t="s">
        <v>91</v>
      </c>
      <c r="D171" t="s">
        <v>31</v>
      </c>
      <c r="E171" t="s">
        <v>74</v>
      </c>
      <c r="F171" s="1">
        <v>45859</v>
      </c>
      <c r="G171">
        <v>45889</v>
      </c>
      <c r="H171" t="s">
        <v>6</v>
      </c>
      <c r="I171">
        <v>13444.34</v>
      </c>
      <c r="J171" t="s">
        <v>75</v>
      </c>
      <c r="K171" t="s">
        <v>2751</v>
      </c>
      <c r="L171">
        <v>30</v>
      </c>
      <c r="M171" t="s">
        <v>37</v>
      </c>
      <c r="N171">
        <v>1.1667000000000001</v>
      </c>
      <c r="O171">
        <v>1.3478512014787432</v>
      </c>
      <c r="P171">
        <v>6.7823508894314611E-3</v>
      </c>
      <c r="Q171">
        <v>1.1667000000000001</v>
      </c>
      <c r="R171">
        <v>15685.511478</v>
      </c>
      <c r="S171" t="s">
        <v>13</v>
      </c>
      <c r="T171">
        <v>1.0880000000000001</v>
      </c>
      <c r="U171">
        <v>14627.441920000001</v>
      </c>
      <c r="V171">
        <v>1058.0695579999992</v>
      </c>
      <c r="W171">
        <v>7.2334558823529349E-2</v>
      </c>
    </row>
    <row r="172" spans="1:23" x14ac:dyDescent="0.25">
      <c r="A172" t="s">
        <v>2748</v>
      </c>
      <c r="B172" t="s">
        <v>32</v>
      </c>
      <c r="C172" t="s">
        <v>106</v>
      </c>
      <c r="D172" t="s">
        <v>31</v>
      </c>
      <c r="E172" t="s">
        <v>74</v>
      </c>
      <c r="F172" s="1">
        <v>46372</v>
      </c>
      <c r="G172">
        <v>46402</v>
      </c>
      <c r="H172" t="s">
        <v>6</v>
      </c>
      <c r="I172">
        <v>17587.79</v>
      </c>
      <c r="J172" t="s">
        <v>84</v>
      </c>
      <c r="K172" t="s">
        <v>2749</v>
      </c>
      <c r="L172">
        <v>30</v>
      </c>
      <c r="M172" t="s">
        <v>32</v>
      </c>
      <c r="N172">
        <v>1.1176999999999999</v>
      </c>
      <c r="O172">
        <v>1.320456022210408</v>
      </c>
      <c r="P172">
        <v>6.3200452360757699E-3</v>
      </c>
      <c r="Q172">
        <v>1.1176999999999999</v>
      </c>
      <c r="R172">
        <v>19657.872883</v>
      </c>
      <c r="S172" t="s">
        <v>23</v>
      </c>
      <c r="T172">
        <v>1.119</v>
      </c>
      <c r="U172">
        <v>19680.737010000001</v>
      </c>
      <c r="V172">
        <v>-22.864127000000735</v>
      </c>
      <c r="W172">
        <v>-1.1617515638963733E-3</v>
      </c>
    </row>
    <row r="173" spans="1:23" x14ac:dyDescent="0.25">
      <c r="A173" t="s">
        <v>2746</v>
      </c>
      <c r="B173" t="s">
        <v>24</v>
      </c>
      <c r="C173" t="s">
        <v>73</v>
      </c>
      <c r="D173" t="s">
        <v>31</v>
      </c>
      <c r="E173" t="s">
        <v>74</v>
      </c>
      <c r="F173" s="1">
        <v>46130</v>
      </c>
      <c r="G173">
        <v>46160</v>
      </c>
      <c r="H173" t="s">
        <v>6</v>
      </c>
      <c r="I173">
        <v>14560.57</v>
      </c>
      <c r="J173" t="s">
        <v>75</v>
      </c>
      <c r="K173" t="s">
        <v>2747</v>
      </c>
      <c r="L173">
        <v>30</v>
      </c>
      <c r="M173" t="s">
        <v>24</v>
      </c>
      <c r="N173">
        <v>1.1797</v>
      </c>
      <c r="O173">
        <v>1.3533636196769456</v>
      </c>
      <c r="P173">
        <v>6.2843596846366926E-3</v>
      </c>
      <c r="Q173">
        <v>1.1797</v>
      </c>
      <c r="R173">
        <v>17177.104428999999</v>
      </c>
      <c r="S173" t="s">
        <v>19</v>
      </c>
      <c r="T173">
        <v>1.083</v>
      </c>
      <c r="U173">
        <v>15769.097309999999</v>
      </c>
      <c r="V173">
        <v>1408.0071189999999</v>
      </c>
      <c r="W173">
        <v>8.9289012003693435E-2</v>
      </c>
    </row>
    <row r="174" spans="1:23" x14ac:dyDescent="0.25">
      <c r="A174" t="s">
        <v>2744</v>
      </c>
      <c r="B174" t="s">
        <v>24</v>
      </c>
      <c r="C174" t="s">
        <v>73</v>
      </c>
      <c r="D174" t="s">
        <v>31</v>
      </c>
      <c r="E174" t="s">
        <v>74</v>
      </c>
      <c r="F174" s="1">
        <v>45800</v>
      </c>
      <c r="G174">
        <v>45830</v>
      </c>
      <c r="H174" t="s">
        <v>6</v>
      </c>
      <c r="I174">
        <v>16890.41</v>
      </c>
      <c r="J174" t="s">
        <v>75</v>
      </c>
      <c r="K174" t="s">
        <v>2745</v>
      </c>
      <c r="L174">
        <v>30</v>
      </c>
      <c r="M174" t="s">
        <v>24</v>
      </c>
      <c r="N174">
        <v>1.1301000000000001</v>
      </c>
      <c r="O174">
        <v>1.3482462419470296</v>
      </c>
      <c r="P174">
        <v>7.0135915099609021E-3</v>
      </c>
      <c r="Q174">
        <v>1.1301000000000001</v>
      </c>
      <c r="R174">
        <v>19087.852341000002</v>
      </c>
      <c r="S174" t="s">
        <v>12</v>
      </c>
      <c r="T174">
        <v>1.07</v>
      </c>
      <c r="U174">
        <v>18072.738700000002</v>
      </c>
      <c r="V174">
        <v>1015.1136409999999</v>
      </c>
      <c r="W174">
        <v>5.6168224299065414E-2</v>
      </c>
    </row>
    <row r="175" spans="1:23" x14ac:dyDescent="0.25">
      <c r="A175" t="s">
        <v>2742</v>
      </c>
      <c r="B175" t="s">
        <v>26</v>
      </c>
      <c r="C175" t="s">
        <v>94</v>
      </c>
      <c r="D175" t="s">
        <v>31</v>
      </c>
      <c r="E175" t="s">
        <v>74</v>
      </c>
      <c r="F175" s="1">
        <v>46046</v>
      </c>
      <c r="G175">
        <v>46076</v>
      </c>
      <c r="H175" t="s">
        <v>8</v>
      </c>
      <c r="I175">
        <v>8278.7199999999993</v>
      </c>
      <c r="J175" t="s">
        <v>75</v>
      </c>
      <c r="K175" t="s">
        <v>2743</v>
      </c>
      <c r="L175">
        <v>30</v>
      </c>
      <c r="M175" t="s">
        <v>26</v>
      </c>
      <c r="N175">
        <v>1.1555</v>
      </c>
      <c r="O175">
        <v>1.3367963164349013</v>
      </c>
      <c r="P175">
        <v>6.2983756677204832E-3</v>
      </c>
      <c r="Q175">
        <v>1.3367963164349013</v>
      </c>
      <c r="R175">
        <v>11066.962400795945</v>
      </c>
      <c r="S175" t="s">
        <v>16</v>
      </c>
      <c r="T175">
        <v>1.2490000000000001</v>
      </c>
      <c r="U175">
        <v>10340.121279999999</v>
      </c>
      <c r="V175">
        <v>726.84112079594524</v>
      </c>
      <c r="W175">
        <v>7.0293287778143476E-2</v>
      </c>
    </row>
    <row r="176" spans="1:23" x14ac:dyDescent="0.25">
      <c r="A176" t="s">
        <v>2740</v>
      </c>
      <c r="B176" t="s">
        <v>40</v>
      </c>
      <c r="C176" t="s">
        <v>78</v>
      </c>
      <c r="D176" t="s">
        <v>33</v>
      </c>
      <c r="E176" t="s">
        <v>79</v>
      </c>
      <c r="F176" s="1">
        <v>46061</v>
      </c>
      <c r="G176">
        <v>46091</v>
      </c>
      <c r="H176" t="s">
        <v>9</v>
      </c>
      <c r="I176">
        <v>365217.67</v>
      </c>
      <c r="J176" t="s">
        <v>75</v>
      </c>
      <c r="K176" t="s">
        <v>2741</v>
      </c>
      <c r="L176">
        <v>30</v>
      </c>
      <c r="M176" t="s">
        <v>40</v>
      </c>
      <c r="N176">
        <v>1.1555</v>
      </c>
      <c r="O176">
        <v>1.3367963164349013</v>
      </c>
      <c r="P176">
        <v>6.2983756677204832E-3</v>
      </c>
      <c r="Q176">
        <v>6.2983756677204832E-3</v>
      </c>
      <c r="R176">
        <v>2300.2780861495689</v>
      </c>
      <c r="S176" t="s">
        <v>16</v>
      </c>
      <c r="T176">
        <v>6.4599999999999996E-3</v>
      </c>
      <c r="U176">
        <v>2359.3061481999998</v>
      </c>
      <c r="V176">
        <v>-59.02806205043089</v>
      </c>
      <c r="W176">
        <v>-2.5019246482897328E-2</v>
      </c>
    </row>
    <row r="177" spans="1:23" x14ac:dyDescent="0.25">
      <c r="A177" t="s">
        <v>2738</v>
      </c>
      <c r="B177" t="s">
        <v>34</v>
      </c>
      <c r="C177" t="s">
        <v>177</v>
      </c>
      <c r="D177" t="s">
        <v>31</v>
      </c>
      <c r="E177" t="s">
        <v>74</v>
      </c>
      <c r="F177" s="1">
        <v>45869</v>
      </c>
      <c r="G177">
        <v>45929</v>
      </c>
      <c r="H177" t="s">
        <v>8</v>
      </c>
      <c r="I177">
        <v>7361.38</v>
      </c>
      <c r="J177" t="s">
        <v>75</v>
      </c>
      <c r="K177" t="s">
        <v>2739</v>
      </c>
      <c r="L177">
        <v>60</v>
      </c>
      <c r="M177" t="s">
        <v>34</v>
      </c>
      <c r="N177">
        <v>1.1446000000000001</v>
      </c>
      <c r="O177">
        <v>1.3233899872817667</v>
      </c>
      <c r="P177">
        <v>6.6732742537313431E-3</v>
      </c>
      <c r="Q177">
        <v>1.3233899872817667</v>
      </c>
      <c r="R177">
        <v>9741.9765845762522</v>
      </c>
      <c r="S177" t="s">
        <v>13</v>
      </c>
      <c r="T177">
        <v>1.282</v>
      </c>
      <c r="U177">
        <v>9437.2891600000003</v>
      </c>
      <c r="V177">
        <v>304.68742457625194</v>
      </c>
      <c r="W177">
        <v>3.228548149903801E-2</v>
      </c>
    </row>
    <row r="178" spans="1:23" x14ac:dyDescent="0.25">
      <c r="A178" t="s">
        <v>2736</v>
      </c>
      <c r="B178" t="s">
        <v>44</v>
      </c>
      <c r="C178" t="s">
        <v>138</v>
      </c>
      <c r="D178" t="s">
        <v>33</v>
      </c>
      <c r="E178" t="s">
        <v>88</v>
      </c>
      <c r="F178" s="1">
        <v>46074</v>
      </c>
      <c r="G178">
        <v>46119</v>
      </c>
      <c r="H178" t="s">
        <v>9</v>
      </c>
      <c r="I178">
        <v>1508037.08</v>
      </c>
      <c r="J178" t="s">
        <v>75</v>
      </c>
      <c r="K178" t="s">
        <v>2737</v>
      </c>
      <c r="L178">
        <v>45</v>
      </c>
      <c r="M178" t="s">
        <v>44</v>
      </c>
      <c r="N178">
        <v>1.1555</v>
      </c>
      <c r="O178">
        <v>1.3367963164349013</v>
      </c>
      <c r="P178">
        <v>6.2983756677204832E-3</v>
      </c>
      <c r="Q178">
        <v>6.2983756677204832E-3</v>
      </c>
      <c r="R178">
        <v>9498.184050692249</v>
      </c>
      <c r="S178" t="s">
        <v>16</v>
      </c>
      <c r="T178">
        <v>6.4599999999999996E-3</v>
      </c>
      <c r="U178">
        <v>9741.9195368000001</v>
      </c>
      <c r="V178">
        <v>-243.73548610775106</v>
      </c>
      <c r="W178">
        <v>-2.5019246482897214E-2</v>
      </c>
    </row>
    <row r="179" spans="1:23" x14ac:dyDescent="0.25">
      <c r="A179" t="s">
        <v>2734</v>
      </c>
      <c r="B179" t="s">
        <v>28</v>
      </c>
      <c r="C179" t="s">
        <v>111</v>
      </c>
      <c r="D179" t="s">
        <v>31</v>
      </c>
      <c r="E179" t="s">
        <v>74</v>
      </c>
      <c r="F179" s="1">
        <v>46024</v>
      </c>
      <c r="G179">
        <v>46069</v>
      </c>
      <c r="H179" t="s">
        <v>9</v>
      </c>
      <c r="I179">
        <v>1325412.01</v>
      </c>
      <c r="J179" t="s">
        <v>75</v>
      </c>
      <c r="K179" t="s">
        <v>2735</v>
      </c>
      <c r="L179">
        <v>45</v>
      </c>
      <c r="M179" t="s">
        <v>28</v>
      </c>
      <c r="N179">
        <v>1.1720999999999999</v>
      </c>
      <c r="O179">
        <v>1.3443055396261039</v>
      </c>
      <c r="P179">
        <v>6.3721865825812759E-3</v>
      </c>
      <c r="Q179">
        <v>6.3721865825812759E-3</v>
      </c>
      <c r="R179">
        <v>8445.7726265140791</v>
      </c>
      <c r="S179" t="s">
        <v>16</v>
      </c>
      <c r="T179">
        <v>6.4599999999999996E-3</v>
      </c>
      <c r="U179">
        <v>8562.1615846000004</v>
      </c>
      <c r="V179">
        <v>-116.38895808592133</v>
      </c>
      <c r="W179">
        <v>-1.3593408269152478E-2</v>
      </c>
    </row>
    <row r="180" spans="1:23" x14ac:dyDescent="0.25">
      <c r="A180" t="s">
        <v>2732</v>
      </c>
      <c r="B180" t="s">
        <v>26</v>
      </c>
      <c r="C180" t="s">
        <v>94</v>
      </c>
      <c r="D180" t="s">
        <v>31</v>
      </c>
      <c r="E180" t="s">
        <v>74</v>
      </c>
      <c r="F180" s="1">
        <v>45706</v>
      </c>
      <c r="G180">
        <v>45736</v>
      </c>
      <c r="H180" t="s">
        <v>8</v>
      </c>
      <c r="I180">
        <v>10873.21</v>
      </c>
      <c r="J180" t="s">
        <v>75</v>
      </c>
      <c r="K180" t="s">
        <v>2733</v>
      </c>
      <c r="L180">
        <v>30</v>
      </c>
      <c r="M180" t="s">
        <v>26</v>
      </c>
      <c r="N180">
        <v>1.0447</v>
      </c>
      <c r="O180">
        <v>1.2582956940680516</v>
      </c>
      <c r="P180">
        <v>6.5890886155786808E-3</v>
      </c>
      <c r="Q180">
        <v>1.2582956940680516</v>
      </c>
      <c r="R180">
        <v>13681.713323697679</v>
      </c>
      <c r="S180" t="s">
        <v>11</v>
      </c>
      <c r="T180">
        <v>1.238</v>
      </c>
      <c r="U180">
        <v>13461.033979999998</v>
      </c>
      <c r="V180">
        <v>220.67934369768045</v>
      </c>
      <c r="W180">
        <v>1.6393937050122539E-2</v>
      </c>
    </row>
    <row r="181" spans="1:23" x14ac:dyDescent="0.25">
      <c r="A181" t="s">
        <v>2730</v>
      </c>
      <c r="B181" t="s">
        <v>32</v>
      </c>
      <c r="C181" t="s">
        <v>106</v>
      </c>
      <c r="D181" t="s">
        <v>31</v>
      </c>
      <c r="E181" t="s">
        <v>74</v>
      </c>
      <c r="F181" s="1">
        <v>46350</v>
      </c>
      <c r="G181">
        <v>46380</v>
      </c>
      <c r="H181" t="s">
        <v>6</v>
      </c>
      <c r="I181">
        <v>7822.97</v>
      </c>
      <c r="J181" t="s">
        <v>84</v>
      </c>
      <c r="K181" t="s">
        <v>2731</v>
      </c>
      <c r="L181">
        <v>30</v>
      </c>
      <c r="M181" t="s">
        <v>32</v>
      </c>
      <c r="N181">
        <v>1.1176999999999999</v>
      </c>
      <c r="O181">
        <v>1.320456022210408</v>
      </c>
      <c r="P181">
        <v>6.3200452360757699E-3</v>
      </c>
      <c r="Q181">
        <v>1.1176999999999999</v>
      </c>
      <c r="R181">
        <v>8743.733569</v>
      </c>
      <c r="S181" t="s">
        <v>23</v>
      </c>
      <c r="T181">
        <v>1.119</v>
      </c>
      <c r="U181">
        <v>8753.9034300000003</v>
      </c>
      <c r="V181">
        <v>-10.16986100000031</v>
      </c>
      <c r="W181">
        <v>-1.1617515638963714E-3</v>
      </c>
    </row>
    <row r="182" spans="1:23" x14ac:dyDescent="0.25">
      <c r="A182" t="s">
        <v>2728</v>
      </c>
      <c r="B182" t="s">
        <v>28</v>
      </c>
      <c r="C182" t="s">
        <v>111</v>
      </c>
      <c r="D182" t="s">
        <v>31</v>
      </c>
      <c r="E182" t="s">
        <v>74</v>
      </c>
      <c r="F182" s="1">
        <v>46232</v>
      </c>
      <c r="G182">
        <v>46277</v>
      </c>
      <c r="H182" t="s">
        <v>9</v>
      </c>
      <c r="I182">
        <v>3252871.09</v>
      </c>
      <c r="J182" t="s">
        <v>75</v>
      </c>
      <c r="K182" t="s">
        <v>2729</v>
      </c>
      <c r="L182">
        <v>45</v>
      </c>
      <c r="M182" t="s">
        <v>28</v>
      </c>
      <c r="N182">
        <v>1.1379999999999999</v>
      </c>
      <c r="O182">
        <v>1.3288958953698837</v>
      </c>
      <c r="P182">
        <v>6.1094110699522189E-3</v>
      </c>
      <c r="Q182">
        <v>6.1094110699522189E-3</v>
      </c>
      <c r="R182">
        <v>19873.126646373541</v>
      </c>
      <c r="S182" t="s">
        <v>21</v>
      </c>
      <c r="T182">
        <v>6.7400000000000003E-3</v>
      </c>
      <c r="U182">
        <v>21924.351146600002</v>
      </c>
      <c r="V182">
        <v>-2051.2245002264608</v>
      </c>
      <c r="W182">
        <v>-9.3559188434388943E-2</v>
      </c>
    </row>
    <row r="183" spans="1:23" x14ac:dyDescent="0.25">
      <c r="A183" t="s">
        <v>2726</v>
      </c>
      <c r="B183" t="s">
        <v>34</v>
      </c>
      <c r="C183" t="s">
        <v>177</v>
      </c>
      <c r="D183" t="s">
        <v>31</v>
      </c>
      <c r="E183" t="s">
        <v>74</v>
      </c>
      <c r="F183" s="1">
        <v>46290</v>
      </c>
      <c r="G183">
        <v>46350</v>
      </c>
      <c r="H183" t="s">
        <v>8</v>
      </c>
      <c r="I183">
        <v>23326.85</v>
      </c>
      <c r="J183" t="s">
        <v>75</v>
      </c>
      <c r="K183" t="s">
        <v>2727</v>
      </c>
      <c r="L183">
        <v>60</v>
      </c>
      <c r="M183" t="s">
        <v>34</v>
      </c>
      <c r="N183">
        <v>1.1403000000000001</v>
      </c>
      <c r="O183">
        <v>1.3252367947004475</v>
      </c>
      <c r="P183">
        <v>6.3455759599332232E-3</v>
      </c>
      <c r="Q183">
        <v>1.3252367947004475</v>
      </c>
      <c r="R183">
        <v>30913.599924458133</v>
      </c>
      <c r="S183" t="s">
        <v>21</v>
      </c>
      <c r="T183">
        <v>1.2929999999999999</v>
      </c>
      <c r="U183">
        <v>30161.617049999997</v>
      </c>
      <c r="V183">
        <v>751.98287445813548</v>
      </c>
      <c r="W183">
        <v>2.4931782444275002E-2</v>
      </c>
    </row>
    <row r="184" spans="1:23" x14ac:dyDescent="0.25">
      <c r="A184" t="s">
        <v>2724</v>
      </c>
      <c r="B184" t="s">
        <v>44</v>
      </c>
      <c r="C184" t="s">
        <v>138</v>
      </c>
      <c r="D184" t="s">
        <v>33</v>
      </c>
      <c r="E184" t="s">
        <v>88</v>
      </c>
      <c r="F184" s="1">
        <v>46166</v>
      </c>
      <c r="G184">
        <v>46211</v>
      </c>
      <c r="H184" t="s">
        <v>9</v>
      </c>
      <c r="I184">
        <v>1324692.68</v>
      </c>
      <c r="J184" t="s">
        <v>75</v>
      </c>
      <c r="K184" t="s">
        <v>2725</v>
      </c>
      <c r="L184">
        <v>45</v>
      </c>
      <c r="M184" t="s">
        <v>44</v>
      </c>
      <c r="N184">
        <v>1.1595</v>
      </c>
      <c r="O184">
        <v>1.3417343608970353</v>
      </c>
      <c r="P184">
        <v>6.2835311331490814E-3</v>
      </c>
      <c r="Q184">
        <v>6.2835311331490814E-3</v>
      </c>
      <c r="R184">
        <v>8323.7476966346931</v>
      </c>
      <c r="S184" t="s">
        <v>19</v>
      </c>
      <c r="T184">
        <v>6.6E-3</v>
      </c>
      <c r="U184">
        <v>8742.9716879999996</v>
      </c>
      <c r="V184">
        <v>-419.22399136530657</v>
      </c>
      <c r="W184">
        <v>-4.7949828310745249E-2</v>
      </c>
    </row>
    <row r="185" spans="1:23" x14ac:dyDescent="0.25">
      <c r="A185" t="s">
        <v>2722</v>
      </c>
      <c r="B185" t="s">
        <v>39</v>
      </c>
      <c r="C185" t="s">
        <v>82</v>
      </c>
      <c r="D185" t="s">
        <v>33</v>
      </c>
      <c r="E185" t="s">
        <v>83</v>
      </c>
      <c r="F185" s="1">
        <v>45713</v>
      </c>
      <c r="G185">
        <v>45758</v>
      </c>
      <c r="H185" t="s">
        <v>8</v>
      </c>
      <c r="I185">
        <v>1865.43</v>
      </c>
      <c r="J185" t="s">
        <v>75</v>
      </c>
      <c r="K185" t="s">
        <v>2723</v>
      </c>
      <c r="L185">
        <v>45</v>
      </c>
      <c r="M185" t="s">
        <v>39</v>
      </c>
      <c r="N185">
        <v>1.0497000000000001</v>
      </c>
      <c r="O185">
        <v>1.2661021855550731</v>
      </c>
      <c r="P185">
        <v>6.6779057191933338E-3</v>
      </c>
      <c r="Q185">
        <v>1.2661021855550731</v>
      </c>
      <c r="R185">
        <v>2361.8250000000003</v>
      </c>
      <c r="S185" t="s">
        <v>11</v>
      </c>
      <c r="T185">
        <v>1.238</v>
      </c>
      <c r="U185">
        <v>2309.4023400000001</v>
      </c>
      <c r="V185">
        <v>52.422660000000178</v>
      </c>
      <c r="W185">
        <v>2.2699665230269134E-2</v>
      </c>
    </row>
    <row r="186" spans="1:23" x14ac:dyDescent="0.25">
      <c r="A186" t="s">
        <v>2720</v>
      </c>
      <c r="B186" t="s">
        <v>44</v>
      </c>
      <c r="C186" t="s">
        <v>138</v>
      </c>
      <c r="D186" t="s">
        <v>33</v>
      </c>
      <c r="E186" t="s">
        <v>88</v>
      </c>
      <c r="F186" s="1">
        <v>45683</v>
      </c>
      <c r="G186">
        <v>45728</v>
      </c>
      <c r="H186" t="s">
        <v>9</v>
      </c>
      <c r="I186">
        <v>751568.31</v>
      </c>
      <c r="J186" t="s">
        <v>75</v>
      </c>
      <c r="K186" t="s">
        <v>2721</v>
      </c>
      <c r="L186">
        <v>45</v>
      </c>
      <c r="M186" t="s">
        <v>44</v>
      </c>
      <c r="N186">
        <v>1.0389999999999999</v>
      </c>
      <c r="O186">
        <v>1.2471042934476011</v>
      </c>
      <c r="P186">
        <v>6.5022842480755988E-3</v>
      </c>
      <c r="Q186">
        <v>6.5022842480755988E-3</v>
      </c>
      <c r="R186">
        <v>4886.9107834657989</v>
      </c>
      <c r="S186" t="s">
        <v>11</v>
      </c>
      <c r="T186">
        <v>6.5599999999999999E-3</v>
      </c>
      <c r="U186">
        <v>4930.2881136000005</v>
      </c>
      <c r="V186">
        <v>-43.377330134201657</v>
      </c>
      <c r="W186">
        <v>-8.798132915305101E-3</v>
      </c>
    </row>
    <row r="187" spans="1:23" x14ac:dyDescent="0.25">
      <c r="A187" t="s">
        <v>2718</v>
      </c>
      <c r="B187" t="s">
        <v>44</v>
      </c>
      <c r="C187" t="s">
        <v>138</v>
      </c>
      <c r="D187" t="s">
        <v>33</v>
      </c>
      <c r="E187" t="s">
        <v>88</v>
      </c>
      <c r="F187" s="1">
        <v>46298</v>
      </c>
      <c r="G187">
        <v>46343</v>
      </c>
      <c r="H187" t="s">
        <v>9</v>
      </c>
      <c r="I187">
        <v>1076254.8400000001</v>
      </c>
      <c r="J187" t="s">
        <v>84</v>
      </c>
      <c r="K187" t="s">
        <v>2719</v>
      </c>
      <c r="L187">
        <v>45</v>
      </c>
      <c r="M187" t="s">
        <v>44</v>
      </c>
      <c r="N187">
        <v>1.1225000000000001</v>
      </c>
      <c r="O187">
        <v>1.3200757353027648</v>
      </c>
      <c r="P187">
        <v>6.3421662240804562E-3</v>
      </c>
      <c r="Q187">
        <v>6.3421662240804562E-3</v>
      </c>
      <c r="R187">
        <v>6825.7870947511165</v>
      </c>
      <c r="S187" t="s">
        <v>23</v>
      </c>
      <c r="T187">
        <v>6.8799999999999998E-3</v>
      </c>
      <c r="U187">
        <v>7404.6332992000007</v>
      </c>
      <c r="V187">
        <v>-578.84620444888424</v>
      </c>
      <c r="W187">
        <v>-7.8173513941794115E-2</v>
      </c>
    </row>
    <row r="188" spans="1:23" x14ac:dyDescent="0.25">
      <c r="A188" t="s">
        <v>2716</v>
      </c>
      <c r="B188" t="s">
        <v>41</v>
      </c>
      <c r="C188" t="s">
        <v>172</v>
      </c>
      <c r="D188" t="s">
        <v>33</v>
      </c>
      <c r="E188" t="s">
        <v>83</v>
      </c>
      <c r="F188" s="1">
        <v>46030</v>
      </c>
      <c r="G188">
        <v>46060</v>
      </c>
      <c r="H188" t="s">
        <v>9</v>
      </c>
      <c r="I188">
        <v>508821.65</v>
      </c>
      <c r="J188" t="s">
        <v>75</v>
      </c>
      <c r="K188" t="s">
        <v>2717</v>
      </c>
      <c r="L188">
        <v>30</v>
      </c>
      <c r="M188" t="s">
        <v>41</v>
      </c>
      <c r="N188">
        <v>1.1675</v>
      </c>
      <c r="O188">
        <v>1.343962242431219</v>
      </c>
      <c r="P188">
        <v>6.3808274580532329E-3</v>
      </c>
      <c r="Q188">
        <v>6.3808274580532329E-3</v>
      </c>
      <c r="R188">
        <v>3246.7031555719518</v>
      </c>
      <c r="S188" t="s">
        <v>16</v>
      </c>
      <c r="T188">
        <v>6.4599999999999996E-3</v>
      </c>
      <c r="U188">
        <v>3286.9878589999998</v>
      </c>
      <c r="V188">
        <v>-40.284703428048033</v>
      </c>
      <c r="W188">
        <v>-1.2255811446867907E-2</v>
      </c>
    </row>
    <row r="189" spans="1:23" x14ac:dyDescent="0.25">
      <c r="A189" t="s">
        <v>2714</v>
      </c>
      <c r="B189" t="s">
        <v>20</v>
      </c>
      <c r="C189" t="s">
        <v>123</v>
      </c>
      <c r="D189" t="s">
        <v>31</v>
      </c>
      <c r="E189" t="s">
        <v>124</v>
      </c>
      <c r="F189" s="1">
        <v>45829</v>
      </c>
      <c r="G189">
        <v>45874</v>
      </c>
      <c r="H189" t="s">
        <v>6</v>
      </c>
      <c r="I189">
        <v>16499.990000000002</v>
      </c>
      <c r="J189" t="s">
        <v>75</v>
      </c>
      <c r="K189" t="s">
        <v>2715</v>
      </c>
      <c r="L189">
        <v>45</v>
      </c>
      <c r="M189" t="s">
        <v>20</v>
      </c>
      <c r="N189">
        <v>1.1707000000000001</v>
      </c>
      <c r="O189">
        <v>1.3534104046242776</v>
      </c>
      <c r="P189">
        <v>6.7799849423756308E-3</v>
      </c>
      <c r="Q189">
        <v>1.1707000000000001</v>
      </c>
      <c r="R189">
        <v>19316.538293000001</v>
      </c>
      <c r="S189" t="s">
        <v>12</v>
      </c>
      <c r="T189">
        <v>1.07</v>
      </c>
      <c r="U189">
        <v>17654.989300000001</v>
      </c>
      <c r="V189">
        <v>1661.5489930000003</v>
      </c>
      <c r="W189">
        <v>9.4112149532710299E-2</v>
      </c>
    </row>
    <row r="190" spans="1:23" x14ac:dyDescent="0.25">
      <c r="A190" t="s">
        <v>2712</v>
      </c>
      <c r="B190" t="s">
        <v>32</v>
      </c>
      <c r="C190" t="s">
        <v>106</v>
      </c>
      <c r="D190" t="s">
        <v>31</v>
      </c>
      <c r="E190" t="s">
        <v>74</v>
      </c>
      <c r="F190" s="1">
        <v>45666</v>
      </c>
      <c r="G190">
        <v>45696</v>
      </c>
      <c r="H190" t="s">
        <v>6</v>
      </c>
      <c r="I190">
        <v>9951.92</v>
      </c>
      <c r="J190" t="s">
        <v>75</v>
      </c>
      <c r="K190" t="s">
        <v>2713</v>
      </c>
      <c r="L190">
        <v>30</v>
      </c>
      <c r="M190" t="s">
        <v>32</v>
      </c>
      <c r="N190">
        <v>1.0305</v>
      </c>
      <c r="O190">
        <v>1.2295962199312713</v>
      </c>
      <c r="P190">
        <v>6.339197834645669E-3</v>
      </c>
      <c r="Q190">
        <v>1.0305</v>
      </c>
      <c r="R190">
        <v>10255.45356</v>
      </c>
      <c r="S190" t="s">
        <v>11</v>
      </c>
      <c r="T190">
        <v>1.052</v>
      </c>
      <c r="U190">
        <v>10469.41984</v>
      </c>
      <c r="V190">
        <v>-213.96628000000055</v>
      </c>
      <c r="W190">
        <v>-2.0437262357414502E-2</v>
      </c>
    </row>
    <row r="191" spans="1:23" x14ac:dyDescent="0.25">
      <c r="A191" t="s">
        <v>2710</v>
      </c>
      <c r="B191" t="s">
        <v>30</v>
      </c>
      <c r="C191" t="s">
        <v>103</v>
      </c>
      <c r="D191" t="s">
        <v>31</v>
      </c>
      <c r="E191" t="s">
        <v>74</v>
      </c>
      <c r="F191" s="1">
        <v>46109</v>
      </c>
      <c r="G191">
        <v>46139</v>
      </c>
      <c r="H191" t="s">
        <v>9</v>
      </c>
      <c r="I191">
        <v>1156218.52</v>
      </c>
      <c r="J191" t="s">
        <v>75</v>
      </c>
      <c r="K191" t="s">
        <v>2711</v>
      </c>
      <c r="L191">
        <v>30</v>
      </c>
      <c r="M191" t="s">
        <v>30</v>
      </c>
      <c r="N191">
        <v>1.1516999999999999</v>
      </c>
      <c r="O191">
        <v>1.3280673431734318</v>
      </c>
      <c r="P191">
        <v>6.2538010425716769E-3</v>
      </c>
      <c r="Q191">
        <v>6.2538010425716769E-3</v>
      </c>
      <c r="R191">
        <v>7230.7605858166817</v>
      </c>
      <c r="S191" t="s">
        <v>16</v>
      </c>
      <c r="T191">
        <v>6.4599999999999996E-3</v>
      </c>
      <c r="U191">
        <v>7469.1716391999998</v>
      </c>
      <c r="V191">
        <v>-238.41105338331818</v>
      </c>
      <c r="W191">
        <v>-3.19193432551583E-2</v>
      </c>
    </row>
    <row r="192" spans="1:23" x14ac:dyDescent="0.25">
      <c r="A192" t="s">
        <v>2707</v>
      </c>
      <c r="B192" t="s">
        <v>42</v>
      </c>
      <c r="C192" t="s">
        <v>151</v>
      </c>
      <c r="D192" t="s">
        <v>35</v>
      </c>
      <c r="E192" t="s">
        <v>2708</v>
      </c>
      <c r="F192" s="1">
        <v>45781</v>
      </c>
      <c r="G192">
        <v>45811</v>
      </c>
      <c r="H192" t="s">
        <v>8</v>
      </c>
      <c r="I192">
        <v>7054.9</v>
      </c>
      <c r="J192" t="s">
        <v>75</v>
      </c>
      <c r="K192" t="s">
        <v>2709</v>
      </c>
      <c r="L192">
        <v>30</v>
      </c>
      <c r="M192" t="s">
        <v>42</v>
      </c>
      <c r="N192">
        <v>1.1767000000000001</v>
      </c>
      <c r="O192">
        <v>1.3642898550724638</v>
      </c>
      <c r="P192">
        <v>6.9250235404896433E-3</v>
      </c>
      <c r="Q192">
        <v>1.3642898550724638</v>
      </c>
      <c r="R192">
        <v>9624.9284985507238</v>
      </c>
      <c r="S192" t="s">
        <v>12</v>
      </c>
      <c r="T192">
        <v>1.26</v>
      </c>
      <c r="U192">
        <v>8889.1739999999991</v>
      </c>
      <c r="V192">
        <v>735.75449855072475</v>
      </c>
      <c r="W192">
        <v>8.2769726247987133E-2</v>
      </c>
    </row>
    <row r="193" spans="1:23" x14ac:dyDescent="0.25">
      <c r="A193" t="s">
        <v>2705</v>
      </c>
      <c r="B193" t="s">
        <v>37</v>
      </c>
      <c r="C193" t="s">
        <v>91</v>
      </c>
      <c r="D193" t="s">
        <v>31</v>
      </c>
      <c r="E193" t="s">
        <v>74</v>
      </c>
      <c r="F193" s="1">
        <v>45854</v>
      </c>
      <c r="G193">
        <v>45884</v>
      </c>
      <c r="H193" t="s">
        <v>6</v>
      </c>
      <c r="I193">
        <v>6881.95</v>
      </c>
      <c r="J193" t="s">
        <v>75</v>
      </c>
      <c r="K193" t="s">
        <v>2706</v>
      </c>
      <c r="L193">
        <v>30</v>
      </c>
      <c r="M193" t="s">
        <v>37</v>
      </c>
      <c r="N193">
        <v>1.1601999999999999</v>
      </c>
      <c r="O193">
        <v>1.3398775840166299</v>
      </c>
      <c r="P193">
        <v>6.723458507185906E-3</v>
      </c>
      <c r="Q193">
        <v>1.1601999999999999</v>
      </c>
      <c r="R193">
        <v>7984.4383899999993</v>
      </c>
      <c r="S193" t="s">
        <v>13</v>
      </c>
      <c r="T193">
        <v>1.0880000000000001</v>
      </c>
      <c r="U193">
        <v>7487.5616</v>
      </c>
      <c r="V193">
        <v>496.87678999999935</v>
      </c>
      <c r="W193">
        <v>6.6360294117646976E-2</v>
      </c>
    </row>
    <row r="194" spans="1:23" x14ac:dyDescent="0.25">
      <c r="A194" t="s">
        <v>2703</v>
      </c>
      <c r="B194" t="s">
        <v>26</v>
      </c>
      <c r="C194" t="s">
        <v>94</v>
      </c>
      <c r="D194" t="s">
        <v>31</v>
      </c>
      <c r="E194" t="s">
        <v>74</v>
      </c>
      <c r="F194" s="1">
        <v>46089</v>
      </c>
      <c r="G194">
        <v>46119</v>
      </c>
      <c r="H194" t="s">
        <v>8</v>
      </c>
      <c r="I194">
        <v>15123.81</v>
      </c>
      <c r="J194" t="s">
        <v>75</v>
      </c>
      <c r="K194" t="s">
        <v>2704</v>
      </c>
      <c r="L194">
        <v>30</v>
      </c>
      <c r="M194" t="s">
        <v>26</v>
      </c>
      <c r="N194">
        <v>1.1555</v>
      </c>
      <c r="O194">
        <v>1.3367963164349013</v>
      </c>
      <c r="P194">
        <v>6.2983756677204832E-3</v>
      </c>
      <c r="Q194">
        <v>1.3367963164349013</v>
      </c>
      <c r="R194">
        <v>20217.453498461324</v>
      </c>
      <c r="S194" t="s">
        <v>16</v>
      </c>
      <c r="T194">
        <v>1.2490000000000001</v>
      </c>
      <c r="U194">
        <v>18889.63869</v>
      </c>
      <c r="V194">
        <v>1327.814808461324</v>
      </c>
      <c r="W194">
        <v>7.0293287778143518E-2</v>
      </c>
    </row>
    <row r="195" spans="1:23" x14ac:dyDescent="0.25">
      <c r="A195" t="s">
        <v>2701</v>
      </c>
      <c r="B195" t="s">
        <v>36</v>
      </c>
      <c r="C195" t="s">
        <v>116</v>
      </c>
      <c r="D195" t="s">
        <v>31</v>
      </c>
      <c r="E195" t="s">
        <v>74</v>
      </c>
      <c r="F195" s="1">
        <v>45881</v>
      </c>
      <c r="G195">
        <v>45926</v>
      </c>
      <c r="H195" t="s">
        <v>6</v>
      </c>
      <c r="I195">
        <v>5522.55</v>
      </c>
      <c r="J195" t="s">
        <v>75</v>
      </c>
      <c r="K195" t="s">
        <v>2702</v>
      </c>
      <c r="L195">
        <v>45</v>
      </c>
      <c r="M195" t="s">
        <v>36</v>
      </c>
      <c r="N195">
        <v>1.1606000000000001</v>
      </c>
      <c r="O195">
        <v>1.3462475350887368</v>
      </c>
      <c r="P195">
        <v>6.7359257109692395E-3</v>
      </c>
      <c r="Q195">
        <v>1.1606000000000001</v>
      </c>
      <c r="R195">
        <v>6409.4715300000007</v>
      </c>
      <c r="S195" t="s">
        <v>13</v>
      </c>
      <c r="T195">
        <v>1.0880000000000001</v>
      </c>
      <c r="U195">
        <v>6008.5344000000005</v>
      </c>
      <c r="V195">
        <v>400.93713000000025</v>
      </c>
      <c r="W195">
        <v>6.6727941176470629E-2</v>
      </c>
    </row>
    <row r="196" spans="1:23" x14ac:dyDescent="0.25">
      <c r="A196" t="s">
        <v>2699</v>
      </c>
      <c r="B196" t="s">
        <v>30</v>
      </c>
      <c r="C196" t="s">
        <v>103</v>
      </c>
      <c r="D196" t="s">
        <v>31</v>
      </c>
      <c r="E196" t="s">
        <v>74</v>
      </c>
      <c r="F196" s="1">
        <v>46258</v>
      </c>
      <c r="G196">
        <v>46288</v>
      </c>
      <c r="H196" t="s">
        <v>9</v>
      </c>
      <c r="I196">
        <v>4769710.79</v>
      </c>
      <c r="J196" t="s">
        <v>75</v>
      </c>
      <c r="K196" t="s">
        <v>2700</v>
      </c>
      <c r="L196">
        <v>30</v>
      </c>
      <c r="M196" t="s">
        <v>30</v>
      </c>
      <c r="N196">
        <v>1.1664000000000001</v>
      </c>
      <c r="O196">
        <v>1.3634132086499124</v>
      </c>
      <c r="P196">
        <v>6.2844827586206907E-3</v>
      </c>
      <c r="Q196">
        <v>6.2844827586206907E-3</v>
      </c>
      <c r="R196">
        <v>29975.165223362073</v>
      </c>
      <c r="S196" t="s">
        <v>21</v>
      </c>
      <c r="T196">
        <v>6.7400000000000003E-3</v>
      </c>
      <c r="U196">
        <v>32147.850724600001</v>
      </c>
      <c r="V196">
        <v>-2172.6855012379274</v>
      </c>
      <c r="W196">
        <v>-6.7584160442034066E-2</v>
      </c>
    </row>
    <row r="197" spans="1:23" x14ac:dyDescent="0.25">
      <c r="A197" t="s">
        <v>2697</v>
      </c>
      <c r="B197" t="s">
        <v>24</v>
      </c>
      <c r="C197" t="s">
        <v>73</v>
      </c>
      <c r="D197" t="s">
        <v>31</v>
      </c>
      <c r="E197" t="s">
        <v>74</v>
      </c>
      <c r="F197" s="1">
        <v>46313</v>
      </c>
      <c r="G197">
        <v>46343</v>
      </c>
      <c r="H197" t="s">
        <v>6</v>
      </c>
      <c r="I197">
        <v>35097.21</v>
      </c>
      <c r="J197" t="s">
        <v>84</v>
      </c>
      <c r="K197" t="s">
        <v>2698</v>
      </c>
      <c r="L197">
        <v>30</v>
      </c>
      <c r="M197" t="s">
        <v>24</v>
      </c>
      <c r="N197">
        <v>1.1176999999999999</v>
      </c>
      <c r="O197">
        <v>1.320456022210408</v>
      </c>
      <c r="P197">
        <v>6.3200452360757699E-3</v>
      </c>
      <c r="Q197">
        <v>1.1176999999999999</v>
      </c>
      <c r="R197">
        <v>39228.151616999996</v>
      </c>
      <c r="S197" t="s">
        <v>23</v>
      </c>
      <c r="T197">
        <v>1.119</v>
      </c>
      <c r="U197">
        <v>39273.777990000002</v>
      </c>
      <c r="V197">
        <v>-45.626373000006424</v>
      </c>
      <c r="W197">
        <v>-1.1617515638964995E-3</v>
      </c>
    </row>
    <row r="198" spans="1:23" x14ac:dyDescent="0.25">
      <c r="A198" t="s">
        <v>2695</v>
      </c>
      <c r="B198" t="s">
        <v>30</v>
      </c>
      <c r="C198" t="s">
        <v>103</v>
      </c>
      <c r="D198" t="s">
        <v>31</v>
      </c>
      <c r="E198" t="s">
        <v>74</v>
      </c>
      <c r="F198" s="1">
        <v>46145</v>
      </c>
      <c r="G198">
        <v>46175</v>
      </c>
      <c r="H198" t="s">
        <v>9</v>
      </c>
      <c r="I198">
        <v>958849.3</v>
      </c>
      <c r="J198" t="s">
        <v>75</v>
      </c>
      <c r="K198" t="s">
        <v>2696</v>
      </c>
      <c r="L198">
        <v>30</v>
      </c>
      <c r="M198" t="s">
        <v>30</v>
      </c>
      <c r="N198">
        <v>1.1701999999999999</v>
      </c>
      <c r="O198">
        <v>1.3508802308802308</v>
      </c>
      <c r="P198">
        <v>6.3872059385404719E-3</v>
      </c>
      <c r="Q198">
        <v>6.3872059385404719E-3</v>
      </c>
      <c r="R198">
        <v>6124.3679431253749</v>
      </c>
      <c r="S198" t="s">
        <v>19</v>
      </c>
      <c r="T198">
        <v>6.6E-3</v>
      </c>
      <c r="U198">
        <v>6328.4053800000002</v>
      </c>
      <c r="V198">
        <v>-204.0374368746252</v>
      </c>
      <c r="W198">
        <v>-3.2241524463564819E-2</v>
      </c>
    </row>
    <row r="199" spans="1:23" x14ac:dyDescent="0.25">
      <c r="A199" t="s">
        <v>2693</v>
      </c>
      <c r="B199" t="s">
        <v>39</v>
      </c>
      <c r="C199" t="s">
        <v>82</v>
      </c>
      <c r="D199" t="s">
        <v>33</v>
      </c>
      <c r="E199" t="s">
        <v>83</v>
      </c>
      <c r="F199" s="1">
        <v>45900</v>
      </c>
      <c r="G199">
        <v>45945</v>
      </c>
      <c r="H199" t="s">
        <v>8</v>
      </c>
      <c r="I199">
        <v>1402.49</v>
      </c>
      <c r="J199" t="s">
        <v>75</v>
      </c>
      <c r="K199" t="s">
        <v>2694</v>
      </c>
      <c r="L199">
        <v>45</v>
      </c>
      <c r="M199" t="s">
        <v>39</v>
      </c>
      <c r="N199">
        <v>1.1718999999999999</v>
      </c>
      <c r="O199">
        <v>1.3399268236908299</v>
      </c>
      <c r="P199">
        <v>6.4196110654615168E-3</v>
      </c>
      <c r="Q199">
        <v>1.3399268236908299</v>
      </c>
      <c r="R199">
        <v>1879.233970958152</v>
      </c>
      <c r="S199" t="s">
        <v>13</v>
      </c>
      <c r="T199">
        <v>1.282</v>
      </c>
      <c r="U199">
        <v>1797.99218</v>
      </c>
      <c r="V199">
        <v>81.241790958152023</v>
      </c>
      <c r="W199">
        <v>4.5184729868042041E-2</v>
      </c>
    </row>
    <row r="200" spans="1:23" x14ac:dyDescent="0.25">
      <c r="A200" t="s">
        <v>2691</v>
      </c>
      <c r="B200" t="s">
        <v>24</v>
      </c>
      <c r="C200" t="s">
        <v>73</v>
      </c>
      <c r="D200" t="s">
        <v>31</v>
      </c>
      <c r="E200" t="s">
        <v>74</v>
      </c>
      <c r="F200" s="1">
        <v>45912</v>
      </c>
      <c r="G200">
        <v>45942</v>
      </c>
      <c r="H200" t="s">
        <v>6</v>
      </c>
      <c r="I200">
        <v>16388.099999999999</v>
      </c>
      <c r="J200" t="s">
        <v>75</v>
      </c>
      <c r="K200" t="s">
        <v>2692</v>
      </c>
      <c r="L200">
        <v>30</v>
      </c>
      <c r="M200" t="s">
        <v>24</v>
      </c>
      <c r="N200">
        <v>1.1718</v>
      </c>
      <c r="O200">
        <v>1.3542124118802727</v>
      </c>
      <c r="P200">
        <v>6.7605146252812543E-3</v>
      </c>
      <c r="Q200">
        <v>1.1718</v>
      </c>
      <c r="R200">
        <v>19203.575579999997</v>
      </c>
      <c r="S200" t="s">
        <v>13</v>
      </c>
      <c r="T200">
        <v>1.0880000000000001</v>
      </c>
      <c r="U200">
        <v>17830.252799999998</v>
      </c>
      <c r="V200">
        <v>1373.3227799999986</v>
      </c>
      <c r="W200">
        <v>7.7022058823529346E-2</v>
      </c>
    </row>
    <row r="201" spans="1:23" x14ac:dyDescent="0.25">
      <c r="A201" t="s">
        <v>2689</v>
      </c>
      <c r="B201" t="s">
        <v>20</v>
      </c>
      <c r="C201" t="s">
        <v>123</v>
      </c>
      <c r="D201" t="s">
        <v>31</v>
      </c>
      <c r="E201" t="s">
        <v>124</v>
      </c>
      <c r="F201" s="1">
        <v>46101</v>
      </c>
      <c r="G201">
        <v>46146</v>
      </c>
      <c r="H201" t="s">
        <v>6</v>
      </c>
      <c r="I201">
        <v>54670.78</v>
      </c>
      <c r="J201" t="s">
        <v>75</v>
      </c>
      <c r="K201" t="s">
        <v>2690</v>
      </c>
      <c r="L201">
        <v>45</v>
      </c>
      <c r="M201" t="s">
        <v>20</v>
      </c>
      <c r="N201">
        <v>1.1555</v>
      </c>
      <c r="O201">
        <v>1.3367963164349013</v>
      </c>
      <c r="P201">
        <v>6.2983756677204832E-3</v>
      </c>
      <c r="Q201">
        <v>1.1555</v>
      </c>
      <c r="R201">
        <v>63172.086289999999</v>
      </c>
      <c r="S201" t="s">
        <v>16</v>
      </c>
      <c r="T201">
        <v>1.0649999999999999</v>
      </c>
      <c r="U201">
        <v>58224.380699999994</v>
      </c>
      <c r="V201">
        <v>4947.705590000005</v>
      </c>
      <c r="W201">
        <v>8.4976525821596344E-2</v>
      </c>
    </row>
    <row r="202" spans="1:23" x14ac:dyDescent="0.25">
      <c r="A202" t="s">
        <v>2687</v>
      </c>
      <c r="B202" t="s">
        <v>37</v>
      </c>
      <c r="C202" t="s">
        <v>91</v>
      </c>
      <c r="D202" t="s">
        <v>31</v>
      </c>
      <c r="E202" t="s">
        <v>74</v>
      </c>
      <c r="F202" s="1">
        <v>45813</v>
      </c>
      <c r="G202">
        <v>45843</v>
      </c>
      <c r="H202" t="s">
        <v>6</v>
      </c>
      <c r="I202">
        <v>24572.36</v>
      </c>
      <c r="J202" t="s">
        <v>75</v>
      </c>
      <c r="K202" t="s">
        <v>2688</v>
      </c>
      <c r="L202">
        <v>30</v>
      </c>
      <c r="M202" t="s">
        <v>37</v>
      </c>
      <c r="N202">
        <v>1.1423000000000001</v>
      </c>
      <c r="O202">
        <v>1.3568119729183989</v>
      </c>
      <c r="P202">
        <v>6.9797140413051456E-3</v>
      </c>
      <c r="Q202">
        <v>1.1423000000000001</v>
      </c>
      <c r="R202">
        <v>28069.006828000001</v>
      </c>
      <c r="S202" t="s">
        <v>12</v>
      </c>
      <c r="T202">
        <v>1.07</v>
      </c>
      <c r="U202">
        <v>26292.425200000001</v>
      </c>
      <c r="V202">
        <v>1776.5816279999999</v>
      </c>
      <c r="W202">
        <v>6.7570093457943917E-2</v>
      </c>
    </row>
    <row r="203" spans="1:23" x14ac:dyDescent="0.25">
      <c r="A203" t="s">
        <v>2685</v>
      </c>
      <c r="B203" t="s">
        <v>38</v>
      </c>
      <c r="C203" t="s">
        <v>87</v>
      </c>
      <c r="D203" t="s">
        <v>33</v>
      </c>
      <c r="E203" t="s">
        <v>88</v>
      </c>
      <c r="F203" s="1">
        <v>46284</v>
      </c>
      <c r="G203">
        <v>46314</v>
      </c>
      <c r="H203" t="s">
        <v>6</v>
      </c>
      <c r="I203">
        <v>2235.4</v>
      </c>
      <c r="J203" t="s">
        <v>75</v>
      </c>
      <c r="K203" t="s">
        <v>2686</v>
      </c>
      <c r="L203">
        <v>30</v>
      </c>
      <c r="M203" t="s">
        <v>38</v>
      </c>
      <c r="N203">
        <v>1.1459999999999999</v>
      </c>
      <c r="O203">
        <v>1.3344201210992082</v>
      </c>
      <c r="P203">
        <v>6.3335912457168119E-3</v>
      </c>
      <c r="Q203">
        <v>1.1459999999999999</v>
      </c>
      <c r="R203">
        <v>2561.7683999999999</v>
      </c>
      <c r="S203" t="s">
        <v>21</v>
      </c>
      <c r="T203">
        <v>1.101</v>
      </c>
      <c r="U203">
        <v>2461.1754000000001</v>
      </c>
      <c r="V203">
        <v>100.59299999999985</v>
      </c>
      <c r="W203">
        <v>4.087193460490457E-2</v>
      </c>
    </row>
    <row r="204" spans="1:23" x14ac:dyDescent="0.25">
      <c r="A204" t="s">
        <v>2683</v>
      </c>
      <c r="B204" t="s">
        <v>24</v>
      </c>
      <c r="C204" t="s">
        <v>73</v>
      </c>
      <c r="D204" t="s">
        <v>31</v>
      </c>
      <c r="E204" t="s">
        <v>74</v>
      </c>
      <c r="F204" s="1">
        <v>46185</v>
      </c>
      <c r="G204">
        <v>46215</v>
      </c>
      <c r="H204" t="s">
        <v>6</v>
      </c>
      <c r="I204">
        <v>15409.91</v>
      </c>
      <c r="J204" t="s">
        <v>75</v>
      </c>
      <c r="K204" t="s">
        <v>2684</v>
      </c>
      <c r="L204">
        <v>30</v>
      </c>
      <c r="M204" t="s">
        <v>24</v>
      </c>
      <c r="N204">
        <v>1.1567000000000001</v>
      </c>
      <c r="O204">
        <v>1.3402467991425759</v>
      </c>
      <c r="P204">
        <v>6.2423097679438749E-3</v>
      </c>
      <c r="Q204">
        <v>1.1567000000000001</v>
      </c>
      <c r="R204">
        <v>17824.642897000002</v>
      </c>
      <c r="S204" t="s">
        <v>19</v>
      </c>
      <c r="T204">
        <v>1.083</v>
      </c>
      <c r="U204">
        <v>16688.932529999998</v>
      </c>
      <c r="V204">
        <v>1135.7103670000033</v>
      </c>
      <c r="W204">
        <v>6.8051708217913412E-2</v>
      </c>
    </row>
    <row r="205" spans="1:23" x14ac:dyDescent="0.25">
      <c r="A205" t="s">
        <v>2680</v>
      </c>
      <c r="B205" t="s">
        <v>30</v>
      </c>
      <c r="C205" t="s">
        <v>103</v>
      </c>
      <c r="D205" t="s">
        <v>31</v>
      </c>
      <c r="E205" t="s">
        <v>74</v>
      </c>
      <c r="F205" s="1">
        <v>45976</v>
      </c>
      <c r="G205">
        <v>46006</v>
      </c>
      <c r="H205" t="s">
        <v>9</v>
      </c>
      <c r="I205">
        <v>1847613.07</v>
      </c>
      <c r="J205" t="s">
        <v>75</v>
      </c>
      <c r="K205" t="s">
        <v>2681</v>
      </c>
      <c r="L205">
        <v>30</v>
      </c>
      <c r="M205" t="s">
        <v>30</v>
      </c>
      <c r="N205">
        <v>1.1555</v>
      </c>
      <c r="O205">
        <v>1.3367963164349013</v>
      </c>
      <c r="P205">
        <v>6.2983756677204832E-3</v>
      </c>
      <c r="Q205">
        <v>6.2983756677204832E-3</v>
      </c>
      <c r="R205">
        <v>11636.961203450343</v>
      </c>
      <c r="S205" t="s">
        <v>14</v>
      </c>
      <c r="T205">
        <v>6.9800000000000001E-3</v>
      </c>
      <c r="U205">
        <v>12896.3392286</v>
      </c>
      <c r="V205">
        <v>-1259.3780251496573</v>
      </c>
      <c r="W205">
        <v>-9.7653915799357643E-2</v>
      </c>
    </row>
    <row r="206" spans="1:23" x14ac:dyDescent="0.25">
      <c r="A206" t="s">
        <v>2680</v>
      </c>
      <c r="B206" t="s">
        <v>40</v>
      </c>
      <c r="C206" t="s">
        <v>78</v>
      </c>
      <c r="D206" t="s">
        <v>33</v>
      </c>
      <c r="E206" t="s">
        <v>79</v>
      </c>
      <c r="F206" s="1">
        <v>45770</v>
      </c>
      <c r="G206">
        <v>45800</v>
      </c>
      <c r="H206" t="s">
        <v>9</v>
      </c>
      <c r="I206">
        <v>1202749.04</v>
      </c>
      <c r="J206" t="s">
        <v>75</v>
      </c>
      <c r="K206" t="s">
        <v>2682</v>
      </c>
      <c r="L206">
        <v>30</v>
      </c>
      <c r="M206" t="s">
        <v>40</v>
      </c>
      <c r="N206">
        <v>1.1415</v>
      </c>
      <c r="O206">
        <v>1.3305281316657536</v>
      </c>
      <c r="P206">
        <v>7.0602424542305781E-3</v>
      </c>
      <c r="Q206">
        <v>7.0602424542305781E-3</v>
      </c>
      <c r="R206">
        <v>8491.6998339930724</v>
      </c>
      <c r="S206" t="s">
        <v>12</v>
      </c>
      <c r="T206">
        <v>6.7000000000000002E-3</v>
      </c>
      <c r="U206">
        <v>8058.418568000001</v>
      </c>
      <c r="V206">
        <v>433.28126599307143</v>
      </c>
      <c r="W206">
        <v>5.3767530482175793E-2</v>
      </c>
    </row>
    <row r="207" spans="1:23" x14ac:dyDescent="0.25">
      <c r="A207" t="s">
        <v>2678</v>
      </c>
      <c r="B207" t="s">
        <v>37</v>
      </c>
      <c r="C207" t="s">
        <v>91</v>
      </c>
      <c r="D207" t="s">
        <v>31</v>
      </c>
      <c r="E207" t="s">
        <v>74</v>
      </c>
      <c r="F207" s="1">
        <v>46013</v>
      </c>
      <c r="G207">
        <v>46043</v>
      </c>
      <c r="H207" t="s">
        <v>6</v>
      </c>
      <c r="I207">
        <v>14695.41</v>
      </c>
      <c r="J207" t="s">
        <v>75</v>
      </c>
      <c r="K207" t="s">
        <v>2679</v>
      </c>
      <c r="L207">
        <v>30</v>
      </c>
      <c r="M207" t="s">
        <v>37</v>
      </c>
      <c r="N207">
        <v>1.1745000000000001</v>
      </c>
      <c r="O207">
        <v>1.3435140700068635</v>
      </c>
      <c r="P207">
        <v>6.3565513882123722E-3</v>
      </c>
      <c r="Q207">
        <v>1.1745000000000001</v>
      </c>
      <c r="R207">
        <v>17259.759045000003</v>
      </c>
      <c r="S207" t="s">
        <v>14</v>
      </c>
      <c r="T207">
        <v>1.1060000000000001</v>
      </c>
      <c r="U207">
        <v>16253.123460000001</v>
      </c>
      <c r="V207">
        <v>1006.6355850000018</v>
      </c>
      <c r="W207">
        <v>6.1934900542495591E-2</v>
      </c>
    </row>
    <row r="208" spans="1:23" x14ac:dyDescent="0.25">
      <c r="A208" t="s">
        <v>2676</v>
      </c>
      <c r="B208" t="s">
        <v>30</v>
      </c>
      <c r="C208" t="s">
        <v>103</v>
      </c>
      <c r="D208" t="s">
        <v>31</v>
      </c>
      <c r="E208" t="s">
        <v>74</v>
      </c>
      <c r="F208" s="1">
        <v>46121</v>
      </c>
      <c r="G208">
        <v>46151</v>
      </c>
      <c r="H208" t="s">
        <v>9</v>
      </c>
      <c r="I208">
        <v>2717415.21</v>
      </c>
      <c r="J208" t="s">
        <v>75</v>
      </c>
      <c r="K208" t="s">
        <v>2677</v>
      </c>
      <c r="L208">
        <v>30</v>
      </c>
      <c r="M208" t="s">
        <v>30</v>
      </c>
      <c r="N208">
        <v>1.1685000000000001</v>
      </c>
      <c r="O208">
        <v>1.3422857339781513</v>
      </c>
      <c r="P208">
        <v>6.2924071082390964E-3</v>
      </c>
      <c r="Q208">
        <v>6.2924071082390964E-3</v>
      </c>
      <c r="R208">
        <v>17099.082783441037</v>
      </c>
      <c r="S208" t="s">
        <v>19</v>
      </c>
      <c r="T208">
        <v>6.6E-3</v>
      </c>
      <c r="U208">
        <v>17934.940385999998</v>
      </c>
      <c r="V208">
        <v>-835.85760255896093</v>
      </c>
      <c r="W208">
        <v>-4.660498360013679E-2</v>
      </c>
    </row>
    <row r="209" spans="1:23" x14ac:dyDescent="0.25">
      <c r="A209" t="s">
        <v>2674</v>
      </c>
      <c r="B209" t="s">
        <v>34</v>
      </c>
      <c r="C209" t="s">
        <v>177</v>
      </c>
      <c r="D209" t="s">
        <v>31</v>
      </c>
      <c r="E209" t="s">
        <v>74</v>
      </c>
      <c r="F209" s="1">
        <v>46103</v>
      </c>
      <c r="G209">
        <v>46163</v>
      </c>
      <c r="H209" t="s">
        <v>8</v>
      </c>
      <c r="I209">
        <v>21773.99</v>
      </c>
      <c r="J209" t="s">
        <v>75</v>
      </c>
      <c r="K209" t="s">
        <v>2675</v>
      </c>
      <c r="L209">
        <v>60</v>
      </c>
      <c r="M209" t="s">
        <v>34</v>
      </c>
      <c r="N209">
        <v>1.1555</v>
      </c>
      <c r="O209">
        <v>1.3367963164349013</v>
      </c>
      <c r="P209">
        <v>6.2983756677204832E-3</v>
      </c>
      <c r="Q209">
        <v>1.3367963164349013</v>
      </c>
      <c r="R209">
        <v>29107.389626090378</v>
      </c>
      <c r="S209" t="s">
        <v>16</v>
      </c>
      <c r="T209">
        <v>1.2490000000000001</v>
      </c>
      <c r="U209">
        <v>27195.713510000005</v>
      </c>
      <c r="V209">
        <v>1911.6761160903734</v>
      </c>
      <c r="W209">
        <v>7.0293287778143421E-2</v>
      </c>
    </row>
    <row r="210" spans="1:23" x14ac:dyDescent="0.25">
      <c r="A210" t="s">
        <v>2672</v>
      </c>
      <c r="B210" t="s">
        <v>22</v>
      </c>
      <c r="C210" t="s">
        <v>127</v>
      </c>
      <c r="D210" t="s">
        <v>31</v>
      </c>
      <c r="E210" t="s">
        <v>124</v>
      </c>
      <c r="F210" s="1">
        <v>46227</v>
      </c>
      <c r="G210">
        <v>46287</v>
      </c>
      <c r="H210" t="s">
        <v>9</v>
      </c>
      <c r="I210">
        <v>10311045.75</v>
      </c>
      <c r="J210" t="s">
        <v>75</v>
      </c>
      <c r="K210" t="s">
        <v>2673</v>
      </c>
      <c r="L210">
        <v>60</v>
      </c>
      <c r="M210" t="s">
        <v>22</v>
      </c>
      <c r="N210">
        <v>1.1376999999999999</v>
      </c>
      <c r="O210">
        <v>1.3323886260364455</v>
      </c>
      <c r="P210">
        <v>6.1041957291554884E-3</v>
      </c>
      <c r="Q210">
        <v>6.1041957291554884E-3</v>
      </c>
      <c r="R210">
        <v>62940.641430276846</v>
      </c>
      <c r="S210" t="s">
        <v>21</v>
      </c>
      <c r="T210">
        <v>6.7400000000000003E-3</v>
      </c>
      <c r="U210">
        <v>69496.448355</v>
      </c>
      <c r="V210">
        <v>-6555.8069247231542</v>
      </c>
      <c r="W210">
        <v>-9.4332977870105639E-2</v>
      </c>
    </row>
    <row r="211" spans="1:23" x14ac:dyDescent="0.25">
      <c r="A211" t="s">
        <v>2670</v>
      </c>
      <c r="B211" t="s">
        <v>30</v>
      </c>
      <c r="C211" t="s">
        <v>103</v>
      </c>
      <c r="D211" t="s">
        <v>31</v>
      </c>
      <c r="E211" t="s">
        <v>74</v>
      </c>
      <c r="F211" s="1">
        <v>45844</v>
      </c>
      <c r="G211">
        <v>45874</v>
      </c>
      <c r="H211" t="s">
        <v>9</v>
      </c>
      <c r="I211">
        <v>1489724.93</v>
      </c>
      <c r="J211" t="s">
        <v>75</v>
      </c>
      <c r="K211" t="s">
        <v>2671</v>
      </c>
      <c r="L211">
        <v>30</v>
      </c>
      <c r="M211" t="s">
        <v>30</v>
      </c>
      <c r="N211">
        <v>1.1724000000000001</v>
      </c>
      <c r="O211">
        <v>1.3469669117647061</v>
      </c>
      <c r="P211">
        <v>6.7977039485127852E-3</v>
      </c>
      <c r="Q211">
        <v>6.7977039485127852E-3</v>
      </c>
      <c r="R211">
        <v>10126.709038858931</v>
      </c>
      <c r="S211" t="s">
        <v>13</v>
      </c>
      <c r="T211">
        <v>6.8399999999999997E-3</v>
      </c>
      <c r="U211">
        <v>10189.718521199999</v>
      </c>
      <c r="V211">
        <v>-63.009482341067269</v>
      </c>
      <c r="W211">
        <v>-6.1836332583647185E-3</v>
      </c>
    </row>
    <row r="212" spans="1:23" x14ac:dyDescent="0.25">
      <c r="A212" t="s">
        <v>2668</v>
      </c>
      <c r="B212" t="s">
        <v>25</v>
      </c>
      <c r="C212" t="s">
        <v>169</v>
      </c>
      <c r="D212" t="s">
        <v>31</v>
      </c>
      <c r="E212" t="s">
        <v>124</v>
      </c>
      <c r="F212" s="1">
        <v>45797</v>
      </c>
      <c r="G212">
        <v>45857</v>
      </c>
      <c r="H212" t="s">
        <v>6</v>
      </c>
      <c r="I212">
        <v>76427.649999999994</v>
      </c>
      <c r="J212" t="s">
        <v>75</v>
      </c>
      <c r="K212" t="s">
        <v>2669</v>
      </c>
      <c r="L212">
        <v>60</v>
      </c>
      <c r="M212" t="s">
        <v>25</v>
      </c>
      <c r="N212">
        <v>1.1241000000000001</v>
      </c>
      <c r="O212">
        <v>1.3353528153955809</v>
      </c>
      <c r="P212">
        <v>6.9137093302171111E-3</v>
      </c>
      <c r="Q212">
        <v>1.1241000000000001</v>
      </c>
      <c r="R212">
        <v>85912.321364999996</v>
      </c>
      <c r="S212" t="s">
        <v>12</v>
      </c>
      <c r="T212">
        <v>1.07</v>
      </c>
      <c r="U212">
        <v>81777.585500000001</v>
      </c>
      <c r="V212">
        <v>4134.7358649999951</v>
      </c>
      <c r="W212">
        <v>5.0560747663551342E-2</v>
      </c>
    </row>
    <row r="213" spans="1:23" x14ac:dyDescent="0.25">
      <c r="A213" t="s">
        <v>2666</v>
      </c>
      <c r="B213" t="s">
        <v>39</v>
      </c>
      <c r="C213" t="s">
        <v>82</v>
      </c>
      <c r="D213" t="s">
        <v>33</v>
      </c>
      <c r="E213" t="s">
        <v>83</v>
      </c>
      <c r="F213" s="1">
        <v>45940</v>
      </c>
      <c r="G213">
        <v>45985</v>
      </c>
      <c r="H213" t="s">
        <v>8</v>
      </c>
      <c r="I213">
        <v>1658.48</v>
      </c>
      <c r="J213" t="s">
        <v>75</v>
      </c>
      <c r="K213" t="s">
        <v>2667</v>
      </c>
      <c r="L213">
        <v>45</v>
      </c>
      <c r="M213" t="s">
        <v>39</v>
      </c>
      <c r="N213">
        <v>1.1568000000000001</v>
      </c>
      <c r="O213">
        <v>1.3282810885291079</v>
      </c>
      <c r="P213">
        <v>6.5555933356001364E-3</v>
      </c>
      <c r="Q213">
        <v>1.3282810885291079</v>
      </c>
      <c r="R213">
        <v>2202.9276197037548</v>
      </c>
      <c r="S213" t="s">
        <v>14</v>
      </c>
      <c r="T213">
        <v>1.304</v>
      </c>
      <c r="U213">
        <v>2162.6579200000001</v>
      </c>
      <c r="V213">
        <v>40.269699703754668</v>
      </c>
      <c r="W213">
        <v>1.8620466663426209E-2</v>
      </c>
    </row>
    <row r="214" spans="1:23" x14ac:dyDescent="0.25">
      <c r="A214" t="s">
        <v>2664</v>
      </c>
      <c r="B214" t="s">
        <v>32</v>
      </c>
      <c r="C214" t="s">
        <v>106</v>
      </c>
      <c r="D214" t="s">
        <v>31</v>
      </c>
      <c r="E214" t="s">
        <v>74</v>
      </c>
      <c r="F214" s="1">
        <v>46346</v>
      </c>
      <c r="G214">
        <v>46376</v>
      </c>
      <c r="H214" t="s">
        <v>6</v>
      </c>
      <c r="I214">
        <v>27843.84</v>
      </c>
      <c r="J214" t="s">
        <v>84</v>
      </c>
      <c r="K214" t="s">
        <v>2665</v>
      </c>
      <c r="L214">
        <v>30</v>
      </c>
      <c r="M214" t="s">
        <v>32</v>
      </c>
      <c r="N214">
        <v>1.1176999999999999</v>
      </c>
      <c r="O214">
        <v>1.320456022210408</v>
      </c>
      <c r="P214">
        <v>6.3200452360757699E-3</v>
      </c>
      <c r="Q214">
        <v>1.1176999999999999</v>
      </c>
      <c r="R214">
        <v>31121.059967999998</v>
      </c>
      <c r="S214" t="s">
        <v>23</v>
      </c>
      <c r="T214">
        <v>1.119</v>
      </c>
      <c r="U214">
        <v>31157.256959999999</v>
      </c>
      <c r="V214">
        <v>-36.196992000001046</v>
      </c>
      <c r="W214">
        <v>-1.1617515638963696E-3</v>
      </c>
    </row>
    <row r="215" spans="1:23" x14ac:dyDescent="0.25">
      <c r="A215" t="s">
        <v>2662</v>
      </c>
      <c r="B215" t="s">
        <v>24</v>
      </c>
      <c r="C215" t="s">
        <v>73</v>
      </c>
      <c r="D215" t="s">
        <v>31</v>
      </c>
      <c r="E215" t="s">
        <v>74</v>
      </c>
      <c r="F215" s="1">
        <v>45722</v>
      </c>
      <c r="G215">
        <v>45752</v>
      </c>
      <c r="H215" t="s">
        <v>6</v>
      </c>
      <c r="I215">
        <v>21208.73</v>
      </c>
      <c r="J215" t="s">
        <v>75</v>
      </c>
      <c r="K215" t="s">
        <v>2663</v>
      </c>
      <c r="L215">
        <v>30</v>
      </c>
      <c r="M215" t="s">
        <v>24</v>
      </c>
      <c r="N215">
        <v>1.0795999999999999</v>
      </c>
      <c r="O215">
        <v>1.2884592433464612</v>
      </c>
      <c r="P215">
        <v>6.7797035920622948E-3</v>
      </c>
      <c r="Q215">
        <v>1.0795999999999999</v>
      </c>
      <c r="R215">
        <v>22896.944907999998</v>
      </c>
      <c r="S215" t="s">
        <v>11</v>
      </c>
      <c r="T215">
        <v>1.052</v>
      </c>
      <c r="U215">
        <v>22311.58396</v>
      </c>
      <c r="V215">
        <v>585.36094799999773</v>
      </c>
      <c r="W215">
        <v>2.623574144486682E-2</v>
      </c>
    </row>
    <row r="216" spans="1:23" x14ac:dyDescent="0.25">
      <c r="A216" t="s">
        <v>2660</v>
      </c>
      <c r="B216" t="s">
        <v>20</v>
      </c>
      <c r="C216" t="s">
        <v>123</v>
      </c>
      <c r="D216" t="s">
        <v>31</v>
      </c>
      <c r="E216" t="s">
        <v>124</v>
      </c>
      <c r="F216" s="1">
        <v>46259</v>
      </c>
      <c r="G216">
        <v>46304</v>
      </c>
      <c r="H216" t="s">
        <v>6</v>
      </c>
      <c r="I216">
        <v>54707</v>
      </c>
      <c r="J216" t="s">
        <v>75</v>
      </c>
      <c r="K216" t="s">
        <v>2661</v>
      </c>
      <c r="L216">
        <v>45</v>
      </c>
      <c r="M216" t="s">
        <v>20</v>
      </c>
      <c r="N216">
        <v>1.1661999999999999</v>
      </c>
      <c r="O216">
        <v>1.3631794272355346</v>
      </c>
      <c r="P216">
        <v>6.2800215401184701E-3</v>
      </c>
      <c r="Q216">
        <v>1.1661999999999999</v>
      </c>
      <c r="R216">
        <v>63799.303399999997</v>
      </c>
      <c r="S216" t="s">
        <v>21</v>
      </c>
      <c r="T216">
        <v>1.101</v>
      </c>
      <c r="U216">
        <v>60232.406999999999</v>
      </c>
      <c r="V216">
        <v>3566.8963999999978</v>
      </c>
      <c r="W216">
        <v>5.9218891916439566E-2</v>
      </c>
    </row>
    <row r="217" spans="1:23" x14ac:dyDescent="0.25">
      <c r="A217" t="s">
        <v>2658</v>
      </c>
      <c r="B217" t="s">
        <v>34</v>
      </c>
      <c r="C217" t="s">
        <v>177</v>
      </c>
      <c r="D217" t="s">
        <v>31</v>
      </c>
      <c r="E217" t="s">
        <v>74</v>
      </c>
      <c r="F217" s="1">
        <v>46297</v>
      </c>
      <c r="G217">
        <v>46357</v>
      </c>
      <c r="H217" t="s">
        <v>8</v>
      </c>
      <c r="I217">
        <v>7340.39</v>
      </c>
      <c r="J217" t="s">
        <v>84</v>
      </c>
      <c r="K217" t="s">
        <v>2659</v>
      </c>
      <c r="L217">
        <v>60</v>
      </c>
      <c r="M217" t="s">
        <v>34</v>
      </c>
      <c r="N217">
        <v>1.1225000000000001</v>
      </c>
      <c r="O217">
        <v>1.3200757353027648</v>
      </c>
      <c r="P217">
        <v>6.3421662240804562E-3</v>
      </c>
      <c r="Q217">
        <v>1.3200757353027648</v>
      </c>
      <c r="R217">
        <v>9689.8707266590627</v>
      </c>
      <c r="S217" t="s">
        <v>23</v>
      </c>
      <c r="T217">
        <v>1.3149999999999999</v>
      </c>
      <c r="U217">
        <v>9652.6128499999995</v>
      </c>
      <c r="V217">
        <v>37.257876659063186</v>
      </c>
      <c r="W217">
        <v>3.8598747549543734E-3</v>
      </c>
    </row>
    <row r="218" spans="1:23" x14ac:dyDescent="0.25">
      <c r="A218" t="s">
        <v>2656</v>
      </c>
      <c r="B218" t="s">
        <v>44</v>
      </c>
      <c r="C218" t="s">
        <v>138</v>
      </c>
      <c r="D218" t="s">
        <v>33</v>
      </c>
      <c r="E218" t="s">
        <v>88</v>
      </c>
      <c r="F218" s="1">
        <v>45782</v>
      </c>
      <c r="G218">
        <v>45827</v>
      </c>
      <c r="H218" t="s">
        <v>9</v>
      </c>
      <c r="I218">
        <v>880086.72</v>
      </c>
      <c r="J218" t="s">
        <v>75</v>
      </c>
      <c r="K218" t="s">
        <v>2657</v>
      </c>
      <c r="L218">
        <v>45</v>
      </c>
      <c r="M218" t="s">
        <v>44</v>
      </c>
      <c r="N218">
        <v>1.1343000000000001</v>
      </c>
      <c r="O218">
        <v>1.3321197886083382</v>
      </c>
      <c r="P218">
        <v>6.9507935535265651E-3</v>
      </c>
      <c r="Q218">
        <v>6.9507935535265651E-3</v>
      </c>
      <c r="R218">
        <v>6117.3010999203389</v>
      </c>
      <c r="S218" t="s">
        <v>12</v>
      </c>
      <c r="T218">
        <v>6.7000000000000002E-3</v>
      </c>
      <c r="U218">
        <v>5896.5810240000001</v>
      </c>
      <c r="V218">
        <v>220.72007592033879</v>
      </c>
      <c r="W218">
        <v>3.7431873660681306E-2</v>
      </c>
    </row>
    <row r="219" spans="1:23" x14ac:dyDescent="0.25">
      <c r="A219" t="s">
        <v>2654</v>
      </c>
      <c r="B219" t="s">
        <v>42</v>
      </c>
      <c r="C219" t="s">
        <v>151</v>
      </c>
      <c r="D219" t="s">
        <v>35</v>
      </c>
      <c r="E219" t="s">
        <v>152</v>
      </c>
      <c r="F219" s="1">
        <v>45814</v>
      </c>
      <c r="G219">
        <v>45844</v>
      </c>
      <c r="H219" t="s">
        <v>8</v>
      </c>
      <c r="I219">
        <v>9955.5499999999993</v>
      </c>
      <c r="J219" t="s">
        <v>75</v>
      </c>
      <c r="K219" t="s">
        <v>2655</v>
      </c>
      <c r="L219">
        <v>30</v>
      </c>
      <c r="M219" t="s">
        <v>42</v>
      </c>
      <c r="N219">
        <v>1.1411</v>
      </c>
      <c r="O219">
        <v>1.3542606218846427</v>
      </c>
      <c r="P219">
        <v>6.9317215405175553E-3</v>
      </c>
      <c r="Q219">
        <v>1.3542606218846427</v>
      </c>
      <c r="R219">
        <v>13482.409334203654</v>
      </c>
      <c r="S219" t="s">
        <v>12</v>
      </c>
      <c r="T219">
        <v>1.26</v>
      </c>
      <c r="U219">
        <v>12543.992999999999</v>
      </c>
      <c r="V219">
        <v>938.41633420365542</v>
      </c>
      <c r="W219">
        <v>7.4810017368764123E-2</v>
      </c>
    </row>
    <row r="220" spans="1:23" x14ac:dyDescent="0.25">
      <c r="A220" t="s">
        <v>2652</v>
      </c>
      <c r="B220" t="s">
        <v>26</v>
      </c>
      <c r="C220" t="s">
        <v>94</v>
      </c>
      <c r="D220" t="s">
        <v>31</v>
      </c>
      <c r="E220" t="s">
        <v>74</v>
      </c>
      <c r="F220" s="1">
        <v>46199</v>
      </c>
      <c r="G220">
        <v>46229</v>
      </c>
      <c r="H220" t="s">
        <v>8</v>
      </c>
      <c r="I220">
        <v>12413.68</v>
      </c>
      <c r="J220" t="s">
        <v>75</v>
      </c>
      <c r="K220" t="s">
        <v>2653</v>
      </c>
      <c r="L220">
        <v>30</v>
      </c>
      <c r="M220" t="s">
        <v>26</v>
      </c>
      <c r="N220">
        <v>1.1400999999999999</v>
      </c>
      <c r="O220">
        <v>1.3218090964951943</v>
      </c>
      <c r="P220">
        <v>6.1861096039066733E-3</v>
      </c>
      <c r="Q220">
        <v>1.3218090964951943</v>
      </c>
      <c r="R220">
        <v>16408.515144980465</v>
      </c>
      <c r="S220" t="s">
        <v>19</v>
      </c>
      <c r="T220">
        <v>1.2709999999999999</v>
      </c>
      <c r="U220">
        <v>15777.787279999999</v>
      </c>
      <c r="V220">
        <v>630.72786498046662</v>
      </c>
      <c r="W220">
        <v>3.9975685676785638E-2</v>
      </c>
    </row>
    <row r="221" spans="1:23" x14ac:dyDescent="0.25">
      <c r="A221" t="s">
        <v>2650</v>
      </c>
      <c r="B221" t="s">
        <v>32</v>
      </c>
      <c r="C221" t="s">
        <v>106</v>
      </c>
      <c r="D221" t="s">
        <v>31</v>
      </c>
      <c r="E221" t="s">
        <v>74</v>
      </c>
      <c r="F221" s="1">
        <v>45970</v>
      </c>
      <c r="G221">
        <v>46000</v>
      </c>
      <c r="H221" t="s">
        <v>6</v>
      </c>
      <c r="I221">
        <v>16768.02</v>
      </c>
      <c r="J221" t="s">
        <v>75</v>
      </c>
      <c r="K221" t="s">
        <v>2651</v>
      </c>
      <c r="L221">
        <v>30</v>
      </c>
      <c r="M221" t="s">
        <v>32</v>
      </c>
      <c r="N221">
        <v>1.1555</v>
      </c>
      <c r="O221">
        <v>1.3367963164349013</v>
      </c>
      <c r="P221">
        <v>6.2983756677204832E-3</v>
      </c>
      <c r="Q221">
        <v>1.1555</v>
      </c>
      <c r="R221">
        <v>19375.447110000001</v>
      </c>
      <c r="S221" t="s">
        <v>14</v>
      </c>
      <c r="T221">
        <v>1.1060000000000001</v>
      </c>
      <c r="U221">
        <v>18545.430120000001</v>
      </c>
      <c r="V221">
        <v>830.01699000000008</v>
      </c>
      <c r="W221">
        <v>4.4755877034358051E-2</v>
      </c>
    </row>
    <row r="222" spans="1:23" x14ac:dyDescent="0.25">
      <c r="A222" t="s">
        <v>2648</v>
      </c>
      <c r="B222" t="s">
        <v>36</v>
      </c>
      <c r="C222" t="s">
        <v>116</v>
      </c>
      <c r="D222" t="s">
        <v>31</v>
      </c>
      <c r="E222" t="s">
        <v>74</v>
      </c>
      <c r="F222" s="1">
        <v>45922</v>
      </c>
      <c r="G222">
        <v>45967</v>
      </c>
      <c r="H222" t="s">
        <v>6</v>
      </c>
      <c r="I222">
        <v>21277.24</v>
      </c>
      <c r="J222" t="s">
        <v>75</v>
      </c>
      <c r="K222" t="s">
        <v>2649</v>
      </c>
      <c r="L222">
        <v>45</v>
      </c>
      <c r="M222" t="s">
        <v>36</v>
      </c>
      <c r="N222">
        <v>1.1780999999999999</v>
      </c>
      <c r="O222">
        <v>1.3496391339214113</v>
      </c>
      <c r="P222">
        <v>6.7640810702187517E-3</v>
      </c>
      <c r="Q222">
        <v>1.1780999999999999</v>
      </c>
      <c r="R222">
        <v>25066.716444000002</v>
      </c>
      <c r="S222" t="s">
        <v>13</v>
      </c>
      <c r="T222">
        <v>1.0880000000000001</v>
      </c>
      <c r="U222">
        <v>23149.637120000003</v>
      </c>
      <c r="V222">
        <v>1917.0793239999985</v>
      </c>
      <c r="W222">
        <v>8.2812499999999928E-2</v>
      </c>
    </row>
    <row r="223" spans="1:23" x14ac:dyDescent="0.25">
      <c r="A223" t="s">
        <v>2646</v>
      </c>
      <c r="B223" t="s">
        <v>24</v>
      </c>
      <c r="C223" t="s">
        <v>73</v>
      </c>
      <c r="D223" t="s">
        <v>31</v>
      </c>
      <c r="E223" t="s">
        <v>74</v>
      </c>
      <c r="F223" s="1">
        <v>45776</v>
      </c>
      <c r="G223">
        <v>45806</v>
      </c>
      <c r="H223" t="s">
        <v>6</v>
      </c>
      <c r="I223">
        <v>17102.77</v>
      </c>
      <c r="J223" t="s">
        <v>75</v>
      </c>
      <c r="K223" t="s">
        <v>2647</v>
      </c>
      <c r="L223">
        <v>30</v>
      </c>
      <c r="M223" t="s">
        <v>24</v>
      </c>
      <c r="N223">
        <v>1.1373</v>
      </c>
      <c r="O223">
        <v>1.3383148976229702</v>
      </c>
      <c r="P223">
        <v>7.0082573330046832E-3</v>
      </c>
      <c r="Q223">
        <v>1.1373</v>
      </c>
      <c r="R223">
        <v>19450.980320999999</v>
      </c>
      <c r="S223" t="s">
        <v>12</v>
      </c>
      <c r="T223">
        <v>1.07</v>
      </c>
      <c r="U223">
        <v>18299.963900000002</v>
      </c>
      <c r="V223">
        <v>1151.0164209999966</v>
      </c>
      <c r="W223">
        <v>6.2897196261682053E-2</v>
      </c>
    </row>
    <row r="224" spans="1:23" x14ac:dyDescent="0.25">
      <c r="A224" t="s">
        <v>2644</v>
      </c>
      <c r="B224" t="s">
        <v>37</v>
      </c>
      <c r="C224" t="s">
        <v>91</v>
      </c>
      <c r="D224" t="s">
        <v>31</v>
      </c>
      <c r="E224" t="s">
        <v>74</v>
      </c>
      <c r="F224" s="1">
        <v>45683</v>
      </c>
      <c r="G224">
        <v>45713</v>
      </c>
      <c r="H224" t="s">
        <v>6</v>
      </c>
      <c r="I224">
        <v>7738.18</v>
      </c>
      <c r="J224" t="s">
        <v>75</v>
      </c>
      <c r="K224" t="s">
        <v>2645</v>
      </c>
      <c r="L224">
        <v>30</v>
      </c>
      <c r="M224" t="s">
        <v>37</v>
      </c>
      <c r="N224">
        <v>1.0389999999999999</v>
      </c>
      <c r="O224">
        <v>1.2471042934476011</v>
      </c>
      <c r="P224">
        <v>6.5022842480755988E-3</v>
      </c>
      <c r="Q224">
        <v>1.0389999999999999</v>
      </c>
      <c r="R224">
        <v>8039.9690199999995</v>
      </c>
      <c r="S224" t="s">
        <v>11</v>
      </c>
      <c r="T224">
        <v>1.052</v>
      </c>
      <c r="U224">
        <v>8140.5653600000005</v>
      </c>
      <c r="V224">
        <v>-100.59634000000096</v>
      </c>
      <c r="W224">
        <v>-1.2357414448669319E-2</v>
      </c>
    </row>
    <row r="225" spans="1:23" x14ac:dyDescent="0.25">
      <c r="A225" t="s">
        <v>2642</v>
      </c>
      <c r="B225" t="s">
        <v>30</v>
      </c>
      <c r="C225" t="s">
        <v>103</v>
      </c>
      <c r="D225" t="s">
        <v>31</v>
      </c>
      <c r="E225" t="s">
        <v>74</v>
      </c>
      <c r="F225" s="1">
        <v>45841</v>
      </c>
      <c r="G225">
        <v>45871</v>
      </c>
      <c r="H225" t="s">
        <v>9</v>
      </c>
      <c r="I225">
        <v>2369740.7799999998</v>
      </c>
      <c r="J225" t="s">
        <v>75</v>
      </c>
      <c r="K225" t="s">
        <v>2643</v>
      </c>
      <c r="L225">
        <v>30</v>
      </c>
      <c r="M225" t="s">
        <v>30</v>
      </c>
      <c r="N225">
        <v>1.1781999999999999</v>
      </c>
      <c r="O225">
        <v>1.3653957584888168</v>
      </c>
      <c r="P225">
        <v>6.9477532727916019E-3</v>
      </c>
      <c r="Q225">
        <v>6.9477532727916019E-3</v>
      </c>
      <c r="R225">
        <v>16464.374259912722</v>
      </c>
      <c r="S225" t="s">
        <v>13</v>
      </c>
      <c r="T225">
        <v>6.8399999999999997E-3</v>
      </c>
      <c r="U225">
        <v>16209.026935199998</v>
      </c>
      <c r="V225">
        <v>255.347324712724</v>
      </c>
      <c r="W225">
        <v>1.5753402454912593E-2</v>
      </c>
    </row>
    <row r="226" spans="1:23" x14ac:dyDescent="0.25">
      <c r="A226" t="s">
        <v>2640</v>
      </c>
      <c r="B226" t="s">
        <v>20</v>
      </c>
      <c r="C226" t="s">
        <v>123</v>
      </c>
      <c r="D226" t="s">
        <v>31</v>
      </c>
      <c r="E226" t="s">
        <v>124</v>
      </c>
      <c r="F226" s="1">
        <v>45755</v>
      </c>
      <c r="G226">
        <v>45800</v>
      </c>
      <c r="H226" t="s">
        <v>6</v>
      </c>
      <c r="I226">
        <v>16400.43</v>
      </c>
      <c r="J226" t="s">
        <v>75</v>
      </c>
      <c r="K226" t="s">
        <v>2641</v>
      </c>
      <c r="L226">
        <v>45</v>
      </c>
      <c r="M226" t="s">
        <v>20</v>
      </c>
      <c r="N226">
        <v>1.095</v>
      </c>
      <c r="O226">
        <v>1.2785484096959507</v>
      </c>
      <c r="P226">
        <v>6.816059757236227E-3</v>
      </c>
      <c r="Q226">
        <v>1.095</v>
      </c>
      <c r="R226">
        <v>17958.470850000002</v>
      </c>
      <c r="S226" t="s">
        <v>12</v>
      </c>
      <c r="T226">
        <v>1.07</v>
      </c>
      <c r="U226">
        <v>17548.4601</v>
      </c>
      <c r="V226">
        <v>410.01075000000128</v>
      </c>
      <c r="W226">
        <v>2.3364485981308483E-2</v>
      </c>
    </row>
    <row r="227" spans="1:23" x14ac:dyDescent="0.25">
      <c r="A227" t="s">
        <v>2638</v>
      </c>
      <c r="B227" t="s">
        <v>32</v>
      </c>
      <c r="C227" t="s">
        <v>106</v>
      </c>
      <c r="D227" t="s">
        <v>31</v>
      </c>
      <c r="E227" t="s">
        <v>74</v>
      </c>
      <c r="F227" s="1">
        <v>46221</v>
      </c>
      <c r="G227">
        <v>46251</v>
      </c>
      <c r="H227" t="s">
        <v>6</v>
      </c>
      <c r="I227">
        <v>22339.82</v>
      </c>
      <c r="J227" t="s">
        <v>75</v>
      </c>
      <c r="K227" t="s">
        <v>2639</v>
      </c>
      <c r="L227">
        <v>30</v>
      </c>
      <c r="M227" t="s">
        <v>32</v>
      </c>
      <c r="N227">
        <v>1.1435</v>
      </c>
      <c r="O227">
        <v>1.3437448588685985</v>
      </c>
      <c r="P227">
        <v>6.1594398060867217E-3</v>
      </c>
      <c r="Q227">
        <v>1.1435</v>
      </c>
      <c r="R227">
        <v>25545.584169999998</v>
      </c>
      <c r="S227" t="s">
        <v>21</v>
      </c>
      <c r="T227">
        <v>1.101</v>
      </c>
      <c r="U227">
        <v>24596.141820000001</v>
      </c>
      <c r="V227">
        <v>949.44234999999753</v>
      </c>
      <c r="W227">
        <v>3.8601271571298716E-2</v>
      </c>
    </row>
    <row r="228" spans="1:23" x14ac:dyDescent="0.25">
      <c r="A228" t="s">
        <v>2636</v>
      </c>
      <c r="B228" t="s">
        <v>34</v>
      </c>
      <c r="C228" t="s">
        <v>177</v>
      </c>
      <c r="D228" t="s">
        <v>31</v>
      </c>
      <c r="E228" t="s">
        <v>74</v>
      </c>
      <c r="F228" s="1">
        <v>45702</v>
      </c>
      <c r="G228">
        <v>45762</v>
      </c>
      <c r="H228" t="s">
        <v>8</v>
      </c>
      <c r="I228">
        <v>30334.58</v>
      </c>
      <c r="J228" t="s">
        <v>75</v>
      </c>
      <c r="K228" t="s">
        <v>2637</v>
      </c>
      <c r="L228">
        <v>60</v>
      </c>
      <c r="M228" t="s">
        <v>34</v>
      </c>
      <c r="N228">
        <v>1.0478000000000001</v>
      </c>
      <c r="O228">
        <v>1.2591479901460074</v>
      </c>
      <c r="P228">
        <v>6.5450683990255481E-3</v>
      </c>
      <c r="Q228">
        <v>1.2591479901460074</v>
      </c>
      <c r="R228">
        <v>38195.725438923277</v>
      </c>
      <c r="S228" t="s">
        <v>11</v>
      </c>
      <c r="T228">
        <v>1.238</v>
      </c>
      <c r="U228">
        <v>37554.210040000005</v>
      </c>
      <c r="V228">
        <v>641.51539892327128</v>
      </c>
      <c r="W228">
        <v>1.708238299354389E-2</v>
      </c>
    </row>
    <row r="229" spans="1:23" x14ac:dyDescent="0.25">
      <c r="A229" t="s">
        <v>2634</v>
      </c>
      <c r="B229" t="s">
        <v>44</v>
      </c>
      <c r="C229" t="s">
        <v>138</v>
      </c>
      <c r="D229" t="s">
        <v>33</v>
      </c>
      <c r="E229" t="s">
        <v>88</v>
      </c>
      <c r="F229" s="1">
        <v>46325</v>
      </c>
      <c r="G229">
        <v>46370</v>
      </c>
      <c r="H229" t="s">
        <v>9</v>
      </c>
      <c r="I229">
        <v>1069162.58</v>
      </c>
      <c r="J229" t="s">
        <v>84</v>
      </c>
      <c r="K229" t="s">
        <v>2635</v>
      </c>
      <c r="L229">
        <v>45</v>
      </c>
      <c r="M229" t="s">
        <v>44</v>
      </c>
      <c r="N229">
        <v>1.1176999999999999</v>
      </c>
      <c r="O229">
        <v>1.320456022210408</v>
      </c>
      <c r="P229">
        <v>6.3200452360757699E-3</v>
      </c>
      <c r="Q229">
        <v>6.3200452360757699E-3</v>
      </c>
      <c r="R229">
        <v>6757.1558703194796</v>
      </c>
      <c r="S229" t="s">
        <v>23</v>
      </c>
      <c r="T229">
        <v>6.8799999999999998E-3</v>
      </c>
      <c r="U229">
        <v>7355.8385504000007</v>
      </c>
      <c r="V229">
        <v>-598.6826800805211</v>
      </c>
      <c r="W229">
        <v>-8.1388773826196276E-2</v>
      </c>
    </row>
    <row r="230" spans="1:23" x14ac:dyDescent="0.25">
      <c r="A230" t="s">
        <v>2632</v>
      </c>
      <c r="B230" t="s">
        <v>28</v>
      </c>
      <c r="C230" t="s">
        <v>111</v>
      </c>
      <c r="D230" t="s">
        <v>31</v>
      </c>
      <c r="E230" t="s">
        <v>74</v>
      </c>
      <c r="F230" s="1">
        <v>46178</v>
      </c>
      <c r="G230">
        <v>46223</v>
      </c>
      <c r="H230" t="s">
        <v>9</v>
      </c>
      <c r="I230">
        <v>1091032.02</v>
      </c>
      <c r="J230" t="s">
        <v>75</v>
      </c>
      <c r="K230" t="s">
        <v>2633</v>
      </c>
      <c r="L230">
        <v>45</v>
      </c>
      <c r="M230" t="s">
        <v>28</v>
      </c>
      <c r="N230">
        <v>1.1639999999999999</v>
      </c>
      <c r="O230">
        <v>1.3467078546388531</v>
      </c>
      <c r="P230">
        <v>6.2553740326741179E-3</v>
      </c>
      <c r="Q230">
        <v>6.2553740326741179E-3</v>
      </c>
      <c r="R230">
        <v>6824.813366723989</v>
      </c>
      <c r="S230" t="s">
        <v>19</v>
      </c>
      <c r="T230">
        <v>6.6E-3</v>
      </c>
      <c r="U230">
        <v>7200.8113320000002</v>
      </c>
      <c r="V230">
        <v>-375.9979652760112</v>
      </c>
      <c r="W230">
        <v>-5.2216055655436688E-2</v>
      </c>
    </row>
    <row r="231" spans="1:23" x14ac:dyDescent="0.25">
      <c r="A231" t="s">
        <v>2630</v>
      </c>
      <c r="B231" t="s">
        <v>24</v>
      </c>
      <c r="C231" t="s">
        <v>73</v>
      </c>
      <c r="D231" t="s">
        <v>31</v>
      </c>
      <c r="E231" t="s">
        <v>74</v>
      </c>
      <c r="F231" s="1">
        <v>46017</v>
      </c>
      <c r="G231">
        <v>46047</v>
      </c>
      <c r="H231" t="s">
        <v>6</v>
      </c>
      <c r="I231">
        <v>13045.32</v>
      </c>
      <c r="J231" t="s">
        <v>75</v>
      </c>
      <c r="K231" t="s">
        <v>2631</v>
      </c>
      <c r="L231">
        <v>30</v>
      </c>
      <c r="M231" t="s">
        <v>24</v>
      </c>
      <c r="N231">
        <v>1.1555</v>
      </c>
      <c r="O231">
        <v>1.3367963164349013</v>
      </c>
      <c r="P231">
        <v>6.2983756677204832E-3</v>
      </c>
      <c r="Q231">
        <v>1.1555</v>
      </c>
      <c r="R231">
        <v>15073.867259999999</v>
      </c>
      <c r="S231" t="s">
        <v>14</v>
      </c>
      <c r="T231">
        <v>1.1060000000000001</v>
      </c>
      <c r="U231">
        <v>14428.12392</v>
      </c>
      <c r="V231">
        <v>645.74333999999908</v>
      </c>
      <c r="W231">
        <v>4.4755877034357981E-2</v>
      </c>
    </row>
    <row r="232" spans="1:23" x14ac:dyDescent="0.25">
      <c r="A232" t="s">
        <v>2628</v>
      </c>
      <c r="B232" t="s">
        <v>30</v>
      </c>
      <c r="C232" t="s">
        <v>103</v>
      </c>
      <c r="D232" t="s">
        <v>31</v>
      </c>
      <c r="E232" t="s">
        <v>74</v>
      </c>
      <c r="F232" s="1">
        <v>46190</v>
      </c>
      <c r="G232">
        <v>46220</v>
      </c>
      <c r="H232" t="s">
        <v>9</v>
      </c>
      <c r="I232">
        <v>2213617.9700000002</v>
      </c>
      <c r="J232" t="s">
        <v>75</v>
      </c>
      <c r="K232" t="s">
        <v>2629</v>
      </c>
      <c r="L232">
        <v>30</v>
      </c>
      <c r="M232" t="s">
        <v>30</v>
      </c>
      <c r="N232">
        <v>1.1591</v>
      </c>
      <c r="O232">
        <v>1.3405734244705827</v>
      </c>
      <c r="P232">
        <v>6.2377569691098918E-3</v>
      </c>
      <c r="Q232">
        <v>6.2377569691098918E-3</v>
      </c>
      <c r="R232">
        <v>13808.010919314393</v>
      </c>
      <c r="S232" t="s">
        <v>19</v>
      </c>
      <c r="T232">
        <v>6.6E-3</v>
      </c>
      <c r="U232">
        <v>14609.878602000001</v>
      </c>
      <c r="V232">
        <v>-801.86768268560809</v>
      </c>
      <c r="W232">
        <v>-5.4885307710622416E-2</v>
      </c>
    </row>
    <row r="233" spans="1:23" x14ac:dyDescent="0.25">
      <c r="A233" t="s">
        <v>2626</v>
      </c>
      <c r="B233" t="s">
        <v>37</v>
      </c>
      <c r="C233" t="s">
        <v>91</v>
      </c>
      <c r="D233" t="s">
        <v>31</v>
      </c>
      <c r="E233" t="s">
        <v>74</v>
      </c>
      <c r="F233" s="1">
        <v>45978</v>
      </c>
      <c r="G233">
        <v>46008</v>
      </c>
      <c r="H233" t="s">
        <v>6</v>
      </c>
      <c r="I233">
        <v>5028.7299999999996</v>
      </c>
      <c r="J233" t="s">
        <v>75</v>
      </c>
      <c r="K233" t="s">
        <v>2627</v>
      </c>
      <c r="L233">
        <v>30</v>
      </c>
      <c r="M233" t="s">
        <v>37</v>
      </c>
      <c r="N233">
        <v>1.1593</v>
      </c>
      <c r="O233">
        <v>1.3181353041500854</v>
      </c>
      <c r="P233">
        <v>6.4559781700729525E-3</v>
      </c>
      <c r="Q233">
        <v>1.1593</v>
      </c>
      <c r="R233">
        <v>5829.8066889999991</v>
      </c>
      <c r="S233" t="s">
        <v>14</v>
      </c>
      <c r="T233">
        <v>1.1060000000000001</v>
      </c>
      <c r="U233">
        <v>5561.77538</v>
      </c>
      <c r="V233">
        <v>268.03130899999906</v>
      </c>
      <c r="W233">
        <v>4.8191681735985363E-2</v>
      </c>
    </row>
    <row r="234" spans="1:23" x14ac:dyDescent="0.25">
      <c r="A234" t="s">
        <v>2624</v>
      </c>
      <c r="B234" t="s">
        <v>38</v>
      </c>
      <c r="C234" t="s">
        <v>87</v>
      </c>
      <c r="D234" t="s">
        <v>33</v>
      </c>
      <c r="E234" t="s">
        <v>88</v>
      </c>
      <c r="F234" s="1">
        <v>46299</v>
      </c>
      <c r="G234">
        <v>46329</v>
      </c>
      <c r="H234" t="s">
        <v>6</v>
      </c>
      <c r="I234">
        <v>9612.56</v>
      </c>
      <c r="J234" t="s">
        <v>84</v>
      </c>
      <c r="K234" t="s">
        <v>2625</v>
      </c>
      <c r="L234">
        <v>30</v>
      </c>
      <c r="M234" t="s">
        <v>38</v>
      </c>
      <c r="N234">
        <v>1.1225000000000001</v>
      </c>
      <c r="O234">
        <v>1.3200757353027648</v>
      </c>
      <c r="P234">
        <v>6.3421662240804562E-3</v>
      </c>
      <c r="Q234">
        <v>1.1225000000000001</v>
      </c>
      <c r="R234">
        <v>10790.098599999999</v>
      </c>
      <c r="S234" t="s">
        <v>23</v>
      </c>
      <c r="T234">
        <v>1.119</v>
      </c>
      <c r="U234">
        <v>10756.45464</v>
      </c>
      <c r="V234">
        <v>33.643959999999424</v>
      </c>
      <c r="W234">
        <v>3.1277926720285434E-3</v>
      </c>
    </row>
    <row r="235" spans="1:23" x14ac:dyDescent="0.25">
      <c r="A235" t="s">
        <v>2622</v>
      </c>
      <c r="B235" t="s">
        <v>39</v>
      </c>
      <c r="C235" t="s">
        <v>82</v>
      </c>
      <c r="D235" t="s">
        <v>33</v>
      </c>
      <c r="E235" t="s">
        <v>83</v>
      </c>
      <c r="F235" s="1">
        <v>45694</v>
      </c>
      <c r="G235">
        <v>45739</v>
      </c>
      <c r="H235" t="s">
        <v>8</v>
      </c>
      <c r="I235">
        <v>2699.57</v>
      </c>
      <c r="J235" t="s">
        <v>75</v>
      </c>
      <c r="K235" t="s">
        <v>2623</v>
      </c>
      <c r="L235">
        <v>45</v>
      </c>
      <c r="M235" t="s">
        <v>39</v>
      </c>
      <c r="N235">
        <v>1.036</v>
      </c>
      <c r="O235">
        <v>1.2379313641143295</v>
      </c>
      <c r="P235">
        <v>6.5590376701487822E-3</v>
      </c>
      <c r="Q235">
        <v>1.2379313641143295</v>
      </c>
      <c r="R235">
        <v>3341.8823726221208</v>
      </c>
      <c r="S235" t="s">
        <v>11</v>
      </c>
      <c r="T235">
        <v>1.238</v>
      </c>
      <c r="U235">
        <v>3342.0676600000002</v>
      </c>
      <c r="V235">
        <v>-0.18528737787937644</v>
      </c>
      <c r="W235">
        <v>-5.5440941575484571E-5</v>
      </c>
    </row>
    <row r="236" spans="1:23" x14ac:dyDescent="0.25">
      <c r="A236" t="s">
        <v>2620</v>
      </c>
      <c r="B236" t="s">
        <v>40</v>
      </c>
      <c r="C236" t="s">
        <v>78</v>
      </c>
      <c r="D236" t="s">
        <v>33</v>
      </c>
      <c r="E236" t="s">
        <v>79</v>
      </c>
      <c r="F236" s="1">
        <v>45766</v>
      </c>
      <c r="G236">
        <v>45796</v>
      </c>
      <c r="H236" t="s">
        <v>9</v>
      </c>
      <c r="I236">
        <v>1816199.72</v>
      </c>
      <c r="J236" t="s">
        <v>75</v>
      </c>
      <c r="K236" t="s">
        <v>2621</v>
      </c>
      <c r="L236">
        <v>30</v>
      </c>
      <c r="M236" t="s">
        <v>40</v>
      </c>
      <c r="N236">
        <v>1.1512</v>
      </c>
      <c r="O236">
        <v>1.3535567313345092</v>
      </c>
      <c r="P236">
        <v>6.9374472700976259E-3</v>
      </c>
      <c r="Q236">
        <v>6.9374472700976259E-3</v>
      </c>
      <c r="R236">
        <v>12599.789789466073</v>
      </c>
      <c r="S236" t="s">
        <v>12</v>
      </c>
      <c r="T236">
        <v>6.7000000000000002E-3</v>
      </c>
      <c r="U236">
        <v>12168.538124000001</v>
      </c>
      <c r="V236">
        <v>431.25166546607215</v>
      </c>
      <c r="W236">
        <v>3.5439891059347119E-2</v>
      </c>
    </row>
    <row r="237" spans="1:23" x14ac:dyDescent="0.25">
      <c r="A237" t="s">
        <v>2618</v>
      </c>
      <c r="B237" t="s">
        <v>20</v>
      </c>
      <c r="C237" t="s">
        <v>123</v>
      </c>
      <c r="D237" t="s">
        <v>31</v>
      </c>
      <c r="E237" t="s">
        <v>124</v>
      </c>
      <c r="F237" s="1">
        <v>45805</v>
      </c>
      <c r="G237">
        <v>45850</v>
      </c>
      <c r="H237" t="s">
        <v>6</v>
      </c>
      <c r="I237">
        <v>16104.03</v>
      </c>
      <c r="J237" t="s">
        <v>75</v>
      </c>
      <c r="K237" t="s">
        <v>2619</v>
      </c>
      <c r="L237">
        <v>45</v>
      </c>
      <c r="M237" t="s">
        <v>20</v>
      </c>
      <c r="N237">
        <v>1.1316999999999999</v>
      </c>
      <c r="O237">
        <v>1.3475827577994759</v>
      </c>
      <c r="P237">
        <v>6.9246772318423784E-3</v>
      </c>
      <c r="Q237">
        <v>1.1316999999999999</v>
      </c>
      <c r="R237">
        <v>18224.930751</v>
      </c>
      <c r="S237" t="s">
        <v>12</v>
      </c>
      <c r="T237">
        <v>1.07</v>
      </c>
      <c r="U237">
        <v>17231.312100000003</v>
      </c>
      <c r="V237">
        <v>993.61865099999704</v>
      </c>
      <c r="W237">
        <v>5.7663551401868976E-2</v>
      </c>
    </row>
    <row r="238" spans="1:23" x14ac:dyDescent="0.25">
      <c r="A238" t="s">
        <v>2616</v>
      </c>
      <c r="B238" t="s">
        <v>28</v>
      </c>
      <c r="C238" t="s">
        <v>111</v>
      </c>
      <c r="D238" t="s">
        <v>31</v>
      </c>
      <c r="E238" t="s">
        <v>74</v>
      </c>
      <c r="F238" s="1">
        <v>45910</v>
      </c>
      <c r="G238">
        <v>45955</v>
      </c>
      <c r="H238" t="s">
        <v>9</v>
      </c>
      <c r="I238">
        <v>5229795.91</v>
      </c>
      <c r="J238" t="s">
        <v>75</v>
      </c>
      <c r="K238" t="s">
        <v>2617</v>
      </c>
      <c r="L238">
        <v>45</v>
      </c>
      <c r="M238" t="s">
        <v>28</v>
      </c>
      <c r="N238">
        <v>1.1707000000000001</v>
      </c>
      <c r="O238">
        <v>1.3534104046242776</v>
      </c>
      <c r="P238">
        <v>6.7799849423756308E-3</v>
      </c>
      <c r="Q238">
        <v>6.7799849423756308E-3</v>
      </c>
      <c r="R238">
        <v>35457.937521497661</v>
      </c>
      <c r="S238" t="s">
        <v>13</v>
      </c>
      <c r="T238">
        <v>6.8399999999999997E-3</v>
      </c>
      <c r="U238">
        <v>35771.8040244</v>
      </c>
      <c r="V238">
        <v>-313.86650290233956</v>
      </c>
      <c r="W238">
        <v>-8.7741312316329013E-3</v>
      </c>
    </row>
    <row r="239" spans="1:23" x14ac:dyDescent="0.25">
      <c r="A239" t="s">
        <v>2614</v>
      </c>
      <c r="B239" t="s">
        <v>38</v>
      </c>
      <c r="C239" t="s">
        <v>87</v>
      </c>
      <c r="D239" t="s">
        <v>33</v>
      </c>
      <c r="E239" t="s">
        <v>88</v>
      </c>
      <c r="F239" s="1">
        <v>46191</v>
      </c>
      <c r="G239">
        <v>46221</v>
      </c>
      <c r="H239" t="s">
        <v>6</v>
      </c>
      <c r="I239">
        <v>7522.33</v>
      </c>
      <c r="J239" t="s">
        <v>75</v>
      </c>
      <c r="K239" t="s">
        <v>2615</v>
      </c>
      <c r="L239">
        <v>30</v>
      </c>
      <c r="M239" t="s">
        <v>38</v>
      </c>
      <c r="N239">
        <v>1.1460999999999999</v>
      </c>
      <c r="O239">
        <v>1.3228606385188946</v>
      </c>
      <c r="P239">
        <v>6.2139449143352845E-3</v>
      </c>
      <c r="Q239">
        <v>1.1460999999999999</v>
      </c>
      <c r="R239">
        <v>8621.3424129999985</v>
      </c>
      <c r="S239" t="s">
        <v>19</v>
      </c>
      <c r="T239">
        <v>1.083</v>
      </c>
      <c r="U239">
        <v>8146.6833899999992</v>
      </c>
      <c r="V239">
        <v>474.65902299999925</v>
      </c>
      <c r="W239">
        <v>5.8264081255770921E-2</v>
      </c>
    </row>
    <row r="240" spans="1:23" x14ac:dyDescent="0.25">
      <c r="A240" t="s">
        <v>2612</v>
      </c>
      <c r="B240" t="s">
        <v>20</v>
      </c>
      <c r="C240" t="s">
        <v>123</v>
      </c>
      <c r="D240" t="s">
        <v>31</v>
      </c>
      <c r="E240" t="s">
        <v>124</v>
      </c>
      <c r="F240" s="1">
        <v>45676</v>
      </c>
      <c r="G240">
        <v>45721</v>
      </c>
      <c r="H240" t="s">
        <v>6</v>
      </c>
      <c r="I240">
        <v>78852.899999999994</v>
      </c>
      <c r="J240" t="s">
        <v>75</v>
      </c>
      <c r="K240" t="s">
        <v>2613</v>
      </c>
      <c r="L240">
        <v>45</v>
      </c>
      <c r="M240" t="s">
        <v>20</v>
      </c>
      <c r="N240">
        <v>1.0335000000000001</v>
      </c>
      <c r="O240">
        <v>1.2423666875030055</v>
      </c>
      <c r="P240">
        <v>6.4384500373785196E-3</v>
      </c>
      <c r="Q240">
        <v>1.0335000000000001</v>
      </c>
      <c r="R240">
        <v>81494.472150000001</v>
      </c>
      <c r="S240" t="s">
        <v>11</v>
      </c>
      <c r="T240">
        <v>1.052</v>
      </c>
      <c r="U240">
        <v>82953.250799999994</v>
      </c>
      <c r="V240">
        <v>-1458.7786499999929</v>
      </c>
      <c r="W240">
        <v>-1.7585551330798393E-2</v>
      </c>
    </row>
    <row r="241" spans="1:23" x14ac:dyDescent="0.25">
      <c r="A241" t="s">
        <v>2610</v>
      </c>
      <c r="B241" t="s">
        <v>28</v>
      </c>
      <c r="C241" t="s">
        <v>111</v>
      </c>
      <c r="D241" t="s">
        <v>31</v>
      </c>
      <c r="E241" t="s">
        <v>74</v>
      </c>
      <c r="F241" s="1">
        <v>45860</v>
      </c>
      <c r="G241">
        <v>45905</v>
      </c>
      <c r="H241" t="s">
        <v>9</v>
      </c>
      <c r="I241">
        <v>3683893.26</v>
      </c>
      <c r="J241" t="s">
        <v>75</v>
      </c>
      <c r="K241" t="s">
        <v>2611</v>
      </c>
      <c r="L241">
        <v>45</v>
      </c>
      <c r="M241" t="s">
        <v>28</v>
      </c>
      <c r="N241">
        <v>1.1698999999999999</v>
      </c>
      <c r="O241">
        <v>1.3485878962536022</v>
      </c>
      <c r="P241">
        <v>6.795028169832143E-3</v>
      </c>
      <c r="Q241">
        <v>6.795028169832143E-3</v>
      </c>
      <c r="R241">
        <v>25032.158476354765</v>
      </c>
      <c r="S241" t="s">
        <v>13</v>
      </c>
      <c r="T241">
        <v>6.8399999999999997E-3</v>
      </c>
      <c r="U241">
        <v>25197.829898399996</v>
      </c>
      <c r="V241">
        <v>-165.67142204523043</v>
      </c>
      <c r="W241">
        <v>-6.5748289719088143E-3</v>
      </c>
    </row>
    <row r="242" spans="1:23" x14ac:dyDescent="0.25">
      <c r="A242" t="s">
        <v>2608</v>
      </c>
      <c r="B242" t="s">
        <v>24</v>
      </c>
      <c r="C242" t="s">
        <v>73</v>
      </c>
      <c r="D242" t="s">
        <v>31</v>
      </c>
      <c r="E242" t="s">
        <v>74</v>
      </c>
      <c r="F242" s="1">
        <v>46187</v>
      </c>
      <c r="G242">
        <v>46217</v>
      </c>
      <c r="H242" t="s">
        <v>6</v>
      </c>
      <c r="I242">
        <v>46832.12</v>
      </c>
      <c r="J242" t="s">
        <v>75</v>
      </c>
      <c r="K242" t="s">
        <v>2609</v>
      </c>
      <c r="L242">
        <v>30</v>
      </c>
      <c r="M242" t="s">
        <v>24</v>
      </c>
      <c r="N242">
        <v>1.1567000000000001</v>
      </c>
      <c r="O242">
        <v>1.3402467991425759</v>
      </c>
      <c r="P242">
        <v>6.2423097679438749E-3</v>
      </c>
      <c r="Q242">
        <v>1.1567000000000001</v>
      </c>
      <c r="R242">
        <v>54170.713204000007</v>
      </c>
      <c r="S242" t="s">
        <v>19</v>
      </c>
      <c r="T242">
        <v>1.083</v>
      </c>
      <c r="U242">
        <v>50719.185960000003</v>
      </c>
      <c r="V242">
        <v>3451.5272440000044</v>
      </c>
      <c r="W242">
        <v>6.8051708217913287E-2</v>
      </c>
    </row>
    <row r="243" spans="1:23" x14ac:dyDescent="0.25">
      <c r="A243" t="s">
        <v>2606</v>
      </c>
      <c r="B243" t="s">
        <v>32</v>
      </c>
      <c r="C243" t="s">
        <v>106</v>
      </c>
      <c r="D243" t="s">
        <v>31</v>
      </c>
      <c r="E243" t="s">
        <v>74</v>
      </c>
      <c r="F243" s="1">
        <v>46078</v>
      </c>
      <c r="G243">
        <v>46108</v>
      </c>
      <c r="H243" t="s">
        <v>6</v>
      </c>
      <c r="I243">
        <v>20248.669999999998</v>
      </c>
      <c r="J243" t="s">
        <v>75</v>
      </c>
      <c r="K243" t="s">
        <v>2607</v>
      </c>
      <c r="L243">
        <v>30</v>
      </c>
      <c r="M243" t="s">
        <v>32</v>
      </c>
      <c r="N243">
        <v>1.1783999999999999</v>
      </c>
      <c r="O243">
        <v>1.3523066330043607</v>
      </c>
      <c r="P243">
        <v>6.3800757985923119E-3</v>
      </c>
      <c r="Q243">
        <v>1.1783999999999999</v>
      </c>
      <c r="R243">
        <v>23861.032727999995</v>
      </c>
      <c r="S243" t="s">
        <v>16</v>
      </c>
      <c r="T243">
        <v>1.0649999999999999</v>
      </c>
      <c r="U243">
        <v>21564.833549999996</v>
      </c>
      <c r="V243">
        <v>2296.1991779999989</v>
      </c>
      <c r="W243">
        <v>0.1064788732394366</v>
      </c>
    </row>
    <row r="244" spans="1:23" x14ac:dyDescent="0.25">
      <c r="A244" t="s">
        <v>2604</v>
      </c>
      <c r="B244" t="s">
        <v>24</v>
      </c>
      <c r="C244" t="s">
        <v>73</v>
      </c>
      <c r="D244" t="s">
        <v>31</v>
      </c>
      <c r="E244" t="s">
        <v>74</v>
      </c>
      <c r="F244" s="1">
        <v>46097</v>
      </c>
      <c r="G244">
        <v>46127</v>
      </c>
      <c r="H244" t="s">
        <v>6</v>
      </c>
      <c r="I244">
        <v>5896.64</v>
      </c>
      <c r="J244" t="s">
        <v>75</v>
      </c>
      <c r="K244" t="s">
        <v>2605</v>
      </c>
      <c r="L244">
        <v>30</v>
      </c>
      <c r="M244" t="s">
        <v>24</v>
      </c>
      <c r="N244">
        <v>1.1477999999999999</v>
      </c>
      <c r="O244">
        <v>1.3283492269234329</v>
      </c>
      <c r="P244">
        <v>6.283805978320376E-3</v>
      </c>
      <c r="Q244">
        <v>1.1477999999999999</v>
      </c>
      <c r="R244">
        <v>6768.1633920000004</v>
      </c>
      <c r="S244" t="s">
        <v>16</v>
      </c>
      <c r="T244">
        <v>1.0649999999999999</v>
      </c>
      <c r="U244">
        <v>6279.9215999999997</v>
      </c>
      <c r="V244">
        <v>488.24179200000071</v>
      </c>
      <c r="W244">
        <v>7.7746478873239558E-2</v>
      </c>
    </row>
    <row r="245" spans="1:23" x14ac:dyDescent="0.25">
      <c r="A245" t="s">
        <v>2602</v>
      </c>
      <c r="B245" t="s">
        <v>25</v>
      </c>
      <c r="C245" t="s">
        <v>169</v>
      </c>
      <c r="D245" t="s">
        <v>31</v>
      </c>
      <c r="E245" t="s">
        <v>124</v>
      </c>
      <c r="F245" s="1">
        <v>45992</v>
      </c>
      <c r="G245">
        <v>46052</v>
      </c>
      <c r="H245" t="s">
        <v>6</v>
      </c>
      <c r="I245">
        <v>30789.77</v>
      </c>
      <c r="J245" t="s">
        <v>75</v>
      </c>
      <c r="K245" t="s">
        <v>2603</v>
      </c>
      <c r="L245">
        <v>60</v>
      </c>
      <c r="M245" t="s">
        <v>25</v>
      </c>
      <c r="N245">
        <v>1.1646000000000001</v>
      </c>
      <c r="O245">
        <v>1.3267259056732741</v>
      </c>
      <c r="P245">
        <v>6.4599511870423792E-3</v>
      </c>
      <c r="Q245">
        <v>1.1646000000000001</v>
      </c>
      <c r="R245">
        <v>35857.766142</v>
      </c>
      <c r="S245" t="s">
        <v>14</v>
      </c>
      <c r="T245">
        <v>1.1060000000000001</v>
      </c>
      <c r="U245">
        <v>34053.485620000007</v>
      </c>
      <c r="V245">
        <v>1804.2805219999937</v>
      </c>
      <c r="W245">
        <v>5.2983725135623674E-2</v>
      </c>
    </row>
    <row r="246" spans="1:23" x14ac:dyDescent="0.25">
      <c r="A246" t="s">
        <v>2600</v>
      </c>
      <c r="B246" t="s">
        <v>42</v>
      </c>
      <c r="C246" t="s">
        <v>151</v>
      </c>
      <c r="D246" t="s">
        <v>35</v>
      </c>
      <c r="E246" t="s">
        <v>152</v>
      </c>
      <c r="F246" s="1">
        <v>46329</v>
      </c>
      <c r="G246">
        <v>46359</v>
      </c>
      <c r="H246" t="s">
        <v>8</v>
      </c>
      <c r="I246">
        <v>10252.86</v>
      </c>
      <c r="J246" t="s">
        <v>84</v>
      </c>
      <c r="K246" t="s">
        <v>2601</v>
      </c>
      <c r="L246">
        <v>30</v>
      </c>
      <c r="M246" t="s">
        <v>42</v>
      </c>
      <c r="N246">
        <v>1.1176999999999999</v>
      </c>
      <c r="O246">
        <v>1.320456022210408</v>
      </c>
      <c r="P246">
        <v>6.3200452360757699E-3</v>
      </c>
      <c r="Q246">
        <v>1.320456022210408</v>
      </c>
      <c r="R246">
        <v>13538.450731880204</v>
      </c>
      <c r="S246" t="s">
        <v>23</v>
      </c>
      <c r="T246">
        <v>1.3149999999999999</v>
      </c>
      <c r="U246">
        <v>13482.510899999999</v>
      </c>
      <c r="V246">
        <v>55.93983188020502</v>
      </c>
      <c r="W246">
        <v>4.1490663197019939E-3</v>
      </c>
    </row>
    <row r="247" spans="1:23" x14ac:dyDescent="0.25">
      <c r="A247" t="s">
        <v>2598</v>
      </c>
      <c r="B247" t="s">
        <v>30</v>
      </c>
      <c r="C247" t="s">
        <v>103</v>
      </c>
      <c r="D247" t="s">
        <v>31</v>
      </c>
      <c r="E247" t="s">
        <v>74</v>
      </c>
      <c r="F247" s="1">
        <v>46302</v>
      </c>
      <c r="G247">
        <v>46332</v>
      </c>
      <c r="H247" t="s">
        <v>9</v>
      </c>
      <c r="I247">
        <v>1348598.44</v>
      </c>
      <c r="J247" t="s">
        <v>84</v>
      </c>
      <c r="K247" t="s">
        <v>2599</v>
      </c>
      <c r="L247">
        <v>30</v>
      </c>
      <c r="M247" t="s">
        <v>30</v>
      </c>
      <c r="N247">
        <v>1.1176999999999999</v>
      </c>
      <c r="O247">
        <v>1.320456022210408</v>
      </c>
      <c r="P247">
        <v>6.3200452360757699E-3</v>
      </c>
      <c r="Q247">
        <v>6.3200452360757699E-3</v>
      </c>
      <c r="R247">
        <v>8523.2031461012139</v>
      </c>
      <c r="S247" t="s">
        <v>23</v>
      </c>
      <c r="T247">
        <v>6.8799999999999998E-3</v>
      </c>
      <c r="U247">
        <v>9278.3572671999991</v>
      </c>
      <c r="V247">
        <v>-755.15412109878525</v>
      </c>
      <c r="W247">
        <v>-8.1388773826196276E-2</v>
      </c>
    </row>
    <row r="248" spans="1:23" x14ac:dyDescent="0.25">
      <c r="A248" t="s">
        <v>2596</v>
      </c>
      <c r="B248" t="s">
        <v>26</v>
      </c>
      <c r="C248" t="s">
        <v>94</v>
      </c>
      <c r="D248" t="s">
        <v>31</v>
      </c>
      <c r="E248" t="s">
        <v>74</v>
      </c>
      <c r="F248" s="1">
        <v>46262</v>
      </c>
      <c r="G248">
        <v>46292</v>
      </c>
      <c r="H248" t="s">
        <v>8</v>
      </c>
      <c r="I248">
        <v>25157.83</v>
      </c>
      <c r="J248" t="s">
        <v>75</v>
      </c>
      <c r="K248" t="s">
        <v>2597</v>
      </c>
      <c r="L248">
        <v>30</v>
      </c>
      <c r="M248" t="s">
        <v>26</v>
      </c>
      <c r="N248">
        <v>1.1642999999999999</v>
      </c>
      <c r="O248">
        <v>1.3582594493700419</v>
      </c>
      <c r="P248">
        <v>6.2623709122203094E-3</v>
      </c>
      <c r="Q248">
        <v>1.3582594493700419</v>
      </c>
      <c r="R248">
        <v>34170.860323145127</v>
      </c>
      <c r="S248" t="s">
        <v>21</v>
      </c>
      <c r="T248">
        <v>1.2929999999999999</v>
      </c>
      <c r="U248">
        <v>32529.074189999999</v>
      </c>
      <c r="V248">
        <v>1641.7861331451277</v>
      </c>
      <c r="W248">
        <v>5.0471345220450235E-2</v>
      </c>
    </row>
    <row r="249" spans="1:23" x14ac:dyDescent="0.25">
      <c r="A249" t="s">
        <v>2594</v>
      </c>
      <c r="B249" t="s">
        <v>38</v>
      </c>
      <c r="C249" t="s">
        <v>87</v>
      </c>
      <c r="D249" t="s">
        <v>33</v>
      </c>
      <c r="E249" t="s">
        <v>88</v>
      </c>
      <c r="F249" s="1">
        <v>46324</v>
      </c>
      <c r="G249">
        <v>46354</v>
      </c>
      <c r="H249" t="s">
        <v>6</v>
      </c>
      <c r="I249">
        <v>8277.7900000000009</v>
      </c>
      <c r="J249" t="s">
        <v>84</v>
      </c>
      <c r="K249" t="s">
        <v>2595</v>
      </c>
      <c r="L249">
        <v>30</v>
      </c>
      <c r="M249" t="s">
        <v>38</v>
      </c>
      <c r="N249">
        <v>1.1176999999999999</v>
      </c>
      <c r="O249">
        <v>1.320456022210408</v>
      </c>
      <c r="P249">
        <v>6.3200452360757699E-3</v>
      </c>
      <c r="Q249">
        <v>1.1176999999999999</v>
      </c>
      <c r="R249">
        <v>9252.0858829999997</v>
      </c>
      <c r="S249" t="s">
        <v>23</v>
      </c>
      <c r="T249">
        <v>1.119</v>
      </c>
      <c r="U249">
        <v>9262.8470100000013</v>
      </c>
      <c r="V249">
        <v>-10.761127000001579</v>
      </c>
      <c r="W249">
        <v>-1.1617515638965062E-3</v>
      </c>
    </row>
    <row r="250" spans="1:23" x14ac:dyDescent="0.25">
      <c r="A250" t="s">
        <v>2592</v>
      </c>
      <c r="B250" t="s">
        <v>24</v>
      </c>
      <c r="C250" t="s">
        <v>73</v>
      </c>
      <c r="D250" t="s">
        <v>31</v>
      </c>
      <c r="E250" t="s">
        <v>74</v>
      </c>
      <c r="F250" s="1">
        <v>46276</v>
      </c>
      <c r="G250">
        <v>46306</v>
      </c>
      <c r="H250" t="s">
        <v>6</v>
      </c>
      <c r="I250">
        <v>31157.74</v>
      </c>
      <c r="J250" t="s">
        <v>75</v>
      </c>
      <c r="K250" t="s">
        <v>2593</v>
      </c>
      <c r="L250">
        <v>30</v>
      </c>
      <c r="M250" t="s">
        <v>24</v>
      </c>
      <c r="N250">
        <v>1.1592</v>
      </c>
      <c r="O250">
        <v>1.3508127949659152</v>
      </c>
      <c r="P250">
        <v>6.4919354838709675E-3</v>
      </c>
      <c r="Q250">
        <v>1.1592</v>
      </c>
      <c r="R250">
        <v>36118.052208000001</v>
      </c>
      <c r="S250" t="s">
        <v>21</v>
      </c>
      <c r="T250">
        <v>1.101</v>
      </c>
      <c r="U250">
        <v>34304.671739999998</v>
      </c>
      <c r="V250">
        <v>1813.380468000003</v>
      </c>
      <c r="W250">
        <v>5.2861035422343418E-2</v>
      </c>
    </row>
    <row r="251" spans="1:23" x14ac:dyDescent="0.25">
      <c r="A251" t="s">
        <v>2590</v>
      </c>
      <c r="B251" t="s">
        <v>20</v>
      </c>
      <c r="C251" t="s">
        <v>123</v>
      </c>
      <c r="D251" t="s">
        <v>31</v>
      </c>
      <c r="E251" t="s">
        <v>124</v>
      </c>
      <c r="F251" s="1">
        <v>45727</v>
      </c>
      <c r="G251">
        <v>45772</v>
      </c>
      <c r="H251" t="s">
        <v>6</v>
      </c>
      <c r="I251">
        <v>15167.75</v>
      </c>
      <c r="J251" t="s">
        <v>75</v>
      </c>
      <c r="K251" t="s">
        <v>2591</v>
      </c>
      <c r="L251">
        <v>45</v>
      </c>
      <c r="M251" t="s">
        <v>20</v>
      </c>
      <c r="N251">
        <v>1.0911999999999999</v>
      </c>
      <c r="O251">
        <v>1.2932894019484673</v>
      </c>
      <c r="P251">
        <v>6.7558197127290734E-3</v>
      </c>
      <c r="Q251">
        <v>1.0911999999999999</v>
      </c>
      <c r="R251">
        <v>16551.0488</v>
      </c>
      <c r="S251" t="s">
        <v>11</v>
      </c>
      <c r="T251">
        <v>1.052</v>
      </c>
      <c r="U251">
        <v>15956.473</v>
      </c>
      <c r="V251">
        <v>594.57580000000053</v>
      </c>
      <c r="W251">
        <v>3.72623574144487E-2</v>
      </c>
    </row>
    <row r="252" spans="1:23" x14ac:dyDescent="0.25">
      <c r="A252" t="s">
        <v>2588</v>
      </c>
      <c r="B252" t="s">
        <v>24</v>
      </c>
      <c r="C252" t="s">
        <v>73</v>
      </c>
      <c r="D252" t="s">
        <v>31</v>
      </c>
      <c r="E252" t="s">
        <v>74</v>
      </c>
      <c r="F252" s="1">
        <v>46098</v>
      </c>
      <c r="G252">
        <v>46128</v>
      </c>
      <c r="H252" t="s">
        <v>6</v>
      </c>
      <c r="I252">
        <v>35727.26</v>
      </c>
      <c r="J252" t="s">
        <v>75</v>
      </c>
      <c r="K252" t="s">
        <v>2589</v>
      </c>
      <c r="L252">
        <v>30</v>
      </c>
      <c r="M252" t="s">
        <v>24</v>
      </c>
      <c r="N252">
        <v>1.1531</v>
      </c>
      <c r="O252">
        <v>1.3341432373018629</v>
      </c>
      <c r="P252">
        <v>6.2911233564297018E-3</v>
      </c>
      <c r="Q252">
        <v>1.1531</v>
      </c>
      <c r="R252">
        <v>41197.103505999999</v>
      </c>
      <c r="S252" t="s">
        <v>16</v>
      </c>
      <c r="T252">
        <v>1.0649999999999999</v>
      </c>
      <c r="U252">
        <v>38049.531900000002</v>
      </c>
      <c r="V252">
        <v>3147.5716059999977</v>
      </c>
      <c r="W252">
        <v>8.2723004694835622E-2</v>
      </c>
    </row>
    <row r="253" spans="1:23" x14ac:dyDescent="0.25">
      <c r="A253" t="s">
        <v>2586</v>
      </c>
      <c r="B253" t="s">
        <v>39</v>
      </c>
      <c r="C253" t="s">
        <v>82</v>
      </c>
      <c r="D253" t="s">
        <v>33</v>
      </c>
      <c r="E253" t="s">
        <v>83</v>
      </c>
      <c r="F253" s="1">
        <v>46159</v>
      </c>
      <c r="G253">
        <v>46204</v>
      </c>
      <c r="H253" t="s">
        <v>8</v>
      </c>
      <c r="I253">
        <v>1726.66</v>
      </c>
      <c r="J253" t="s">
        <v>75</v>
      </c>
      <c r="K253" t="s">
        <v>2587</v>
      </c>
      <c r="L253">
        <v>45</v>
      </c>
      <c r="M253" t="s">
        <v>39</v>
      </c>
      <c r="N253">
        <v>1.1628000000000001</v>
      </c>
      <c r="O253">
        <v>1.3357840321654222</v>
      </c>
      <c r="P253">
        <v>6.3072249945758298E-3</v>
      </c>
      <c r="Q253">
        <v>1.3357840321654222</v>
      </c>
      <c r="R253">
        <v>2306.4448569787478</v>
      </c>
      <c r="S253" t="s">
        <v>19</v>
      </c>
      <c r="T253">
        <v>1.2709999999999999</v>
      </c>
      <c r="U253">
        <v>2194.5848599999999</v>
      </c>
      <c r="V253">
        <v>111.85999697874786</v>
      </c>
      <c r="W253">
        <v>5.0970914370906513E-2</v>
      </c>
    </row>
    <row r="254" spans="1:23" x14ac:dyDescent="0.25">
      <c r="A254" t="s">
        <v>2584</v>
      </c>
      <c r="B254" t="s">
        <v>28</v>
      </c>
      <c r="C254" t="s">
        <v>111</v>
      </c>
      <c r="D254" t="s">
        <v>31</v>
      </c>
      <c r="E254" t="s">
        <v>74</v>
      </c>
      <c r="F254" s="1">
        <v>45907</v>
      </c>
      <c r="G254">
        <v>45952</v>
      </c>
      <c r="H254" t="s">
        <v>9</v>
      </c>
      <c r="I254">
        <v>1004020.15</v>
      </c>
      <c r="J254" t="s">
        <v>75</v>
      </c>
      <c r="K254" t="s">
        <v>2585</v>
      </c>
      <c r="L254">
        <v>45</v>
      </c>
      <c r="M254" t="s">
        <v>28</v>
      </c>
      <c r="N254">
        <v>1.175</v>
      </c>
      <c r="O254">
        <v>1.3465505386202155</v>
      </c>
      <c r="P254">
        <v>6.3827475691237987E-3</v>
      </c>
      <c r="Q254">
        <v>6.3827475691237987E-3</v>
      </c>
      <c r="R254">
        <v>6408.4071717638117</v>
      </c>
      <c r="S254" t="s">
        <v>13</v>
      </c>
      <c r="T254">
        <v>6.8399999999999997E-3</v>
      </c>
      <c r="U254">
        <v>6867.4978259999998</v>
      </c>
      <c r="V254">
        <v>-459.09065423618813</v>
      </c>
      <c r="W254">
        <v>-6.6849770595935845E-2</v>
      </c>
    </row>
    <row r="255" spans="1:23" x14ac:dyDescent="0.25">
      <c r="A255" t="s">
        <v>2582</v>
      </c>
      <c r="B255" t="s">
        <v>24</v>
      </c>
      <c r="C255" t="s">
        <v>73</v>
      </c>
      <c r="D255" t="s">
        <v>31</v>
      </c>
      <c r="E255" t="s">
        <v>74</v>
      </c>
      <c r="F255" s="1">
        <v>45705</v>
      </c>
      <c r="G255">
        <v>45735</v>
      </c>
      <c r="H255" t="s">
        <v>6</v>
      </c>
      <c r="I255">
        <v>35053.69</v>
      </c>
      <c r="J255" t="s">
        <v>75</v>
      </c>
      <c r="K255" t="s">
        <v>2583</v>
      </c>
      <c r="L255">
        <v>30</v>
      </c>
      <c r="M255" t="s">
        <v>24</v>
      </c>
      <c r="N255">
        <v>1.0472999999999999</v>
      </c>
      <c r="O255">
        <v>1.2597885316300386</v>
      </c>
      <c r="P255">
        <v>6.6004915863112123E-3</v>
      </c>
      <c r="Q255">
        <v>1.0472999999999999</v>
      </c>
      <c r="R255">
        <v>36711.729536999999</v>
      </c>
      <c r="S255" t="s">
        <v>11</v>
      </c>
      <c r="T255">
        <v>1.052</v>
      </c>
      <c r="U255">
        <v>36876.481880000007</v>
      </c>
      <c r="V255">
        <v>-164.75234300000739</v>
      </c>
      <c r="W255">
        <v>-4.4676806083652184E-3</v>
      </c>
    </row>
    <row r="256" spans="1:23" x14ac:dyDescent="0.25">
      <c r="A256" t="s">
        <v>2580</v>
      </c>
      <c r="B256" t="s">
        <v>42</v>
      </c>
      <c r="C256" t="s">
        <v>151</v>
      </c>
      <c r="D256" t="s">
        <v>35</v>
      </c>
      <c r="E256" t="s">
        <v>152</v>
      </c>
      <c r="F256" s="1">
        <v>45700</v>
      </c>
      <c r="G256">
        <v>45730</v>
      </c>
      <c r="H256" t="s">
        <v>8</v>
      </c>
      <c r="I256">
        <v>2277.15</v>
      </c>
      <c r="J256" t="s">
        <v>75</v>
      </c>
      <c r="K256" t="s">
        <v>2581</v>
      </c>
      <c r="L256">
        <v>30</v>
      </c>
      <c r="M256" t="s">
        <v>42</v>
      </c>
      <c r="N256">
        <v>1.0369999999999999</v>
      </c>
      <c r="O256">
        <v>1.2443303175022198</v>
      </c>
      <c r="P256">
        <v>6.5130008792865218E-3</v>
      </c>
      <c r="Q256">
        <v>1.2443303175022198</v>
      </c>
      <c r="R256">
        <v>2833.5267825001797</v>
      </c>
      <c r="S256" t="s">
        <v>11</v>
      </c>
      <c r="T256">
        <v>1.238</v>
      </c>
      <c r="U256">
        <v>2819.1116999999999</v>
      </c>
      <c r="V256">
        <v>14.415082500179778</v>
      </c>
      <c r="W256">
        <v>5.1133420857995019E-3</v>
      </c>
    </row>
    <row r="257" spans="1:23" x14ac:dyDescent="0.25">
      <c r="A257" t="s">
        <v>2578</v>
      </c>
      <c r="B257" t="s">
        <v>40</v>
      </c>
      <c r="C257" t="s">
        <v>78</v>
      </c>
      <c r="D257" t="s">
        <v>33</v>
      </c>
      <c r="E257" t="s">
        <v>79</v>
      </c>
      <c r="F257" s="1">
        <v>46338</v>
      </c>
      <c r="G257">
        <v>46368</v>
      </c>
      <c r="H257" t="s">
        <v>9</v>
      </c>
      <c r="I257">
        <v>1816290.58</v>
      </c>
      <c r="J257" t="s">
        <v>84</v>
      </c>
      <c r="K257" t="s">
        <v>2579</v>
      </c>
      <c r="L257">
        <v>30</v>
      </c>
      <c r="M257" t="s">
        <v>40</v>
      </c>
      <c r="N257">
        <v>1.1176999999999999</v>
      </c>
      <c r="O257">
        <v>1.320456022210408</v>
      </c>
      <c r="P257">
        <v>6.3200452360757699E-3</v>
      </c>
      <c r="Q257">
        <v>6.3200452360757699E-3</v>
      </c>
      <c r="R257">
        <v>11479.038627458298</v>
      </c>
      <c r="S257" t="s">
        <v>23</v>
      </c>
      <c r="T257">
        <v>6.8799999999999998E-3</v>
      </c>
      <c r="U257">
        <v>12496.0791904</v>
      </c>
      <c r="V257">
        <v>-1017.0405629417019</v>
      </c>
      <c r="W257">
        <v>-8.1388773826196151E-2</v>
      </c>
    </row>
    <row r="258" spans="1:23" x14ac:dyDescent="0.25">
      <c r="A258" t="s">
        <v>2576</v>
      </c>
      <c r="B258" t="s">
        <v>30</v>
      </c>
      <c r="C258" t="s">
        <v>103</v>
      </c>
      <c r="D258" t="s">
        <v>31</v>
      </c>
      <c r="E258" t="s">
        <v>74</v>
      </c>
      <c r="F258" s="1">
        <v>46249</v>
      </c>
      <c r="G258">
        <v>46279</v>
      </c>
      <c r="H258" t="s">
        <v>9</v>
      </c>
      <c r="I258">
        <v>784552.88</v>
      </c>
      <c r="J258" t="s">
        <v>75</v>
      </c>
      <c r="K258" t="s">
        <v>2577</v>
      </c>
      <c r="L258">
        <v>30</v>
      </c>
      <c r="M258" t="s">
        <v>30</v>
      </c>
      <c r="N258">
        <v>1.1567000000000001</v>
      </c>
      <c r="O258">
        <v>1.3536571094207139</v>
      </c>
      <c r="P258">
        <v>6.2888055238405913E-3</v>
      </c>
      <c r="Q258">
        <v>6.2888055238405913E-3</v>
      </c>
      <c r="R258">
        <v>4933.9004854890445</v>
      </c>
      <c r="S258" t="s">
        <v>21</v>
      </c>
      <c r="T258">
        <v>6.7400000000000003E-3</v>
      </c>
      <c r="U258">
        <v>5287.8864112000001</v>
      </c>
      <c r="V258">
        <v>-353.9859257109556</v>
      </c>
      <c r="W258">
        <v>-6.6942800617122988E-2</v>
      </c>
    </row>
    <row r="259" spans="1:23" x14ac:dyDescent="0.25">
      <c r="A259" t="s">
        <v>2574</v>
      </c>
      <c r="B259" t="s">
        <v>20</v>
      </c>
      <c r="C259" t="s">
        <v>123</v>
      </c>
      <c r="D259" t="s">
        <v>31</v>
      </c>
      <c r="E259" t="s">
        <v>124</v>
      </c>
      <c r="F259" s="1">
        <v>46270</v>
      </c>
      <c r="G259">
        <v>46315</v>
      </c>
      <c r="H259" t="s">
        <v>6</v>
      </c>
      <c r="I259">
        <v>38697.040000000001</v>
      </c>
      <c r="J259" t="s">
        <v>75</v>
      </c>
      <c r="K259" t="s">
        <v>2575</v>
      </c>
      <c r="L259">
        <v>45</v>
      </c>
      <c r="M259" t="s">
        <v>20</v>
      </c>
      <c r="N259">
        <v>1.1621999999999999</v>
      </c>
      <c r="O259">
        <v>1.3530000698502875</v>
      </c>
      <c r="P259">
        <v>6.400132165868164E-3</v>
      </c>
      <c r="Q259">
        <v>1.1621999999999999</v>
      </c>
      <c r="R259">
        <v>44973.699887999996</v>
      </c>
      <c r="S259" t="s">
        <v>21</v>
      </c>
      <c r="T259">
        <v>1.101</v>
      </c>
      <c r="U259">
        <v>42605.441039999998</v>
      </c>
      <c r="V259">
        <v>2368.2588479999977</v>
      </c>
      <c r="W259">
        <v>5.5585831062670246E-2</v>
      </c>
    </row>
    <row r="260" spans="1:23" x14ac:dyDescent="0.25">
      <c r="A260" t="s">
        <v>2572</v>
      </c>
      <c r="B260" t="s">
        <v>34</v>
      </c>
      <c r="C260" t="s">
        <v>177</v>
      </c>
      <c r="D260" t="s">
        <v>31</v>
      </c>
      <c r="E260" t="s">
        <v>74</v>
      </c>
      <c r="F260" s="1">
        <v>46008</v>
      </c>
      <c r="G260">
        <v>46068</v>
      </c>
      <c r="H260" t="s">
        <v>8</v>
      </c>
      <c r="I260">
        <v>14867.67</v>
      </c>
      <c r="J260" t="s">
        <v>75</v>
      </c>
      <c r="K260" t="s">
        <v>2573</v>
      </c>
      <c r="L260">
        <v>60</v>
      </c>
      <c r="M260" t="s">
        <v>34</v>
      </c>
      <c r="N260">
        <v>1.1721999999999999</v>
      </c>
      <c r="O260">
        <v>1.3343198634035287</v>
      </c>
      <c r="P260">
        <v>6.4272398289286102E-3</v>
      </c>
      <c r="Q260">
        <v>1.3343198634035287</v>
      </c>
      <c r="R260">
        <v>19838.227403528741</v>
      </c>
      <c r="S260" t="s">
        <v>14</v>
      </c>
      <c r="T260">
        <v>1.304</v>
      </c>
      <c r="U260">
        <v>19387.44168</v>
      </c>
      <c r="V260">
        <v>450.78572352874107</v>
      </c>
      <c r="W260">
        <v>2.3251428990436095E-2</v>
      </c>
    </row>
    <row r="261" spans="1:23" x14ac:dyDescent="0.25">
      <c r="A261" t="s">
        <v>2570</v>
      </c>
      <c r="B261" t="s">
        <v>39</v>
      </c>
      <c r="C261" t="s">
        <v>82</v>
      </c>
      <c r="D261" t="s">
        <v>33</v>
      </c>
      <c r="E261" t="s">
        <v>83</v>
      </c>
      <c r="F261" s="1">
        <v>45919</v>
      </c>
      <c r="G261">
        <v>45964</v>
      </c>
      <c r="H261" t="s">
        <v>8</v>
      </c>
      <c r="I261">
        <v>14621.28</v>
      </c>
      <c r="J261" t="s">
        <v>75</v>
      </c>
      <c r="K261" t="s">
        <v>2571</v>
      </c>
      <c r="L261">
        <v>45</v>
      </c>
      <c r="M261" t="s">
        <v>39</v>
      </c>
      <c r="N261">
        <v>1.1736</v>
      </c>
      <c r="O261">
        <v>1.3477262287551677</v>
      </c>
      <c r="P261">
        <v>6.7529777317452098E-3</v>
      </c>
      <c r="Q261">
        <v>1.3477262287551677</v>
      </c>
      <c r="R261">
        <v>19705.482553973357</v>
      </c>
      <c r="S261" t="s">
        <v>13</v>
      </c>
      <c r="T261">
        <v>1.282</v>
      </c>
      <c r="U261">
        <v>18744.480960000001</v>
      </c>
      <c r="V261">
        <v>961.00159397335665</v>
      </c>
      <c r="W261">
        <v>5.1268509169397486E-2</v>
      </c>
    </row>
    <row r="262" spans="1:23" x14ac:dyDescent="0.25">
      <c r="A262" t="s">
        <v>2568</v>
      </c>
      <c r="B262" t="s">
        <v>32</v>
      </c>
      <c r="C262" t="s">
        <v>106</v>
      </c>
      <c r="D262" t="s">
        <v>31</v>
      </c>
      <c r="E262" t="s">
        <v>74</v>
      </c>
      <c r="F262" s="1">
        <v>46155</v>
      </c>
      <c r="G262">
        <v>46185</v>
      </c>
      <c r="H262" t="s">
        <v>6</v>
      </c>
      <c r="I262">
        <v>16157.62</v>
      </c>
      <c r="J262" t="s">
        <v>75</v>
      </c>
      <c r="K262" t="s">
        <v>2569</v>
      </c>
      <c r="L262">
        <v>30</v>
      </c>
      <c r="M262" t="s">
        <v>32</v>
      </c>
      <c r="N262">
        <v>1.1715</v>
      </c>
      <c r="O262">
        <v>1.3510084993022962</v>
      </c>
      <c r="P262">
        <v>6.3382567764973217E-3</v>
      </c>
      <c r="Q262">
        <v>1.1715</v>
      </c>
      <c r="R262">
        <v>18928.651830000003</v>
      </c>
      <c r="S262" t="s">
        <v>19</v>
      </c>
      <c r="T262">
        <v>1.083</v>
      </c>
      <c r="U262">
        <v>17498.70246</v>
      </c>
      <c r="V262">
        <v>1429.9493700000021</v>
      </c>
      <c r="W262">
        <v>8.1717451523545828E-2</v>
      </c>
    </row>
    <row r="263" spans="1:23" x14ac:dyDescent="0.25">
      <c r="A263" t="s">
        <v>2566</v>
      </c>
      <c r="B263" t="s">
        <v>30</v>
      </c>
      <c r="C263" t="s">
        <v>103</v>
      </c>
      <c r="D263" t="s">
        <v>31</v>
      </c>
      <c r="E263" t="s">
        <v>74</v>
      </c>
      <c r="F263" s="1">
        <v>45862</v>
      </c>
      <c r="G263">
        <v>45892</v>
      </c>
      <c r="H263" t="s">
        <v>9</v>
      </c>
      <c r="I263">
        <v>4245100</v>
      </c>
      <c r="J263" t="s">
        <v>75</v>
      </c>
      <c r="K263" t="s">
        <v>2567</v>
      </c>
      <c r="L263">
        <v>30</v>
      </c>
      <c r="M263" t="s">
        <v>30</v>
      </c>
      <c r="N263">
        <v>1.1756</v>
      </c>
      <c r="O263">
        <v>1.355158501440922</v>
      </c>
      <c r="P263">
        <v>6.8261525955173614E-3</v>
      </c>
      <c r="Q263">
        <v>6.8261525955173614E-3</v>
      </c>
      <c r="R263">
        <v>28977.700383230749</v>
      </c>
      <c r="S263" t="s">
        <v>13</v>
      </c>
      <c r="T263">
        <v>6.8399999999999997E-3</v>
      </c>
      <c r="U263">
        <v>29036.484</v>
      </c>
      <c r="V263">
        <v>-58.783616769251239</v>
      </c>
      <c r="W263">
        <v>-2.0244743395671197E-3</v>
      </c>
    </row>
    <row r="264" spans="1:23" x14ac:dyDescent="0.25">
      <c r="A264" t="s">
        <v>2564</v>
      </c>
      <c r="B264" t="s">
        <v>32</v>
      </c>
      <c r="C264" t="s">
        <v>106</v>
      </c>
      <c r="D264" t="s">
        <v>31</v>
      </c>
      <c r="E264" t="s">
        <v>74</v>
      </c>
      <c r="F264" s="1">
        <v>45969</v>
      </c>
      <c r="G264">
        <v>45999</v>
      </c>
      <c r="H264" t="s">
        <v>6</v>
      </c>
      <c r="I264">
        <v>28237.62</v>
      </c>
      <c r="J264" t="s">
        <v>75</v>
      </c>
      <c r="K264" t="s">
        <v>2565</v>
      </c>
      <c r="L264">
        <v>30</v>
      </c>
      <c r="M264" t="s">
        <v>32</v>
      </c>
      <c r="N264">
        <v>1.1555</v>
      </c>
      <c r="O264">
        <v>1.3367963164349013</v>
      </c>
      <c r="P264">
        <v>6.2983756677204832E-3</v>
      </c>
      <c r="Q264">
        <v>1.1555</v>
      </c>
      <c r="R264">
        <v>32628.569909999998</v>
      </c>
      <c r="S264" t="s">
        <v>14</v>
      </c>
      <c r="T264">
        <v>1.1060000000000001</v>
      </c>
      <c r="U264">
        <v>31230.807720000001</v>
      </c>
      <c r="V264">
        <v>1397.7621899999976</v>
      </c>
      <c r="W264">
        <v>4.4755877034357967E-2</v>
      </c>
    </row>
    <row r="265" spans="1:23" x14ac:dyDescent="0.25">
      <c r="A265" t="s">
        <v>2562</v>
      </c>
      <c r="B265" t="s">
        <v>24</v>
      </c>
      <c r="C265" t="s">
        <v>73</v>
      </c>
      <c r="D265" t="s">
        <v>31</v>
      </c>
      <c r="E265" t="s">
        <v>74</v>
      </c>
      <c r="F265" s="1">
        <v>46297</v>
      </c>
      <c r="G265">
        <v>46327</v>
      </c>
      <c r="H265" t="s">
        <v>6</v>
      </c>
      <c r="I265">
        <v>26973.65</v>
      </c>
      <c r="J265" t="s">
        <v>84</v>
      </c>
      <c r="K265" t="s">
        <v>2563</v>
      </c>
      <c r="L265">
        <v>30</v>
      </c>
      <c r="M265" t="s">
        <v>24</v>
      </c>
      <c r="N265">
        <v>1.1225000000000001</v>
      </c>
      <c r="O265">
        <v>1.3200757353027648</v>
      </c>
      <c r="P265">
        <v>6.3421662240804562E-3</v>
      </c>
      <c r="Q265">
        <v>1.1225000000000001</v>
      </c>
      <c r="R265">
        <v>30277.922125000005</v>
      </c>
      <c r="S265" t="s">
        <v>23</v>
      </c>
      <c r="T265">
        <v>1.119</v>
      </c>
      <c r="U265">
        <v>30183.514350000001</v>
      </c>
      <c r="V265">
        <v>94.407775000003312</v>
      </c>
      <c r="W265">
        <v>3.1277926720287065E-3</v>
      </c>
    </row>
    <row r="266" spans="1:23" x14ac:dyDescent="0.25">
      <c r="A266" t="s">
        <v>2560</v>
      </c>
      <c r="B266" t="s">
        <v>28</v>
      </c>
      <c r="C266" t="s">
        <v>111</v>
      </c>
      <c r="D266" t="s">
        <v>31</v>
      </c>
      <c r="E266" t="s">
        <v>74</v>
      </c>
      <c r="F266" s="1">
        <v>46349</v>
      </c>
      <c r="G266">
        <v>46394</v>
      </c>
      <c r="H266" t="s">
        <v>9</v>
      </c>
      <c r="I266">
        <v>3159880.85</v>
      </c>
      <c r="J266" t="s">
        <v>84</v>
      </c>
      <c r="K266" t="s">
        <v>2561</v>
      </c>
      <c r="L266">
        <v>45</v>
      </c>
      <c r="M266" t="s">
        <v>28</v>
      </c>
      <c r="N266">
        <v>1.1176999999999999</v>
      </c>
      <c r="O266">
        <v>1.320456022210408</v>
      </c>
      <c r="P266">
        <v>6.3200452360757699E-3</v>
      </c>
      <c r="Q266">
        <v>6.3200452360757699E-3</v>
      </c>
      <c r="R266">
        <v>19970.589912609554</v>
      </c>
      <c r="S266" t="s">
        <v>23</v>
      </c>
      <c r="T266">
        <v>6.8799999999999998E-3</v>
      </c>
      <c r="U266">
        <v>21739.980248</v>
      </c>
      <c r="V266">
        <v>-1769.3903353904461</v>
      </c>
      <c r="W266">
        <v>-8.1388773826196262E-2</v>
      </c>
    </row>
    <row r="267" spans="1:23" x14ac:dyDescent="0.25">
      <c r="A267" t="s">
        <v>2558</v>
      </c>
      <c r="B267" t="s">
        <v>42</v>
      </c>
      <c r="C267" t="s">
        <v>151</v>
      </c>
      <c r="D267" t="s">
        <v>35</v>
      </c>
      <c r="E267" t="s">
        <v>152</v>
      </c>
      <c r="F267" s="1">
        <v>46088</v>
      </c>
      <c r="G267">
        <v>46118</v>
      </c>
      <c r="H267" t="s">
        <v>8</v>
      </c>
      <c r="I267">
        <v>4198.13</v>
      </c>
      <c r="J267" t="s">
        <v>75</v>
      </c>
      <c r="K267" t="s">
        <v>2559</v>
      </c>
      <c r="L267">
        <v>30</v>
      </c>
      <c r="M267" t="s">
        <v>42</v>
      </c>
      <c r="N267">
        <v>1.1555</v>
      </c>
      <c r="O267">
        <v>1.3367963164349013</v>
      </c>
      <c r="P267">
        <v>6.2983756677204832E-3</v>
      </c>
      <c r="Q267">
        <v>1.3367963164349013</v>
      </c>
      <c r="R267">
        <v>5612.0447199148521</v>
      </c>
      <c r="S267" t="s">
        <v>16</v>
      </c>
      <c r="T267">
        <v>1.2490000000000001</v>
      </c>
      <c r="U267">
        <v>5243.4643700000006</v>
      </c>
      <c r="V267">
        <v>368.58034991485147</v>
      </c>
      <c r="W267">
        <v>7.0293287778143407E-2</v>
      </c>
    </row>
    <row r="268" spans="1:23" x14ac:dyDescent="0.25">
      <c r="A268" t="s">
        <v>2556</v>
      </c>
      <c r="B268" t="s">
        <v>40</v>
      </c>
      <c r="C268" t="s">
        <v>78</v>
      </c>
      <c r="D268" t="s">
        <v>33</v>
      </c>
      <c r="E268" t="s">
        <v>79</v>
      </c>
      <c r="F268" s="1">
        <v>45659</v>
      </c>
      <c r="G268">
        <v>45689</v>
      </c>
      <c r="H268" t="s">
        <v>9</v>
      </c>
      <c r="I268">
        <v>294843.63</v>
      </c>
      <c r="J268" t="s">
        <v>75</v>
      </c>
      <c r="K268" t="s">
        <v>2557</v>
      </c>
      <c r="L268">
        <v>30</v>
      </c>
      <c r="M268" t="s">
        <v>40</v>
      </c>
      <c r="N268">
        <v>1.0321</v>
      </c>
      <c r="O268">
        <v>1.2417286267715777</v>
      </c>
      <c r="P268">
        <v>6.3694149592693162E-3</v>
      </c>
      <c r="Q268">
        <v>6.3694149592693162E-3</v>
      </c>
      <c r="R268">
        <v>1877.9814275672675</v>
      </c>
      <c r="S268" t="s">
        <v>11</v>
      </c>
      <c r="T268">
        <v>6.5599999999999999E-3</v>
      </c>
      <c r="U268">
        <v>1934.1742128000001</v>
      </c>
      <c r="V268">
        <v>-56.192785232732604</v>
      </c>
      <c r="W268">
        <v>-2.9052597672360302E-2</v>
      </c>
    </row>
    <row r="269" spans="1:23" x14ac:dyDescent="0.25">
      <c r="A269" t="s">
        <v>2554</v>
      </c>
      <c r="B269" t="s">
        <v>24</v>
      </c>
      <c r="C269" t="s">
        <v>73</v>
      </c>
      <c r="D269" t="s">
        <v>31</v>
      </c>
      <c r="E269" t="s">
        <v>74</v>
      </c>
      <c r="F269" s="1">
        <v>45860</v>
      </c>
      <c r="G269">
        <v>45890</v>
      </c>
      <c r="H269" t="s">
        <v>6</v>
      </c>
      <c r="I269">
        <v>20775.330000000002</v>
      </c>
      <c r="J269" t="s">
        <v>75</v>
      </c>
      <c r="K269" t="s">
        <v>2555</v>
      </c>
      <c r="L269">
        <v>30</v>
      </c>
      <c r="M269" t="s">
        <v>24</v>
      </c>
      <c r="N269">
        <v>1.1698999999999999</v>
      </c>
      <c r="O269">
        <v>1.3485878962536022</v>
      </c>
      <c r="P269">
        <v>6.795028169832143E-3</v>
      </c>
      <c r="Q269">
        <v>1.1698999999999999</v>
      </c>
      <c r="R269">
        <v>24305.058567</v>
      </c>
      <c r="S269" t="s">
        <v>13</v>
      </c>
      <c r="T269">
        <v>1.0880000000000001</v>
      </c>
      <c r="U269">
        <v>22603.559040000004</v>
      </c>
      <c r="V269">
        <v>1701.4995269999963</v>
      </c>
      <c r="W269">
        <v>7.5275735294117477E-2</v>
      </c>
    </row>
    <row r="270" spans="1:23" x14ac:dyDescent="0.25">
      <c r="A270" t="s">
        <v>2552</v>
      </c>
      <c r="B270" t="s">
        <v>43</v>
      </c>
      <c r="C270" t="s">
        <v>215</v>
      </c>
      <c r="D270" t="s">
        <v>35</v>
      </c>
      <c r="E270" t="s">
        <v>152</v>
      </c>
      <c r="F270" s="1">
        <v>46191</v>
      </c>
      <c r="G270">
        <v>46221</v>
      </c>
      <c r="H270" t="s">
        <v>6</v>
      </c>
      <c r="I270">
        <v>10872.81</v>
      </c>
      <c r="J270" t="s">
        <v>75</v>
      </c>
      <c r="K270" t="s">
        <v>2553</v>
      </c>
      <c r="L270">
        <v>30</v>
      </c>
      <c r="M270" t="s">
        <v>43</v>
      </c>
      <c r="N270">
        <v>1.1460999999999999</v>
      </c>
      <c r="O270">
        <v>1.3228606385188946</v>
      </c>
      <c r="P270">
        <v>6.2139449143352845E-3</v>
      </c>
      <c r="Q270">
        <v>1.1460999999999999</v>
      </c>
      <c r="R270">
        <v>12461.327540999999</v>
      </c>
      <c r="S270" t="s">
        <v>19</v>
      </c>
      <c r="T270">
        <v>1.083</v>
      </c>
      <c r="U270">
        <v>11775.253229999998</v>
      </c>
      <c r="V270">
        <v>686.07431100000031</v>
      </c>
      <c r="W270">
        <v>5.8264081255771039E-2</v>
      </c>
    </row>
    <row r="271" spans="1:23" x14ac:dyDescent="0.25">
      <c r="A271" t="s">
        <v>2550</v>
      </c>
      <c r="B271" t="s">
        <v>32</v>
      </c>
      <c r="C271" t="s">
        <v>106</v>
      </c>
      <c r="D271" t="s">
        <v>31</v>
      </c>
      <c r="E271" t="s">
        <v>74</v>
      </c>
      <c r="F271" s="1">
        <v>45709</v>
      </c>
      <c r="G271">
        <v>45739</v>
      </c>
      <c r="H271" t="s">
        <v>6</v>
      </c>
      <c r="I271">
        <v>5273.07</v>
      </c>
      <c r="J271" t="s">
        <v>75</v>
      </c>
      <c r="K271" t="s">
        <v>2551</v>
      </c>
      <c r="L271">
        <v>30</v>
      </c>
      <c r="M271" t="s">
        <v>32</v>
      </c>
      <c r="N271">
        <v>1.0465</v>
      </c>
      <c r="O271">
        <v>1.2644997583373609</v>
      </c>
      <c r="P271">
        <v>6.6461323510732884E-3</v>
      </c>
      <c r="Q271">
        <v>1.0465</v>
      </c>
      <c r="R271">
        <v>5518.2677549999999</v>
      </c>
      <c r="S271" t="s">
        <v>11</v>
      </c>
      <c r="T271">
        <v>1.052</v>
      </c>
      <c r="U271">
        <v>5547.2696399999995</v>
      </c>
      <c r="V271">
        <v>-29.001884999999675</v>
      </c>
      <c r="W271">
        <v>-5.228136882129219E-3</v>
      </c>
    </row>
    <row r="272" spans="1:23" x14ac:dyDescent="0.25">
      <c r="A272" t="s">
        <v>2548</v>
      </c>
      <c r="B272" t="s">
        <v>22</v>
      </c>
      <c r="C272" t="s">
        <v>127</v>
      </c>
      <c r="D272" t="s">
        <v>31</v>
      </c>
      <c r="E272" t="s">
        <v>124</v>
      </c>
      <c r="F272" s="1">
        <v>46032</v>
      </c>
      <c r="G272">
        <v>46092</v>
      </c>
      <c r="H272" t="s">
        <v>9</v>
      </c>
      <c r="I272">
        <v>4316684.55</v>
      </c>
      <c r="J272" t="s">
        <v>75</v>
      </c>
      <c r="K272" t="s">
        <v>2549</v>
      </c>
      <c r="L272">
        <v>60</v>
      </c>
      <c r="M272" t="s">
        <v>22</v>
      </c>
      <c r="N272">
        <v>1.1555</v>
      </c>
      <c r="O272">
        <v>1.3367963164349013</v>
      </c>
      <c r="P272">
        <v>6.2983756677204832E-3</v>
      </c>
      <c r="Q272">
        <v>6.2983756677204832E-3</v>
      </c>
      <c r="R272">
        <v>27188.100934944941</v>
      </c>
      <c r="S272" t="s">
        <v>16</v>
      </c>
      <c r="T272">
        <v>6.4599999999999996E-3</v>
      </c>
      <c r="U272">
        <v>27885.782192999995</v>
      </c>
      <c r="V272">
        <v>-697.68125805505406</v>
      </c>
      <c r="W272">
        <v>-2.5019246482897255E-2</v>
      </c>
    </row>
    <row r="273" spans="1:23" x14ac:dyDescent="0.25">
      <c r="A273" t="s">
        <v>2546</v>
      </c>
      <c r="B273" t="s">
        <v>24</v>
      </c>
      <c r="C273" t="s">
        <v>73</v>
      </c>
      <c r="D273" t="s">
        <v>31</v>
      </c>
      <c r="E273" t="s">
        <v>74</v>
      </c>
      <c r="F273" s="1">
        <v>46151</v>
      </c>
      <c r="G273">
        <v>46181</v>
      </c>
      <c r="H273" t="s">
        <v>6</v>
      </c>
      <c r="I273">
        <v>29917</v>
      </c>
      <c r="J273" t="s">
        <v>75</v>
      </c>
      <c r="K273" t="s">
        <v>2547</v>
      </c>
      <c r="L273">
        <v>30</v>
      </c>
      <c r="M273" t="s">
        <v>24</v>
      </c>
      <c r="N273">
        <v>1.1760999999999999</v>
      </c>
      <c r="O273">
        <v>1.3610693206804767</v>
      </c>
      <c r="P273">
        <v>6.3790204480121491E-3</v>
      </c>
      <c r="Q273">
        <v>1.1760999999999999</v>
      </c>
      <c r="R273">
        <v>35185.383699999998</v>
      </c>
      <c r="S273" t="s">
        <v>19</v>
      </c>
      <c r="T273">
        <v>1.083</v>
      </c>
      <c r="U273">
        <v>32400.110999999997</v>
      </c>
      <c r="V273">
        <v>2785.2727000000014</v>
      </c>
      <c r="W273">
        <v>8.59649122807018E-2</v>
      </c>
    </row>
    <row r="274" spans="1:23" x14ac:dyDescent="0.25">
      <c r="A274" t="s">
        <v>2544</v>
      </c>
      <c r="B274" t="s">
        <v>28</v>
      </c>
      <c r="C274" t="s">
        <v>111</v>
      </c>
      <c r="D274" t="s">
        <v>31</v>
      </c>
      <c r="E274" t="s">
        <v>74</v>
      </c>
      <c r="F274" s="1">
        <v>45678</v>
      </c>
      <c r="G274">
        <v>45723</v>
      </c>
      <c r="H274" t="s">
        <v>9</v>
      </c>
      <c r="I274">
        <v>4887612.3099999996</v>
      </c>
      <c r="J274" t="s">
        <v>75</v>
      </c>
      <c r="K274" t="s">
        <v>2545</v>
      </c>
      <c r="L274">
        <v>45</v>
      </c>
      <c r="M274" t="s">
        <v>28</v>
      </c>
      <c r="N274">
        <v>1.0357000000000001</v>
      </c>
      <c r="O274">
        <v>1.2249121852565847</v>
      </c>
      <c r="P274">
        <v>6.4225474389185177E-3</v>
      </c>
      <c r="Q274">
        <v>6.4225474389185177E-3</v>
      </c>
      <c r="R274">
        <v>31390.921924017119</v>
      </c>
      <c r="S274" t="s">
        <v>11</v>
      </c>
      <c r="T274">
        <v>6.5599999999999999E-3</v>
      </c>
      <c r="U274">
        <v>32062.736753599998</v>
      </c>
      <c r="V274">
        <v>-671.81482958287961</v>
      </c>
      <c r="W274">
        <v>-2.0953134311201566E-2</v>
      </c>
    </row>
    <row r="275" spans="1:23" x14ac:dyDescent="0.25">
      <c r="A275" t="s">
        <v>2542</v>
      </c>
      <c r="B275" t="s">
        <v>32</v>
      </c>
      <c r="C275" t="s">
        <v>106</v>
      </c>
      <c r="D275" t="s">
        <v>31</v>
      </c>
      <c r="E275" t="s">
        <v>74</v>
      </c>
      <c r="F275" s="1">
        <v>46003</v>
      </c>
      <c r="G275">
        <v>46033</v>
      </c>
      <c r="H275" t="s">
        <v>6</v>
      </c>
      <c r="I275">
        <v>28305</v>
      </c>
      <c r="J275" t="s">
        <v>75</v>
      </c>
      <c r="K275" t="s">
        <v>2543</v>
      </c>
      <c r="L275">
        <v>30</v>
      </c>
      <c r="M275" t="s">
        <v>32</v>
      </c>
      <c r="N275">
        <v>1.1731</v>
      </c>
      <c r="O275">
        <v>1.338086004334436</v>
      </c>
      <c r="P275">
        <v>6.4107328269304336E-3</v>
      </c>
      <c r="Q275">
        <v>1.1731</v>
      </c>
      <c r="R275">
        <v>33204.595500000003</v>
      </c>
      <c r="S275" t="s">
        <v>14</v>
      </c>
      <c r="T275">
        <v>1.1060000000000001</v>
      </c>
      <c r="U275">
        <v>31305.33</v>
      </c>
      <c r="V275">
        <v>1899.2655000000013</v>
      </c>
      <c r="W275">
        <v>6.0669077757685395E-2</v>
      </c>
    </row>
    <row r="276" spans="1:23" x14ac:dyDescent="0.25">
      <c r="A276" t="s">
        <v>2540</v>
      </c>
      <c r="B276" t="s">
        <v>20</v>
      </c>
      <c r="C276" t="s">
        <v>123</v>
      </c>
      <c r="D276" t="s">
        <v>31</v>
      </c>
      <c r="E276" t="s">
        <v>124</v>
      </c>
      <c r="F276" s="1">
        <v>46185</v>
      </c>
      <c r="G276">
        <v>46230</v>
      </c>
      <c r="H276" t="s">
        <v>6</v>
      </c>
      <c r="I276">
        <v>34673.57</v>
      </c>
      <c r="J276" t="s">
        <v>75</v>
      </c>
      <c r="K276" t="s">
        <v>2541</v>
      </c>
      <c r="L276">
        <v>45</v>
      </c>
      <c r="M276" t="s">
        <v>20</v>
      </c>
      <c r="N276">
        <v>1.1567000000000001</v>
      </c>
      <c r="O276">
        <v>1.3402467991425759</v>
      </c>
      <c r="P276">
        <v>6.2423097679438749E-3</v>
      </c>
      <c r="Q276">
        <v>1.1567000000000001</v>
      </c>
      <c r="R276">
        <v>40106.918419000001</v>
      </c>
      <c r="S276" t="s">
        <v>19</v>
      </c>
      <c r="T276">
        <v>1.083</v>
      </c>
      <c r="U276">
        <v>37551.476309999998</v>
      </c>
      <c r="V276">
        <v>2555.4421090000033</v>
      </c>
      <c r="W276">
        <v>6.8051708217913301E-2</v>
      </c>
    </row>
    <row r="277" spans="1:23" x14ac:dyDescent="0.25">
      <c r="A277" t="s">
        <v>2538</v>
      </c>
      <c r="B277" t="s">
        <v>30</v>
      </c>
      <c r="C277" t="s">
        <v>103</v>
      </c>
      <c r="D277" t="s">
        <v>31</v>
      </c>
      <c r="E277" t="s">
        <v>74</v>
      </c>
      <c r="F277" s="1">
        <v>46310</v>
      </c>
      <c r="G277">
        <v>46340</v>
      </c>
      <c r="H277" t="s">
        <v>9</v>
      </c>
      <c r="I277">
        <v>1027165.81</v>
      </c>
      <c r="J277" t="s">
        <v>84</v>
      </c>
      <c r="K277" t="s">
        <v>2539</v>
      </c>
      <c r="L277">
        <v>30</v>
      </c>
      <c r="M277" t="s">
        <v>30</v>
      </c>
      <c r="N277">
        <v>1.1176999999999999</v>
      </c>
      <c r="O277">
        <v>1.320456022210408</v>
      </c>
      <c r="P277">
        <v>6.3200452360757699E-3</v>
      </c>
      <c r="Q277">
        <v>6.3200452360757699E-3</v>
      </c>
      <c r="R277">
        <v>6491.7343841504098</v>
      </c>
      <c r="S277" t="s">
        <v>23</v>
      </c>
      <c r="T277">
        <v>6.8799999999999998E-3</v>
      </c>
      <c r="U277">
        <v>7066.9007728000006</v>
      </c>
      <c r="V277">
        <v>-575.16638864959077</v>
      </c>
      <c r="W277">
        <v>-8.1388773826196248E-2</v>
      </c>
    </row>
    <row r="278" spans="1:23" x14ac:dyDescent="0.25">
      <c r="A278" t="s">
        <v>2536</v>
      </c>
      <c r="B278" t="s">
        <v>32</v>
      </c>
      <c r="C278" t="s">
        <v>106</v>
      </c>
      <c r="D278" t="s">
        <v>31</v>
      </c>
      <c r="E278" t="s">
        <v>74</v>
      </c>
      <c r="F278" s="1">
        <v>45779</v>
      </c>
      <c r="G278">
        <v>45809</v>
      </c>
      <c r="H278" t="s">
        <v>6</v>
      </c>
      <c r="I278">
        <v>4592.88</v>
      </c>
      <c r="J278" t="s">
        <v>75</v>
      </c>
      <c r="K278" t="s">
        <v>2537</v>
      </c>
      <c r="L278">
        <v>30</v>
      </c>
      <c r="M278" t="s">
        <v>32</v>
      </c>
      <c r="N278">
        <v>1.1343000000000001</v>
      </c>
      <c r="O278">
        <v>1.3293097386616666</v>
      </c>
      <c r="P278">
        <v>6.9194168242542554E-3</v>
      </c>
      <c r="Q278">
        <v>1.1343000000000001</v>
      </c>
      <c r="R278">
        <v>5209.7037840000003</v>
      </c>
      <c r="S278" t="s">
        <v>12</v>
      </c>
      <c r="T278">
        <v>1.07</v>
      </c>
      <c r="U278">
        <v>4914.3816000000006</v>
      </c>
      <c r="V278">
        <v>295.32218399999965</v>
      </c>
      <c r="W278">
        <v>6.0093457943925156E-2</v>
      </c>
    </row>
    <row r="279" spans="1:23" x14ac:dyDescent="0.25">
      <c r="A279" t="s">
        <v>2534</v>
      </c>
      <c r="B279" t="s">
        <v>24</v>
      </c>
      <c r="C279" t="s">
        <v>73</v>
      </c>
      <c r="D279" t="s">
        <v>31</v>
      </c>
      <c r="E279" t="s">
        <v>74</v>
      </c>
      <c r="F279" s="1">
        <v>46285</v>
      </c>
      <c r="G279">
        <v>46315</v>
      </c>
      <c r="H279" t="s">
        <v>6</v>
      </c>
      <c r="I279">
        <v>31546.5</v>
      </c>
      <c r="J279" t="s">
        <v>75</v>
      </c>
      <c r="K279" t="s">
        <v>2535</v>
      </c>
      <c r="L279">
        <v>30</v>
      </c>
      <c r="M279" t="s">
        <v>24</v>
      </c>
      <c r="N279">
        <v>1.1459999999999999</v>
      </c>
      <c r="O279">
        <v>1.3344201210992082</v>
      </c>
      <c r="P279">
        <v>6.3335912457168119E-3</v>
      </c>
      <c r="Q279">
        <v>1.1459999999999999</v>
      </c>
      <c r="R279">
        <v>36152.288999999997</v>
      </c>
      <c r="S279" t="s">
        <v>21</v>
      </c>
      <c r="T279">
        <v>1.101</v>
      </c>
      <c r="U279">
        <v>34732.696499999998</v>
      </c>
      <c r="V279">
        <v>1419.5924999999988</v>
      </c>
      <c r="W279">
        <v>4.0871934604904604E-2</v>
      </c>
    </row>
    <row r="280" spans="1:23" x14ac:dyDescent="0.25">
      <c r="A280" t="s">
        <v>2532</v>
      </c>
      <c r="B280" t="s">
        <v>30</v>
      </c>
      <c r="C280" t="s">
        <v>103</v>
      </c>
      <c r="D280" t="s">
        <v>31</v>
      </c>
      <c r="E280" t="s">
        <v>74</v>
      </c>
      <c r="F280" s="1">
        <v>46095</v>
      </c>
      <c r="G280">
        <v>46125</v>
      </c>
      <c r="H280" t="s">
        <v>9</v>
      </c>
      <c r="I280">
        <v>1850597.85</v>
      </c>
      <c r="J280" t="s">
        <v>75</v>
      </c>
      <c r="K280" t="s">
        <v>2533</v>
      </c>
      <c r="L280">
        <v>30</v>
      </c>
      <c r="M280" t="s">
        <v>30</v>
      </c>
      <c r="N280">
        <v>1.1555</v>
      </c>
      <c r="O280">
        <v>1.3367963164349013</v>
      </c>
      <c r="P280">
        <v>6.2983756677204832E-3</v>
      </c>
      <c r="Q280">
        <v>6.2983756677204832E-3</v>
      </c>
      <c r="R280">
        <v>11655.760469175841</v>
      </c>
      <c r="S280" t="s">
        <v>16</v>
      </c>
      <c r="T280">
        <v>6.4599999999999996E-3</v>
      </c>
      <c r="U280">
        <v>11954.862111</v>
      </c>
      <c r="V280">
        <v>-299.10164182415974</v>
      </c>
      <c r="W280">
        <v>-2.5019246482897366E-2</v>
      </c>
    </row>
    <row r="281" spans="1:23" x14ac:dyDescent="0.25">
      <c r="A281" t="s">
        <v>2530</v>
      </c>
      <c r="B281" t="s">
        <v>36</v>
      </c>
      <c r="C281" t="s">
        <v>116</v>
      </c>
      <c r="D281" t="s">
        <v>31</v>
      </c>
      <c r="E281" t="s">
        <v>74</v>
      </c>
      <c r="F281" s="1">
        <v>46214</v>
      </c>
      <c r="G281">
        <v>46259</v>
      </c>
      <c r="H281" t="s">
        <v>6</v>
      </c>
      <c r="I281">
        <v>8181.76</v>
      </c>
      <c r="J281" t="s">
        <v>75</v>
      </c>
      <c r="K281" t="s">
        <v>2531</v>
      </c>
      <c r="L281">
        <v>45</v>
      </c>
      <c r="M281" t="s">
        <v>36</v>
      </c>
      <c r="N281">
        <v>1.143</v>
      </c>
      <c r="O281">
        <v>1.3422582349832657</v>
      </c>
      <c r="P281">
        <v>6.1777105177818611E-3</v>
      </c>
      <c r="Q281">
        <v>1.143</v>
      </c>
      <c r="R281">
        <v>9351.7516800000012</v>
      </c>
      <c r="S281" t="s">
        <v>21</v>
      </c>
      <c r="T281">
        <v>1.101</v>
      </c>
      <c r="U281">
        <v>9008.1177599999992</v>
      </c>
      <c r="V281">
        <v>343.63392000000204</v>
      </c>
      <c r="W281">
        <v>3.8147138964577887E-2</v>
      </c>
    </row>
    <row r="282" spans="1:23" x14ac:dyDescent="0.25">
      <c r="A282" t="s">
        <v>2528</v>
      </c>
      <c r="B282" t="s">
        <v>28</v>
      </c>
      <c r="C282" t="s">
        <v>111</v>
      </c>
      <c r="D282" t="s">
        <v>31</v>
      </c>
      <c r="E282" t="s">
        <v>74</v>
      </c>
      <c r="F282" s="1">
        <v>45683</v>
      </c>
      <c r="G282">
        <v>45728</v>
      </c>
      <c r="H282" t="s">
        <v>9</v>
      </c>
      <c r="I282">
        <v>836510.3</v>
      </c>
      <c r="J282" t="s">
        <v>75</v>
      </c>
      <c r="K282" t="s">
        <v>2529</v>
      </c>
      <c r="L282">
        <v>45</v>
      </c>
      <c r="M282" t="s">
        <v>28</v>
      </c>
      <c r="N282">
        <v>1.0389999999999999</v>
      </c>
      <c r="O282">
        <v>1.2471042934476011</v>
      </c>
      <c r="P282">
        <v>6.5022842480755988E-3</v>
      </c>
      <c r="Q282">
        <v>6.5022842480755988E-3</v>
      </c>
      <c r="R282">
        <v>5439.2277470429935</v>
      </c>
      <c r="S282" t="s">
        <v>11</v>
      </c>
      <c r="T282">
        <v>6.5599999999999999E-3</v>
      </c>
      <c r="U282">
        <v>5487.507568</v>
      </c>
      <c r="V282">
        <v>-48.27982095700645</v>
      </c>
      <c r="W282">
        <v>-8.7981329153050663E-3</v>
      </c>
    </row>
    <row r="283" spans="1:23" x14ac:dyDescent="0.25">
      <c r="A283" t="s">
        <v>2526</v>
      </c>
      <c r="B283" t="s">
        <v>28</v>
      </c>
      <c r="C283" t="s">
        <v>111</v>
      </c>
      <c r="D283" t="s">
        <v>31</v>
      </c>
      <c r="E283" t="s">
        <v>74</v>
      </c>
      <c r="F283" s="1">
        <v>46017</v>
      </c>
      <c r="G283">
        <v>46062</v>
      </c>
      <c r="H283" t="s">
        <v>9</v>
      </c>
      <c r="I283">
        <v>4977004.6399999997</v>
      </c>
      <c r="J283" t="s">
        <v>75</v>
      </c>
      <c r="K283" t="s">
        <v>2527</v>
      </c>
      <c r="L283">
        <v>45</v>
      </c>
      <c r="M283" t="s">
        <v>28</v>
      </c>
      <c r="N283">
        <v>1.1555</v>
      </c>
      <c r="O283">
        <v>1.3367963164349013</v>
      </c>
      <c r="P283">
        <v>6.2983756677204832E-3</v>
      </c>
      <c r="Q283">
        <v>6.2983756677204832E-3</v>
      </c>
      <c r="R283">
        <v>31347.044922707941</v>
      </c>
      <c r="S283" t="s">
        <v>14</v>
      </c>
      <c r="T283">
        <v>6.9800000000000001E-3</v>
      </c>
      <c r="U283">
        <v>34739.4923872</v>
      </c>
      <c r="V283">
        <v>-3392.4474644920592</v>
      </c>
      <c r="W283">
        <v>-9.7653915799357768E-2</v>
      </c>
    </row>
    <row r="284" spans="1:23" x14ac:dyDescent="0.25">
      <c r="A284" t="s">
        <v>2524</v>
      </c>
      <c r="B284" t="s">
        <v>37</v>
      </c>
      <c r="C284" t="s">
        <v>91</v>
      </c>
      <c r="D284" t="s">
        <v>31</v>
      </c>
      <c r="E284" t="s">
        <v>74</v>
      </c>
      <c r="F284" s="1">
        <v>45681</v>
      </c>
      <c r="G284">
        <v>45711</v>
      </c>
      <c r="H284" t="s">
        <v>6</v>
      </c>
      <c r="I284">
        <v>6621.63</v>
      </c>
      <c r="J284" t="s">
        <v>75</v>
      </c>
      <c r="K284" t="s">
        <v>2525</v>
      </c>
      <c r="L284">
        <v>30</v>
      </c>
      <c r="M284" t="s">
        <v>37</v>
      </c>
      <c r="N284">
        <v>1.0471999999999999</v>
      </c>
      <c r="O284">
        <v>1.2405672112115431</v>
      </c>
      <c r="P284">
        <v>6.3892617449664421E-3</v>
      </c>
      <c r="Q284">
        <v>1.0471999999999999</v>
      </c>
      <c r="R284">
        <v>6934.1709359999995</v>
      </c>
      <c r="S284" t="s">
        <v>11</v>
      </c>
      <c r="T284">
        <v>1.052</v>
      </c>
      <c r="U284">
        <v>6965.9547600000005</v>
      </c>
      <c r="V284">
        <v>-31.783824000001005</v>
      </c>
      <c r="W284">
        <v>-4.5627376425856955E-3</v>
      </c>
    </row>
    <row r="285" spans="1:23" x14ac:dyDescent="0.25">
      <c r="A285" t="s">
        <v>2522</v>
      </c>
      <c r="B285" t="s">
        <v>41</v>
      </c>
      <c r="C285" t="s">
        <v>172</v>
      </c>
      <c r="D285" t="s">
        <v>33</v>
      </c>
      <c r="E285" t="s">
        <v>83</v>
      </c>
      <c r="F285" s="1">
        <v>46348</v>
      </c>
      <c r="G285">
        <v>46378</v>
      </c>
      <c r="H285" t="s">
        <v>9</v>
      </c>
      <c r="I285">
        <v>2471718.4300000002</v>
      </c>
      <c r="J285" t="s">
        <v>84</v>
      </c>
      <c r="K285" t="s">
        <v>2523</v>
      </c>
      <c r="L285">
        <v>30</v>
      </c>
      <c r="M285" t="s">
        <v>41</v>
      </c>
      <c r="N285">
        <v>1.1176999999999999</v>
      </c>
      <c r="O285">
        <v>1.320456022210408</v>
      </c>
      <c r="P285">
        <v>6.3200452360757699E-3</v>
      </c>
      <c r="Q285">
        <v>6.3200452360757699E-3</v>
      </c>
      <c r="R285">
        <v>15621.372288442182</v>
      </c>
      <c r="S285" t="s">
        <v>23</v>
      </c>
      <c r="T285">
        <v>6.8799999999999998E-3</v>
      </c>
      <c r="U285">
        <v>17005.422798399999</v>
      </c>
      <c r="V285">
        <v>-1384.0505099578168</v>
      </c>
      <c r="W285">
        <v>-8.1388773826196123E-2</v>
      </c>
    </row>
    <row r="286" spans="1:23" x14ac:dyDescent="0.25">
      <c r="A286" t="s">
        <v>2520</v>
      </c>
      <c r="B286" t="s">
        <v>40</v>
      </c>
      <c r="C286" t="s">
        <v>78</v>
      </c>
      <c r="D286" t="s">
        <v>33</v>
      </c>
      <c r="E286" t="s">
        <v>79</v>
      </c>
      <c r="F286" s="1">
        <v>46176</v>
      </c>
      <c r="G286">
        <v>46206</v>
      </c>
      <c r="H286" t="s">
        <v>9</v>
      </c>
      <c r="I286">
        <v>1859141.71</v>
      </c>
      <c r="J286" t="s">
        <v>75</v>
      </c>
      <c r="K286" t="s">
        <v>2521</v>
      </c>
      <c r="L286">
        <v>30</v>
      </c>
      <c r="M286" t="s">
        <v>40</v>
      </c>
      <c r="N286">
        <v>1.1614</v>
      </c>
      <c r="O286">
        <v>1.3446798656941068</v>
      </c>
      <c r="P286">
        <v>6.2555208445545622E-3</v>
      </c>
      <c r="Q286">
        <v>6.2555208445545622E-3</v>
      </c>
      <c r="R286">
        <v>11629.899719885812</v>
      </c>
      <c r="S286" t="s">
        <v>19</v>
      </c>
      <c r="T286">
        <v>6.6E-3</v>
      </c>
      <c r="U286">
        <v>12270.335286</v>
      </c>
      <c r="V286">
        <v>-640.43556611418717</v>
      </c>
      <c r="W286">
        <v>-5.2193811431126953E-2</v>
      </c>
    </row>
    <row r="287" spans="1:23" x14ac:dyDescent="0.25">
      <c r="A287" t="s">
        <v>2518</v>
      </c>
      <c r="B287" t="s">
        <v>39</v>
      </c>
      <c r="C287" t="s">
        <v>82</v>
      </c>
      <c r="D287" t="s">
        <v>33</v>
      </c>
      <c r="E287" t="s">
        <v>83</v>
      </c>
      <c r="F287" s="1">
        <v>45885</v>
      </c>
      <c r="G287">
        <v>45930</v>
      </c>
      <c r="H287" t="s">
        <v>8</v>
      </c>
      <c r="I287">
        <v>4609.9799999999996</v>
      </c>
      <c r="J287" t="s">
        <v>75</v>
      </c>
      <c r="K287" t="s">
        <v>2519</v>
      </c>
      <c r="L287">
        <v>45</v>
      </c>
      <c r="M287" t="s">
        <v>39</v>
      </c>
      <c r="N287">
        <v>1.1586000000000001</v>
      </c>
      <c r="O287">
        <v>1.3235092529129542</v>
      </c>
      <c r="P287">
        <v>6.3972171608414775E-3</v>
      </c>
      <c r="Q287">
        <v>1.3235092529129542</v>
      </c>
      <c r="R287">
        <v>6101.3511857436597</v>
      </c>
      <c r="S287" t="s">
        <v>13</v>
      </c>
      <c r="T287">
        <v>1.282</v>
      </c>
      <c r="U287">
        <v>5909.9943599999997</v>
      </c>
      <c r="V287">
        <v>191.35682574366001</v>
      </c>
      <c r="W287">
        <v>3.2378512412600681E-2</v>
      </c>
    </row>
    <row r="288" spans="1:23" x14ac:dyDescent="0.25">
      <c r="A288" t="s">
        <v>2516</v>
      </c>
      <c r="B288" t="s">
        <v>39</v>
      </c>
      <c r="C288" t="s">
        <v>82</v>
      </c>
      <c r="D288" t="s">
        <v>33</v>
      </c>
      <c r="E288" t="s">
        <v>83</v>
      </c>
      <c r="F288" s="1">
        <v>45681</v>
      </c>
      <c r="G288">
        <v>45726</v>
      </c>
      <c r="H288" t="s">
        <v>8</v>
      </c>
      <c r="I288">
        <v>6483.74</v>
      </c>
      <c r="J288" t="s">
        <v>75</v>
      </c>
      <c r="K288" t="s">
        <v>2517</v>
      </c>
      <c r="L288">
        <v>45</v>
      </c>
      <c r="M288" t="s">
        <v>39</v>
      </c>
      <c r="N288">
        <v>1.0471999999999999</v>
      </c>
      <c r="O288">
        <v>1.2405672112115431</v>
      </c>
      <c r="P288">
        <v>6.3892617449664421E-3</v>
      </c>
      <c r="Q288">
        <v>1.2405672112115431</v>
      </c>
      <c r="R288">
        <v>8043.5152500207305</v>
      </c>
      <c r="S288" t="s">
        <v>11</v>
      </c>
      <c r="T288">
        <v>1.238</v>
      </c>
      <c r="U288">
        <v>8026.8701199999996</v>
      </c>
      <c r="V288">
        <v>16.645130020730903</v>
      </c>
      <c r="W288">
        <v>2.0736762613434317E-3</v>
      </c>
    </row>
    <row r="289" spans="1:23" x14ac:dyDescent="0.25">
      <c r="A289" t="s">
        <v>2514</v>
      </c>
      <c r="B289" t="s">
        <v>44</v>
      </c>
      <c r="C289" t="s">
        <v>138</v>
      </c>
      <c r="D289" t="s">
        <v>33</v>
      </c>
      <c r="E289" t="s">
        <v>88</v>
      </c>
      <c r="F289" s="1">
        <v>46053</v>
      </c>
      <c r="G289">
        <v>46098</v>
      </c>
      <c r="H289" t="s">
        <v>9</v>
      </c>
      <c r="I289">
        <v>1373403.79</v>
      </c>
      <c r="J289" t="s">
        <v>75</v>
      </c>
      <c r="K289" t="s">
        <v>2515</v>
      </c>
      <c r="L289">
        <v>45</v>
      </c>
      <c r="M289" t="s">
        <v>44</v>
      </c>
      <c r="N289">
        <v>1.1555</v>
      </c>
      <c r="O289">
        <v>1.3367963164349013</v>
      </c>
      <c r="P289">
        <v>6.2983756677204832E-3</v>
      </c>
      <c r="Q289">
        <v>6.2983756677204832E-3</v>
      </c>
      <c r="R289">
        <v>8650.2130128910921</v>
      </c>
      <c r="S289" t="s">
        <v>16</v>
      </c>
      <c r="T289">
        <v>6.4599999999999996E-3</v>
      </c>
      <c r="U289">
        <v>8872.1884833999993</v>
      </c>
      <c r="V289">
        <v>-221.97547050890716</v>
      </c>
      <c r="W289">
        <v>-2.5019246482897276E-2</v>
      </c>
    </row>
    <row r="290" spans="1:23" x14ac:dyDescent="0.25">
      <c r="A290" t="s">
        <v>2511</v>
      </c>
      <c r="B290" t="s">
        <v>22</v>
      </c>
      <c r="C290" t="s">
        <v>127</v>
      </c>
      <c r="D290" t="s">
        <v>31</v>
      </c>
      <c r="E290" t="s">
        <v>124</v>
      </c>
      <c r="F290" s="1">
        <v>45749</v>
      </c>
      <c r="G290">
        <v>45809</v>
      </c>
      <c r="H290" t="s">
        <v>9</v>
      </c>
      <c r="I290">
        <v>8802664.7699999996</v>
      </c>
      <c r="J290" t="s">
        <v>75</v>
      </c>
      <c r="K290" t="s">
        <v>2512</v>
      </c>
      <c r="L290">
        <v>60</v>
      </c>
      <c r="M290" t="s">
        <v>22</v>
      </c>
      <c r="N290">
        <v>1.0803</v>
      </c>
      <c r="O290">
        <v>1.2944700736924091</v>
      </c>
      <c r="P290">
        <v>6.7007815407517683E-3</v>
      </c>
      <c r="Q290">
        <v>6.7007815407517683E-3</v>
      </c>
      <c r="R290">
        <v>58984.733600241911</v>
      </c>
      <c r="S290" t="s">
        <v>12</v>
      </c>
      <c r="T290">
        <v>6.7000000000000002E-3</v>
      </c>
      <c r="U290">
        <v>58977.853959</v>
      </c>
      <c r="V290">
        <v>6.8796412419105764</v>
      </c>
      <c r="W290">
        <v>1.166478733982613E-4</v>
      </c>
    </row>
    <row r="291" spans="1:23" x14ac:dyDescent="0.25">
      <c r="A291" t="s">
        <v>2511</v>
      </c>
      <c r="B291" t="s">
        <v>20</v>
      </c>
      <c r="C291" t="s">
        <v>123</v>
      </c>
      <c r="D291" t="s">
        <v>31</v>
      </c>
      <c r="E291" t="s">
        <v>124</v>
      </c>
      <c r="F291" s="1">
        <v>45907</v>
      </c>
      <c r="G291">
        <v>45952</v>
      </c>
      <c r="H291" t="s">
        <v>6</v>
      </c>
      <c r="I291">
        <v>51941.85</v>
      </c>
      <c r="J291" t="s">
        <v>75</v>
      </c>
      <c r="K291" t="s">
        <v>2513</v>
      </c>
      <c r="L291">
        <v>45</v>
      </c>
      <c r="M291" t="s">
        <v>20</v>
      </c>
      <c r="N291">
        <v>1.175</v>
      </c>
      <c r="O291">
        <v>1.3465505386202155</v>
      </c>
      <c r="P291">
        <v>6.3827475691237987E-3</v>
      </c>
      <c r="Q291">
        <v>1.175</v>
      </c>
      <c r="R291">
        <v>61031.673750000002</v>
      </c>
      <c r="S291" t="s">
        <v>13</v>
      </c>
      <c r="T291">
        <v>1.0880000000000001</v>
      </c>
      <c r="U291">
        <v>56512.732800000005</v>
      </c>
      <c r="V291">
        <v>4518.9409499999965</v>
      </c>
      <c r="W291">
        <v>7.9963235294117571E-2</v>
      </c>
    </row>
    <row r="292" spans="1:23" x14ac:dyDescent="0.25">
      <c r="A292" t="s">
        <v>2509</v>
      </c>
      <c r="B292" t="s">
        <v>28</v>
      </c>
      <c r="C292" t="s">
        <v>111</v>
      </c>
      <c r="D292" t="s">
        <v>31</v>
      </c>
      <c r="E292" t="s">
        <v>74</v>
      </c>
      <c r="F292" s="1">
        <v>46161</v>
      </c>
      <c r="G292">
        <v>46206</v>
      </c>
      <c r="H292" t="s">
        <v>9</v>
      </c>
      <c r="I292">
        <v>2186750.4900000002</v>
      </c>
      <c r="J292" t="s">
        <v>75</v>
      </c>
      <c r="K292" t="s">
        <v>2510</v>
      </c>
      <c r="L292">
        <v>45</v>
      </c>
      <c r="M292" t="s">
        <v>28</v>
      </c>
      <c r="N292">
        <v>1.1619999999999999</v>
      </c>
      <c r="O292">
        <v>1.3407021956594478</v>
      </c>
      <c r="P292">
        <v>6.284817999891828E-3</v>
      </c>
      <c r="Q292">
        <v>6.284817999891828E-3</v>
      </c>
      <c r="R292">
        <v>13743.328840824277</v>
      </c>
      <c r="S292" t="s">
        <v>19</v>
      </c>
      <c r="T292">
        <v>6.6E-3</v>
      </c>
      <c r="U292">
        <v>14432.553234000001</v>
      </c>
      <c r="V292">
        <v>-689.22439317572389</v>
      </c>
      <c r="W292">
        <v>-4.7754848501238088E-2</v>
      </c>
    </row>
    <row r="293" spans="1:23" x14ac:dyDescent="0.25">
      <c r="A293" t="s">
        <v>2507</v>
      </c>
      <c r="B293" t="s">
        <v>42</v>
      </c>
      <c r="C293" t="s">
        <v>151</v>
      </c>
      <c r="D293" t="s">
        <v>35</v>
      </c>
      <c r="E293" t="s">
        <v>152</v>
      </c>
      <c r="F293" s="1">
        <v>46368</v>
      </c>
      <c r="G293">
        <v>46398</v>
      </c>
      <c r="H293" t="s">
        <v>8</v>
      </c>
      <c r="I293">
        <v>1629.69</v>
      </c>
      <c r="J293" t="s">
        <v>84</v>
      </c>
      <c r="K293" t="s">
        <v>2508</v>
      </c>
      <c r="L293">
        <v>30</v>
      </c>
      <c r="M293" t="s">
        <v>42</v>
      </c>
      <c r="N293">
        <v>1.1176999999999999</v>
      </c>
      <c r="O293">
        <v>1.320456022210408</v>
      </c>
      <c r="P293">
        <v>6.3200452360757699E-3</v>
      </c>
      <c r="Q293">
        <v>1.320456022210408</v>
      </c>
      <c r="R293">
        <v>2151.9339748360799</v>
      </c>
      <c r="S293" t="s">
        <v>23</v>
      </c>
      <c r="T293">
        <v>1.3149999999999999</v>
      </c>
      <c r="U293">
        <v>2143.0423500000002</v>
      </c>
      <c r="V293">
        <v>8.8916248360796999</v>
      </c>
      <c r="W293">
        <v>4.1490663197018482E-3</v>
      </c>
    </row>
    <row r="294" spans="1:23" x14ac:dyDescent="0.25">
      <c r="A294" t="s">
        <v>2505</v>
      </c>
      <c r="B294" t="s">
        <v>44</v>
      </c>
      <c r="C294" t="s">
        <v>138</v>
      </c>
      <c r="D294" t="s">
        <v>33</v>
      </c>
      <c r="E294" t="s">
        <v>88</v>
      </c>
      <c r="F294" s="1">
        <v>45902</v>
      </c>
      <c r="G294">
        <v>45947</v>
      </c>
      <c r="H294" t="s">
        <v>9</v>
      </c>
      <c r="I294">
        <v>1397942.73</v>
      </c>
      <c r="J294" t="s">
        <v>75</v>
      </c>
      <c r="K294" t="s">
        <v>2506</v>
      </c>
      <c r="L294">
        <v>45</v>
      </c>
      <c r="M294" t="s">
        <v>44</v>
      </c>
      <c r="N294">
        <v>1.1646000000000001</v>
      </c>
      <c r="O294">
        <v>1.3383130314870146</v>
      </c>
      <c r="P294">
        <v>6.727902946273831E-3</v>
      </c>
      <c r="Q294">
        <v>6.727902946273831E-3</v>
      </c>
      <c r="R294">
        <v>9405.223011889082</v>
      </c>
      <c r="S294" t="s">
        <v>13</v>
      </c>
      <c r="T294">
        <v>6.8399999999999997E-3</v>
      </c>
      <c r="U294">
        <v>9561.9282731999992</v>
      </c>
      <c r="V294">
        <v>-156.70526131091719</v>
      </c>
      <c r="W294">
        <v>-1.6388458147100715E-2</v>
      </c>
    </row>
    <row r="295" spans="1:23" x14ac:dyDescent="0.25">
      <c r="A295" t="s">
        <v>2503</v>
      </c>
      <c r="B295" t="s">
        <v>24</v>
      </c>
      <c r="C295" t="s">
        <v>73</v>
      </c>
      <c r="D295" t="s">
        <v>31</v>
      </c>
      <c r="E295" t="s">
        <v>74</v>
      </c>
      <c r="F295" s="1">
        <v>46130</v>
      </c>
      <c r="G295">
        <v>46160</v>
      </c>
      <c r="H295" t="s">
        <v>6</v>
      </c>
      <c r="I295">
        <v>39638.76</v>
      </c>
      <c r="J295" t="s">
        <v>75</v>
      </c>
      <c r="K295" t="s">
        <v>2504</v>
      </c>
      <c r="L295">
        <v>30</v>
      </c>
      <c r="M295" t="s">
        <v>24</v>
      </c>
      <c r="N295">
        <v>1.1797</v>
      </c>
      <c r="O295">
        <v>1.3533636196769456</v>
      </c>
      <c r="P295">
        <v>6.2843596846366926E-3</v>
      </c>
      <c r="Q295">
        <v>1.1797</v>
      </c>
      <c r="R295">
        <v>46761.845172000001</v>
      </c>
      <c r="S295" t="s">
        <v>19</v>
      </c>
      <c r="T295">
        <v>1.083</v>
      </c>
      <c r="U295">
        <v>42928.77708</v>
      </c>
      <c r="V295">
        <v>3833.0680920000013</v>
      </c>
      <c r="W295">
        <v>8.9289012003693477E-2</v>
      </c>
    </row>
    <row r="296" spans="1:23" x14ac:dyDescent="0.25">
      <c r="A296" t="s">
        <v>2501</v>
      </c>
      <c r="B296" t="s">
        <v>40</v>
      </c>
      <c r="C296" t="s">
        <v>78</v>
      </c>
      <c r="D296" t="s">
        <v>33</v>
      </c>
      <c r="E296" t="s">
        <v>79</v>
      </c>
      <c r="F296" s="1">
        <v>45714</v>
      </c>
      <c r="G296">
        <v>45744</v>
      </c>
      <c r="H296" t="s">
        <v>9</v>
      </c>
      <c r="I296">
        <v>1353843.04</v>
      </c>
      <c r="J296" t="s">
        <v>75</v>
      </c>
      <c r="K296" t="s">
        <v>2502</v>
      </c>
      <c r="L296">
        <v>30</v>
      </c>
      <c r="M296" t="s">
        <v>40</v>
      </c>
      <c r="N296">
        <v>1.0487</v>
      </c>
      <c r="O296">
        <v>1.2655065887918135</v>
      </c>
      <c r="P296">
        <v>6.6924058710912575E-3</v>
      </c>
      <c r="Q296">
        <v>6.6924058710912575E-3</v>
      </c>
      <c r="R296">
        <v>9060.4671094320365</v>
      </c>
      <c r="S296" t="s">
        <v>11</v>
      </c>
      <c r="T296">
        <v>6.5599999999999999E-3</v>
      </c>
      <c r="U296">
        <v>8881.2103423999997</v>
      </c>
      <c r="V296">
        <v>179.25676703203681</v>
      </c>
      <c r="W296">
        <v>2.0183821812691766E-2</v>
      </c>
    </row>
    <row r="297" spans="1:23" x14ac:dyDescent="0.25">
      <c r="A297" t="s">
        <v>2499</v>
      </c>
      <c r="B297" t="s">
        <v>38</v>
      </c>
      <c r="C297" t="s">
        <v>87</v>
      </c>
      <c r="D297" t="s">
        <v>33</v>
      </c>
      <c r="E297" t="s">
        <v>88</v>
      </c>
      <c r="F297" s="1">
        <v>46320</v>
      </c>
      <c r="G297">
        <v>46350</v>
      </c>
      <c r="H297" t="s">
        <v>6</v>
      </c>
      <c r="I297">
        <v>5085.22</v>
      </c>
      <c r="J297" t="s">
        <v>84</v>
      </c>
      <c r="K297" t="s">
        <v>2500</v>
      </c>
      <c r="L297">
        <v>30</v>
      </c>
      <c r="M297" t="s">
        <v>38</v>
      </c>
      <c r="N297">
        <v>1.1176999999999999</v>
      </c>
      <c r="O297">
        <v>1.320456022210408</v>
      </c>
      <c r="P297">
        <v>6.3200452360757699E-3</v>
      </c>
      <c r="Q297">
        <v>1.1176999999999999</v>
      </c>
      <c r="R297">
        <v>5683.7503939999997</v>
      </c>
      <c r="S297" t="s">
        <v>23</v>
      </c>
      <c r="T297">
        <v>1.119</v>
      </c>
      <c r="U297">
        <v>5690.3611799999999</v>
      </c>
      <c r="V297">
        <v>-6.6107860000001892</v>
      </c>
      <c r="W297">
        <v>-1.1617515638963692E-3</v>
      </c>
    </row>
    <row r="298" spans="1:23" x14ac:dyDescent="0.25">
      <c r="A298" t="s">
        <v>2497</v>
      </c>
      <c r="B298" t="s">
        <v>43</v>
      </c>
      <c r="C298" t="s">
        <v>215</v>
      </c>
      <c r="D298" t="s">
        <v>35</v>
      </c>
      <c r="E298" t="s">
        <v>152</v>
      </c>
      <c r="F298" s="1">
        <v>45936</v>
      </c>
      <c r="G298">
        <v>45966</v>
      </c>
      <c r="H298" t="s">
        <v>6</v>
      </c>
      <c r="I298">
        <v>9187.82</v>
      </c>
      <c r="J298" t="s">
        <v>75</v>
      </c>
      <c r="K298" t="s">
        <v>2498</v>
      </c>
      <c r="L298">
        <v>30</v>
      </c>
      <c r="M298" t="s">
        <v>43</v>
      </c>
      <c r="N298">
        <v>1.1677999999999999</v>
      </c>
      <c r="O298">
        <v>1.3430707303047726</v>
      </c>
      <c r="P298">
        <v>6.6647642963132058E-3</v>
      </c>
      <c r="Q298">
        <v>1.1677999999999999</v>
      </c>
      <c r="R298">
        <v>10729.536195999999</v>
      </c>
      <c r="S298" t="s">
        <v>14</v>
      </c>
      <c r="T298">
        <v>1.1060000000000001</v>
      </c>
      <c r="U298">
        <v>10161.728920000001</v>
      </c>
      <c r="V298">
        <v>567.80727599999773</v>
      </c>
      <c r="W298">
        <v>5.5877034358046786E-2</v>
      </c>
    </row>
    <row r="299" spans="1:23" x14ac:dyDescent="0.25">
      <c r="A299" t="s">
        <v>2495</v>
      </c>
      <c r="B299" t="s">
        <v>24</v>
      </c>
      <c r="C299" t="s">
        <v>73</v>
      </c>
      <c r="D299" t="s">
        <v>31</v>
      </c>
      <c r="E299" t="s">
        <v>74</v>
      </c>
      <c r="F299" s="1">
        <v>46263</v>
      </c>
      <c r="G299">
        <v>46293</v>
      </c>
      <c r="H299" t="s">
        <v>6</v>
      </c>
      <c r="I299">
        <v>37373.85</v>
      </c>
      <c r="J299" t="s">
        <v>75</v>
      </c>
      <c r="K299" t="s">
        <v>2496</v>
      </c>
      <c r="L299">
        <v>30</v>
      </c>
      <c r="M299" t="s">
        <v>24</v>
      </c>
      <c r="N299">
        <v>1.1642999999999999</v>
      </c>
      <c r="O299">
        <v>1.3582594493700419</v>
      </c>
      <c r="P299">
        <v>6.2623709122203094E-3</v>
      </c>
      <c r="Q299">
        <v>1.1642999999999999</v>
      </c>
      <c r="R299">
        <v>43514.373554999991</v>
      </c>
      <c r="S299" t="s">
        <v>21</v>
      </c>
      <c r="T299">
        <v>1.101</v>
      </c>
      <c r="U299">
        <v>41148.608849999997</v>
      </c>
      <c r="V299">
        <v>2365.7647049999941</v>
      </c>
      <c r="W299">
        <v>5.7493188010899046E-2</v>
      </c>
    </row>
    <row r="300" spans="1:23" x14ac:dyDescent="0.25">
      <c r="A300" t="s">
        <v>2493</v>
      </c>
      <c r="B300" t="s">
        <v>32</v>
      </c>
      <c r="C300" t="s">
        <v>106</v>
      </c>
      <c r="D300" t="s">
        <v>31</v>
      </c>
      <c r="E300" t="s">
        <v>74</v>
      </c>
      <c r="F300" s="1">
        <v>45770</v>
      </c>
      <c r="G300">
        <v>45800</v>
      </c>
      <c r="H300" t="s">
        <v>6</v>
      </c>
      <c r="I300">
        <v>11789.04</v>
      </c>
      <c r="J300" t="s">
        <v>75</v>
      </c>
      <c r="K300" t="s">
        <v>2494</v>
      </c>
      <c r="L300">
        <v>30</v>
      </c>
      <c r="M300" t="s">
        <v>32</v>
      </c>
      <c r="N300">
        <v>1.1415</v>
      </c>
      <c r="O300">
        <v>1.3305281316657536</v>
      </c>
      <c r="P300">
        <v>7.0602424542305781E-3</v>
      </c>
      <c r="Q300">
        <v>1.1415</v>
      </c>
      <c r="R300">
        <v>13457.18916</v>
      </c>
      <c r="S300" t="s">
        <v>12</v>
      </c>
      <c r="T300">
        <v>1.07</v>
      </c>
      <c r="U300">
        <v>12614.272800000002</v>
      </c>
      <c r="V300">
        <v>842.91635999999744</v>
      </c>
      <c r="W300">
        <v>6.6822429906541844E-2</v>
      </c>
    </row>
    <row r="301" spans="1:23" x14ac:dyDescent="0.25">
      <c r="A301" t="s">
        <v>2491</v>
      </c>
      <c r="B301" t="s">
        <v>37</v>
      </c>
      <c r="C301" t="s">
        <v>91</v>
      </c>
      <c r="D301" t="s">
        <v>31</v>
      </c>
      <c r="E301" t="s">
        <v>74</v>
      </c>
      <c r="F301" s="1">
        <v>46356</v>
      </c>
      <c r="G301">
        <v>46386</v>
      </c>
      <c r="H301" t="s">
        <v>6</v>
      </c>
      <c r="I301">
        <v>23032.71</v>
      </c>
      <c r="J301" t="s">
        <v>84</v>
      </c>
      <c r="K301" t="s">
        <v>2492</v>
      </c>
      <c r="L301">
        <v>30</v>
      </c>
      <c r="M301" t="s">
        <v>37</v>
      </c>
      <c r="N301">
        <v>1.1176999999999999</v>
      </c>
      <c r="O301">
        <v>1.320456022210408</v>
      </c>
      <c r="P301">
        <v>6.3200452360757699E-3</v>
      </c>
      <c r="Q301">
        <v>1.1176999999999999</v>
      </c>
      <c r="R301">
        <v>25743.659966999996</v>
      </c>
      <c r="S301" t="s">
        <v>23</v>
      </c>
      <c r="T301">
        <v>1.119</v>
      </c>
      <c r="U301">
        <v>25773.602489999997</v>
      </c>
      <c r="V301">
        <v>-29.942523000001529</v>
      </c>
      <c r="W301">
        <v>-1.1617515638963954E-3</v>
      </c>
    </row>
    <row r="302" spans="1:23" x14ac:dyDescent="0.25">
      <c r="A302" t="s">
        <v>2489</v>
      </c>
      <c r="B302" t="s">
        <v>26</v>
      </c>
      <c r="C302" t="s">
        <v>94</v>
      </c>
      <c r="D302" t="s">
        <v>31</v>
      </c>
      <c r="E302" t="s">
        <v>74</v>
      </c>
      <c r="F302" s="1">
        <v>45707</v>
      </c>
      <c r="G302">
        <v>45737</v>
      </c>
      <c r="H302" t="s">
        <v>8</v>
      </c>
      <c r="I302">
        <v>8990.7199999999993</v>
      </c>
      <c r="J302" t="s">
        <v>75</v>
      </c>
      <c r="K302" t="s">
        <v>2490</v>
      </c>
      <c r="L302">
        <v>30</v>
      </c>
      <c r="M302" t="s">
        <v>26</v>
      </c>
      <c r="N302">
        <v>1.0434000000000001</v>
      </c>
      <c r="O302">
        <v>1.2595668654482244</v>
      </c>
      <c r="P302">
        <v>6.5867053847610641E-3</v>
      </c>
      <c r="Q302">
        <v>1.2595668654482244</v>
      </c>
      <c r="R302">
        <v>11324.413008522659</v>
      </c>
      <c r="S302" t="s">
        <v>11</v>
      </c>
      <c r="T302">
        <v>1.238</v>
      </c>
      <c r="U302">
        <v>11130.511359999999</v>
      </c>
      <c r="V302">
        <v>193.90164852266025</v>
      </c>
      <c r="W302">
        <v>1.7420731379825867E-2</v>
      </c>
    </row>
    <row r="303" spans="1:23" x14ac:dyDescent="0.25">
      <c r="A303" t="s">
        <v>2487</v>
      </c>
      <c r="B303" t="s">
        <v>44</v>
      </c>
      <c r="C303" t="s">
        <v>138</v>
      </c>
      <c r="D303" t="s">
        <v>33</v>
      </c>
      <c r="E303" t="s">
        <v>88</v>
      </c>
      <c r="F303" s="1">
        <v>45717</v>
      </c>
      <c r="G303">
        <v>45762</v>
      </c>
      <c r="H303" t="s">
        <v>9</v>
      </c>
      <c r="I303">
        <v>407341.67</v>
      </c>
      <c r="J303" t="s">
        <v>75</v>
      </c>
      <c r="K303" t="s">
        <v>2488</v>
      </c>
      <c r="L303">
        <v>45</v>
      </c>
      <c r="M303" t="s">
        <v>44</v>
      </c>
      <c r="N303">
        <v>1.0803</v>
      </c>
      <c r="O303">
        <v>1.2944700736924091</v>
      </c>
      <c r="P303">
        <v>6.7007815407517683E-3</v>
      </c>
      <c r="Q303">
        <v>6.7007815407517683E-3</v>
      </c>
      <c r="R303">
        <v>2729.507543114998</v>
      </c>
      <c r="S303" t="s">
        <v>11</v>
      </c>
      <c r="T303">
        <v>6.5599999999999999E-3</v>
      </c>
      <c r="U303">
        <v>2672.1613551999999</v>
      </c>
      <c r="V303">
        <v>57.346187914998154</v>
      </c>
      <c r="W303">
        <v>2.146060072435485E-2</v>
      </c>
    </row>
    <row r="304" spans="1:23" x14ac:dyDescent="0.25">
      <c r="A304" t="s">
        <v>2485</v>
      </c>
      <c r="B304" t="s">
        <v>38</v>
      </c>
      <c r="C304" t="s">
        <v>87</v>
      </c>
      <c r="D304" t="s">
        <v>33</v>
      </c>
      <c r="E304" t="s">
        <v>88</v>
      </c>
      <c r="F304" s="1">
        <v>46304</v>
      </c>
      <c r="G304">
        <v>46334</v>
      </c>
      <c r="H304" t="s">
        <v>6</v>
      </c>
      <c r="I304">
        <v>8397.0400000000009</v>
      </c>
      <c r="J304" t="s">
        <v>84</v>
      </c>
      <c r="K304" t="s">
        <v>2486</v>
      </c>
      <c r="L304">
        <v>30</v>
      </c>
      <c r="M304" t="s">
        <v>38</v>
      </c>
      <c r="N304">
        <v>1.1176999999999999</v>
      </c>
      <c r="O304">
        <v>1.320456022210408</v>
      </c>
      <c r="P304">
        <v>6.3200452360757699E-3</v>
      </c>
      <c r="Q304">
        <v>1.1176999999999999</v>
      </c>
      <c r="R304">
        <v>9385.3716079999995</v>
      </c>
      <c r="S304" t="s">
        <v>23</v>
      </c>
      <c r="T304">
        <v>1.119</v>
      </c>
      <c r="U304">
        <v>9396.2877600000011</v>
      </c>
      <c r="V304">
        <v>-10.916152000001603</v>
      </c>
      <c r="W304">
        <v>-1.1617515638965065E-3</v>
      </c>
    </row>
    <row r="305" spans="1:23" x14ac:dyDescent="0.25">
      <c r="A305" t="s">
        <v>2483</v>
      </c>
      <c r="B305" t="s">
        <v>28</v>
      </c>
      <c r="C305" t="s">
        <v>111</v>
      </c>
      <c r="D305" t="s">
        <v>31</v>
      </c>
      <c r="E305" t="s">
        <v>74</v>
      </c>
      <c r="F305" s="1">
        <v>45853</v>
      </c>
      <c r="G305">
        <v>45898</v>
      </c>
      <c r="H305" t="s">
        <v>9</v>
      </c>
      <c r="I305">
        <v>3781795.12</v>
      </c>
      <c r="J305" t="s">
        <v>75</v>
      </c>
      <c r="K305" t="s">
        <v>2484</v>
      </c>
      <c r="L305">
        <v>45</v>
      </c>
      <c r="M305" t="s">
        <v>28</v>
      </c>
      <c r="N305">
        <v>1.1665000000000001</v>
      </c>
      <c r="O305">
        <v>1.3440488535545572</v>
      </c>
      <c r="P305">
        <v>6.7591841464827909E-3</v>
      </c>
      <c r="Q305">
        <v>6.7591841464827909E-3</v>
      </c>
      <c r="R305">
        <v>25561.849620349985</v>
      </c>
      <c r="S305" t="s">
        <v>13</v>
      </c>
      <c r="T305">
        <v>6.8399999999999997E-3</v>
      </c>
      <c r="U305">
        <v>25867.4786208</v>
      </c>
      <c r="V305">
        <v>-305.62900045001516</v>
      </c>
      <c r="W305">
        <v>-1.1815183262749827E-2</v>
      </c>
    </row>
    <row r="306" spans="1:23" x14ac:dyDescent="0.25">
      <c r="A306" t="s">
        <v>2481</v>
      </c>
      <c r="B306" t="s">
        <v>34</v>
      </c>
      <c r="C306" t="s">
        <v>177</v>
      </c>
      <c r="D306" t="s">
        <v>31</v>
      </c>
      <c r="E306" t="s">
        <v>74</v>
      </c>
      <c r="F306" s="1">
        <v>45983</v>
      </c>
      <c r="G306">
        <v>46043</v>
      </c>
      <c r="H306" t="s">
        <v>8</v>
      </c>
      <c r="I306">
        <v>13995.21</v>
      </c>
      <c r="J306" t="s">
        <v>75</v>
      </c>
      <c r="K306" t="s">
        <v>2482</v>
      </c>
      <c r="L306">
        <v>60</v>
      </c>
      <c r="M306" t="s">
        <v>34</v>
      </c>
      <c r="N306">
        <v>1.1555</v>
      </c>
      <c r="O306">
        <v>1.3367963164349013</v>
      </c>
      <c r="P306">
        <v>6.2983756677204832E-3</v>
      </c>
      <c r="Q306">
        <v>1.3367963164349013</v>
      </c>
      <c r="R306">
        <v>18708.745175732893</v>
      </c>
      <c r="S306" t="s">
        <v>14</v>
      </c>
      <c r="T306">
        <v>1.304</v>
      </c>
      <c r="U306">
        <v>18249.753840000001</v>
      </c>
      <c r="V306">
        <v>458.99133573289146</v>
      </c>
      <c r="W306">
        <v>2.5150549413267671E-2</v>
      </c>
    </row>
    <row r="307" spans="1:23" x14ac:dyDescent="0.25">
      <c r="A307" t="s">
        <v>2479</v>
      </c>
      <c r="B307" t="s">
        <v>38</v>
      </c>
      <c r="C307" t="s">
        <v>87</v>
      </c>
      <c r="D307" t="s">
        <v>33</v>
      </c>
      <c r="E307" t="s">
        <v>88</v>
      </c>
      <c r="F307" s="1">
        <v>45896</v>
      </c>
      <c r="G307">
        <v>45926</v>
      </c>
      <c r="H307" t="s">
        <v>6</v>
      </c>
      <c r="I307">
        <v>11015.57</v>
      </c>
      <c r="J307" t="s">
        <v>75</v>
      </c>
      <c r="K307" t="s">
        <v>2480</v>
      </c>
      <c r="L307">
        <v>30</v>
      </c>
      <c r="M307" t="s">
        <v>38</v>
      </c>
      <c r="N307">
        <v>1.1593</v>
      </c>
      <c r="O307">
        <v>1.3439601205657314</v>
      </c>
      <c r="P307">
        <v>6.7546466235506612E-3</v>
      </c>
      <c r="Q307">
        <v>1.1593</v>
      </c>
      <c r="R307">
        <v>12770.350301</v>
      </c>
      <c r="S307" t="s">
        <v>13</v>
      </c>
      <c r="T307">
        <v>1.0880000000000001</v>
      </c>
      <c r="U307">
        <v>11984.94016</v>
      </c>
      <c r="V307">
        <v>785.41014100000029</v>
      </c>
      <c r="W307">
        <v>6.5533088235294149E-2</v>
      </c>
    </row>
    <row r="308" spans="1:23" x14ac:dyDescent="0.25">
      <c r="A308" t="s">
        <v>2477</v>
      </c>
      <c r="B308" t="s">
        <v>36</v>
      </c>
      <c r="C308" t="s">
        <v>116</v>
      </c>
      <c r="D308" t="s">
        <v>31</v>
      </c>
      <c r="E308" t="s">
        <v>74</v>
      </c>
      <c r="F308" s="1">
        <v>46072</v>
      </c>
      <c r="G308">
        <v>46117</v>
      </c>
      <c r="H308" t="s">
        <v>6</v>
      </c>
      <c r="I308">
        <v>22422.19</v>
      </c>
      <c r="J308" t="s">
        <v>75</v>
      </c>
      <c r="K308" t="s">
        <v>2478</v>
      </c>
      <c r="L308">
        <v>45</v>
      </c>
      <c r="M308" t="s">
        <v>36</v>
      </c>
      <c r="N308">
        <v>1.1753</v>
      </c>
      <c r="O308">
        <v>1.3450446326390477</v>
      </c>
      <c r="P308">
        <v>6.4559187036528423E-3</v>
      </c>
      <c r="Q308">
        <v>1.1753</v>
      </c>
      <c r="R308">
        <v>26352.799907000001</v>
      </c>
      <c r="S308" t="s">
        <v>16</v>
      </c>
      <c r="T308">
        <v>1.0649999999999999</v>
      </c>
      <c r="U308">
        <v>23879.632349999996</v>
      </c>
      <c r="V308">
        <v>2473.1675570000043</v>
      </c>
      <c r="W308">
        <v>0.10356807511737109</v>
      </c>
    </row>
    <row r="309" spans="1:23" x14ac:dyDescent="0.25">
      <c r="A309" t="s">
        <v>2475</v>
      </c>
      <c r="B309" t="s">
        <v>40</v>
      </c>
      <c r="C309" t="s">
        <v>78</v>
      </c>
      <c r="D309" t="s">
        <v>33</v>
      </c>
      <c r="E309" t="s">
        <v>79</v>
      </c>
      <c r="F309" s="1">
        <v>45957</v>
      </c>
      <c r="G309">
        <v>45987</v>
      </c>
      <c r="H309" t="s">
        <v>9</v>
      </c>
      <c r="I309">
        <v>1178796.19</v>
      </c>
      <c r="J309" t="s">
        <v>75</v>
      </c>
      <c r="K309" t="s">
        <v>2476</v>
      </c>
      <c r="L309">
        <v>30</v>
      </c>
      <c r="M309" t="s">
        <v>40</v>
      </c>
      <c r="N309">
        <v>1.1639999999999999</v>
      </c>
      <c r="O309">
        <v>1.3347093223254214</v>
      </c>
      <c r="P309">
        <v>6.5418984994098798E-3</v>
      </c>
      <c r="Q309">
        <v>6.5418984994098798E-3</v>
      </c>
      <c r="R309">
        <v>7711.565026471083</v>
      </c>
      <c r="S309" t="s">
        <v>14</v>
      </c>
      <c r="T309">
        <v>6.9800000000000001E-3</v>
      </c>
      <c r="U309">
        <v>8227.9974062000001</v>
      </c>
      <c r="V309">
        <v>-516.43237972891711</v>
      </c>
      <c r="W309">
        <v>-6.2765257964200682E-2</v>
      </c>
    </row>
    <row r="310" spans="1:23" x14ac:dyDescent="0.25">
      <c r="A310" t="s">
        <v>2473</v>
      </c>
      <c r="B310" t="s">
        <v>43</v>
      </c>
      <c r="C310" t="s">
        <v>215</v>
      </c>
      <c r="D310" t="s">
        <v>35</v>
      </c>
      <c r="E310" t="s">
        <v>152</v>
      </c>
      <c r="F310" s="1">
        <v>46000</v>
      </c>
      <c r="G310">
        <v>46030</v>
      </c>
      <c r="H310" t="s">
        <v>6</v>
      </c>
      <c r="I310">
        <v>6184.87</v>
      </c>
      <c r="J310" t="s">
        <v>75</v>
      </c>
      <c r="K310" t="s">
        <v>2474</v>
      </c>
      <c r="L310">
        <v>30</v>
      </c>
      <c r="M310" t="s">
        <v>43</v>
      </c>
      <c r="N310">
        <v>1.1637</v>
      </c>
      <c r="O310">
        <v>1.3322266742987978</v>
      </c>
      <c r="P310">
        <v>6.3953616179380076E-3</v>
      </c>
      <c r="Q310">
        <v>1.1637</v>
      </c>
      <c r="R310">
        <v>7197.3332189999992</v>
      </c>
      <c r="S310" t="s">
        <v>14</v>
      </c>
      <c r="T310">
        <v>1.1060000000000001</v>
      </c>
      <c r="U310">
        <v>6840.4662200000002</v>
      </c>
      <c r="V310">
        <v>356.86699899999894</v>
      </c>
      <c r="W310">
        <v>5.2169981916817203E-2</v>
      </c>
    </row>
    <row r="311" spans="1:23" x14ac:dyDescent="0.25">
      <c r="A311" t="s">
        <v>2471</v>
      </c>
      <c r="B311" t="s">
        <v>24</v>
      </c>
      <c r="C311" t="s">
        <v>73</v>
      </c>
      <c r="D311" t="s">
        <v>31</v>
      </c>
      <c r="E311" t="s">
        <v>74</v>
      </c>
      <c r="F311" s="1">
        <v>46330</v>
      </c>
      <c r="G311">
        <v>46360</v>
      </c>
      <c r="H311" t="s">
        <v>6</v>
      </c>
      <c r="I311">
        <v>27180.41</v>
      </c>
      <c r="J311" t="s">
        <v>84</v>
      </c>
      <c r="K311" t="s">
        <v>2472</v>
      </c>
      <c r="L311">
        <v>30</v>
      </c>
      <c r="M311" t="s">
        <v>24</v>
      </c>
      <c r="N311">
        <v>1.1176999999999999</v>
      </c>
      <c r="O311">
        <v>1.320456022210408</v>
      </c>
      <c r="P311">
        <v>6.3200452360757699E-3</v>
      </c>
      <c r="Q311">
        <v>1.1176999999999999</v>
      </c>
      <c r="R311">
        <v>30379.544256999998</v>
      </c>
      <c r="S311" t="s">
        <v>23</v>
      </c>
      <c r="T311">
        <v>1.119</v>
      </c>
      <c r="U311">
        <v>30414.878789999999</v>
      </c>
      <c r="V311">
        <v>-35.334533000001102</v>
      </c>
      <c r="W311">
        <v>-1.1617515638963722E-3</v>
      </c>
    </row>
    <row r="312" spans="1:23" x14ac:dyDescent="0.25">
      <c r="A312" t="s">
        <v>2469</v>
      </c>
      <c r="B312" t="s">
        <v>39</v>
      </c>
      <c r="C312" t="s">
        <v>82</v>
      </c>
      <c r="D312" t="s">
        <v>33</v>
      </c>
      <c r="E312" t="s">
        <v>83</v>
      </c>
      <c r="F312" s="1">
        <v>45746</v>
      </c>
      <c r="G312">
        <v>45791</v>
      </c>
      <c r="H312" t="s">
        <v>8</v>
      </c>
      <c r="I312">
        <v>4605.72</v>
      </c>
      <c r="J312" t="s">
        <v>75</v>
      </c>
      <c r="K312" t="s">
        <v>2470</v>
      </c>
      <c r="L312">
        <v>45</v>
      </c>
      <c r="M312" t="s">
        <v>39</v>
      </c>
      <c r="N312">
        <v>1.1194</v>
      </c>
      <c r="O312">
        <v>1.3283493532692536</v>
      </c>
      <c r="P312">
        <v>6.8653787181846048E-3</v>
      </c>
      <c r="Q312">
        <v>1.3283493532692536</v>
      </c>
      <c r="R312">
        <v>6118.0051833392672</v>
      </c>
      <c r="S312" t="s">
        <v>11</v>
      </c>
      <c r="T312">
        <v>1.238</v>
      </c>
      <c r="U312">
        <v>5701.8813600000003</v>
      </c>
      <c r="V312">
        <v>416.12382333926689</v>
      </c>
      <c r="W312">
        <v>7.2980091493742849E-2</v>
      </c>
    </row>
    <row r="313" spans="1:23" x14ac:dyDescent="0.25">
      <c r="A313" t="s">
        <v>2467</v>
      </c>
      <c r="B313" t="s">
        <v>30</v>
      </c>
      <c r="C313" t="s">
        <v>103</v>
      </c>
      <c r="D313" t="s">
        <v>31</v>
      </c>
      <c r="E313" t="s">
        <v>74</v>
      </c>
      <c r="F313" s="1">
        <v>46192</v>
      </c>
      <c r="G313">
        <v>46222</v>
      </c>
      <c r="H313" t="s">
        <v>9</v>
      </c>
      <c r="I313">
        <v>531527.34</v>
      </c>
      <c r="J313" t="s">
        <v>75</v>
      </c>
      <c r="K313" t="s">
        <v>2468</v>
      </c>
      <c r="L313">
        <v>30</v>
      </c>
      <c r="M313" t="s">
        <v>30</v>
      </c>
      <c r="N313">
        <v>1.1467000000000001</v>
      </c>
      <c r="O313">
        <v>1.3233240626406473</v>
      </c>
      <c r="P313">
        <v>6.2024015577672011E-3</v>
      </c>
      <c r="Q313">
        <v>6.2024015577672011E-3</v>
      </c>
      <c r="R313">
        <v>3296.7460016118566</v>
      </c>
      <c r="S313" t="s">
        <v>19</v>
      </c>
      <c r="T313">
        <v>6.6E-3</v>
      </c>
      <c r="U313">
        <v>3508.0804439999997</v>
      </c>
      <c r="V313">
        <v>-211.33444238814309</v>
      </c>
      <c r="W313">
        <v>-6.0242188217090702E-2</v>
      </c>
    </row>
    <row r="314" spans="1:23" x14ac:dyDescent="0.25">
      <c r="A314" t="s">
        <v>2465</v>
      </c>
      <c r="B314" t="s">
        <v>36</v>
      </c>
      <c r="C314" t="s">
        <v>116</v>
      </c>
      <c r="D314" t="s">
        <v>31</v>
      </c>
      <c r="E314" t="s">
        <v>806</v>
      </c>
      <c r="F314" s="1">
        <v>46323</v>
      </c>
      <c r="G314">
        <v>46368</v>
      </c>
      <c r="H314" t="s">
        <v>6</v>
      </c>
      <c r="I314">
        <v>18963.060000000001</v>
      </c>
      <c r="J314" t="s">
        <v>84</v>
      </c>
      <c r="K314" t="s">
        <v>2466</v>
      </c>
      <c r="L314">
        <v>45</v>
      </c>
      <c r="M314" t="s">
        <v>36</v>
      </c>
      <c r="N314">
        <v>1.1176999999999999</v>
      </c>
      <c r="O314">
        <v>1.320456022210408</v>
      </c>
      <c r="P314">
        <v>6.3200452360757699E-3</v>
      </c>
      <c r="Q314">
        <v>1.1176999999999999</v>
      </c>
      <c r="R314">
        <v>21195.012161999999</v>
      </c>
      <c r="S314" t="s">
        <v>23</v>
      </c>
      <c r="T314">
        <v>1.119</v>
      </c>
      <c r="U314">
        <v>21219.664140000001</v>
      </c>
      <c r="V314">
        <v>-24.651978000001691</v>
      </c>
      <c r="W314">
        <v>-1.1617515638964156E-3</v>
      </c>
    </row>
    <row r="315" spans="1:23" x14ac:dyDescent="0.25">
      <c r="A315" t="s">
        <v>2463</v>
      </c>
      <c r="B315" t="s">
        <v>25</v>
      </c>
      <c r="C315" t="s">
        <v>169</v>
      </c>
      <c r="D315" t="s">
        <v>31</v>
      </c>
      <c r="E315" t="s">
        <v>124</v>
      </c>
      <c r="F315" s="1">
        <v>45920</v>
      </c>
      <c r="G315">
        <v>45980</v>
      </c>
      <c r="H315" t="s">
        <v>6</v>
      </c>
      <c r="I315">
        <v>86265.54</v>
      </c>
      <c r="J315" t="s">
        <v>75</v>
      </c>
      <c r="K315" t="s">
        <v>2464</v>
      </c>
      <c r="L315">
        <v>60</v>
      </c>
      <c r="M315" t="s">
        <v>25</v>
      </c>
      <c r="N315">
        <v>1.1728000000000001</v>
      </c>
      <c r="O315">
        <v>1.3446457234579225</v>
      </c>
      <c r="P315">
        <v>6.3332973323253052E-3</v>
      </c>
      <c r="Q315">
        <v>1.1728000000000001</v>
      </c>
      <c r="R315">
        <v>101172.225312</v>
      </c>
      <c r="S315" t="s">
        <v>13</v>
      </c>
      <c r="T315">
        <v>1.0880000000000001</v>
      </c>
      <c r="U315">
        <v>93856.907519999993</v>
      </c>
      <c r="V315">
        <v>7315.3177920000016</v>
      </c>
      <c r="W315">
        <v>7.7941176470588264E-2</v>
      </c>
    </row>
    <row r="316" spans="1:23" x14ac:dyDescent="0.25">
      <c r="A316" t="s">
        <v>2461</v>
      </c>
      <c r="B316" t="s">
        <v>38</v>
      </c>
      <c r="C316" t="s">
        <v>87</v>
      </c>
      <c r="D316" t="s">
        <v>33</v>
      </c>
      <c r="E316" t="s">
        <v>88</v>
      </c>
      <c r="F316" s="1">
        <v>45967</v>
      </c>
      <c r="G316">
        <v>45997</v>
      </c>
      <c r="H316" t="s">
        <v>6</v>
      </c>
      <c r="I316">
        <v>4541.83</v>
      </c>
      <c r="J316" t="s">
        <v>75</v>
      </c>
      <c r="K316" t="s">
        <v>2462</v>
      </c>
      <c r="L316">
        <v>30</v>
      </c>
      <c r="M316" t="s">
        <v>38</v>
      </c>
      <c r="N316">
        <v>1.1533</v>
      </c>
      <c r="O316">
        <v>1.3095265130010219</v>
      </c>
      <c r="P316">
        <v>6.5103020039514537E-3</v>
      </c>
      <c r="Q316">
        <v>1.1533</v>
      </c>
      <c r="R316">
        <v>5238.0925390000002</v>
      </c>
      <c r="S316" t="s">
        <v>14</v>
      </c>
      <c r="T316">
        <v>1.1060000000000001</v>
      </c>
      <c r="U316">
        <v>5023.2639800000006</v>
      </c>
      <c r="V316">
        <v>214.82855899999959</v>
      </c>
      <c r="W316">
        <v>4.2766726943942047E-2</v>
      </c>
    </row>
    <row r="317" spans="1:23" x14ac:dyDescent="0.25">
      <c r="A317" t="s">
        <v>2459</v>
      </c>
      <c r="B317" t="s">
        <v>34</v>
      </c>
      <c r="C317" t="s">
        <v>177</v>
      </c>
      <c r="D317" t="s">
        <v>31</v>
      </c>
      <c r="E317" t="s">
        <v>74</v>
      </c>
      <c r="F317" s="1">
        <v>45950</v>
      </c>
      <c r="G317">
        <v>46010</v>
      </c>
      <c r="H317" t="s">
        <v>8</v>
      </c>
      <c r="I317">
        <v>11567.98</v>
      </c>
      <c r="J317" t="s">
        <v>75</v>
      </c>
      <c r="K317" t="s">
        <v>2460</v>
      </c>
      <c r="L317">
        <v>60</v>
      </c>
      <c r="M317" t="s">
        <v>34</v>
      </c>
      <c r="N317">
        <v>1.1655</v>
      </c>
      <c r="O317">
        <v>1.3410424577148774</v>
      </c>
      <c r="P317">
        <v>6.6330886119173637E-3</v>
      </c>
      <c r="Q317">
        <v>1.3410424577148774</v>
      </c>
      <c r="R317">
        <v>15513.152329996547</v>
      </c>
      <c r="S317" t="s">
        <v>14</v>
      </c>
      <c r="T317">
        <v>1.304</v>
      </c>
      <c r="U317">
        <v>15084.645920000001</v>
      </c>
      <c r="V317">
        <v>428.5064099965457</v>
      </c>
      <c r="W317">
        <v>2.8406792726132855E-2</v>
      </c>
    </row>
    <row r="318" spans="1:23" x14ac:dyDescent="0.25">
      <c r="A318" t="s">
        <v>2457</v>
      </c>
      <c r="B318" t="s">
        <v>22</v>
      </c>
      <c r="C318" t="s">
        <v>127</v>
      </c>
      <c r="D318" t="s">
        <v>31</v>
      </c>
      <c r="E318" t="s">
        <v>124</v>
      </c>
      <c r="F318" s="1">
        <v>46097</v>
      </c>
      <c r="G318">
        <v>46157</v>
      </c>
      <c r="H318" t="s">
        <v>9</v>
      </c>
      <c r="I318">
        <v>7219071.4299999997</v>
      </c>
      <c r="J318" t="s">
        <v>75</v>
      </c>
      <c r="K318" t="s">
        <v>2458</v>
      </c>
      <c r="L318">
        <v>60</v>
      </c>
      <c r="M318" t="s">
        <v>22</v>
      </c>
      <c r="N318">
        <v>1.1477999999999999</v>
      </c>
      <c r="O318">
        <v>1.3283492269234329</v>
      </c>
      <c r="P318">
        <v>6.283805978320376E-3</v>
      </c>
      <c r="Q318">
        <v>6.283805978320376E-3</v>
      </c>
      <c r="R318">
        <v>45363.244209755823</v>
      </c>
      <c r="S318" t="s">
        <v>16</v>
      </c>
      <c r="T318">
        <v>6.4599999999999996E-3</v>
      </c>
      <c r="U318">
        <v>46635.201437799995</v>
      </c>
      <c r="V318">
        <v>-1271.9572280441716</v>
      </c>
      <c r="W318">
        <v>-2.7274616359074869E-2</v>
      </c>
    </row>
    <row r="319" spans="1:23" x14ac:dyDescent="0.25">
      <c r="A319" t="s">
        <v>2455</v>
      </c>
      <c r="B319" t="s">
        <v>30</v>
      </c>
      <c r="C319" t="s">
        <v>103</v>
      </c>
      <c r="D319" t="s">
        <v>31</v>
      </c>
      <c r="E319" t="s">
        <v>74</v>
      </c>
      <c r="F319" s="1">
        <v>46380</v>
      </c>
      <c r="G319">
        <v>46410</v>
      </c>
      <c r="H319" t="s">
        <v>9</v>
      </c>
      <c r="I319">
        <v>4878613.29</v>
      </c>
      <c r="J319" t="s">
        <v>84</v>
      </c>
      <c r="K319" t="s">
        <v>2456</v>
      </c>
      <c r="L319">
        <v>30</v>
      </c>
      <c r="M319" t="s">
        <v>30</v>
      </c>
      <c r="N319">
        <v>1.1176999999999999</v>
      </c>
      <c r="O319">
        <v>1.320456022210408</v>
      </c>
      <c r="P319">
        <v>6.3200452360757699E-3</v>
      </c>
      <c r="Q319">
        <v>6.3200452360757699E-3</v>
      </c>
      <c r="R319">
        <v>30833.056682120437</v>
      </c>
      <c r="S319" t="s">
        <v>23</v>
      </c>
      <c r="T319">
        <v>6.8799999999999998E-3</v>
      </c>
      <c r="U319">
        <v>33564.8594352</v>
      </c>
      <c r="V319">
        <v>-2731.8027530795625</v>
      </c>
      <c r="W319">
        <v>-8.1388773826196262E-2</v>
      </c>
    </row>
    <row r="320" spans="1:23" x14ac:dyDescent="0.25">
      <c r="A320" t="s">
        <v>2453</v>
      </c>
      <c r="B320" t="s">
        <v>22</v>
      </c>
      <c r="C320" t="s">
        <v>127</v>
      </c>
      <c r="D320" t="s">
        <v>31</v>
      </c>
      <c r="E320" t="s">
        <v>124</v>
      </c>
      <c r="F320" s="1">
        <v>46159</v>
      </c>
      <c r="G320">
        <v>46219</v>
      </c>
      <c r="H320" t="s">
        <v>9</v>
      </c>
      <c r="I320">
        <v>4193510.33</v>
      </c>
      <c r="J320" t="s">
        <v>75</v>
      </c>
      <c r="K320" t="s">
        <v>2454</v>
      </c>
      <c r="L320">
        <v>60</v>
      </c>
      <c r="M320" t="s">
        <v>22</v>
      </c>
      <c r="N320">
        <v>1.1628000000000001</v>
      </c>
      <c r="O320">
        <v>1.3357840321654222</v>
      </c>
      <c r="P320">
        <v>6.3072249945758298E-3</v>
      </c>
      <c r="Q320">
        <v>6.3072249945758298E-3</v>
      </c>
      <c r="R320">
        <v>26449.413168387939</v>
      </c>
      <c r="S320" t="s">
        <v>19</v>
      </c>
      <c r="T320">
        <v>6.6E-3</v>
      </c>
      <c r="U320">
        <v>27677.168178</v>
      </c>
      <c r="V320">
        <v>-1227.7550096120613</v>
      </c>
      <c r="W320">
        <v>-4.4359849306692366E-2</v>
      </c>
    </row>
    <row r="321" spans="1:23" x14ac:dyDescent="0.25">
      <c r="A321" t="s">
        <v>2451</v>
      </c>
      <c r="B321" t="s">
        <v>28</v>
      </c>
      <c r="C321" t="s">
        <v>111</v>
      </c>
      <c r="D321" t="s">
        <v>31</v>
      </c>
      <c r="E321" t="s">
        <v>74</v>
      </c>
      <c r="F321" s="1">
        <v>46256</v>
      </c>
      <c r="G321">
        <v>46301</v>
      </c>
      <c r="H321" t="s">
        <v>9</v>
      </c>
      <c r="I321">
        <v>2792984.63</v>
      </c>
      <c r="J321" t="s">
        <v>75</v>
      </c>
      <c r="K321" t="s">
        <v>2452</v>
      </c>
      <c r="L321">
        <v>45</v>
      </c>
      <c r="M321" t="s">
        <v>28</v>
      </c>
      <c r="N321">
        <v>1.1698999999999999</v>
      </c>
      <c r="O321">
        <v>1.3655888875919224</v>
      </c>
      <c r="P321">
        <v>6.3013034579338578E-3</v>
      </c>
      <c r="Q321">
        <v>6.3013034579338578E-3</v>
      </c>
      <c r="R321">
        <v>17599.443706975115</v>
      </c>
      <c r="S321" t="s">
        <v>21</v>
      </c>
      <c r="T321">
        <v>6.7400000000000003E-3</v>
      </c>
      <c r="U321">
        <v>18824.716406200001</v>
      </c>
      <c r="V321">
        <v>-1225.2726992248863</v>
      </c>
      <c r="W321">
        <v>-6.5088507724947051E-2</v>
      </c>
    </row>
    <row r="322" spans="1:23" x14ac:dyDescent="0.25">
      <c r="A322" t="s">
        <v>2449</v>
      </c>
      <c r="B322" t="s">
        <v>34</v>
      </c>
      <c r="C322" t="s">
        <v>177</v>
      </c>
      <c r="D322" t="s">
        <v>31</v>
      </c>
      <c r="E322" t="s">
        <v>74</v>
      </c>
      <c r="F322" s="1">
        <v>46302</v>
      </c>
      <c r="G322">
        <v>46362</v>
      </c>
      <c r="H322" t="s">
        <v>8</v>
      </c>
      <c r="I322">
        <v>14907.89</v>
      </c>
      <c r="J322" t="s">
        <v>84</v>
      </c>
      <c r="K322" t="s">
        <v>2450</v>
      </c>
      <c r="L322">
        <v>60</v>
      </c>
      <c r="M322" t="s">
        <v>34</v>
      </c>
      <c r="N322">
        <v>1.1176999999999999</v>
      </c>
      <c r="O322">
        <v>1.320456022210408</v>
      </c>
      <c r="P322">
        <v>6.3200452360757699E-3</v>
      </c>
      <c r="Q322">
        <v>1.320456022210408</v>
      </c>
      <c r="R322">
        <v>19685.21312895032</v>
      </c>
      <c r="S322" t="s">
        <v>23</v>
      </c>
      <c r="T322">
        <v>1.3149999999999999</v>
      </c>
      <c r="U322">
        <v>19603.875349999998</v>
      </c>
      <c r="V322">
        <v>81.337778950321081</v>
      </c>
      <c r="W322">
        <v>4.1490663197019913E-3</v>
      </c>
    </row>
    <row r="323" spans="1:23" x14ac:dyDescent="0.25">
      <c r="A323" t="s">
        <v>2447</v>
      </c>
      <c r="B323" t="s">
        <v>28</v>
      </c>
      <c r="C323" t="s">
        <v>111</v>
      </c>
      <c r="D323" t="s">
        <v>31</v>
      </c>
      <c r="E323" t="s">
        <v>74</v>
      </c>
      <c r="F323" s="1">
        <v>45747</v>
      </c>
      <c r="G323">
        <v>45792</v>
      </c>
      <c r="H323" t="s">
        <v>9</v>
      </c>
      <c r="I323">
        <v>3185105.95</v>
      </c>
      <c r="J323" t="s">
        <v>75</v>
      </c>
      <c r="K323" t="s">
        <v>2448</v>
      </c>
      <c r="L323">
        <v>45</v>
      </c>
      <c r="M323" t="s">
        <v>28</v>
      </c>
      <c r="N323">
        <v>1.0814999999999999</v>
      </c>
      <c r="O323">
        <v>1.2946514077762881</v>
      </c>
      <c r="P323">
        <v>6.6924504950495048E-3</v>
      </c>
      <c r="Q323">
        <v>6.6924504950495048E-3</v>
      </c>
      <c r="R323">
        <v>21316.163891862623</v>
      </c>
      <c r="S323" t="s">
        <v>11</v>
      </c>
      <c r="T323">
        <v>6.5599999999999999E-3</v>
      </c>
      <c r="U323">
        <v>20894.295032000002</v>
      </c>
      <c r="V323">
        <v>421.86885986262132</v>
      </c>
      <c r="W323">
        <v>2.0190624245351247E-2</v>
      </c>
    </row>
    <row r="324" spans="1:23" x14ac:dyDescent="0.25">
      <c r="A324" t="s">
        <v>2445</v>
      </c>
      <c r="B324" t="s">
        <v>26</v>
      </c>
      <c r="C324" t="s">
        <v>94</v>
      </c>
      <c r="D324" t="s">
        <v>31</v>
      </c>
      <c r="E324" t="s">
        <v>74</v>
      </c>
      <c r="F324" s="1">
        <v>45889</v>
      </c>
      <c r="G324">
        <v>45919</v>
      </c>
      <c r="H324" t="s">
        <v>8</v>
      </c>
      <c r="I324">
        <v>12195.8</v>
      </c>
      <c r="J324" t="s">
        <v>75</v>
      </c>
      <c r="K324" t="s">
        <v>2446</v>
      </c>
      <c r="L324">
        <v>30</v>
      </c>
      <c r="M324" t="s">
        <v>26</v>
      </c>
      <c r="N324">
        <v>1.1651</v>
      </c>
      <c r="O324">
        <v>1.3477154424522846</v>
      </c>
      <c r="P324">
        <v>6.7829073761425159E-3</v>
      </c>
      <c r="Q324">
        <v>1.3477154424522846</v>
      </c>
      <c r="R324">
        <v>16436.46799305957</v>
      </c>
      <c r="S324" t="s">
        <v>13</v>
      </c>
      <c r="T324">
        <v>1.282</v>
      </c>
      <c r="U324">
        <v>15635.015599999999</v>
      </c>
      <c r="V324">
        <v>801.45239305957148</v>
      </c>
      <c r="W324">
        <v>5.1260095516602586E-2</v>
      </c>
    </row>
    <row r="325" spans="1:23" x14ac:dyDescent="0.25">
      <c r="A325" t="s">
        <v>2443</v>
      </c>
      <c r="B325" t="s">
        <v>28</v>
      </c>
      <c r="C325" t="s">
        <v>111</v>
      </c>
      <c r="D325" t="s">
        <v>31</v>
      </c>
      <c r="E325" t="s">
        <v>74</v>
      </c>
      <c r="F325" s="1">
        <v>45888</v>
      </c>
      <c r="G325">
        <v>45933</v>
      </c>
      <c r="H325" t="s">
        <v>9</v>
      </c>
      <c r="I325">
        <v>4071437.05</v>
      </c>
      <c r="J325" t="s">
        <v>75</v>
      </c>
      <c r="K325" t="s">
        <v>2444</v>
      </c>
      <c r="L325">
        <v>45</v>
      </c>
      <c r="M325" t="s">
        <v>28</v>
      </c>
      <c r="N325">
        <v>1.1681999999999999</v>
      </c>
      <c r="O325">
        <v>1.3520833333333333</v>
      </c>
      <c r="P325">
        <v>6.7655064574042969E-3</v>
      </c>
      <c r="Q325">
        <v>6.7655064574042969E-3</v>
      </c>
      <c r="R325">
        <v>27545.3336526901</v>
      </c>
      <c r="S325" t="s">
        <v>13</v>
      </c>
      <c r="T325">
        <v>6.8399999999999997E-3</v>
      </c>
      <c r="U325">
        <v>27848.629421999998</v>
      </c>
      <c r="V325">
        <v>-303.29576930989788</v>
      </c>
      <c r="W325">
        <v>-1.0890868800541357E-2</v>
      </c>
    </row>
    <row r="326" spans="1:23" x14ac:dyDescent="0.25">
      <c r="A326" t="s">
        <v>2441</v>
      </c>
      <c r="B326" t="s">
        <v>24</v>
      </c>
      <c r="C326" t="s">
        <v>73</v>
      </c>
      <c r="D326" t="s">
        <v>31</v>
      </c>
      <c r="E326" t="s">
        <v>74</v>
      </c>
      <c r="F326" s="1">
        <v>45794</v>
      </c>
      <c r="G326">
        <v>45824</v>
      </c>
      <c r="H326" t="s">
        <v>6</v>
      </c>
      <c r="I326">
        <v>24490.61</v>
      </c>
      <c r="J326" t="s">
        <v>75</v>
      </c>
      <c r="K326" t="s">
        <v>2442</v>
      </c>
      <c r="L326">
        <v>30</v>
      </c>
      <c r="M326" t="s">
        <v>24</v>
      </c>
      <c r="N326">
        <v>1.1726000000000001</v>
      </c>
      <c r="O326">
        <v>1.353260242354299</v>
      </c>
      <c r="P326">
        <v>6.8361219611729734E-3</v>
      </c>
      <c r="Q326">
        <v>1.1726000000000001</v>
      </c>
      <c r="R326">
        <v>28717.689286000004</v>
      </c>
      <c r="S326" t="s">
        <v>12</v>
      </c>
      <c r="T326">
        <v>1.07</v>
      </c>
      <c r="U326">
        <v>26204.952700000002</v>
      </c>
      <c r="V326">
        <v>2512.7365860000027</v>
      </c>
      <c r="W326">
        <v>9.5887850467289815E-2</v>
      </c>
    </row>
    <row r="327" spans="1:23" x14ac:dyDescent="0.25">
      <c r="A327" t="s">
        <v>2439</v>
      </c>
      <c r="B327" t="s">
        <v>24</v>
      </c>
      <c r="C327" t="s">
        <v>73</v>
      </c>
      <c r="D327" t="s">
        <v>31</v>
      </c>
      <c r="E327" t="s">
        <v>74</v>
      </c>
      <c r="F327" s="1">
        <v>45867</v>
      </c>
      <c r="G327">
        <v>45897</v>
      </c>
      <c r="H327" t="s">
        <v>6</v>
      </c>
      <c r="I327">
        <v>24791.78</v>
      </c>
      <c r="J327" t="s">
        <v>75</v>
      </c>
      <c r="K327" t="s">
        <v>2440</v>
      </c>
      <c r="L327">
        <v>30</v>
      </c>
      <c r="M327" t="s">
        <v>24</v>
      </c>
      <c r="N327">
        <v>1.1533</v>
      </c>
      <c r="O327">
        <v>1.3332947976878613</v>
      </c>
      <c r="P327">
        <v>6.7216458794731315E-3</v>
      </c>
      <c r="Q327">
        <v>1.1533</v>
      </c>
      <c r="R327">
        <v>28592.359873999998</v>
      </c>
      <c r="S327" t="s">
        <v>13</v>
      </c>
      <c r="T327">
        <v>1.0880000000000001</v>
      </c>
      <c r="U327">
        <v>26973.45664</v>
      </c>
      <c r="V327">
        <v>1618.9032339999976</v>
      </c>
      <c r="W327">
        <v>6.0018382352941088E-2</v>
      </c>
    </row>
    <row r="328" spans="1:23" x14ac:dyDescent="0.25">
      <c r="A328" t="s">
        <v>2437</v>
      </c>
      <c r="B328" t="s">
        <v>28</v>
      </c>
      <c r="C328" t="s">
        <v>111</v>
      </c>
      <c r="D328" t="s">
        <v>31</v>
      </c>
      <c r="E328" t="s">
        <v>74</v>
      </c>
      <c r="F328" s="1">
        <v>45825</v>
      </c>
      <c r="G328">
        <v>45870</v>
      </c>
      <c r="H328" t="s">
        <v>9</v>
      </c>
      <c r="I328">
        <v>4133441.75</v>
      </c>
      <c r="J328" t="s">
        <v>75</v>
      </c>
      <c r="K328" t="s">
        <v>2438</v>
      </c>
      <c r="L328">
        <v>45</v>
      </c>
      <c r="M328" t="s">
        <v>28</v>
      </c>
      <c r="N328">
        <v>1.1568000000000001</v>
      </c>
      <c r="O328">
        <v>1.356950146627566</v>
      </c>
      <c r="P328">
        <v>6.9124589184344195E-3</v>
      </c>
      <c r="Q328">
        <v>6.9124589184344195E-3</v>
      </c>
      <c r="R328">
        <v>28572.246288616672</v>
      </c>
      <c r="S328" t="s">
        <v>12</v>
      </c>
      <c r="T328">
        <v>6.7000000000000002E-3</v>
      </c>
      <c r="U328">
        <v>27694.059724999999</v>
      </c>
      <c r="V328">
        <v>878.18656361667308</v>
      </c>
      <c r="W328">
        <v>3.1710286333495409E-2</v>
      </c>
    </row>
    <row r="329" spans="1:23" x14ac:dyDescent="0.25">
      <c r="A329" t="s">
        <v>2435</v>
      </c>
      <c r="B329" t="s">
        <v>37</v>
      </c>
      <c r="C329" t="s">
        <v>91</v>
      </c>
      <c r="D329" t="s">
        <v>31</v>
      </c>
      <c r="E329" t="s">
        <v>74</v>
      </c>
      <c r="F329" s="1">
        <v>45815</v>
      </c>
      <c r="G329">
        <v>45845</v>
      </c>
      <c r="H329" t="s">
        <v>6</v>
      </c>
      <c r="I329">
        <v>9056.26</v>
      </c>
      <c r="J329" t="s">
        <v>75</v>
      </c>
      <c r="K329" t="s">
        <v>2436</v>
      </c>
      <c r="L329">
        <v>30</v>
      </c>
      <c r="M329" t="s">
        <v>37</v>
      </c>
      <c r="N329">
        <v>1.1638999999999999</v>
      </c>
      <c r="O329">
        <v>1.3449272012941993</v>
      </c>
      <c r="P329">
        <v>6.7633215178104474E-3</v>
      </c>
      <c r="Q329">
        <v>1.1638999999999999</v>
      </c>
      <c r="R329">
        <v>10540.581013999999</v>
      </c>
      <c r="S329" t="s">
        <v>12</v>
      </c>
      <c r="T329">
        <v>1.07</v>
      </c>
      <c r="U329">
        <v>9690.1982000000007</v>
      </c>
      <c r="V329">
        <v>850.38281399999869</v>
      </c>
      <c r="W329">
        <v>8.7757009345794251E-2</v>
      </c>
    </row>
    <row r="330" spans="1:23" x14ac:dyDescent="0.25">
      <c r="A330" t="s">
        <v>2433</v>
      </c>
      <c r="B330" t="s">
        <v>34</v>
      </c>
      <c r="C330" t="s">
        <v>177</v>
      </c>
      <c r="D330" t="s">
        <v>31</v>
      </c>
      <c r="E330" t="s">
        <v>74</v>
      </c>
      <c r="F330" s="1">
        <v>45808</v>
      </c>
      <c r="G330">
        <v>45868</v>
      </c>
      <c r="H330" t="s">
        <v>8</v>
      </c>
      <c r="I330">
        <v>2999.8</v>
      </c>
      <c r="J330" t="s">
        <v>75</v>
      </c>
      <c r="K330" t="s">
        <v>2434</v>
      </c>
      <c r="L330">
        <v>60</v>
      </c>
      <c r="M330" t="s">
        <v>34</v>
      </c>
      <c r="N330">
        <v>1.1606000000000001</v>
      </c>
      <c r="O330">
        <v>1.3462475350887368</v>
      </c>
      <c r="P330">
        <v>6.7359257109692395E-3</v>
      </c>
      <c r="Q330">
        <v>1.3462475350887368</v>
      </c>
      <c r="R330">
        <v>4038.4733557591931</v>
      </c>
      <c r="S330" t="s">
        <v>12</v>
      </c>
      <c r="T330">
        <v>1.26</v>
      </c>
      <c r="U330">
        <v>3779.748</v>
      </c>
      <c r="V330">
        <v>258.72535575919301</v>
      </c>
      <c r="W330">
        <v>6.8450424673600727E-2</v>
      </c>
    </row>
    <row r="331" spans="1:23" x14ac:dyDescent="0.25">
      <c r="A331" t="s">
        <v>2431</v>
      </c>
      <c r="B331" t="s">
        <v>26</v>
      </c>
      <c r="C331" t="s">
        <v>94</v>
      </c>
      <c r="D331" t="s">
        <v>31</v>
      </c>
      <c r="E331" t="s">
        <v>74</v>
      </c>
      <c r="F331" s="1">
        <v>46051</v>
      </c>
      <c r="G331">
        <v>46081</v>
      </c>
      <c r="H331" t="s">
        <v>8</v>
      </c>
      <c r="I331">
        <v>16021.09</v>
      </c>
      <c r="J331" t="s">
        <v>75</v>
      </c>
      <c r="K331" t="s">
        <v>2432</v>
      </c>
      <c r="L331">
        <v>30</v>
      </c>
      <c r="M331" t="s">
        <v>26</v>
      </c>
      <c r="N331">
        <v>1.1968000000000001</v>
      </c>
      <c r="O331">
        <v>1.3816670514892635</v>
      </c>
      <c r="P331">
        <v>6.5227817745803366E-3</v>
      </c>
      <c r="Q331">
        <v>1.3816670514892635</v>
      </c>
      <c r="R331">
        <v>22135.812181944126</v>
      </c>
      <c r="S331" t="s">
        <v>16</v>
      </c>
      <c r="T331">
        <v>1.2490000000000001</v>
      </c>
      <c r="U331">
        <v>20010.341410000001</v>
      </c>
      <c r="V331">
        <v>2125.4707719441249</v>
      </c>
      <c r="W331">
        <v>0.10621861608427824</v>
      </c>
    </row>
    <row r="332" spans="1:23" x14ac:dyDescent="0.25">
      <c r="A332" t="s">
        <v>2429</v>
      </c>
      <c r="B332" t="s">
        <v>20</v>
      </c>
      <c r="C332" t="s">
        <v>123</v>
      </c>
      <c r="D332" t="s">
        <v>31</v>
      </c>
      <c r="E332" t="s">
        <v>124</v>
      </c>
      <c r="F332" s="1">
        <v>46006</v>
      </c>
      <c r="G332">
        <v>46051</v>
      </c>
      <c r="H332" t="s">
        <v>6</v>
      </c>
      <c r="I332">
        <v>13638.46</v>
      </c>
      <c r="J332" t="s">
        <v>75</v>
      </c>
      <c r="K332" t="s">
        <v>2430</v>
      </c>
      <c r="L332">
        <v>45</v>
      </c>
      <c r="M332" t="s">
        <v>20</v>
      </c>
      <c r="N332">
        <v>1.1753</v>
      </c>
      <c r="O332">
        <v>1.3387629570566124</v>
      </c>
      <c r="P332">
        <v>6.4463580517770958E-3</v>
      </c>
      <c r="Q332">
        <v>1.1753</v>
      </c>
      <c r="R332">
        <v>16029.282037999999</v>
      </c>
      <c r="S332" t="s">
        <v>14</v>
      </c>
      <c r="T332">
        <v>1.1060000000000001</v>
      </c>
      <c r="U332">
        <v>15084.136759999999</v>
      </c>
      <c r="V332">
        <v>945.14527799999996</v>
      </c>
      <c r="W332">
        <v>6.2658227848101267E-2</v>
      </c>
    </row>
    <row r="333" spans="1:23" x14ac:dyDescent="0.25">
      <c r="A333" t="s">
        <v>2427</v>
      </c>
      <c r="B333" t="s">
        <v>42</v>
      </c>
      <c r="C333" t="s">
        <v>151</v>
      </c>
      <c r="D333" t="s">
        <v>35</v>
      </c>
      <c r="E333" t="s">
        <v>152</v>
      </c>
      <c r="F333" s="1">
        <v>45722</v>
      </c>
      <c r="G333">
        <v>45752</v>
      </c>
      <c r="H333" t="s">
        <v>8</v>
      </c>
      <c r="I333">
        <v>2742.43</v>
      </c>
      <c r="J333" t="s">
        <v>75</v>
      </c>
      <c r="K333" t="s">
        <v>2428</v>
      </c>
      <c r="L333">
        <v>30</v>
      </c>
      <c r="M333" t="s">
        <v>42</v>
      </c>
      <c r="N333">
        <v>1.0795999999999999</v>
      </c>
      <c r="O333">
        <v>1.2884592433464612</v>
      </c>
      <c r="P333">
        <v>6.7797035920622948E-3</v>
      </c>
      <c r="Q333">
        <v>1.2884592433464612</v>
      </c>
      <c r="R333">
        <v>3533.5092827306353</v>
      </c>
      <c r="S333" t="s">
        <v>11</v>
      </c>
      <c r="T333">
        <v>1.238</v>
      </c>
      <c r="U333">
        <v>3395.1283399999998</v>
      </c>
      <c r="V333">
        <v>138.38094273063552</v>
      </c>
      <c r="W333">
        <v>4.0758677985832943E-2</v>
      </c>
    </row>
    <row r="334" spans="1:23" x14ac:dyDescent="0.25">
      <c r="A334" t="s">
        <v>2425</v>
      </c>
      <c r="B334" t="s">
        <v>30</v>
      </c>
      <c r="C334" t="s">
        <v>103</v>
      </c>
      <c r="D334" t="s">
        <v>31</v>
      </c>
      <c r="E334" t="s">
        <v>74</v>
      </c>
      <c r="F334" s="1">
        <v>45695</v>
      </c>
      <c r="G334">
        <v>45725</v>
      </c>
      <c r="H334" t="s">
        <v>9</v>
      </c>
      <c r="I334">
        <v>3727188.17</v>
      </c>
      <c r="J334" t="s">
        <v>75</v>
      </c>
      <c r="K334" t="s">
        <v>2426</v>
      </c>
      <c r="L334">
        <v>30</v>
      </c>
      <c r="M334" t="s">
        <v>30</v>
      </c>
      <c r="N334">
        <v>1.0377000000000001</v>
      </c>
      <c r="O334">
        <v>1.2449461926985232</v>
      </c>
      <c r="P334">
        <v>6.5772960638904735E-3</v>
      </c>
      <c r="Q334">
        <v>6.5772960638904735E-3</v>
      </c>
      <c r="R334">
        <v>24514.820079920137</v>
      </c>
      <c r="S334" t="s">
        <v>11</v>
      </c>
      <c r="T334">
        <v>6.5599999999999999E-3</v>
      </c>
      <c r="U334">
        <v>24450.3543952</v>
      </c>
      <c r="V334">
        <v>64.465684720136778</v>
      </c>
      <c r="W334">
        <v>2.6365951052550974E-3</v>
      </c>
    </row>
    <row r="335" spans="1:23" x14ac:dyDescent="0.25">
      <c r="A335" t="s">
        <v>2423</v>
      </c>
      <c r="B335" t="s">
        <v>39</v>
      </c>
      <c r="C335" t="s">
        <v>82</v>
      </c>
      <c r="D335" t="s">
        <v>33</v>
      </c>
      <c r="E335" t="s">
        <v>83</v>
      </c>
      <c r="F335" s="1">
        <v>46087</v>
      </c>
      <c r="G335">
        <v>46132</v>
      </c>
      <c r="H335" t="s">
        <v>8</v>
      </c>
      <c r="I335">
        <v>1800.78</v>
      </c>
      <c r="J335" t="s">
        <v>75</v>
      </c>
      <c r="K335" t="s">
        <v>2424</v>
      </c>
      <c r="L335">
        <v>45</v>
      </c>
      <c r="M335" t="s">
        <v>39</v>
      </c>
      <c r="N335">
        <v>1.1560999999999999</v>
      </c>
      <c r="O335">
        <v>1.3335563424959338</v>
      </c>
      <c r="P335">
        <v>6.3323656679629726E-3</v>
      </c>
      <c r="Q335">
        <v>1.3335563424959338</v>
      </c>
      <c r="R335">
        <v>2401.4415904398275</v>
      </c>
      <c r="S335" t="s">
        <v>16</v>
      </c>
      <c r="T335">
        <v>1.2490000000000001</v>
      </c>
      <c r="U335">
        <v>2249.1742200000003</v>
      </c>
      <c r="V335">
        <v>152.26737043982712</v>
      </c>
      <c r="W335">
        <v>6.7699233383453544E-2</v>
      </c>
    </row>
    <row r="336" spans="1:23" x14ac:dyDescent="0.25">
      <c r="A336" t="s">
        <v>2421</v>
      </c>
      <c r="B336" t="s">
        <v>38</v>
      </c>
      <c r="C336" t="s">
        <v>87</v>
      </c>
      <c r="D336" t="s">
        <v>33</v>
      </c>
      <c r="E336" t="s">
        <v>88</v>
      </c>
      <c r="F336" s="1">
        <v>46024</v>
      </c>
      <c r="G336">
        <v>46054</v>
      </c>
      <c r="H336" t="s">
        <v>6</v>
      </c>
      <c r="I336">
        <v>3277.01</v>
      </c>
      <c r="J336" t="s">
        <v>75</v>
      </c>
      <c r="K336" t="s">
        <v>2422</v>
      </c>
      <c r="L336">
        <v>30</v>
      </c>
      <c r="M336" t="s">
        <v>38</v>
      </c>
      <c r="N336">
        <v>1.1720999999999999</v>
      </c>
      <c r="O336">
        <v>1.3443055396261039</v>
      </c>
      <c r="P336">
        <v>6.3721865825812759E-3</v>
      </c>
      <c r="Q336">
        <v>1.1720999999999999</v>
      </c>
      <c r="R336">
        <v>3840.9834209999999</v>
      </c>
      <c r="S336" t="s">
        <v>16</v>
      </c>
      <c r="T336">
        <v>1.0649999999999999</v>
      </c>
      <c r="U336">
        <v>3490.0156500000003</v>
      </c>
      <c r="V336">
        <v>350.96777099999963</v>
      </c>
      <c r="W336">
        <v>0.10056338028169003</v>
      </c>
    </row>
    <row r="337" spans="1:23" x14ac:dyDescent="0.25">
      <c r="A337" t="s">
        <v>2419</v>
      </c>
      <c r="B337" t="s">
        <v>20</v>
      </c>
      <c r="C337" t="s">
        <v>123</v>
      </c>
      <c r="D337" t="s">
        <v>31</v>
      </c>
      <c r="E337" t="s">
        <v>124</v>
      </c>
      <c r="F337" s="1">
        <v>46220</v>
      </c>
      <c r="G337">
        <v>46265</v>
      </c>
      <c r="H337" t="s">
        <v>6</v>
      </c>
      <c r="I337">
        <v>53901.16</v>
      </c>
      <c r="J337" t="s">
        <v>75</v>
      </c>
      <c r="K337" t="s">
        <v>2420</v>
      </c>
      <c r="L337">
        <v>45</v>
      </c>
      <c r="M337" t="s">
        <v>20</v>
      </c>
      <c r="N337">
        <v>1.1435</v>
      </c>
      <c r="O337">
        <v>1.3437448588685985</v>
      </c>
      <c r="P337">
        <v>6.1594398060867217E-3</v>
      </c>
      <c r="Q337">
        <v>1.1435</v>
      </c>
      <c r="R337">
        <v>61635.976460000005</v>
      </c>
      <c r="S337" t="s">
        <v>21</v>
      </c>
      <c r="T337">
        <v>1.101</v>
      </c>
      <c r="U337">
        <v>59345.177159999999</v>
      </c>
      <c r="V337">
        <v>2290.799300000006</v>
      </c>
      <c r="W337">
        <v>3.8601271571298924E-2</v>
      </c>
    </row>
    <row r="338" spans="1:23" x14ac:dyDescent="0.25">
      <c r="A338" t="s">
        <v>2417</v>
      </c>
      <c r="B338" t="s">
        <v>20</v>
      </c>
      <c r="C338" t="s">
        <v>123</v>
      </c>
      <c r="D338" t="s">
        <v>31</v>
      </c>
      <c r="E338" t="s">
        <v>124</v>
      </c>
      <c r="F338" s="1">
        <v>45948</v>
      </c>
      <c r="G338">
        <v>45993</v>
      </c>
      <c r="H338" t="s">
        <v>6</v>
      </c>
      <c r="I338">
        <v>11724.19</v>
      </c>
      <c r="J338" t="s">
        <v>75</v>
      </c>
      <c r="K338" t="s">
        <v>2418</v>
      </c>
      <c r="L338">
        <v>45</v>
      </c>
      <c r="M338" t="s">
        <v>20</v>
      </c>
      <c r="N338">
        <v>1.1805000000000001</v>
      </c>
      <c r="O338">
        <v>1.347141389934954</v>
      </c>
      <c r="P338">
        <v>6.411231195351111E-3</v>
      </c>
      <c r="Q338">
        <v>1.1805000000000001</v>
      </c>
      <c r="R338">
        <v>13840.406295000003</v>
      </c>
      <c r="S338" t="s">
        <v>14</v>
      </c>
      <c r="T338">
        <v>1.1060000000000001</v>
      </c>
      <c r="U338">
        <v>12966.954140000002</v>
      </c>
      <c r="V338">
        <v>873.45215500000086</v>
      </c>
      <c r="W338">
        <v>6.7359855334538934E-2</v>
      </c>
    </row>
    <row r="339" spans="1:23" x14ac:dyDescent="0.25">
      <c r="A339" t="s">
        <v>2415</v>
      </c>
      <c r="B339" t="s">
        <v>22</v>
      </c>
      <c r="C339" t="s">
        <v>127</v>
      </c>
      <c r="D339" t="s">
        <v>31</v>
      </c>
      <c r="E339" t="s">
        <v>124</v>
      </c>
      <c r="F339" s="1">
        <v>45673</v>
      </c>
      <c r="G339">
        <v>45733</v>
      </c>
      <c r="H339" t="s">
        <v>9</v>
      </c>
      <c r="I339">
        <v>3634421.46</v>
      </c>
      <c r="J339" t="s">
        <v>75</v>
      </c>
      <c r="K339" t="s">
        <v>2416</v>
      </c>
      <c r="L339">
        <v>60</v>
      </c>
      <c r="M339" t="s">
        <v>22</v>
      </c>
      <c r="N339">
        <v>1.0271999999999999</v>
      </c>
      <c r="O339">
        <v>1.2191127252011678</v>
      </c>
      <c r="P339">
        <v>6.4015954131870865E-3</v>
      </c>
      <c r="Q339">
        <v>6.4015954131870865E-3</v>
      </c>
      <c r="R339">
        <v>23266.095747924715</v>
      </c>
      <c r="S339" t="s">
        <v>11</v>
      </c>
      <c r="T339">
        <v>6.5599999999999999E-3</v>
      </c>
      <c r="U339">
        <v>23841.804777599998</v>
      </c>
      <c r="V339">
        <v>-575.70902967528309</v>
      </c>
      <c r="W339">
        <v>-2.4147040672700116E-2</v>
      </c>
    </row>
    <row r="340" spans="1:23" x14ac:dyDescent="0.25">
      <c r="A340" t="s">
        <v>2413</v>
      </c>
      <c r="B340" t="s">
        <v>36</v>
      </c>
      <c r="C340" t="s">
        <v>116</v>
      </c>
      <c r="D340" t="s">
        <v>31</v>
      </c>
      <c r="E340" t="s">
        <v>74</v>
      </c>
      <c r="F340" s="1">
        <v>45752</v>
      </c>
      <c r="G340">
        <v>45797</v>
      </c>
      <c r="H340" t="s">
        <v>6</v>
      </c>
      <c r="I340">
        <v>28924.59</v>
      </c>
      <c r="J340" t="s">
        <v>75</v>
      </c>
      <c r="K340" t="s">
        <v>2414</v>
      </c>
      <c r="L340">
        <v>45</v>
      </c>
      <c r="M340" t="s">
        <v>36</v>
      </c>
      <c r="N340">
        <v>1.1380999999999999</v>
      </c>
      <c r="O340">
        <v>1.3561725452812201</v>
      </c>
      <c r="P340">
        <v>6.9980938326262062E-3</v>
      </c>
      <c r="Q340">
        <v>1.1380999999999999</v>
      </c>
      <c r="R340">
        <v>32919.075878999996</v>
      </c>
      <c r="S340" t="s">
        <v>12</v>
      </c>
      <c r="T340">
        <v>1.07</v>
      </c>
      <c r="U340">
        <v>30949.311300000001</v>
      </c>
      <c r="V340">
        <v>1969.7645789999951</v>
      </c>
      <c r="W340">
        <v>6.3644859813083959E-2</v>
      </c>
    </row>
    <row r="341" spans="1:23" x14ac:dyDescent="0.25">
      <c r="A341" t="s">
        <v>2411</v>
      </c>
      <c r="B341" t="s">
        <v>24</v>
      </c>
      <c r="C341" t="s">
        <v>73</v>
      </c>
      <c r="D341" t="s">
        <v>31</v>
      </c>
      <c r="E341" t="s">
        <v>74</v>
      </c>
      <c r="F341" s="1">
        <v>46189</v>
      </c>
      <c r="G341">
        <v>46219</v>
      </c>
      <c r="H341" t="s">
        <v>6</v>
      </c>
      <c r="I341">
        <v>11309.4</v>
      </c>
      <c r="J341" t="s">
        <v>75</v>
      </c>
      <c r="K341" t="s">
        <v>2412</v>
      </c>
      <c r="L341">
        <v>30</v>
      </c>
      <c r="M341" t="s">
        <v>24</v>
      </c>
      <c r="N341">
        <v>1.1594</v>
      </c>
      <c r="O341">
        <v>1.3407963363439765</v>
      </c>
      <c r="P341">
        <v>6.2353447348607082E-3</v>
      </c>
      <c r="Q341">
        <v>1.1594</v>
      </c>
      <c r="R341">
        <v>13112.118359999999</v>
      </c>
      <c r="S341" t="s">
        <v>19</v>
      </c>
      <c r="T341">
        <v>1.083</v>
      </c>
      <c r="U341">
        <v>12248.080199999999</v>
      </c>
      <c r="V341">
        <v>864.03816000000006</v>
      </c>
      <c r="W341">
        <v>7.0544783010156986E-2</v>
      </c>
    </row>
    <row r="342" spans="1:23" x14ac:dyDescent="0.25">
      <c r="A342" t="s">
        <v>2409</v>
      </c>
      <c r="B342" t="s">
        <v>34</v>
      </c>
      <c r="C342" t="s">
        <v>177</v>
      </c>
      <c r="D342" t="s">
        <v>31</v>
      </c>
      <c r="E342" t="s">
        <v>74</v>
      </c>
      <c r="F342" s="1">
        <v>46049</v>
      </c>
      <c r="G342">
        <v>46109</v>
      </c>
      <c r="H342" t="s">
        <v>8</v>
      </c>
      <c r="I342">
        <v>16820.310000000001</v>
      </c>
      <c r="J342" t="s">
        <v>75</v>
      </c>
      <c r="K342" t="s">
        <v>2410</v>
      </c>
      <c r="L342">
        <v>60</v>
      </c>
      <c r="M342" t="s">
        <v>34</v>
      </c>
      <c r="N342">
        <v>1.1929000000000001</v>
      </c>
      <c r="O342">
        <v>1.3738339283657723</v>
      </c>
      <c r="P342">
        <v>6.5214301333916475E-3</v>
      </c>
      <c r="Q342">
        <v>1.3738339283657723</v>
      </c>
      <c r="R342">
        <v>23108.312563630087</v>
      </c>
      <c r="S342" t="s">
        <v>16</v>
      </c>
      <c r="T342">
        <v>1.2490000000000001</v>
      </c>
      <c r="U342">
        <v>21008.567190000005</v>
      </c>
      <c r="V342">
        <v>2099.7453736300813</v>
      </c>
      <c r="W342">
        <v>9.9947100372916042E-2</v>
      </c>
    </row>
    <row r="343" spans="1:23" x14ac:dyDescent="0.25">
      <c r="A343" t="s">
        <v>2407</v>
      </c>
      <c r="B343" t="s">
        <v>42</v>
      </c>
      <c r="C343" t="s">
        <v>151</v>
      </c>
      <c r="D343" t="s">
        <v>35</v>
      </c>
      <c r="E343" t="s">
        <v>152</v>
      </c>
      <c r="F343" s="1">
        <v>46104</v>
      </c>
      <c r="G343">
        <v>46134</v>
      </c>
      <c r="H343" t="s">
        <v>8</v>
      </c>
      <c r="I343">
        <v>3720.69</v>
      </c>
      <c r="J343" t="s">
        <v>75</v>
      </c>
      <c r="K343" t="s">
        <v>2408</v>
      </c>
      <c r="L343">
        <v>30</v>
      </c>
      <c r="M343" t="s">
        <v>42</v>
      </c>
      <c r="N343">
        <v>1.1596</v>
      </c>
      <c r="O343">
        <v>1.3418190233742189</v>
      </c>
      <c r="P343">
        <v>6.3069726966169908E-3</v>
      </c>
      <c r="Q343">
        <v>1.3418190233742189</v>
      </c>
      <c r="R343">
        <v>4992.4926220782227</v>
      </c>
      <c r="S343" t="s">
        <v>16</v>
      </c>
      <c r="T343">
        <v>1.2490000000000001</v>
      </c>
      <c r="U343">
        <v>4647.1418100000001</v>
      </c>
      <c r="V343">
        <v>345.35081207822259</v>
      </c>
      <c r="W343">
        <v>7.4314670435723706E-2</v>
      </c>
    </row>
    <row r="344" spans="1:23" x14ac:dyDescent="0.25">
      <c r="A344" t="s">
        <v>2405</v>
      </c>
      <c r="B344" t="s">
        <v>30</v>
      </c>
      <c r="C344" t="s">
        <v>103</v>
      </c>
      <c r="D344" t="s">
        <v>31</v>
      </c>
      <c r="E344" t="s">
        <v>74</v>
      </c>
      <c r="F344" s="1">
        <v>45975</v>
      </c>
      <c r="G344">
        <v>46005</v>
      </c>
      <c r="H344" t="s">
        <v>9</v>
      </c>
      <c r="I344">
        <v>966462.79</v>
      </c>
      <c r="J344" t="s">
        <v>75</v>
      </c>
      <c r="K344" t="s">
        <v>2406</v>
      </c>
      <c r="L344">
        <v>30</v>
      </c>
      <c r="M344" t="s">
        <v>30</v>
      </c>
      <c r="N344">
        <v>1.1648000000000001</v>
      </c>
      <c r="O344">
        <v>1.316753334840606</v>
      </c>
      <c r="P344">
        <v>6.499274634527397E-3</v>
      </c>
      <c r="Q344">
        <v>6.499274634527397E-3</v>
      </c>
      <c r="R344">
        <v>6281.3070962615784</v>
      </c>
      <c r="S344" t="s">
        <v>14</v>
      </c>
      <c r="T344">
        <v>6.9800000000000001E-3</v>
      </c>
      <c r="U344">
        <v>6745.9102742000005</v>
      </c>
      <c r="V344">
        <v>-464.60317793842205</v>
      </c>
      <c r="W344">
        <v>-6.8871828864269832E-2</v>
      </c>
    </row>
    <row r="345" spans="1:23" x14ac:dyDescent="0.25">
      <c r="A345" t="s">
        <v>2403</v>
      </c>
      <c r="B345" t="s">
        <v>37</v>
      </c>
      <c r="C345" t="s">
        <v>91</v>
      </c>
      <c r="D345" t="s">
        <v>31</v>
      </c>
      <c r="E345" t="s">
        <v>74</v>
      </c>
      <c r="F345" s="1">
        <v>46322</v>
      </c>
      <c r="G345">
        <v>46352</v>
      </c>
      <c r="H345" t="s">
        <v>6</v>
      </c>
      <c r="I345">
        <v>6093.57</v>
      </c>
      <c r="J345" t="s">
        <v>84</v>
      </c>
      <c r="K345" t="s">
        <v>2404</v>
      </c>
      <c r="L345">
        <v>30</v>
      </c>
      <c r="M345" t="s">
        <v>37</v>
      </c>
      <c r="N345">
        <v>1.1176999999999999</v>
      </c>
      <c r="O345">
        <v>1.320456022210408</v>
      </c>
      <c r="P345">
        <v>6.3200452360757699E-3</v>
      </c>
      <c r="Q345">
        <v>1.1176999999999999</v>
      </c>
      <c r="R345">
        <v>6810.7831889999989</v>
      </c>
      <c r="S345" t="s">
        <v>23</v>
      </c>
      <c r="T345">
        <v>1.119</v>
      </c>
      <c r="U345">
        <v>6818.7048299999997</v>
      </c>
      <c r="V345">
        <v>-7.9216410000008182</v>
      </c>
      <c r="W345">
        <v>-1.1617515638964562E-3</v>
      </c>
    </row>
    <row r="346" spans="1:23" x14ac:dyDescent="0.25">
      <c r="A346" t="s">
        <v>2401</v>
      </c>
      <c r="B346" t="s">
        <v>40</v>
      </c>
      <c r="C346" t="s">
        <v>78</v>
      </c>
      <c r="D346" t="s">
        <v>33</v>
      </c>
      <c r="E346" t="s">
        <v>79</v>
      </c>
      <c r="F346" s="1">
        <v>46086</v>
      </c>
      <c r="G346">
        <v>46116</v>
      </c>
      <c r="H346" t="s">
        <v>9</v>
      </c>
      <c r="I346">
        <v>1664414.71</v>
      </c>
      <c r="J346" t="s">
        <v>75</v>
      </c>
      <c r="K346" t="s">
        <v>2402</v>
      </c>
      <c r="L346">
        <v>30</v>
      </c>
      <c r="M346" t="s">
        <v>40</v>
      </c>
      <c r="N346">
        <v>1.1617999999999999</v>
      </c>
      <c r="O346">
        <v>1.3361702127659574</v>
      </c>
      <c r="P346">
        <v>6.347593290717368E-3</v>
      </c>
      <c r="Q346">
        <v>6.347593290717368E-3</v>
      </c>
      <c r="R346">
        <v>10565.027646167293</v>
      </c>
      <c r="S346" t="s">
        <v>16</v>
      </c>
      <c r="T346">
        <v>6.4599999999999996E-3</v>
      </c>
      <c r="U346">
        <v>10752.119026599999</v>
      </c>
      <c r="V346">
        <v>-187.0913804327065</v>
      </c>
      <c r="W346">
        <v>-1.7400419393596309E-2</v>
      </c>
    </row>
    <row r="347" spans="1:23" x14ac:dyDescent="0.25">
      <c r="A347" t="s">
        <v>2399</v>
      </c>
      <c r="B347" t="s">
        <v>25</v>
      </c>
      <c r="C347" t="s">
        <v>169</v>
      </c>
      <c r="D347" t="s">
        <v>31</v>
      </c>
      <c r="E347" t="s">
        <v>124</v>
      </c>
      <c r="F347" s="1">
        <v>46080</v>
      </c>
      <c r="G347">
        <v>46140</v>
      </c>
      <c r="H347" t="s">
        <v>6</v>
      </c>
      <c r="I347">
        <v>18149.11</v>
      </c>
      <c r="J347" t="s">
        <v>75</v>
      </c>
      <c r="K347" t="s">
        <v>2400</v>
      </c>
      <c r="L347">
        <v>60</v>
      </c>
      <c r="M347" t="s">
        <v>25</v>
      </c>
      <c r="N347">
        <v>1.1805000000000001</v>
      </c>
      <c r="O347">
        <v>1.347141389934954</v>
      </c>
      <c r="P347">
        <v>6.411231195351111E-3</v>
      </c>
      <c r="Q347">
        <v>1.1805000000000001</v>
      </c>
      <c r="R347">
        <v>21425.024355000001</v>
      </c>
      <c r="S347" t="s">
        <v>16</v>
      </c>
      <c r="T347">
        <v>1.0649999999999999</v>
      </c>
      <c r="U347">
        <v>19328.80215</v>
      </c>
      <c r="V347">
        <v>2096.2222050000018</v>
      </c>
      <c r="W347">
        <v>0.1084507042253522</v>
      </c>
    </row>
    <row r="348" spans="1:23" x14ac:dyDescent="0.25">
      <c r="A348" t="s">
        <v>2397</v>
      </c>
      <c r="B348" t="s">
        <v>20</v>
      </c>
      <c r="C348" t="s">
        <v>123</v>
      </c>
      <c r="D348" t="s">
        <v>31</v>
      </c>
      <c r="E348" t="s">
        <v>124</v>
      </c>
      <c r="F348" s="1">
        <v>45771</v>
      </c>
      <c r="G348">
        <v>45816</v>
      </c>
      <c r="H348" t="s">
        <v>6</v>
      </c>
      <c r="I348">
        <v>44433.84</v>
      </c>
      <c r="J348" t="s">
        <v>75</v>
      </c>
      <c r="K348" t="s">
        <v>2398</v>
      </c>
      <c r="L348">
        <v>45</v>
      </c>
      <c r="M348" t="s">
        <v>20</v>
      </c>
      <c r="N348">
        <v>1.1375999999999999</v>
      </c>
      <c r="O348">
        <v>1.3305263157894736</v>
      </c>
      <c r="P348">
        <v>7.0152935372471631E-3</v>
      </c>
      <c r="Q348">
        <v>1.1375999999999999</v>
      </c>
      <c r="R348">
        <v>50547.936383999993</v>
      </c>
      <c r="S348" t="s">
        <v>12</v>
      </c>
      <c r="T348">
        <v>1.07</v>
      </c>
      <c r="U348">
        <v>47544.2088</v>
      </c>
      <c r="V348">
        <v>3003.7275839999929</v>
      </c>
      <c r="W348">
        <v>6.3177570093457799E-2</v>
      </c>
    </row>
    <row r="349" spans="1:23" x14ac:dyDescent="0.25">
      <c r="A349" t="s">
        <v>2395</v>
      </c>
      <c r="B349" t="s">
        <v>38</v>
      </c>
      <c r="C349" t="s">
        <v>87</v>
      </c>
      <c r="D349" t="s">
        <v>33</v>
      </c>
      <c r="E349" t="s">
        <v>88</v>
      </c>
      <c r="F349" s="1">
        <v>46249</v>
      </c>
      <c r="G349">
        <v>46279</v>
      </c>
      <c r="H349" t="s">
        <v>6</v>
      </c>
      <c r="I349">
        <v>9508.93</v>
      </c>
      <c r="J349" t="s">
        <v>75</v>
      </c>
      <c r="K349" t="s">
        <v>2396</v>
      </c>
      <c r="L349">
        <v>30</v>
      </c>
      <c r="M349" t="s">
        <v>38</v>
      </c>
      <c r="N349">
        <v>1.1567000000000001</v>
      </c>
      <c r="O349">
        <v>1.3536571094207139</v>
      </c>
      <c r="P349">
        <v>6.2888055238405913E-3</v>
      </c>
      <c r="Q349">
        <v>1.1567000000000001</v>
      </c>
      <c r="R349">
        <v>10998.979331</v>
      </c>
      <c r="S349" t="s">
        <v>21</v>
      </c>
      <c r="T349">
        <v>1.101</v>
      </c>
      <c r="U349">
        <v>10469.33193</v>
      </c>
      <c r="V349">
        <v>529.64740100000017</v>
      </c>
      <c r="W349">
        <v>5.059037238873753E-2</v>
      </c>
    </row>
    <row r="350" spans="1:23" x14ac:dyDescent="0.25">
      <c r="A350" t="s">
        <v>2393</v>
      </c>
      <c r="B350" t="s">
        <v>32</v>
      </c>
      <c r="C350" t="s">
        <v>106</v>
      </c>
      <c r="D350" t="s">
        <v>31</v>
      </c>
      <c r="E350" t="s">
        <v>74</v>
      </c>
      <c r="F350" s="1">
        <v>45911</v>
      </c>
      <c r="G350">
        <v>45941</v>
      </c>
      <c r="H350" t="s">
        <v>6</v>
      </c>
      <c r="I350">
        <v>20910.169999999998</v>
      </c>
      <c r="J350" t="s">
        <v>75</v>
      </c>
      <c r="K350" t="s">
        <v>2394</v>
      </c>
      <c r="L350">
        <v>30</v>
      </c>
      <c r="M350" t="s">
        <v>32</v>
      </c>
      <c r="N350">
        <v>1.1685000000000001</v>
      </c>
      <c r="O350">
        <v>1.3513357233722678</v>
      </c>
      <c r="P350">
        <v>6.7590236001850998E-3</v>
      </c>
      <c r="Q350">
        <v>1.1685000000000001</v>
      </c>
      <c r="R350">
        <v>24433.533645</v>
      </c>
      <c r="S350" t="s">
        <v>13</v>
      </c>
      <c r="T350">
        <v>1.0880000000000001</v>
      </c>
      <c r="U350">
        <v>22750.26496</v>
      </c>
      <c r="V350">
        <v>1683.2686849999991</v>
      </c>
      <c r="W350">
        <v>7.3988970588235253E-2</v>
      </c>
    </row>
    <row r="351" spans="1:23" x14ac:dyDescent="0.25">
      <c r="A351" t="s">
        <v>2391</v>
      </c>
      <c r="B351" t="s">
        <v>39</v>
      </c>
      <c r="C351" t="s">
        <v>82</v>
      </c>
      <c r="D351" t="s">
        <v>33</v>
      </c>
      <c r="E351" t="s">
        <v>83</v>
      </c>
      <c r="F351" s="1">
        <v>46044</v>
      </c>
      <c r="G351">
        <v>46089</v>
      </c>
      <c r="H351" t="s">
        <v>8</v>
      </c>
      <c r="I351">
        <v>3472.33</v>
      </c>
      <c r="J351" t="s">
        <v>75</v>
      </c>
      <c r="K351" t="s">
        <v>2392</v>
      </c>
      <c r="L351">
        <v>45</v>
      </c>
      <c r="M351" t="s">
        <v>39</v>
      </c>
      <c r="N351">
        <v>1.1706000000000001</v>
      </c>
      <c r="O351">
        <v>1.3421233662004128</v>
      </c>
      <c r="P351">
        <v>6.2976113621691417E-3</v>
      </c>
      <c r="Q351">
        <v>1.3421233662004128</v>
      </c>
      <c r="R351">
        <v>4660.2952281586795</v>
      </c>
      <c r="S351" t="s">
        <v>16</v>
      </c>
      <c r="T351">
        <v>1.2490000000000001</v>
      </c>
      <c r="U351">
        <v>4336.9401699999999</v>
      </c>
      <c r="V351">
        <v>323.35505815867964</v>
      </c>
      <c r="W351">
        <v>7.4558339632035925E-2</v>
      </c>
    </row>
    <row r="352" spans="1:23" x14ac:dyDescent="0.25">
      <c r="A352" t="s">
        <v>2389</v>
      </c>
      <c r="B352" t="s">
        <v>22</v>
      </c>
      <c r="C352" t="s">
        <v>127</v>
      </c>
      <c r="D352" t="s">
        <v>31</v>
      </c>
      <c r="E352" t="s">
        <v>124</v>
      </c>
      <c r="F352" s="1">
        <v>45866</v>
      </c>
      <c r="G352">
        <v>45926</v>
      </c>
      <c r="H352" t="s">
        <v>9</v>
      </c>
      <c r="I352">
        <v>9533954.9499999993</v>
      </c>
      <c r="J352" t="s">
        <v>75</v>
      </c>
      <c r="K352" t="s">
        <v>2390</v>
      </c>
      <c r="L352">
        <v>60</v>
      </c>
      <c r="M352" t="s">
        <v>22</v>
      </c>
      <c r="N352">
        <v>1.1654</v>
      </c>
      <c r="O352">
        <v>1.3427814264316165</v>
      </c>
      <c r="P352">
        <v>6.750072400810889E-3</v>
      </c>
      <c r="Q352">
        <v>6.750072400810889E-3</v>
      </c>
      <c r="R352">
        <v>64354.886178569352</v>
      </c>
      <c r="S352" t="s">
        <v>13</v>
      </c>
      <c r="T352">
        <v>6.8399999999999997E-3</v>
      </c>
      <c r="U352">
        <v>65212.251857999989</v>
      </c>
      <c r="V352">
        <v>-857.3656794306371</v>
      </c>
      <c r="W352">
        <v>-1.314730982296939E-2</v>
      </c>
    </row>
    <row r="353" spans="1:23" x14ac:dyDescent="0.25">
      <c r="A353" t="s">
        <v>2387</v>
      </c>
      <c r="B353" t="s">
        <v>20</v>
      </c>
      <c r="C353" t="s">
        <v>123</v>
      </c>
      <c r="D353" t="s">
        <v>31</v>
      </c>
      <c r="E353" t="s">
        <v>124</v>
      </c>
      <c r="F353" s="1">
        <v>46333</v>
      </c>
      <c r="G353">
        <v>46378</v>
      </c>
      <c r="H353" t="s">
        <v>6</v>
      </c>
      <c r="I353">
        <v>75101.789999999994</v>
      </c>
      <c r="J353" t="s">
        <v>84</v>
      </c>
      <c r="K353" t="s">
        <v>2388</v>
      </c>
      <c r="L353">
        <v>45</v>
      </c>
      <c r="M353" t="s">
        <v>20</v>
      </c>
      <c r="N353">
        <v>1.1176999999999999</v>
      </c>
      <c r="O353">
        <v>1.320456022210408</v>
      </c>
      <c r="P353">
        <v>6.3200452360757699E-3</v>
      </c>
      <c r="Q353">
        <v>1.1176999999999999</v>
      </c>
      <c r="R353">
        <v>83941.270682999981</v>
      </c>
      <c r="S353" t="s">
        <v>23</v>
      </c>
      <c r="T353">
        <v>1.119</v>
      </c>
      <c r="U353">
        <v>84038.903009999995</v>
      </c>
      <c r="V353">
        <v>-97.632327000013902</v>
      </c>
      <c r="W353">
        <v>-1.1617515638965015E-3</v>
      </c>
    </row>
    <row r="354" spans="1:23" x14ac:dyDescent="0.25">
      <c r="A354" t="s">
        <v>2385</v>
      </c>
      <c r="B354" t="s">
        <v>26</v>
      </c>
      <c r="C354" t="s">
        <v>94</v>
      </c>
      <c r="D354" t="s">
        <v>31</v>
      </c>
      <c r="E354" t="s">
        <v>74</v>
      </c>
      <c r="F354" s="1">
        <v>45921</v>
      </c>
      <c r="G354">
        <v>45951</v>
      </c>
      <c r="H354" t="s">
        <v>8</v>
      </c>
      <c r="I354">
        <v>24447.9</v>
      </c>
      <c r="J354" t="s">
        <v>75</v>
      </c>
      <c r="K354" t="s">
        <v>2386</v>
      </c>
      <c r="L354">
        <v>30</v>
      </c>
      <c r="M354" t="s">
        <v>26</v>
      </c>
      <c r="N354">
        <v>1.1738999999999999</v>
      </c>
      <c r="O354">
        <v>1.3425205855443734</v>
      </c>
      <c r="P354">
        <v>6.3375263186308912E-3</v>
      </c>
      <c r="Q354">
        <v>1.3425205855443734</v>
      </c>
      <c r="R354">
        <v>32821.809023330286</v>
      </c>
      <c r="S354" t="s">
        <v>13</v>
      </c>
      <c r="T354">
        <v>1.282</v>
      </c>
      <c r="U354">
        <v>31342.207800000004</v>
      </c>
      <c r="V354">
        <v>1479.6012233302827</v>
      </c>
      <c r="W354">
        <v>4.7207945042412824E-2</v>
      </c>
    </row>
    <row r="355" spans="1:23" x14ac:dyDescent="0.25">
      <c r="A355" t="s">
        <v>2383</v>
      </c>
      <c r="B355" t="s">
        <v>26</v>
      </c>
      <c r="C355" t="s">
        <v>94</v>
      </c>
      <c r="D355" t="s">
        <v>31</v>
      </c>
      <c r="E355" t="s">
        <v>74</v>
      </c>
      <c r="F355" s="1">
        <v>45855</v>
      </c>
      <c r="G355">
        <v>45885</v>
      </c>
      <c r="H355" t="s">
        <v>8</v>
      </c>
      <c r="I355">
        <v>27503.79</v>
      </c>
      <c r="J355" t="s">
        <v>75</v>
      </c>
      <c r="K355" t="s">
        <v>2384</v>
      </c>
      <c r="L355">
        <v>30</v>
      </c>
      <c r="M355" t="s">
        <v>26</v>
      </c>
      <c r="N355">
        <v>1.1578999999999999</v>
      </c>
      <c r="O355">
        <v>1.3395418787598334</v>
      </c>
      <c r="P355">
        <v>6.7210355235662869E-3</v>
      </c>
      <c r="Q355">
        <v>1.3395418787598334</v>
      </c>
      <c r="R355">
        <v>36842.478529615917</v>
      </c>
      <c r="S355" t="s">
        <v>13</v>
      </c>
      <c r="T355">
        <v>1.282</v>
      </c>
      <c r="U355">
        <v>35259.858780000002</v>
      </c>
      <c r="V355">
        <v>1582.6197496159148</v>
      </c>
      <c r="W355">
        <v>4.4884460811102395E-2</v>
      </c>
    </row>
    <row r="356" spans="1:23" x14ac:dyDescent="0.25">
      <c r="A356" t="s">
        <v>2381</v>
      </c>
      <c r="B356" t="s">
        <v>42</v>
      </c>
      <c r="C356" t="s">
        <v>151</v>
      </c>
      <c r="D356" t="s">
        <v>35</v>
      </c>
      <c r="E356" t="s">
        <v>152</v>
      </c>
      <c r="F356" s="1">
        <v>45750</v>
      </c>
      <c r="G356">
        <v>45780</v>
      </c>
      <c r="H356" t="s">
        <v>8</v>
      </c>
      <c r="I356">
        <v>5999.69</v>
      </c>
      <c r="J356" t="s">
        <v>75</v>
      </c>
      <c r="K356" t="s">
        <v>2382</v>
      </c>
      <c r="L356">
        <v>30</v>
      </c>
      <c r="M356" t="s">
        <v>42</v>
      </c>
      <c r="N356">
        <v>1.1096999999999999</v>
      </c>
      <c r="O356">
        <v>1.3185128857098725</v>
      </c>
      <c r="P356">
        <v>6.8428192637355863E-3</v>
      </c>
      <c r="Q356">
        <v>1.3185128857098725</v>
      </c>
      <c r="R356">
        <v>7910.6685752646645</v>
      </c>
      <c r="S356" t="s">
        <v>12</v>
      </c>
      <c r="T356">
        <v>1.26</v>
      </c>
      <c r="U356">
        <v>7559.6093999999994</v>
      </c>
      <c r="V356">
        <v>351.0591752646651</v>
      </c>
      <c r="W356">
        <v>4.6438798182438519E-2</v>
      </c>
    </row>
    <row r="357" spans="1:23" x14ac:dyDescent="0.25">
      <c r="A357" t="s">
        <v>2379</v>
      </c>
      <c r="B357" t="s">
        <v>41</v>
      </c>
      <c r="C357" t="s">
        <v>172</v>
      </c>
      <c r="D357" t="s">
        <v>33</v>
      </c>
      <c r="E357" t="s">
        <v>83</v>
      </c>
      <c r="F357" s="1">
        <v>45848</v>
      </c>
      <c r="G357">
        <v>45878</v>
      </c>
      <c r="H357" t="s">
        <v>9</v>
      </c>
      <c r="I357">
        <v>1448377.2</v>
      </c>
      <c r="J357" t="s">
        <v>75</v>
      </c>
      <c r="K357" t="s">
        <v>2380</v>
      </c>
      <c r="L357">
        <v>30</v>
      </c>
      <c r="M357" t="s">
        <v>41</v>
      </c>
      <c r="N357">
        <v>1.1709000000000001</v>
      </c>
      <c r="O357">
        <v>1.357250492639388</v>
      </c>
      <c r="P357">
        <v>6.8341796533006481E-3</v>
      </c>
      <c r="Q357">
        <v>6.8341796533006481E-3</v>
      </c>
      <c r="R357">
        <v>9898.4699905445632</v>
      </c>
      <c r="S357" t="s">
        <v>13</v>
      </c>
      <c r="T357">
        <v>6.8399999999999997E-3</v>
      </c>
      <c r="U357">
        <v>9906.9000479999995</v>
      </c>
      <c r="V357">
        <v>-8.4300574554363266</v>
      </c>
      <c r="W357">
        <v>-8.5092788002218546E-4</v>
      </c>
    </row>
    <row r="358" spans="1:23" x14ac:dyDescent="0.25">
      <c r="A358" t="s">
        <v>2377</v>
      </c>
      <c r="B358" t="s">
        <v>22</v>
      </c>
      <c r="C358" t="s">
        <v>127</v>
      </c>
      <c r="D358" t="s">
        <v>31</v>
      </c>
      <c r="E358" t="s">
        <v>124</v>
      </c>
      <c r="F358" s="1">
        <v>46159</v>
      </c>
      <c r="G358">
        <v>46219</v>
      </c>
      <c r="H358" t="s">
        <v>9</v>
      </c>
      <c r="I358">
        <v>12134135.939999999</v>
      </c>
      <c r="J358" t="s">
        <v>75</v>
      </c>
      <c r="K358" t="s">
        <v>2378</v>
      </c>
      <c r="L358">
        <v>60</v>
      </c>
      <c r="M358" t="s">
        <v>22</v>
      </c>
      <c r="N358">
        <v>1.1628000000000001</v>
      </c>
      <c r="O358">
        <v>1.3357840321654222</v>
      </c>
      <c r="P358">
        <v>6.3072249945758298E-3</v>
      </c>
      <c r="Q358">
        <v>6.3072249945758298E-3</v>
      </c>
      <c r="R358">
        <v>76532.725488348879</v>
      </c>
      <c r="S358" t="s">
        <v>19</v>
      </c>
      <c r="T358">
        <v>6.6E-3</v>
      </c>
      <c r="U358">
        <v>80085.297204000002</v>
      </c>
      <c r="V358">
        <v>-3552.5717156511237</v>
      </c>
      <c r="W358">
        <v>-4.4359849306692518E-2</v>
      </c>
    </row>
    <row r="359" spans="1:23" x14ac:dyDescent="0.25">
      <c r="A359" t="s">
        <v>2375</v>
      </c>
      <c r="B359" t="s">
        <v>37</v>
      </c>
      <c r="C359" t="s">
        <v>91</v>
      </c>
      <c r="D359" t="s">
        <v>31</v>
      </c>
      <c r="E359" t="s">
        <v>74</v>
      </c>
      <c r="F359" s="1">
        <v>46291</v>
      </c>
      <c r="G359">
        <v>46321</v>
      </c>
      <c r="H359" t="s">
        <v>6</v>
      </c>
      <c r="I359">
        <v>23506.32</v>
      </c>
      <c r="J359" t="s">
        <v>75</v>
      </c>
      <c r="K359" t="s">
        <v>2376</v>
      </c>
      <c r="L359">
        <v>30</v>
      </c>
      <c r="M359" t="s">
        <v>37</v>
      </c>
      <c r="N359">
        <v>1.1403000000000001</v>
      </c>
      <c r="O359">
        <v>1.3252367947004475</v>
      </c>
      <c r="P359">
        <v>6.3455759599332232E-3</v>
      </c>
      <c r="Q359">
        <v>1.1403000000000001</v>
      </c>
      <c r="R359">
        <v>26804.256696</v>
      </c>
      <c r="S359" t="s">
        <v>21</v>
      </c>
      <c r="T359">
        <v>1.101</v>
      </c>
      <c r="U359">
        <v>25880.458319999998</v>
      </c>
      <c r="V359">
        <v>923.79837600000246</v>
      </c>
      <c r="W359">
        <v>3.5694822888283476E-2</v>
      </c>
    </row>
    <row r="360" spans="1:23" x14ac:dyDescent="0.25">
      <c r="A360" t="s">
        <v>2373</v>
      </c>
      <c r="B360" t="s">
        <v>32</v>
      </c>
      <c r="C360" t="s">
        <v>106</v>
      </c>
      <c r="D360" t="s">
        <v>31</v>
      </c>
      <c r="E360" t="s">
        <v>74</v>
      </c>
      <c r="F360" s="1">
        <v>46088</v>
      </c>
      <c r="G360">
        <v>46118</v>
      </c>
      <c r="H360" t="s">
        <v>6</v>
      </c>
      <c r="I360">
        <v>10353.65</v>
      </c>
      <c r="J360" t="s">
        <v>75</v>
      </c>
      <c r="K360" t="s">
        <v>2374</v>
      </c>
      <c r="L360">
        <v>30</v>
      </c>
      <c r="M360" t="s">
        <v>32</v>
      </c>
      <c r="N360">
        <v>1.1555</v>
      </c>
      <c r="O360">
        <v>1.3367963164349013</v>
      </c>
      <c r="P360">
        <v>6.2983756677204832E-3</v>
      </c>
      <c r="Q360">
        <v>1.1555</v>
      </c>
      <c r="R360">
        <v>11963.642575</v>
      </c>
      <c r="S360" t="s">
        <v>16</v>
      </c>
      <c r="T360">
        <v>1.0649999999999999</v>
      </c>
      <c r="U360">
        <v>11026.63725</v>
      </c>
      <c r="V360">
        <v>937.00532500000008</v>
      </c>
      <c r="W360">
        <v>8.497652582159626E-2</v>
      </c>
    </row>
    <row r="361" spans="1:23" x14ac:dyDescent="0.25">
      <c r="A361" t="s">
        <v>2371</v>
      </c>
      <c r="B361" t="s">
        <v>30</v>
      </c>
      <c r="C361" t="s">
        <v>103</v>
      </c>
      <c r="D361" t="s">
        <v>31</v>
      </c>
      <c r="E361" t="s">
        <v>74</v>
      </c>
      <c r="F361" s="1">
        <v>46061</v>
      </c>
      <c r="G361">
        <v>46091</v>
      </c>
      <c r="H361" t="s">
        <v>9</v>
      </c>
      <c r="I361">
        <v>751819.9</v>
      </c>
      <c r="J361" t="s">
        <v>75</v>
      </c>
      <c r="K361" t="s">
        <v>2372</v>
      </c>
      <c r="L361">
        <v>30</v>
      </c>
      <c r="M361" t="s">
        <v>30</v>
      </c>
      <c r="N361">
        <v>1.1555</v>
      </c>
      <c r="O361">
        <v>1.3367963164349013</v>
      </c>
      <c r="P361">
        <v>6.2983756677204832E-3</v>
      </c>
      <c r="Q361">
        <v>6.2983756677204832E-3</v>
      </c>
      <c r="R361">
        <v>4735.2441646680472</v>
      </c>
      <c r="S361" t="s">
        <v>16</v>
      </c>
      <c r="T361">
        <v>6.4599999999999996E-3</v>
      </c>
      <c r="U361">
        <v>4856.7565539999996</v>
      </c>
      <c r="V361">
        <v>-121.51238933195236</v>
      </c>
      <c r="W361">
        <v>-2.5019246482897189E-2</v>
      </c>
    </row>
    <row r="362" spans="1:23" x14ac:dyDescent="0.25">
      <c r="A362" t="s">
        <v>2369</v>
      </c>
      <c r="B362" t="s">
        <v>34</v>
      </c>
      <c r="C362" t="s">
        <v>177</v>
      </c>
      <c r="D362" t="s">
        <v>31</v>
      </c>
      <c r="E362" t="s">
        <v>74</v>
      </c>
      <c r="F362" s="1">
        <v>45832</v>
      </c>
      <c r="G362">
        <v>45892</v>
      </c>
      <c r="H362" t="s">
        <v>8</v>
      </c>
      <c r="I362">
        <v>19397.919999999998</v>
      </c>
      <c r="J362" t="s">
        <v>75</v>
      </c>
      <c r="K362" t="s">
        <v>2370</v>
      </c>
      <c r="L362">
        <v>60</v>
      </c>
      <c r="M362" t="s">
        <v>34</v>
      </c>
      <c r="N362">
        <v>1.1607000000000001</v>
      </c>
      <c r="O362">
        <v>1.3612055822680897</v>
      </c>
      <c r="P362">
        <v>6.8978427527188451E-3</v>
      </c>
      <c r="Q362">
        <v>1.3612055822680897</v>
      </c>
      <c r="R362">
        <v>26404.556988389821</v>
      </c>
      <c r="S362" t="s">
        <v>12</v>
      </c>
      <c r="T362">
        <v>1.26</v>
      </c>
      <c r="U362">
        <v>24441.379199999999</v>
      </c>
      <c r="V362">
        <v>1963.1777883898212</v>
      </c>
      <c r="W362">
        <v>8.0321890688960021E-2</v>
      </c>
    </row>
    <row r="363" spans="1:23" x14ac:dyDescent="0.25">
      <c r="A363" t="s">
        <v>2367</v>
      </c>
      <c r="B363" t="s">
        <v>38</v>
      </c>
      <c r="C363" t="s">
        <v>87</v>
      </c>
      <c r="D363" t="s">
        <v>33</v>
      </c>
      <c r="E363" t="s">
        <v>88</v>
      </c>
      <c r="F363" s="1">
        <v>45894</v>
      </c>
      <c r="G363">
        <v>45924</v>
      </c>
      <c r="H363" t="s">
        <v>6</v>
      </c>
      <c r="I363">
        <v>8682.02</v>
      </c>
      <c r="J363" t="s">
        <v>75</v>
      </c>
      <c r="K363" t="s">
        <v>2368</v>
      </c>
      <c r="L363">
        <v>30</v>
      </c>
      <c r="M363" t="s">
        <v>38</v>
      </c>
      <c r="N363">
        <v>1.1697</v>
      </c>
      <c r="O363">
        <v>1.3508488278092159</v>
      </c>
      <c r="P363">
        <v>6.7863773497331163E-3</v>
      </c>
      <c r="Q363">
        <v>1.1697</v>
      </c>
      <c r="R363">
        <v>10155.358794</v>
      </c>
      <c r="S363" t="s">
        <v>13</v>
      </c>
      <c r="T363">
        <v>1.0880000000000001</v>
      </c>
      <c r="U363">
        <v>9446.0377600000011</v>
      </c>
      <c r="V363">
        <v>709.32103399999869</v>
      </c>
      <c r="W363">
        <v>7.509191176470574E-2</v>
      </c>
    </row>
    <row r="364" spans="1:23" x14ac:dyDescent="0.25">
      <c r="A364" t="s">
        <v>2365</v>
      </c>
      <c r="B364" t="s">
        <v>22</v>
      </c>
      <c r="C364" t="s">
        <v>127</v>
      </c>
      <c r="D364" t="s">
        <v>31</v>
      </c>
      <c r="E364" t="s">
        <v>124</v>
      </c>
      <c r="F364" s="1">
        <v>46105</v>
      </c>
      <c r="G364">
        <v>46165</v>
      </c>
      <c r="H364" t="s">
        <v>9</v>
      </c>
      <c r="I364">
        <v>7606969.4699999997</v>
      </c>
      <c r="J364" t="s">
        <v>75</v>
      </c>
      <c r="K364" t="s">
        <v>2366</v>
      </c>
      <c r="L364">
        <v>60</v>
      </c>
      <c r="M364" t="s">
        <v>22</v>
      </c>
      <c r="N364">
        <v>1.1572</v>
      </c>
      <c r="O364">
        <v>1.3371696652453751</v>
      </c>
      <c r="P364">
        <v>6.2922081452884563E-3</v>
      </c>
      <c r="Q364">
        <v>6.2922081452884563E-3</v>
      </c>
      <c r="R364">
        <v>47864.635260094612</v>
      </c>
      <c r="S364" t="s">
        <v>16</v>
      </c>
      <c r="T364">
        <v>6.4599999999999996E-3</v>
      </c>
      <c r="U364">
        <v>49141.022776199992</v>
      </c>
      <c r="V364">
        <v>-1276.3875161053802</v>
      </c>
      <c r="W364">
        <v>-2.5973971317576259E-2</v>
      </c>
    </row>
    <row r="365" spans="1:23" x14ac:dyDescent="0.25">
      <c r="A365" t="s">
        <v>2363</v>
      </c>
      <c r="B365" t="s">
        <v>34</v>
      </c>
      <c r="C365" t="s">
        <v>177</v>
      </c>
      <c r="D365" t="s">
        <v>31</v>
      </c>
      <c r="E365" t="s">
        <v>74</v>
      </c>
      <c r="F365" s="1">
        <v>46217</v>
      </c>
      <c r="G365">
        <v>46277</v>
      </c>
      <c r="H365" t="s">
        <v>8</v>
      </c>
      <c r="I365">
        <v>18764.419999999998</v>
      </c>
      <c r="J365" t="s">
        <v>75</v>
      </c>
      <c r="K365" t="s">
        <v>2364</v>
      </c>
      <c r="L365">
        <v>60</v>
      </c>
      <c r="M365" t="s">
        <v>34</v>
      </c>
      <c r="N365">
        <v>1.1405000000000001</v>
      </c>
      <c r="O365">
        <v>1.338379393299302</v>
      </c>
      <c r="P365">
        <v>6.164531646938004E-3</v>
      </c>
      <c r="Q365">
        <v>1.338379393299302</v>
      </c>
      <c r="R365">
        <v>25113.913055213285</v>
      </c>
      <c r="S365" t="s">
        <v>21</v>
      </c>
      <c r="T365">
        <v>1.2929999999999999</v>
      </c>
      <c r="U365">
        <v>24262.395059999995</v>
      </c>
      <c r="V365">
        <v>851.5179952132894</v>
      </c>
      <c r="W365">
        <v>3.5096205181208089E-2</v>
      </c>
    </row>
    <row r="366" spans="1:23" x14ac:dyDescent="0.25">
      <c r="A366" t="s">
        <v>2361</v>
      </c>
      <c r="B366" t="s">
        <v>20</v>
      </c>
      <c r="C366" t="s">
        <v>123</v>
      </c>
      <c r="D366" t="s">
        <v>31</v>
      </c>
      <c r="E366" t="s">
        <v>124</v>
      </c>
      <c r="F366" s="1">
        <v>46202</v>
      </c>
      <c r="G366">
        <v>46247</v>
      </c>
      <c r="H366" t="s">
        <v>6</v>
      </c>
      <c r="I366">
        <v>26373.24</v>
      </c>
      <c r="J366" t="s">
        <v>75</v>
      </c>
      <c r="K366" t="s">
        <v>2362</v>
      </c>
      <c r="L366">
        <v>45</v>
      </c>
      <c r="M366" t="s">
        <v>20</v>
      </c>
      <c r="N366">
        <v>1.1406000000000001</v>
      </c>
      <c r="O366">
        <v>1.3229716406657774</v>
      </c>
      <c r="P366">
        <v>6.1780955476113102E-3</v>
      </c>
      <c r="Q366">
        <v>1.1406000000000001</v>
      </c>
      <c r="R366">
        <v>30081.317544000005</v>
      </c>
      <c r="S366" t="s">
        <v>19</v>
      </c>
      <c r="T366">
        <v>1.083</v>
      </c>
      <c r="U366">
        <v>28562.218919999999</v>
      </c>
      <c r="V366">
        <v>1519.0986240000057</v>
      </c>
      <c r="W366">
        <v>5.3185595567867235E-2</v>
      </c>
    </row>
    <row r="367" spans="1:23" x14ac:dyDescent="0.25">
      <c r="A367" t="s">
        <v>2359</v>
      </c>
      <c r="B367" t="s">
        <v>20</v>
      </c>
      <c r="C367" t="s">
        <v>123</v>
      </c>
      <c r="D367" t="s">
        <v>31</v>
      </c>
      <c r="E367" t="s">
        <v>124</v>
      </c>
      <c r="F367" s="1">
        <v>45760</v>
      </c>
      <c r="G367">
        <v>45805</v>
      </c>
      <c r="H367" t="s">
        <v>6</v>
      </c>
      <c r="I367">
        <v>43019.43</v>
      </c>
      <c r="J367" t="s">
        <v>75</v>
      </c>
      <c r="K367" t="s">
        <v>2360</v>
      </c>
      <c r="L367">
        <v>45</v>
      </c>
      <c r="M367" t="s">
        <v>20</v>
      </c>
      <c r="N367">
        <v>1.1423000000000001</v>
      </c>
      <c r="O367">
        <v>1.3568119729183989</v>
      </c>
      <c r="P367">
        <v>6.9797140413051456E-3</v>
      </c>
      <c r="Q367">
        <v>1.1423000000000001</v>
      </c>
      <c r="R367">
        <v>49141.094889000007</v>
      </c>
      <c r="S367" t="s">
        <v>12</v>
      </c>
      <c r="T367">
        <v>1.07</v>
      </c>
      <c r="U367">
        <v>46030.790100000006</v>
      </c>
      <c r="V367">
        <v>3110.3047890000016</v>
      </c>
      <c r="W367">
        <v>6.7570093457943958E-2</v>
      </c>
    </row>
    <row r="368" spans="1:23" x14ac:dyDescent="0.25">
      <c r="A368" t="s">
        <v>2357</v>
      </c>
      <c r="B368" t="s">
        <v>24</v>
      </c>
      <c r="C368" t="s">
        <v>73</v>
      </c>
      <c r="D368" t="s">
        <v>31</v>
      </c>
      <c r="E368" t="s">
        <v>74</v>
      </c>
      <c r="F368" s="1">
        <v>46079</v>
      </c>
      <c r="G368">
        <v>46109</v>
      </c>
      <c r="H368" t="s">
        <v>6</v>
      </c>
      <c r="I368">
        <v>20627.7</v>
      </c>
      <c r="J368" t="s">
        <v>75</v>
      </c>
      <c r="K368" t="s">
        <v>2358</v>
      </c>
      <c r="L368">
        <v>30</v>
      </c>
      <c r="M368" t="s">
        <v>24</v>
      </c>
      <c r="N368">
        <v>1.1814</v>
      </c>
      <c r="O368">
        <v>1.3549719004472991</v>
      </c>
      <c r="P368">
        <v>6.4077669902912618E-3</v>
      </c>
      <c r="Q368">
        <v>1.1814</v>
      </c>
      <c r="R368">
        <v>24369.564780000001</v>
      </c>
      <c r="S368" t="s">
        <v>16</v>
      </c>
      <c r="T368">
        <v>1.0649999999999999</v>
      </c>
      <c r="U368">
        <v>21968.500499999998</v>
      </c>
      <c r="V368">
        <v>2401.0642800000023</v>
      </c>
      <c r="W368">
        <v>0.10929577464788744</v>
      </c>
    </row>
    <row r="369" spans="1:23" x14ac:dyDescent="0.25">
      <c r="A369" t="s">
        <v>2355</v>
      </c>
      <c r="B369" t="s">
        <v>44</v>
      </c>
      <c r="C369" t="s">
        <v>138</v>
      </c>
      <c r="D369" t="s">
        <v>33</v>
      </c>
      <c r="E369" t="s">
        <v>88</v>
      </c>
      <c r="F369" s="1">
        <v>46118</v>
      </c>
      <c r="G369">
        <v>46163</v>
      </c>
      <c r="H369" t="s">
        <v>9</v>
      </c>
      <c r="I369">
        <v>921320.04</v>
      </c>
      <c r="J369" t="s">
        <v>75</v>
      </c>
      <c r="K369" t="s">
        <v>2356</v>
      </c>
      <c r="L369">
        <v>45</v>
      </c>
      <c r="M369" t="s">
        <v>44</v>
      </c>
      <c r="N369">
        <v>1.1525000000000001</v>
      </c>
      <c r="O369">
        <v>1.3208714886594157</v>
      </c>
      <c r="P369">
        <v>6.2656300967706864E-3</v>
      </c>
      <c r="Q369">
        <v>6.2656300967706864E-3</v>
      </c>
      <c r="R369">
        <v>5772.6505713819734</v>
      </c>
      <c r="S369" t="s">
        <v>19</v>
      </c>
      <c r="T369">
        <v>6.6E-3</v>
      </c>
      <c r="U369">
        <v>6080.7122639999998</v>
      </c>
      <c r="V369">
        <v>-308.06169261802643</v>
      </c>
      <c r="W369">
        <v>-5.0662106549895849E-2</v>
      </c>
    </row>
    <row r="370" spans="1:23" x14ac:dyDescent="0.25">
      <c r="A370" t="s">
        <v>2353</v>
      </c>
      <c r="B370" t="s">
        <v>25</v>
      </c>
      <c r="C370" t="s">
        <v>169</v>
      </c>
      <c r="D370" t="s">
        <v>31</v>
      </c>
      <c r="E370" t="s">
        <v>124</v>
      </c>
      <c r="F370" s="1">
        <v>45961</v>
      </c>
      <c r="G370">
        <v>46021</v>
      </c>
      <c r="H370" t="s">
        <v>6</v>
      </c>
      <c r="I370">
        <v>56313.23</v>
      </c>
      <c r="J370" t="s">
        <v>75</v>
      </c>
      <c r="K370" t="s">
        <v>2354</v>
      </c>
      <c r="L370">
        <v>60</v>
      </c>
      <c r="M370" t="s">
        <v>25</v>
      </c>
      <c r="N370">
        <v>1.1554</v>
      </c>
      <c r="O370">
        <v>1.3105716878402902</v>
      </c>
      <c r="P370">
        <v>6.4859099584596387E-3</v>
      </c>
      <c r="Q370">
        <v>1.1554</v>
      </c>
      <c r="R370">
        <v>65064.305942000006</v>
      </c>
      <c r="S370" t="s">
        <v>14</v>
      </c>
      <c r="T370">
        <v>1.1060000000000001</v>
      </c>
      <c r="U370">
        <v>62282.432380000006</v>
      </c>
      <c r="V370">
        <v>2781.8735620000007</v>
      </c>
      <c r="W370">
        <v>4.4665461121157331E-2</v>
      </c>
    </row>
    <row r="371" spans="1:23" x14ac:dyDescent="0.25">
      <c r="A371" t="s">
        <v>2351</v>
      </c>
      <c r="B371" t="s">
        <v>24</v>
      </c>
      <c r="C371" t="s">
        <v>73</v>
      </c>
      <c r="D371" t="s">
        <v>31</v>
      </c>
      <c r="E371" t="s">
        <v>74</v>
      </c>
      <c r="F371" s="1">
        <v>46245</v>
      </c>
      <c r="G371">
        <v>46275</v>
      </c>
      <c r="H371" t="s">
        <v>6</v>
      </c>
      <c r="I371">
        <v>14355.98</v>
      </c>
      <c r="J371" t="s">
        <v>75</v>
      </c>
      <c r="K371" t="s">
        <v>2352</v>
      </c>
      <c r="L371">
        <v>30</v>
      </c>
      <c r="M371" t="s">
        <v>24</v>
      </c>
      <c r="N371">
        <v>1.1539999999999999</v>
      </c>
      <c r="O371">
        <v>1.3499760186235858</v>
      </c>
      <c r="P371">
        <v>6.2812976268234264E-3</v>
      </c>
      <c r="Q371">
        <v>1.1539999999999999</v>
      </c>
      <c r="R371">
        <v>16566.800919999998</v>
      </c>
      <c r="S371" t="s">
        <v>21</v>
      </c>
      <c r="T371">
        <v>1.101</v>
      </c>
      <c r="U371">
        <v>15805.93398</v>
      </c>
      <c r="V371">
        <v>760.86693999999807</v>
      </c>
      <c r="W371">
        <v>4.8138056312443112E-2</v>
      </c>
    </row>
    <row r="372" spans="1:23" x14ac:dyDescent="0.25">
      <c r="A372" t="s">
        <v>2349</v>
      </c>
      <c r="B372" t="s">
        <v>30</v>
      </c>
      <c r="C372" t="s">
        <v>103</v>
      </c>
      <c r="D372" t="s">
        <v>31</v>
      </c>
      <c r="E372" t="s">
        <v>74</v>
      </c>
      <c r="F372" s="1">
        <v>46074</v>
      </c>
      <c r="G372">
        <v>46104</v>
      </c>
      <c r="H372" t="s">
        <v>9</v>
      </c>
      <c r="I372">
        <v>4053787.73</v>
      </c>
      <c r="J372" t="s">
        <v>75</v>
      </c>
      <c r="K372" t="s">
        <v>2350</v>
      </c>
      <c r="L372">
        <v>30</v>
      </c>
      <c r="M372" t="s">
        <v>30</v>
      </c>
      <c r="N372">
        <v>1.1555</v>
      </c>
      <c r="O372">
        <v>1.3367963164349013</v>
      </c>
      <c r="P372">
        <v>6.2983756677204832E-3</v>
      </c>
      <c r="Q372">
        <v>6.2983756677204832E-3</v>
      </c>
      <c r="R372">
        <v>25532.278000735852</v>
      </c>
      <c r="S372" t="s">
        <v>16</v>
      </c>
      <c r="T372">
        <v>6.4599999999999996E-3</v>
      </c>
      <c r="U372">
        <v>26187.468735799997</v>
      </c>
      <c r="V372">
        <v>-655.19073506414497</v>
      </c>
      <c r="W372">
        <v>-2.5019246482897221E-2</v>
      </c>
    </row>
    <row r="373" spans="1:23" x14ac:dyDescent="0.25">
      <c r="A373" t="s">
        <v>2347</v>
      </c>
      <c r="B373" t="s">
        <v>28</v>
      </c>
      <c r="C373" t="s">
        <v>111</v>
      </c>
      <c r="D373" t="s">
        <v>31</v>
      </c>
      <c r="E373" t="s">
        <v>74</v>
      </c>
      <c r="F373" s="1">
        <v>46060</v>
      </c>
      <c r="G373">
        <v>46105</v>
      </c>
      <c r="H373" t="s">
        <v>9</v>
      </c>
      <c r="I373">
        <v>2579912.75</v>
      </c>
      <c r="J373" t="s">
        <v>75</v>
      </c>
      <c r="K373" t="s">
        <v>2348</v>
      </c>
      <c r="L373">
        <v>45</v>
      </c>
      <c r="M373" t="s">
        <v>28</v>
      </c>
      <c r="N373">
        <v>1.1555</v>
      </c>
      <c r="O373">
        <v>1.3367963164349013</v>
      </c>
      <c r="P373">
        <v>6.2983756677204832E-3</v>
      </c>
      <c r="Q373">
        <v>6.2983756677204832E-3</v>
      </c>
      <c r="R373">
        <v>16249.259689441838</v>
      </c>
      <c r="S373" t="s">
        <v>16</v>
      </c>
      <c r="T373">
        <v>6.4599999999999996E-3</v>
      </c>
      <c r="U373">
        <v>16666.236365000001</v>
      </c>
      <c r="V373">
        <v>-416.97667555816224</v>
      </c>
      <c r="W373">
        <v>-2.5019246482897353E-2</v>
      </c>
    </row>
    <row r="374" spans="1:23" x14ac:dyDescent="0.25">
      <c r="A374" t="s">
        <v>2345</v>
      </c>
      <c r="B374" t="s">
        <v>30</v>
      </c>
      <c r="C374" t="s">
        <v>103</v>
      </c>
      <c r="D374" t="s">
        <v>31</v>
      </c>
      <c r="E374" t="s">
        <v>74</v>
      </c>
      <c r="F374" s="1">
        <v>45728</v>
      </c>
      <c r="G374">
        <v>45758</v>
      </c>
      <c r="H374" t="s">
        <v>9</v>
      </c>
      <c r="I374">
        <v>2979634.87</v>
      </c>
      <c r="J374" t="s">
        <v>75</v>
      </c>
      <c r="K374" t="s">
        <v>2346</v>
      </c>
      <c r="L374">
        <v>30</v>
      </c>
      <c r="M374" t="s">
        <v>30</v>
      </c>
      <c r="N374">
        <v>1.0886</v>
      </c>
      <c r="O374">
        <v>1.2947501129903185</v>
      </c>
      <c r="P374">
        <v>6.710226222030451E-3</v>
      </c>
      <c r="Q374">
        <v>6.710226222030451E-3</v>
      </c>
      <c r="R374">
        <v>19994.024036750296</v>
      </c>
      <c r="S374" t="s">
        <v>11</v>
      </c>
      <c r="T374">
        <v>6.5599999999999999E-3</v>
      </c>
      <c r="U374">
        <v>19546.404747200002</v>
      </c>
      <c r="V374">
        <v>447.61928955029362</v>
      </c>
      <c r="W374">
        <v>2.2900338724154094E-2</v>
      </c>
    </row>
    <row r="375" spans="1:23" x14ac:dyDescent="0.25">
      <c r="A375" t="s">
        <v>2343</v>
      </c>
      <c r="B375" t="s">
        <v>34</v>
      </c>
      <c r="C375" t="s">
        <v>177</v>
      </c>
      <c r="D375" t="s">
        <v>31</v>
      </c>
      <c r="E375" t="s">
        <v>74</v>
      </c>
      <c r="F375" s="1">
        <v>45697</v>
      </c>
      <c r="G375">
        <v>45757</v>
      </c>
      <c r="H375" t="s">
        <v>8</v>
      </c>
      <c r="I375">
        <v>26366.71</v>
      </c>
      <c r="J375" t="s">
        <v>75</v>
      </c>
      <c r="K375" t="s">
        <v>2344</v>
      </c>
      <c r="L375">
        <v>60</v>
      </c>
      <c r="M375" t="s">
        <v>34</v>
      </c>
      <c r="N375">
        <v>1.0693999999999999</v>
      </c>
      <c r="O375">
        <v>1.2807185628742515</v>
      </c>
      <c r="P375">
        <v>6.6799925042163779E-3</v>
      </c>
      <c r="Q375">
        <v>1.2807185628742515</v>
      </c>
      <c r="R375">
        <v>33768.334938922155</v>
      </c>
      <c r="S375" t="s">
        <v>11</v>
      </c>
      <c r="T375">
        <v>1.238</v>
      </c>
      <c r="U375">
        <v>32641.986979999998</v>
      </c>
      <c r="V375">
        <v>1126.347958922157</v>
      </c>
      <c r="W375">
        <v>3.4506108945275886E-2</v>
      </c>
    </row>
    <row r="376" spans="1:23" x14ac:dyDescent="0.25">
      <c r="A376" t="s">
        <v>2341</v>
      </c>
      <c r="B376" t="s">
        <v>28</v>
      </c>
      <c r="C376" t="s">
        <v>111</v>
      </c>
      <c r="D376" t="s">
        <v>31</v>
      </c>
      <c r="E376" t="s">
        <v>74</v>
      </c>
      <c r="F376" s="1">
        <v>46189</v>
      </c>
      <c r="G376">
        <v>46234</v>
      </c>
      <c r="H376" t="s">
        <v>9</v>
      </c>
      <c r="I376">
        <v>3311704.8</v>
      </c>
      <c r="J376" t="s">
        <v>75</v>
      </c>
      <c r="K376" t="s">
        <v>2342</v>
      </c>
      <c r="L376">
        <v>45</v>
      </c>
      <c r="M376" t="s">
        <v>28</v>
      </c>
      <c r="N376">
        <v>1.1594</v>
      </c>
      <c r="O376">
        <v>1.3407963363439765</v>
      </c>
      <c r="P376">
        <v>6.2353447348607082E-3</v>
      </c>
      <c r="Q376">
        <v>6.2353447348607082E-3</v>
      </c>
      <c r="R376">
        <v>20649.621088092932</v>
      </c>
      <c r="S376" t="s">
        <v>19</v>
      </c>
      <c r="T376">
        <v>6.6E-3</v>
      </c>
      <c r="U376">
        <v>21857.251679999998</v>
      </c>
      <c r="V376">
        <v>-1207.6305919070655</v>
      </c>
      <c r="W376">
        <v>-5.5250797748377559E-2</v>
      </c>
    </row>
    <row r="377" spans="1:23" x14ac:dyDescent="0.25">
      <c r="A377" t="s">
        <v>2339</v>
      </c>
      <c r="B377" t="s">
        <v>20</v>
      </c>
      <c r="C377" t="s">
        <v>123</v>
      </c>
      <c r="D377" t="s">
        <v>31</v>
      </c>
      <c r="E377" t="s">
        <v>124</v>
      </c>
      <c r="F377" s="1">
        <v>45897</v>
      </c>
      <c r="G377">
        <v>45942</v>
      </c>
      <c r="H377" t="s">
        <v>6</v>
      </c>
      <c r="I377">
        <v>48469.599999999999</v>
      </c>
      <c r="J377" t="s">
        <v>75</v>
      </c>
      <c r="K377" t="s">
        <v>2340</v>
      </c>
      <c r="L377">
        <v>45</v>
      </c>
      <c r="M377" t="s">
        <v>20</v>
      </c>
      <c r="N377">
        <v>1.1676</v>
      </c>
      <c r="O377">
        <v>1.3518582841264328</v>
      </c>
      <c r="P377">
        <v>6.8089573128061586E-3</v>
      </c>
      <c r="Q377">
        <v>1.1676</v>
      </c>
      <c r="R377">
        <v>56593.104959999997</v>
      </c>
      <c r="S377" t="s">
        <v>13</v>
      </c>
      <c r="T377">
        <v>1.0880000000000001</v>
      </c>
      <c r="U377">
        <v>52734.924800000001</v>
      </c>
      <c r="V377">
        <v>3858.1801599999962</v>
      </c>
      <c r="W377">
        <v>7.3161764705882287E-2</v>
      </c>
    </row>
    <row r="378" spans="1:23" x14ac:dyDescent="0.25">
      <c r="A378" t="s">
        <v>2337</v>
      </c>
      <c r="B378" t="s">
        <v>25</v>
      </c>
      <c r="C378" t="s">
        <v>169</v>
      </c>
      <c r="D378" t="s">
        <v>31</v>
      </c>
      <c r="E378" t="s">
        <v>124</v>
      </c>
      <c r="F378" s="1">
        <v>45720</v>
      </c>
      <c r="G378">
        <v>45780</v>
      </c>
      <c r="H378" t="s">
        <v>6</v>
      </c>
      <c r="I378">
        <v>72076.11</v>
      </c>
      <c r="J378" t="s">
        <v>75</v>
      </c>
      <c r="K378" t="s">
        <v>2338</v>
      </c>
      <c r="L378">
        <v>60</v>
      </c>
      <c r="M378" t="s">
        <v>25</v>
      </c>
      <c r="N378">
        <v>1.0557000000000001</v>
      </c>
      <c r="O378">
        <v>1.2751848093926659</v>
      </c>
      <c r="P378">
        <v>6.7456869009584666E-3</v>
      </c>
      <c r="Q378">
        <v>1.0557000000000001</v>
      </c>
      <c r="R378">
        <v>76090.749327000012</v>
      </c>
      <c r="S378" t="s">
        <v>11</v>
      </c>
      <c r="T378">
        <v>1.052</v>
      </c>
      <c r="U378">
        <v>75824.067720000006</v>
      </c>
      <c r="V378">
        <v>266.6816070000059</v>
      </c>
      <c r="W378">
        <v>3.5171102661597734E-3</v>
      </c>
    </row>
    <row r="379" spans="1:23" x14ac:dyDescent="0.25">
      <c r="A379" t="s">
        <v>2335</v>
      </c>
      <c r="B379" t="s">
        <v>36</v>
      </c>
      <c r="C379" t="s">
        <v>116</v>
      </c>
      <c r="D379" t="s">
        <v>31</v>
      </c>
      <c r="E379" t="s">
        <v>74</v>
      </c>
      <c r="F379" s="1">
        <v>46074</v>
      </c>
      <c r="G379">
        <v>46119</v>
      </c>
      <c r="H379" t="s">
        <v>6</v>
      </c>
      <c r="I379">
        <v>20317.27</v>
      </c>
      <c r="J379" t="s">
        <v>75</v>
      </c>
      <c r="K379" t="s">
        <v>2336</v>
      </c>
      <c r="L379">
        <v>45</v>
      </c>
      <c r="M379" t="s">
        <v>36</v>
      </c>
      <c r="N379">
        <v>1.1555</v>
      </c>
      <c r="O379">
        <v>1.3367963164349013</v>
      </c>
      <c r="P379">
        <v>6.2983756677204832E-3</v>
      </c>
      <c r="Q379">
        <v>1.1555</v>
      </c>
      <c r="R379">
        <v>23476.605485</v>
      </c>
      <c r="S379" t="s">
        <v>16</v>
      </c>
      <c r="T379">
        <v>1.0649999999999999</v>
      </c>
      <c r="U379">
        <v>21637.89255</v>
      </c>
      <c r="V379">
        <v>1838.7129349999996</v>
      </c>
      <c r="W379">
        <v>8.4976525821596219E-2</v>
      </c>
    </row>
    <row r="380" spans="1:23" x14ac:dyDescent="0.25">
      <c r="A380" t="s">
        <v>2333</v>
      </c>
      <c r="B380" t="s">
        <v>36</v>
      </c>
      <c r="C380" t="s">
        <v>116</v>
      </c>
      <c r="D380" t="s">
        <v>31</v>
      </c>
      <c r="E380" t="s">
        <v>74</v>
      </c>
      <c r="F380" s="1">
        <v>45658</v>
      </c>
      <c r="G380">
        <v>45703</v>
      </c>
      <c r="H380" t="s">
        <v>6</v>
      </c>
      <c r="I380">
        <v>7531.09</v>
      </c>
      <c r="J380" t="s">
        <v>75</v>
      </c>
      <c r="K380" t="s">
        <v>2334</v>
      </c>
      <c r="L380">
        <v>45</v>
      </c>
      <c r="M380" t="s">
        <v>36</v>
      </c>
      <c r="N380">
        <v>1.0305</v>
      </c>
      <c r="O380">
        <v>1.2295962199312713</v>
      </c>
      <c r="P380">
        <v>6.339197834645669E-3</v>
      </c>
      <c r="Q380">
        <v>1.0305</v>
      </c>
      <c r="R380">
        <v>7760.7882449999997</v>
      </c>
      <c r="S380" t="s">
        <v>11</v>
      </c>
      <c r="T380">
        <v>1.052</v>
      </c>
      <c r="U380">
        <v>7922.7066800000002</v>
      </c>
      <c r="V380">
        <v>-161.9184350000005</v>
      </c>
      <c r="W380">
        <v>-2.0437262357414512E-2</v>
      </c>
    </row>
    <row r="381" spans="1:23" x14ac:dyDescent="0.25">
      <c r="A381" t="s">
        <v>2331</v>
      </c>
      <c r="B381" t="s">
        <v>38</v>
      </c>
      <c r="C381" t="s">
        <v>87</v>
      </c>
      <c r="D381" t="s">
        <v>33</v>
      </c>
      <c r="E381" t="s">
        <v>88</v>
      </c>
      <c r="F381" s="1">
        <v>46191</v>
      </c>
      <c r="G381">
        <v>46221</v>
      </c>
      <c r="H381" t="s">
        <v>6</v>
      </c>
      <c r="I381">
        <v>2865.3</v>
      </c>
      <c r="J381" t="s">
        <v>75</v>
      </c>
      <c r="K381" t="s">
        <v>2332</v>
      </c>
      <c r="L381">
        <v>30</v>
      </c>
      <c r="M381" t="s">
        <v>38</v>
      </c>
      <c r="N381">
        <v>1.1460999999999999</v>
      </c>
      <c r="O381">
        <v>1.3228606385188946</v>
      </c>
      <c r="P381">
        <v>6.2139449143352845E-3</v>
      </c>
      <c r="Q381">
        <v>1.1460999999999999</v>
      </c>
      <c r="R381">
        <v>3283.9203299999999</v>
      </c>
      <c r="S381" t="s">
        <v>19</v>
      </c>
      <c r="T381">
        <v>1.083</v>
      </c>
      <c r="U381">
        <v>3103.1199000000001</v>
      </c>
      <c r="V381">
        <v>180.80042999999978</v>
      </c>
      <c r="W381">
        <v>5.8264081255770934E-2</v>
      </c>
    </row>
    <row r="382" spans="1:23" x14ac:dyDescent="0.25">
      <c r="A382" t="s">
        <v>2329</v>
      </c>
      <c r="B382" t="s">
        <v>28</v>
      </c>
      <c r="C382" t="s">
        <v>111</v>
      </c>
      <c r="D382" t="s">
        <v>31</v>
      </c>
      <c r="E382" t="s">
        <v>74</v>
      </c>
      <c r="F382" s="1">
        <v>46281</v>
      </c>
      <c r="G382">
        <v>46326</v>
      </c>
      <c r="H382" t="s">
        <v>9</v>
      </c>
      <c r="I382">
        <v>4180541.17</v>
      </c>
      <c r="J382" t="s">
        <v>75</v>
      </c>
      <c r="K382" t="s">
        <v>2330</v>
      </c>
      <c r="L382">
        <v>45</v>
      </c>
      <c r="M382" t="s">
        <v>28</v>
      </c>
      <c r="N382">
        <v>1.1536999999999999</v>
      </c>
      <c r="O382">
        <v>1.3455796594355025</v>
      </c>
      <c r="P382">
        <v>6.4495751341681574E-3</v>
      </c>
      <c r="Q382">
        <v>6.4495751341681574E-3</v>
      </c>
      <c r="R382">
        <v>26962.714377398257</v>
      </c>
      <c r="S382" t="s">
        <v>21</v>
      </c>
      <c r="T382">
        <v>6.7400000000000003E-3</v>
      </c>
      <c r="U382">
        <v>28176.847485800001</v>
      </c>
      <c r="V382">
        <v>-1214.1331084017438</v>
      </c>
      <c r="W382">
        <v>-4.3089742705021139E-2</v>
      </c>
    </row>
    <row r="383" spans="1:23" x14ac:dyDescent="0.25">
      <c r="A383" t="s">
        <v>2327</v>
      </c>
      <c r="B383" t="s">
        <v>40</v>
      </c>
      <c r="C383" t="s">
        <v>78</v>
      </c>
      <c r="D383" t="s">
        <v>33</v>
      </c>
      <c r="E383" t="s">
        <v>79</v>
      </c>
      <c r="F383" s="1">
        <v>45815</v>
      </c>
      <c r="G383">
        <v>45845</v>
      </c>
      <c r="H383" t="s">
        <v>9</v>
      </c>
      <c r="I383">
        <v>1137613.81</v>
      </c>
      <c r="J383" t="s">
        <v>75</v>
      </c>
      <c r="K383" t="s">
        <v>2328</v>
      </c>
      <c r="L383">
        <v>30</v>
      </c>
      <c r="M383" t="s">
        <v>40</v>
      </c>
      <c r="N383">
        <v>1.1638999999999999</v>
      </c>
      <c r="O383">
        <v>1.3449272012941993</v>
      </c>
      <c r="P383">
        <v>6.7633215178104474E-3</v>
      </c>
      <c r="Q383">
        <v>6.7633215178104474E-3</v>
      </c>
      <c r="R383">
        <v>7694.0479601313264</v>
      </c>
      <c r="S383" t="s">
        <v>12</v>
      </c>
      <c r="T383">
        <v>6.7000000000000002E-3</v>
      </c>
      <c r="U383">
        <v>7622.0125270000008</v>
      </c>
      <c r="V383">
        <v>72.03543313132559</v>
      </c>
      <c r="W383">
        <v>9.4509728075294185E-3</v>
      </c>
    </row>
    <row r="384" spans="1:23" x14ac:dyDescent="0.25">
      <c r="A384" t="s">
        <v>2325</v>
      </c>
      <c r="B384" t="s">
        <v>41</v>
      </c>
      <c r="C384" t="s">
        <v>172</v>
      </c>
      <c r="D384" t="s">
        <v>33</v>
      </c>
      <c r="E384" t="s">
        <v>83</v>
      </c>
      <c r="F384" s="1">
        <v>46181</v>
      </c>
      <c r="G384">
        <v>46211</v>
      </c>
      <c r="H384" t="s">
        <v>9</v>
      </c>
      <c r="I384">
        <v>1184154.79</v>
      </c>
      <c r="J384" t="s">
        <v>75</v>
      </c>
      <c r="K384" t="s">
        <v>2326</v>
      </c>
      <c r="L384">
        <v>30</v>
      </c>
      <c r="M384" t="s">
        <v>41</v>
      </c>
      <c r="N384">
        <v>1.1539999999999999</v>
      </c>
      <c r="O384">
        <v>1.3362667901806391</v>
      </c>
      <c r="P384">
        <v>6.2513542795232932E-3</v>
      </c>
      <c r="Q384">
        <v>6.2513542795232932E-3</v>
      </c>
      <c r="R384">
        <v>7402.5711140845069</v>
      </c>
      <c r="S384" t="s">
        <v>19</v>
      </c>
      <c r="T384">
        <v>6.6E-3</v>
      </c>
      <c r="U384">
        <v>7815.4216139999999</v>
      </c>
      <c r="V384">
        <v>-412.85049991549295</v>
      </c>
      <c r="W384">
        <v>-5.2825109163137332E-2</v>
      </c>
    </row>
    <row r="385" spans="1:23" x14ac:dyDescent="0.25">
      <c r="A385" t="s">
        <v>2323</v>
      </c>
      <c r="B385" t="s">
        <v>32</v>
      </c>
      <c r="C385" t="s">
        <v>106</v>
      </c>
      <c r="D385" t="s">
        <v>31</v>
      </c>
      <c r="E385" t="s">
        <v>74</v>
      </c>
      <c r="F385" s="1">
        <v>45670</v>
      </c>
      <c r="G385">
        <v>45700</v>
      </c>
      <c r="H385" t="s">
        <v>6</v>
      </c>
      <c r="I385">
        <v>23070.03</v>
      </c>
      <c r="J385" t="s">
        <v>75</v>
      </c>
      <c r="K385" t="s">
        <v>2324</v>
      </c>
      <c r="L385">
        <v>30</v>
      </c>
      <c r="M385" t="s">
        <v>32</v>
      </c>
      <c r="N385">
        <v>1.0198</v>
      </c>
      <c r="O385">
        <v>1.2117395437262357</v>
      </c>
      <c r="P385">
        <v>6.3649981275745856E-3</v>
      </c>
      <c r="Q385">
        <v>1.0198</v>
      </c>
      <c r="R385">
        <v>23526.816594</v>
      </c>
      <c r="S385" t="s">
        <v>11</v>
      </c>
      <c r="T385">
        <v>1.052</v>
      </c>
      <c r="U385">
        <v>24269.671559999999</v>
      </c>
      <c r="V385">
        <v>-742.85496599999897</v>
      </c>
      <c r="W385">
        <v>-3.0608365019011367E-2</v>
      </c>
    </row>
    <row r="386" spans="1:23" x14ac:dyDescent="0.25">
      <c r="A386" t="s">
        <v>2321</v>
      </c>
      <c r="B386" t="s">
        <v>38</v>
      </c>
      <c r="C386" t="s">
        <v>87</v>
      </c>
      <c r="D386" t="s">
        <v>33</v>
      </c>
      <c r="E386" t="s">
        <v>88</v>
      </c>
      <c r="F386" s="1">
        <v>45884</v>
      </c>
      <c r="G386">
        <v>45914</v>
      </c>
      <c r="H386" t="s">
        <v>6</v>
      </c>
      <c r="I386">
        <v>6436.26</v>
      </c>
      <c r="J386" t="s">
        <v>75</v>
      </c>
      <c r="K386" t="s">
        <v>2322</v>
      </c>
      <c r="L386">
        <v>30</v>
      </c>
      <c r="M386" t="s">
        <v>38</v>
      </c>
      <c r="N386">
        <v>1.1688000000000001</v>
      </c>
      <c r="O386">
        <v>1.3556019485038275</v>
      </c>
      <c r="P386">
        <v>6.8028636284267509E-3</v>
      </c>
      <c r="Q386">
        <v>1.1688000000000001</v>
      </c>
      <c r="R386">
        <v>7522.7006880000008</v>
      </c>
      <c r="S386" t="s">
        <v>13</v>
      </c>
      <c r="T386">
        <v>1.0880000000000001</v>
      </c>
      <c r="U386">
        <v>7002.6508800000011</v>
      </c>
      <c r="V386">
        <v>520.04980799999976</v>
      </c>
      <c r="W386">
        <v>7.4264705882352899E-2</v>
      </c>
    </row>
    <row r="387" spans="1:23" x14ac:dyDescent="0.25">
      <c r="A387" t="s">
        <v>2319</v>
      </c>
      <c r="B387" t="s">
        <v>30</v>
      </c>
      <c r="C387" t="s">
        <v>103</v>
      </c>
      <c r="D387" t="s">
        <v>31</v>
      </c>
      <c r="E387" t="s">
        <v>74</v>
      </c>
      <c r="F387" s="1">
        <v>45836</v>
      </c>
      <c r="G387">
        <v>45866</v>
      </c>
      <c r="H387" t="s">
        <v>9</v>
      </c>
      <c r="I387">
        <v>893675.39</v>
      </c>
      <c r="J387" t="s">
        <v>75</v>
      </c>
      <c r="K387" t="s">
        <v>2320</v>
      </c>
      <c r="L387">
        <v>30</v>
      </c>
      <c r="M387" t="s">
        <v>30</v>
      </c>
      <c r="N387">
        <v>1.1736</v>
      </c>
      <c r="O387">
        <v>1.3477262287551677</v>
      </c>
      <c r="P387">
        <v>6.7529777317452098E-3</v>
      </c>
      <c r="Q387">
        <v>6.7529777317452098E-3</v>
      </c>
      <c r="R387">
        <v>6034.9700080787161</v>
      </c>
      <c r="S387" t="s">
        <v>12</v>
      </c>
      <c r="T387">
        <v>6.7000000000000002E-3</v>
      </c>
      <c r="U387">
        <v>5987.6251130000001</v>
      </c>
      <c r="V387">
        <v>47.344895078716036</v>
      </c>
      <c r="W387">
        <v>7.9071241410761366E-3</v>
      </c>
    </row>
    <row r="388" spans="1:23" x14ac:dyDescent="0.25">
      <c r="A388" t="s">
        <v>2317</v>
      </c>
      <c r="B388" t="s">
        <v>36</v>
      </c>
      <c r="C388" t="s">
        <v>116</v>
      </c>
      <c r="D388" t="s">
        <v>31</v>
      </c>
      <c r="E388" t="s">
        <v>74</v>
      </c>
      <c r="F388" s="1">
        <v>45748</v>
      </c>
      <c r="G388">
        <v>45793</v>
      </c>
      <c r="H388" t="s">
        <v>6</v>
      </c>
      <c r="I388">
        <v>19757.57</v>
      </c>
      <c r="J388" t="s">
        <v>75</v>
      </c>
      <c r="K388" t="s">
        <v>2318</v>
      </c>
      <c r="L388">
        <v>45</v>
      </c>
      <c r="M388" t="s">
        <v>36</v>
      </c>
      <c r="N388">
        <v>1.0788</v>
      </c>
      <c r="O388">
        <v>1.2894280762564991</v>
      </c>
      <c r="P388">
        <v>6.7035356987510094E-3</v>
      </c>
      <c r="Q388">
        <v>1.0788</v>
      </c>
      <c r="R388">
        <v>21314.466516</v>
      </c>
      <c r="S388" t="s">
        <v>12</v>
      </c>
      <c r="T388">
        <v>1.07</v>
      </c>
      <c r="U388">
        <v>21140.599900000001</v>
      </c>
      <c r="V388">
        <v>173.86661599999934</v>
      </c>
      <c r="W388">
        <v>8.2242990654205293E-3</v>
      </c>
    </row>
    <row r="389" spans="1:23" x14ac:dyDescent="0.25">
      <c r="A389" t="s">
        <v>2315</v>
      </c>
      <c r="B389" t="s">
        <v>42</v>
      </c>
      <c r="C389" t="s">
        <v>151</v>
      </c>
      <c r="D389" t="s">
        <v>35</v>
      </c>
      <c r="E389" t="s">
        <v>152</v>
      </c>
      <c r="F389" s="1">
        <v>46370</v>
      </c>
      <c r="G389">
        <v>46400</v>
      </c>
      <c r="H389" t="s">
        <v>8</v>
      </c>
      <c r="I389">
        <v>4409.18</v>
      </c>
      <c r="J389" t="s">
        <v>84</v>
      </c>
      <c r="K389" t="s">
        <v>2316</v>
      </c>
      <c r="L389">
        <v>30</v>
      </c>
      <c r="M389" t="s">
        <v>42</v>
      </c>
      <c r="N389">
        <v>1.1176999999999999</v>
      </c>
      <c r="O389">
        <v>1.320456022210408</v>
      </c>
      <c r="P389">
        <v>6.3200452360757699E-3</v>
      </c>
      <c r="Q389">
        <v>1.320456022210408</v>
      </c>
      <c r="R389">
        <v>5822.1282840096874</v>
      </c>
      <c r="S389" t="s">
        <v>23</v>
      </c>
      <c r="T389">
        <v>1.3149999999999999</v>
      </c>
      <c r="U389">
        <v>5798.0717000000004</v>
      </c>
      <c r="V389">
        <v>24.056584009686958</v>
      </c>
      <c r="W389">
        <v>4.1490663197019375E-3</v>
      </c>
    </row>
    <row r="390" spans="1:23" x14ac:dyDescent="0.25">
      <c r="A390" t="s">
        <v>2313</v>
      </c>
      <c r="B390" t="s">
        <v>34</v>
      </c>
      <c r="C390" t="s">
        <v>177</v>
      </c>
      <c r="D390" t="s">
        <v>31</v>
      </c>
      <c r="E390" t="s">
        <v>74</v>
      </c>
      <c r="F390" s="1">
        <v>45889</v>
      </c>
      <c r="G390">
        <v>45949</v>
      </c>
      <c r="H390" t="s">
        <v>8</v>
      </c>
      <c r="I390">
        <v>21259.56</v>
      </c>
      <c r="J390" t="s">
        <v>75</v>
      </c>
      <c r="K390" t="s">
        <v>2314</v>
      </c>
      <c r="L390">
        <v>60</v>
      </c>
      <c r="M390" t="s">
        <v>34</v>
      </c>
      <c r="N390">
        <v>1.1651</v>
      </c>
      <c r="O390">
        <v>1.3477154424522846</v>
      </c>
      <c r="P390">
        <v>6.7829073761425159E-3</v>
      </c>
      <c r="Q390">
        <v>1.3477154424522846</v>
      </c>
      <c r="R390">
        <v>28651.837311740892</v>
      </c>
      <c r="S390" t="s">
        <v>13</v>
      </c>
      <c r="T390">
        <v>1.282</v>
      </c>
      <c r="U390">
        <v>27254.755920000003</v>
      </c>
      <c r="V390">
        <v>1397.0813917408886</v>
      </c>
      <c r="W390">
        <v>5.1260095516602537E-2</v>
      </c>
    </row>
    <row r="391" spans="1:23" x14ac:dyDescent="0.25">
      <c r="A391" t="s">
        <v>2311</v>
      </c>
      <c r="B391" t="s">
        <v>32</v>
      </c>
      <c r="C391" t="s">
        <v>106</v>
      </c>
      <c r="D391" t="s">
        <v>31</v>
      </c>
      <c r="E391" t="s">
        <v>74</v>
      </c>
      <c r="F391" s="1">
        <v>46290</v>
      </c>
      <c r="G391">
        <v>46320</v>
      </c>
      <c r="H391" t="s">
        <v>6</v>
      </c>
      <c r="I391">
        <v>6178.78</v>
      </c>
      <c r="J391" t="s">
        <v>75</v>
      </c>
      <c r="K391" t="s">
        <v>2312</v>
      </c>
      <c r="L391">
        <v>30</v>
      </c>
      <c r="M391" t="s">
        <v>32</v>
      </c>
      <c r="N391">
        <v>1.1403000000000001</v>
      </c>
      <c r="O391">
        <v>1.3252367947004475</v>
      </c>
      <c r="P391">
        <v>6.3455759599332232E-3</v>
      </c>
      <c r="Q391">
        <v>1.1403000000000001</v>
      </c>
      <c r="R391">
        <v>7045.6628340000007</v>
      </c>
      <c r="S391" t="s">
        <v>21</v>
      </c>
      <c r="T391">
        <v>1.101</v>
      </c>
      <c r="U391">
        <v>6802.8367799999996</v>
      </c>
      <c r="V391">
        <v>242.82605400000102</v>
      </c>
      <c r="W391">
        <v>3.5694822888283531E-2</v>
      </c>
    </row>
    <row r="392" spans="1:23" x14ac:dyDescent="0.25">
      <c r="A392" t="s">
        <v>2309</v>
      </c>
      <c r="B392" t="s">
        <v>25</v>
      </c>
      <c r="C392" t="s">
        <v>169</v>
      </c>
      <c r="D392" t="s">
        <v>31</v>
      </c>
      <c r="E392" t="s">
        <v>124</v>
      </c>
      <c r="F392" s="1">
        <v>45989</v>
      </c>
      <c r="G392">
        <v>46049</v>
      </c>
      <c r="H392" t="s">
        <v>6</v>
      </c>
      <c r="I392">
        <v>35268.660000000003</v>
      </c>
      <c r="J392" t="s">
        <v>75</v>
      </c>
      <c r="K392" t="s">
        <v>2310</v>
      </c>
      <c r="L392">
        <v>60</v>
      </c>
      <c r="M392" t="s">
        <v>25</v>
      </c>
      <c r="N392">
        <v>1.1566000000000001</v>
      </c>
      <c r="O392">
        <v>1.3215265082266912</v>
      </c>
      <c r="P392">
        <v>6.405272193609127E-3</v>
      </c>
      <c r="Q392">
        <v>1.1566000000000001</v>
      </c>
      <c r="R392">
        <v>40791.732156000005</v>
      </c>
      <c r="S392" t="s">
        <v>14</v>
      </c>
      <c r="T392">
        <v>1.1060000000000001</v>
      </c>
      <c r="U392">
        <v>39007.137960000007</v>
      </c>
      <c r="V392">
        <v>1784.5941959999982</v>
      </c>
      <c r="W392">
        <v>4.5750452079565948E-2</v>
      </c>
    </row>
    <row r="393" spans="1:23" x14ac:dyDescent="0.25">
      <c r="A393" t="s">
        <v>2307</v>
      </c>
      <c r="B393" t="s">
        <v>44</v>
      </c>
      <c r="C393" t="s">
        <v>138</v>
      </c>
      <c r="D393" t="s">
        <v>33</v>
      </c>
      <c r="E393" t="s">
        <v>88</v>
      </c>
      <c r="F393" s="1">
        <v>45925</v>
      </c>
      <c r="G393">
        <v>45970</v>
      </c>
      <c r="H393" t="s">
        <v>9</v>
      </c>
      <c r="I393">
        <v>459687.84</v>
      </c>
      <c r="J393" t="s">
        <v>75</v>
      </c>
      <c r="K393" t="s">
        <v>2308</v>
      </c>
      <c r="L393">
        <v>45</v>
      </c>
      <c r="M393" t="s">
        <v>44</v>
      </c>
      <c r="N393">
        <v>1.1738999999999999</v>
      </c>
      <c r="O393">
        <v>1.3419067215363512</v>
      </c>
      <c r="P393">
        <v>6.7195191757298224E-3</v>
      </c>
      <c r="Q393">
        <v>6.7195191757298224E-3</v>
      </c>
      <c r="R393">
        <v>3088.8812557298224</v>
      </c>
      <c r="S393" t="s">
        <v>13</v>
      </c>
      <c r="T393">
        <v>6.8399999999999997E-3</v>
      </c>
      <c r="U393">
        <v>3144.2648256000002</v>
      </c>
      <c r="V393">
        <v>-55.38356987017778</v>
      </c>
      <c r="W393">
        <v>-1.7614155595055286E-2</v>
      </c>
    </row>
    <row r="394" spans="1:23" x14ac:dyDescent="0.25">
      <c r="A394" t="s">
        <v>2305</v>
      </c>
      <c r="B394" t="s">
        <v>41</v>
      </c>
      <c r="C394" t="s">
        <v>172</v>
      </c>
      <c r="D394" t="s">
        <v>33</v>
      </c>
      <c r="E394" t="s">
        <v>83</v>
      </c>
      <c r="F394" s="1">
        <v>46245</v>
      </c>
      <c r="G394">
        <v>46275</v>
      </c>
      <c r="H394" t="s">
        <v>9</v>
      </c>
      <c r="I394">
        <v>312794.33</v>
      </c>
      <c r="J394" t="s">
        <v>75</v>
      </c>
      <c r="K394" t="s">
        <v>2306</v>
      </c>
      <c r="L394">
        <v>30</v>
      </c>
      <c r="M394" t="s">
        <v>41</v>
      </c>
      <c r="N394">
        <v>1.1539999999999999</v>
      </c>
      <c r="O394">
        <v>1.3499760186235858</v>
      </c>
      <c r="P394">
        <v>6.2812976268234264E-3</v>
      </c>
      <c r="Q394">
        <v>6.2812976268234264E-3</v>
      </c>
      <c r="R394">
        <v>1964.7542827128239</v>
      </c>
      <c r="S394" t="s">
        <v>21</v>
      </c>
      <c r="T394">
        <v>6.7400000000000003E-3</v>
      </c>
      <c r="U394">
        <v>2108.2337842000002</v>
      </c>
      <c r="V394">
        <v>-143.47950148717632</v>
      </c>
      <c r="W394">
        <v>-6.8056731925307659E-2</v>
      </c>
    </row>
    <row r="395" spans="1:23" x14ac:dyDescent="0.25">
      <c r="A395" t="s">
        <v>2303</v>
      </c>
      <c r="B395" t="s">
        <v>22</v>
      </c>
      <c r="C395" t="s">
        <v>127</v>
      </c>
      <c r="D395" t="s">
        <v>31</v>
      </c>
      <c r="E395" t="s">
        <v>124</v>
      </c>
      <c r="F395" s="1">
        <v>45954</v>
      </c>
      <c r="G395">
        <v>46014</v>
      </c>
      <c r="H395" t="s">
        <v>9</v>
      </c>
      <c r="I395">
        <v>1645560.08</v>
      </c>
      <c r="J395" t="s">
        <v>75</v>
      </c>
      <c r="K395" t="s">
        <v>2304</v>
      </c>
      <c r="L395">
        <v>60</v>
      </c>
      <c r="M395" t="s">
        <v>22</v>
      </c>
      <c r="N395">
        <v>1.1612</v>
      </c>
      <c r="O395">
        <v>1.3307357322942928</v>
      </c>
      <c r="P395">
        <v>6.5401295409743734E-3</v>
      </c>
      <c r="Q395">
        <v>6.5401295409743734E-3</v>
      </c>
      <c r="R395">
        <v>10762.176090656154</v>
      </c>
      <c r="S395" t="s">
        <v>14</v>
      </c>
      <c r="T395">
        <v>6.9800000000000001E-3</v>
      </c>
      <c r="U395">
        <v>11486.009358400001</v>
      </c>
      <c r="V395">
        <v>-723.83326774384659</v>
      </c>
      <c r="W395">
        <v>-6.3018690404817543E-2</v>
      </c>
    </row>
    <row r="396" spans="1:23" x14ac:dyDescent="0.25">
      <c r="A396" t="s">
        <v>2301</v>
      </c>
      <c r="B396" t="s">
        <v>41</v>
      </c>
      <c r="C396" t="s">
        <v>172</v>
      </c>
      <c r="D396" t="s">
        <v>33</v>
      </c>
      <c r="E396" t="s">
        <v>83</v>
      </c>
      <c r="F396" s="1">
        <v>45844</v>
      </c>
      <c r="G396">
        <v>45874</v>
      </c>
      <c r="H396" t="s">
        <v>9</v>
      </c>
      <c r="I396">
        <v>3090945.32</v>
      </c>
      <c r="J396" t="s">
        <v>75</v>
      </c>
      <c r="K396" t="s">
        <v>2302</v>
      </c>
      <c r="L396">
        <v>30</v>
      </c>
      <c r="M396" t="s">
        <v>41</v>
      </c>
      <c r="N396">
        <v>1.1724000000000001</v>
      </c>
      <c r="O396">
        <v>1.3469669117647061</v>
      </c>
      <c r="P396">
        <v>6.7977039485127852E-3</v>
      </c>
      <c r="Q396">
        <v>6.7977039485127852E-3</v>
      </c>
      <c r="R396">
        <v>21011.331206401112</v>
      </c>
      <c r="S396" t="s">
        <v>13</v>
      </c>
      <c r="T396">
        <v>6.8399999999999997E-3</v>
      </c>
      <c r="U396">
        <v>21142.065988799997</v>
      </c>
      <c r="V396">
        <v>-130.73478239888573</v>
      </c>
      <c r="W396">
        <v>-6.1836332583647428E-3</v>
      </c>
    </row>
    <row r="397" spans="1:23" x14ac:dyDescent="0.25">
      <c r="A397" t="s">
        <v>2299</v>
      </c>
      <c r="B397" t="s">
        <v>24</v>
      </c>
      <c r="C397" t="s">
        <v>73</v>
      </c>
      <c r="D397" t="s">
        <v>31</v>
      </c>
      <c r="E397" t="s">
        <v>74</v>
      </c>
      <c r="F397" s="1">
        <v>45986</v>
      </c>
      <c r="G397">
        <v>46016</v>
      </c>
      <c r="H397" t="s">
        <v>6</v>
      </c>
      <c r="I397">
        <v>19596.22</v>
      </c>
      <c r="J397" t="s">
        <v>75</v>
      </c>
      <c r="K397" t="s">
        <v>2300</v>
      </c>
      <c r="L397">
        <v>30</v>
      </c>
      <c r="M397" t="s">
        <v>24</v>
      </c>
      <c r="N397">
        <v>1.1551</v>
      </c>
      <c r="O397">
        <v>1.3144060081929905</v>
      </c>
      <c r="P397">
        <v>6.4022835605808672E-3</v>
      </c>
      <c r="Q397">
        <v>1.1551</v>
      </c>
      <c r="R397">
        <v>22635.593722000001</v>
      </c>
      <c r="S397" t="s">
        <v>14</v>
      </c>
      <c r="T397">
        <v>1.1060000000000001</v>
      </c>
      <c r="U397">
        <v>21673.419320000005</v>
      </c>
      <c r="V397">
        <v>962.17440199999692</v>
      </c>
      <c r="W397">
        <v>4.4394213381555005E-2</v>
      </c>
    </row>
    <row r="398" spans="1:23" x14ac:dyDescent="0.25">
      <c r="A398" t="s">
        <v>2297</v>
      </c>
      <c r="B398" t="s">
        <v>20</v>
      </c>
      <c r="C398" t="s">
        <v>123</v>
      </c>
      <c r="D398" t="s">
        <v>31</v>
      </c>
      <c r="E398" t="s">
        <v>124</v>
      </c>
      <c r="F398" s="1">
        <v>46292</v>
      </c>
      <c r="G398">
        <v>46337</v>
      </c>
      <c r="H398" t="s">
        <v>6</v>
      </c>
      <c r="I398">
        <v>30660.400000000001</v>
      </c>
      <c r="J398" t="s">
        <v>75</v>
      </c>
      <c r="K398" t="s">
        <v>2298</v>
      </c>
      <c r="L398">
        <v>45</v>
      </c>
      <c r="M398" t="s">
        <v>20</v>
      </c>
      <c r="N398">
        <v>1.1403000000000001</v>
      </c>
      <c r="O398">
        <v>1.3252367947004475</v>
      </c>
      <c r="P398">
        <v>6.3455759599332232E-3</v>
      </c>
      <c r="Q398">
        <v>1.1403000000000001</v>
      </c>
      <c r="R398">
        <v>34962.054120000008</v>
      </c>
      <c r="S398" t="s">
        <v>21</v>
      </c>
      <c r="T398">
        <v>1.101</v>
      </c>
      <c r="U398">
        <v>33757.100400000003</v>
      </c>
      <c r="V398">
        <v>1204.953720000005</v>
      </c>
      <c r="W398">
        <v>3.5694822888283524E-2</v>
      </c>
    </row>
    <row r="399" spans="1:23" x14ac:dyDescent="0.25">
      <c r="A399" t="s">
        <v>2295</v>
      </c>
      <c r="B399" t="s">
        <v>25</v>
      </c>
      <c r="C399" t="s">
        <v>169</v>
      </c>
      <c r="D399" t="s">
        <v>31</v>
      </c>
      <c r="E399" t="s">
        <v>124</v>
      </c>
      <c r="F399" s="1">
        <v>45983</v>
      </c>
      <c r="G399">
        <v>46043</v>
      </c>
      <c r="H399" t="s">
        <v>6</v>
      </c>
      <c r="I399">
        <v>28656.45</v>
      </c>
      <c r="J399" t="s">
        <v>75</v>
      </c>
      <c r="K399" t="s">
        <v>2296</v>
      </c>
      <c r="L399">
        <v>60</v>
      </c>
      <c r="M399" t="s">
        <v>25</v>
      </c>
      <c r="N399">
        <v>1.1555</v>
      </c>
      <c r="O399">
        <v>1.3367963164349013</v>
      </c>
      <c r="P399">
        <v>6.2983756677204832E-3</v>
      </c>
      <c r="Q399">
        <v>1.1555</v>
      </c>
      <c r="R399">
        <v>33112.527974999997</v>
      </c>
      <c r="S399" t="s">
        <v>14</v>
      </c>
      <c r="T399">
        <v>1.1060000000000001</v>
      </c>
      <c r="U399">
        <v>31694.033700000004</v>
      </c>
      <c r="V399">
        <v>1418.4942749999936</v>
      </c>
      <c r="W399">
        <v>4.4755877034357842E-2</v>
      </c>
    </row>
    <row r="400" spans="1:23" x14ac:dyDescent="0.25">
      <c r="A400" t="s">
        <v>2293</v>
      </c>
      <c r="B400" t="s">
        <v>20</v>
      </c>
      <c r="C400" t="s">
        <v>123</v>
      </c>
      <c r="D400" t="s">
        <v>31</v>
      </c>
      <c r="E400" t="s">
        <v>124</v>
      </c>
      <c r="F400" s="1">
        <v>46379</v>
      </c>
      <c r="G400">
        <v>46424</v>
      </c>
      <c r="H400" t="s">
        <v>6</v>
      </c>
      <c r="I400">
        <v>81758.789999999994</v>
      </c>
      <c r="J400" t="s">
        <v>84</v>
      </c>
      <c r="K400" t="s">
        <v>2294</v>
      </c>
      <c r="L400">
        <v>45</v>
      </c>
      <c r="M400" t="s">
        <v>20</v>
      </c>
      <c r="N400">
        <v>1.1176999999999999</v>
      </c>
      <c r="O400">
        <v>1.320456022210408</v>
      </c>
      <c r="P400">
        <v>6.3200452360757699E-3</v>
      </c>
      <c r="Q400">
        <v>1.1176999999999999</v>
      </c>
      <c r="R400">
        <v>91381.799582999985</v>
      </c>
      <c r="S400" t="s">
        <v>23</v>
      </c>
      <c r="T400">
        <v>1.119</v>
      </c>
      <c r="U400">
        <v>91488.086009999999</v>
      </c>
      <c r="V400">
        <v>-106.28642700001365</v>
      </c>
      <c r="W400">
        <v>-1.1617515638964852E-3</v>
      </c>
    </row>
    <row r="401" spans="1:23" x14ac:dyDescent="0.25">
      <c r="A401" t="s">
        <v>2291</v>
      </c>
      <c r="B401" t="s">
        <v>28</v>
      </c>
      <c r="C401" t="s">
        <v>111</v>
      </c>
      <c r="D401" t="s">
        <v>31</v>
      </c>
      <c r="E401" t="s">
        <v>74</v>
      </c>
      <c r="F401" s="1">
        <v>46095</v>
      </c>
      <c r="G401">
        <v>46140</v>
      </c>
      <c r="H401" t="s">
        <v>9</v>
      </c>
      <c r="I401">
        <v>1131783.54</v>
      </c>
      <c r="J401" t="s">
        <v>75</v>
      </c>
      <c r="K401" t="s">
        <v>2292</v>
      </c>
      <c r="L401">
        <v>45</v>
      </c>
      <c r="M401" t="s">
        <v>28</v>
      </c>
      <c r="N401">
        <v>1.1555</v>
      </c>
      <c r="O401">
        <v>1.3367963164349013</v>
      </c>
      <c r="P401">
        <v>6.2983756677204832E-3</v>
      </c>
      <c r="Q401">
        <v>6.2983756677204832E-3</v>
      </c>
      <c r="R401">
        <v>7128.3979094625529</v>
      </c>
      <c r="S401" t="s">
        <v>16</v>
      </c>
      <c r="T401">
        <v>6.4599999999999996E-3</v>
      </c>
      <c r="U401">
        <v>7311.3216683999999</v>
      </c>
      <c r="V401">
        <v>-182.92375893744702</v>
      </c>
      <c r="W401">
        <v>-2.5019246482897231E-2</v>
      </c>
    </row>
    <row r="402" spans="1:23" x14ac:dyDescent="0.25">
      <c r="A402" t="s">
        <v>2289</v>
      </c>
      <c r="B402" t="s">
        <v>32</v>
      </c>
      <c r="C402" t="s">
        <v>106</v>
      </c>
      <c r="D402" t="s">
        <v>31</v>
      </c>
      <c r="E402" t="s">
        <v>74</v>
      </c>
      <c r="F402" s="1">
        <v>46143</v>
      </c>
      <c r="G402">
        <v>46173</v>
      </c>
      <c r="H402" t="s">
        <v>6</v>
      </c>
      <c r="I402">
        <v>9059.7000000000007</v>
      </c>
      <c r="J402" t="s">
        <v>75</v>
      </c>
      <c r="K402" t="s">
        <v>2290</v>
      </c>
      <c r="L402">
        <v>30</v>
      </c>
      <c r="M402" t="s">
        <v>32</v>
      </c>
      <c r="N402">
        <v>1.1701999999999999</v>
      </c>
      <c r="O402">
        <v>1.3508802308802308</v>
      </c>
      <c r="P402">
        <v>6.3872059385404719E-3</v>
      </c>
      <c r="Q402">
        <v>1.1701999999999999</v>
      </c>
      <c r="R402">
        <v>10601.66094</v>
      </c>
      <c r="S402" t="s">
        <v>19</v>
      </c>
      <c r="T402">
        <v>1.083</v>
      </c>
      <c r="U402">
        <v>9811.6550999999999</v>
      </c>
      <c r="V402">
        <v>790.00583999999981</v>
      </c>
      <c r="W402">
        <v>8.0517082179132018E-2</v>
      </c>
    </row>
    <row r="403" spans="1:23" x14ac:dyDescent="0.25">
      <c r="A403" t="s">
        <v>2287</v>
      </c>
      <c r="B403" t="s">
        <v>28</v>
      </c>
      <c r="C403" t="s">
        <v>111</v>
      </c>
      <c r="D403" t="s">
        <v>31</v>
      </c>
      <c r="E403" t="s">
        <v>74</v>
      </c>
      <c r="F403" s="1">
        <v>45961</v>
      </c>
      <c r="G403">
        <v>46006</v>
      </c>
      <c r="H403" t="s">
        <v>9</v>
      </c>
      <c r="I403">
        <v>2474526.75</v>
      </c>
      <c r="J403" t="s">
        <v>75</v>
      </c>
      <c r="K403" t="s">
        <v>2288</v>
      </c>
      <c r="L403">
        <v>45</v>
      </c>
      <c r="M403" t="s">
        <v>28</v>
      </c>
      <c r="N403">
        <v>1.1554</v>
      </c>
      <c r="O403">
        <v>1.3105716878402902</v>
      </c>
      <c r="P403">
        <v>6.4859099584596387E-3</v>
      </c>
      <c r="Q403">
        <v>6.4859099584596387E-3</v>
      </c>
      <c r="R403">
        <v>16049.557690299765</v>
      </c>
      <c r="S403" t="s">
        <v>14</v>
      </c>
      <c r="T403">
        <v>6.9800000000000001E-3</v>
      </c>
      <c r="U403">
        <v>17272.196715000002</v>
      </c>
      <c r="V403">
        <v>-1222.6390247002364</v>
      </c>
      <c r="W403">
        <v>-7.0786538902630619E-2</v>
      </c>
    </row>
    <row r="404" spans="1:23" x14ac:dyDescent="0.25">
      <c r="A404" t="s">
        <v>2285</v>
      </c>
      <c r="B404" t="s">
        <v>38</v>
      </c>
      <c r="C404" t="s">
        <v>87</v>
      </c>
      <c r="D404" t="s">
        <v>33</v>
      </c>
      <c r="E404" t="s">
        <v>88</v>
      </c>
      <c r="F404" s="1">
        <v>45857</v>
      </c>
      <c r="G404">
        <v>45887</v>
      </c>
      <c r="H404" t="s">
        <v>6</v>
      </c>
      <c r="I404">
        <v>2611.42</v>
      </c>
      <c r="J404" t="s">
        <v>75</v>
      </c>
      <c r="K404" t="s">
        <v>2286</v>
      </c>
      <c r="L404">
        <v>30</v>
      </c>
      <c r="M404" t="s">
        <v>38</v>
      </c>
      <c r="N404">
        <v>1.1655</v>
      </c>
      <c r="O404">
        <v>1.3410424577148774</v>
      </c>
      <c r="P404">
        <v>6.6330886119173637E-3</v>
      </c>
      <c r="Q404">
        <v>1.1655</v>
      </c>
      <c r="R404">
        <v>3043.6100099999999</v>
      </c>
      <c r="S404" t="s">
        <v>13</v>
      </c>
      <c r="T404">
        <v>1.0880000000000001</v>
      </c>
      <c r="U404">
        <v>2841.2249600000005</v>
      </c>
      <c r="V404">
        <v>202.38504999999941</v>
      </c>
      <c r="W404">
        <v>7.1231617647058598E-2</v>
      </c>
    </row>
    <row r="405" spans="1:23" x14ac:dyDescent="0.25">
      <c r="A405" t="s">
        <v>2283</v>
      </c>
      <c r="B405" t="s">
        <v>40</v>
      </c>
      <c r="C405" t="s">
        <v>78</v>
      </c>
      <c r="D405" t="s">
        <v>33</v>
      </c>
      <c r="E405" t="s">
        <v>79</v>
      </c>
      <c r="F405" s="1">
        <v>45954</v>
      </c>
      <c r="G405">
        <v>45984</v>
      </c>
      <c r="H405" t="s">
        <v>9</v>
      </c>
      <c r="I405">
        <v>1048407.21</v>
      </c>
      <c r="J405" t="s">
        <v>75</v>
      </c>
      <c r="K405" t="s">
        <v>2284</v>
      </c>
      <c r="L405">
        <v>30</v>
      </c>
      <c r="M405" t="s">
        <v>40</v>
      </c>
      <c r="N405">
        <v>1.1612</v>
      </c>
      <c r="O405">
        <v>1.3307357322942928</v>
      </c>
      <c r="P405">
        <v>6.5401295409743734E-3</v>
      </c>
      <c r="Q405">
        <v>6.5401295409743734E-3</v>
      </c>
      <c r="R405">
        <v>6856.7189650915234</v>
      </c>
      <c r="S405" t="s">
        <v>14</v>
      </c>
      <c r="T405">
        <v>6.9800000000000001E-3</v>
      </c>
      <c r="U405">
        <v>7317.8823258000002</v>
      </c>
      <c r="V405">
        <v>-461.16336070847683</v>
      </c>
      <c r="W405">
        <v>-6.3018690404817612E-2</v>
      </c>
    </row>
    <row r="406" spans="1:23" x14ac:dyDescent="0.25">
      <c r="A406" t="s">
        <v>2281</v>
      </c>
      <c r="B406" t="s">
        <v>20</v>
      </c>
      <c r="C406" t="s">
        <v>123</v>
      </c>
      <c r="D406" t="s">
        <v>31</v>
      </c>
      <c r="E406" t="s">
        <v>124</v>
      </c>
      <c r="F406" s="1">
        <v>46368</v>
      </c>
      <c r="G406">
        <v>46413</v>
      </c>
      <c r="H406" t="s">
        <v>6</v>
      </c>
      <c r="I406">
        <v>56163.08</v>
      </c>
      <c r="J406" t="s">
        <v>84</v>
      </c>
      <c r="K406" t="s">
        <v>2282</v>
      </c>
      <c r="L406">
        <v>45</v>
      </c>
      <c r="M406" t="s">
        <v>20</v>
      </c>
      <c r="N406">
        <v>1.1176999999999999</v>
      </c>
      <c r="O406">
        <v>1.320456022210408</v>
      </c>
      <c r="P406">
        <v>6.3200452360757699E-3</v>
      </c>
      <c r="Q406">
        <v>1.1176999999999999</v>
      </c>
      <c r="R406">
        <v>62773.474515999995</v>
      </c>
      <c r="S406" t="s">
        <v>23</v>
      </c>
      <c r="T406">
        <v>1.119</v>
      </c>
      <c r="U406">
        <v>62846.486519999999</v>
      </c>
      <c r="V406">
        <v>-73.012004000003799</v>
      </c>
      <c r="W406">
        <v>-1.1617515638963965E-3</v>
      </c>
    </row>
    <row r="407" spans="1:23" x14ac:dyDescent="0.25">
      <c r="A407" t="s">
        <v>2279</v>
      </c>
      <c r="B407" t="s">
        <v>34</v>
      </c>
      <c r="C407" t="s">
        <v>177</v>
      </c>
      <c r="D407" t="s">
        <v>31</v>
      </c>
      <c r="E407" t="s">
        <v>74</v>
      </c>
      <c r="F407" s="1">
        <v>45659</v>
      </c>
      <c r="G407">
        <v>45719</v>
      </c>
      <c r="H407" t="s">
        <v>8</v>
      </c>
      <c r="I407">
        <v>18898.54</v>
      </c>
      <c r="J407" t="s">
        <v>75</v>
      </c>
      <c r="K407" t="s">
        <v>2280</v>
      </c>
      <c r="L407">
        <v>60</v>
      </c>
      <c r="M407" t="s">
        <v>34</v>
      </c>
      <c r="N407">
        <v>1.0321</v>
      </c>
      <c r="O407">
        <v>1.2417286267715777</v>
      </c>
      <c r="P407">
        <v>6.3694149592693162E-3</v>
      </c>
      <c r="Q407">
        <v>1.2417286267715777</v>
      </c>
      <c r="R407">
        <v>23466.858122187732</v>
      </c>
      <c r="S407" t="s">
        <v>11</v>
      </c>
      <c r="T407">
        <v>1.238</v>
      </c>
      <c r="U407">
        <v>23396.392520000001</v>
      </c>
      <c r="V407">
        <v>70.465602187730838</v>
      </c>
      <c r="W407">
        <v>3.0118148397234546E-3</v>
      </c>
    </row>
    <row r="408" spans="1:23" x14ac:dyDescent="0.25">
      <c r="A408" t="s">
        <v>2277</v>
      </c>
      <c r="B408" t="s">
        <v>36</v>
      </c>
      <c r="C408" t="s">
        <v>116</v>
      </c>
      <c r="D408" t="s">
        <v>31</v>
      </c>
      <c r="E408" t="s">
        <v>74</v>
      </c>
      <c r="F408" s="1">
        <v>46189</v>
      </c>
      <c r="G408">
        <v>46234</v>
      </c>
      <c r="H408" t="s">
        <v>6</v>
      </c>
      <c r="I408">
        <v>21181.98</v>
      </c>
      <c r="J408" t="s">
        <v>75</v>
      </c>
      <c r="K408" t="s">
        <v>2278</v>
      </c>
      <c r="L408">
        <v>45</v>
      </c>
      <c r="M408" t="s">
        <v>36</v>
      </c>
      <c r="N408">
        <v>1.1594</v>
      </c>
      <c r="O408">
        <v>1.3407963363439765</v>
      </c>
      <c r="P408">
        <v>6.2353447348607082E-3</v>
      </c>
      <c r="Q408">
        <v>1.1594</v>
      </c>
      <c r="R408">
        <v>24558.387611999999</v>
      </c>
      <c r="S408" t="s">
        <v>19</v>
      </c>
      <c r="T408">
        <v>1.083</v>
      </c>
      <c r="U408">
        <v>22940.084339999998</v>
      </c>
      <c r="V408">
        <v>1618.303272000001</v>
      </c>
      <c r="W408">
        <v>7.0544783010157028E-2</v>
      </c>
    </row>
    <row r="409" spans="1:23" x14ac:dyDescent="0.25">
      <c r="A409" t="s">
        <v>2275</v>
      </c>
      <c r="B409" t="s">
        <v>30</v>
      </c>
      <c r="C409" t="s">
        <v>103</v>
      </c>
      <c r="D409" t="s">
        <v>31</v>
      </c>
      <c r="E409" t="s">
        <v>74</v>
      </c>
      <c r="F409" s="1">
        <v>46231</v>
      </c>
      <c r="G409">
        <v>46261</v>
      </c>
      <c r="H409" t="s">
        <v>9</v>
      </c>
      <c r="I409">
        <v>1041240.67</v>
      </c>
      <c r="J409" t="s">
        <v>75</v>
      </c>
      <c r="K409" t="s">
        <v>2276</v>
      </c>
      <c r="L409">
        <v>30</v>
      </c>
      <c r="M409" t="s">
        <v>30</v>
      </c>
      <c r="N409">
        <v>1.1367</v>
      </c>
      <c r="O409">
        <v>1.3286966686148451</v>
      </c>
      <c r="P409">
        <v>6.1007943323314728E-3</v>
      </c>
      <c r="Q409">
        <v>6.1007943323314728E-3</v>
      </c>
      <c r="R409">
        <v>6352.3951781290252</v>
      </c>
      <c r="S409" t="s">
        <v>21</v>
      </c>
      <c r="T409">
        <v>6.7400000000000003E-3</v>
      </c>
      <c r="U409">
        <v>7017.9621158000009</v>
      </c>
      <c r="V409">
        <v>-665.56693767097568</v>
      </c>
      <c r="W409">
        <v>-9.4837636152600616E-2</v>
      </c>
    </row>
    <row r="410" spans="1:23" x14ac:dyDescent="0.25">
      <c r="A410" t="s">
        <v>2273</v>
      </c>
      <c r="B410" t="s">
        <v>32</v>
      </c>
      <c r="C410" t="s">
        <v>106</v>
      </c>
      <c r="D410" t="s">
        <v>31</v>
      </c>
      <c r="E410" t="s">
        <v>74</v>
      </c>
      <c r="F410" s="1">
        <v>46329</v>
      </c>
      <c r="G410">
        <v>46359</v>
      </c>
      <c r="H410" t="s">
        <v>6</v>
      </c>
      <c r="I410">
        <v>9813.94</v>
      </c>
      <c r="J410" t="s">
        <v>84</v>
      </c>
      <c r="K410" t="s">
        <v>2274</v>
      </c>
      <c r="L410">
        <v>30</v>
      </c>
      <c r="M410" t="s">
        <v>32</v>
      </c>
      <c r="N410">
        <v>1.1176999999999999</v>
      </c>
      <c r="O410">
        <v>1.320456022210408</v>
      </c>
      <c r="P410">
        <v>6.3200452360757699E-3</v>
      </c>
      <c r="Q410">
        <v>1.1176999999999999</v>
      </c>
      <c r="R410">
        <v>10969.040738</v>
      </c>
      <c r="S410" t="s">
        <v>23</v>
      </c>
      <c r="T410">
        <v>1.119</v>
      </c>
      <c r="U410">
        <v>10981.798860000001</v>
      </c>
      <c r="V410">
        <v>-12.758122000001094</v>
      </c>
      <c r="W410">
        <v>-1.1617515638964356E-3</v>
      </c>
    </row>
    <row r="411" spans="1:23" x14ac:dyDescent="0.25">
      <c r="A411" t="s">
        <v>2271</v>
      </c>
      <c r="B411" t="s">
        <v>39</v>
      </c>
      <c r="C411" t="s">
        <v>82</v>
      </c>
      <c r="D411" t="s">
        <v>33</v>
      </c>
      <c r="E411" t="s">
        <v>83</v>
      </c>
      <c r="F411" s="1">
        <v>46341</v>
      </c>
      <c r="G411">
        <v>46386</v>
      </c>
      <c r="H411" t="s">
        <v>8</v>
      </c>
      <c r="I411">
        <v>11941.22</v>
      </c>
      <c r="J411" t="s">
        <v>84</v>
      </c>
      <c r="K411" t="s">
        <v>2272</v>
      </c>
      <c r="L411">
        <v>45</v>
      </c>
      <c r="M411" t="s">
        <v>39</v>
      </c>
      <c r="N411">
        <v>1.1176999999999999</v>
      </c>
      <c r="O411">
        <v>1.320456022210408</v>
      </c>
      <c r="P411">
        <v>6.3200452360757699E-3</v>
      </c>
      <c r="Q411">
        <v>1.320456022210408</v>
      </c>
      <c r="R411">
        <v>15767.855861539369</v>
      </c>
      <c r="S411" t="s">
        <v>23</v>
      </c>
      <c r="T411">
        <v>1.3149999999999999</v>
      </c>
      <c r="U411">
        <v>15702.704299999998</v>
      </c>
      <c r="V411">
        <v>65.15156153937096</v>
      </c>
      <c r="W411">
        <v>4.1490663197020763E-3</v>
      </c>
    </row>
    <row r="412" spans="1:23" x14ac:dyDescent="0.25">
      <c r="A412" t="s">
        <v>2268</v>
      </c>
      <c r="B412" t="s">
        <v>20</v>
      </c>
      <c r="C412" t="s">
        <v>123</v>
      </c>
      <c r="D412" t="s">
        <v>31</v>
      </c>
      <c r="E412" t="s">
        <v>124</v>
      </c>
      <c r="F412" s="1">
        <v>45758</v>
      </c>
      <c r="G412">
        <v>45803</v>
      </c>
      <c r="H412" t="s">
        <v>6</v>
      </c>
      <c r="I412">
        <v>20824.330000000002</v>
      </c>
      <c r="J412" t="s">
        <v>75</v>
      </c>
      <c r="K412" t="s">
        <v>2269</v>
      </c>
      <c r="L412">
        <v>45</v>
      </c>
      <c r="M412" t="s">
        <v>20</v>
      </c>
      <c r="N412">
        <v>1.1346000000000001</v>
      </c>
      <c r="O412">
        <v>1.3089826714968043</v>
      </c>
      <c r="P412">
        <v>7.0006787190720066E-3</v>
      </c>
      <c r="Q412">
        <v>1.1346000000000001</v>
      </c>
      <c r="R412">
        <v>23627.284818000004</v>
      </c>
      <c r="S412" t="s">
        <v>12</v>
      </c>
      <c r="T412">
        <v>1.07</v>
      </c>
      <c r="U412">
        <v>22282.033100000004</v>
      </c>
      <c r="V412">
        <v>1345.2517179999995</v>
      </c>
      <c r="W412">
        <v>6.0373831775700902E-2</v>
      </c>
    </row>
    <row r="413" spans="1:23" x14ac:dyDescent="0.25">
      <c r="A413" t="s">
        <v>2268</v>
      </c>
      <c r="B413" t="s">
        <v>24</v>
      </c>
      <c r="C413" t="s">
        <v>73</v>
      </c>
      <c r="D413" t="s">
        <v>31</v>
      </c>
      <c r="E413" t="s">
        <v>74</v>
      </c>
      <c r="F413" s="1">
        <v>45978</v>
      </c>
      <c r="G413">
        <v>46008</v>
      </c>
      <c r="H413" t="s">
        <v>6</v>
      </c>
      <c r="I413">
        <v>14297.29</v>
      </c>
      <c r="J413" t="s">
        <v>75</v>
      </c>
      <c r="K413" t="s">
        <v>2270</v>
      </c>
      <c r="L413">
        <v>30</v>
      </c>
      <c r="M413" t="s">
        <v>24</v>
      </c>
      <c r="N413">
        <v>1.1593</v>
      </c>
      <c r="O413">
        <v>1.3181353041500854</v>
      </c>
      <c r="P413">
        <v>6.4559781700729525E-3</v>
      </c>
      <c r="Q413">
        <v>1.1593</v>
      </c>
      <c r="R413">
        <v>16574.848297</v>
      </c>
      <c r="S413" t="s">
        <v>14</v>
      </c>
      <c r="T413">
        <v>1.1060000000000001</v>
      </c>
      <c r="U413">
        <v>15812.802740000003</v>
      </c>
      <c r="V413">
        <v>762.04555699999764</v>
      </c>
      <c r="W413">
        <v>4.8191681735985377E-2</v>
      </c>
    </row>
    <row r="414" spans="1:23" x14ac:dyDescent="0.25">
      <c r="A414" t="s">
        <v>2266</v>
      </c>
      <c r="B414" t="s">
        <v>37</v>
      </c>
      <c r="C414" t="s">
        <v>91</v>
      </c>
      <c r="D414" t="s">
        <v>31</v>
      </c>
      <c r="E414" t="s">
        <v>74</v>
      </c>
      <c r="F414" s="1">
        <v>45943</v>
      </c>
      <c r="G414">
        <v>45973</v>
      </c>
      <c r="H414" t="s">
        <v>6</v>
      </c>
      <c r="I414">
        <v>22494.14</v>
      </c>
      <c r="J414" t="s">
        <v>75</v>
      </c>
      <c r="K414" t="s">
        <v>2267</v>
      </c>
      <c r="L414">
        <v>30</v>
      </c>
      <c r="M414" t="s">
        <v>37</v>
      </c>
      <c r="N414">
        <v>1.1569</v>
      </c>
      <c r="O414">
        <v>1.3332949175982483</v>
      </c>
      <c r="P414">
        <v>6.5740425048300948E-3</v>
      </c>
      <c r="Q414">
        <v>1.1569</v>
      </c>
      <c r="R414">
        <v>26023.470566</v>
      </c>
      <c r="S414" t="s">
        <v>14</v>
      </c>
      <c r="T414">
        <v>1.1060000000000001</v>
      </c>
      <c r="U414">
        <v>24878.518840000001</v>
      </c>
      <c r="V414">
        <v>1144.9517259999993</v>
      </c>
      <c r="W414">
        <v>4.6021699819168142E-2</v>
      </c>
    </row>
    <row r="415" spans="1:23" x14ac:dyDescent="0.25">
      <c r="A415" t="s">
        <v>2264</v>
      </c>
      <c r="B415" t="s">
        <v>32</v>
      </c>
      <c r="C415" t="s">
        <v>106</v>
      </c>
      <c r="D415" t="s">
        <v>31</v>
      </c>
      <c r="E415" t="s">
        <v>74</v>
      </c>
      <c r="F415" s="1">
        <v>45793</v>
      </c>
      <c r="G415">
        <v>45823</v>
      </c>
      <c r="H415" t="s">
        <v>6</v>
      </c>
      <c r="I415">
        <v>21094.5</v>
      </c>
      <c r="J415" t="s">
        <v>75</v>
      </c>
      <c r="K415" t="s">
        <v>2265</v>
      </c>
      <c r="L415">
        <v>30</v>
      </c>
      <c r="M415" t="s">
        <v>32</v>
      </c>
      <c r="N415">
        <v>1.1194</v>
      </c>
      <c r="O415">
        <v>1.3283493532692536</v>
      </c>
      <c r="P415">
        <v>6.8653787181846048E-3</v>
      </c>
      <c r="Q415">
        <v>1.1194</v>
      </c>
      <c r="R415">
        <v>23613.183300000001</v>
      </c>
      <c r="S415" t="s">
        <v>12</v>
      </c>
      <c r="T415">
        <v>1.07</v>
      </c>
      <c r="U415">
        <v>22571.115000000002</v>
      </c>
      <c r="V415">
        <v>1042.068299999999</v>
      </c>
      <c r="W415">
        <v>4.616822429906537E-2</v>
      </c>
    </row>
    <row r="416" spans="1:23" x14ac:dyDescent="0.25">
      <c r="A416" t="s">
        <v>2262</v>
      </c>
      <c r="B416" t="s">
        <v>41</v>
      </c>
      <c r="C416" t="s">
        <v>172</v>
      </c>
      <c r="D416" t="s">
        <v>33</v>
      </c>
      <c r="E416" t="s">
        <v>83</v>
      </c>
      <c r="F416" s="1">
        <v>46012</v>
      </c>
      <c r="G416">
        <v>46042</v>
      </c>
      <c r="H416" t="s">
        <v>9</v>
      </c>
      <c r="I416">
        <v>835685.46</v>
      </c>
      <c r="J416" t="s">
        <v>75</v>
      </c>
      <c r="K416" t="s">
        <v>2263</v>
      </c>
      <c r="L416">
        <v>30</v>
      </c>
      <c r="M416" t="s">
        <v>41</v>
      </c>
      <c r="N416">
        <v>1.1555</v>
      </c>
      <c r="O416">
        <v>1.3367963164349013</v>
      </c>
      <c r="P416">
        <v>6.2983756677204832E-3</v>
      </c>
      <c r="Q416">
        <v>6.2983756677204832E-3</v>
      </c>
      <c r="R416">
        <v>5263.4609671317985</v>
      </c>
      <c r="S416" t="s">
        <v>14</v>
      </c>
      <c r="T416">
        <v>6.9800000000000001E-3</v>
      </c>
      <c r="U416">
        <v>5833.0845107999994</v>
      </c>
      <c r="V416">
        <v>-569.62354366820091</v>
      </c>
      <c r="W416">
        <v>-9.7653915799357727E-2</v>
      </c>
    </row>
    <row r="417" spans="1:23" x14ac:dyDescent="0.25">
      <c r="A417" t="s">
        <v>2260</v>
      </c>
      <c r="B417" t="s">
        <v>30</v>
      </c>
      <c r="C417" t="s">
        <v>103</v>
      </c>
      <c r="D417" t="s">
        <v>31</v>
      </c>
      <c r="E417" t="s">
        <v>74</v>
      </c>
      <c r="F417" s="1">
        <v>45855</v>
      </c>
      <c r="G417">
        <v>45885</v>
      </c>
      <c r="H417" t="s">
        <v>9</v>
      </c>
      <c r="I417">
        <v>1120398.8600000001</v>
      </c>
      <c r="J417" t="s">
        <v>75</v>
      </c>
      <c r="K417" t="s">
        <v>2261</v>
      </c>
      <c r="L417">
        <v>30</v>
      </c>
      <c r="M417" t="s">
        <v>30</v>
      </c>
      <c r="N417">
        <v>1.1578999999999999</v>
      </c>
      <c r="O417">
        <v>1.3395418787598334</v>
      </c>
      <c r="P417">
        <v>6.7210355235662869E-3</v>
      </c>
      <c r="Q417">
        <v>6.7210355235662869E-3</v>
      </c>
      <c r="R417">
        <v>7530.2405386231712</v>
      </c>
      <c r="S417" t="s">
        <v>13</v>
      </c>
      <c r="T417">
        <v>6.8399999999999997E-3</v>
      </c>
      <c r="U417">
        <v>7663.5282024000007</v>
      </c>
      <c r="V417">
        <v>-133.2876637768295</v>
      </c>
      <c r="W417">
        <v>-1.7392467314870399E-2</v>
      </c>
    </row>
    <row r="418" spans="1:23" x14ac:dyDescent="0.25">
      <c r="A418" t="s">
        <v>2258</v>
      </c>
      <c r="B418" t="s">
        <v>42</v>
      </c>
      <c r="C418" t="s">
        <v>151</v>
      </c>
      <c r="D418" t="s">
        <v>35</v>
      </c>
      <c r="E418" t="s">
        <v>152</v>
      </c>
      <c r="F418" s="1">
        <v>45763</v>
      </c>
      <c r="G418">
        <v>45793</v>
      </c>
      <c r="H418" t="s">
        <v>8</v>
      </c>
      <c r="I418">
        <v>7330.95</v>
      </c>
      <c r="J418" t="s">
        <v>75</v>
      </c>
      <c r="K418" t="s">
        <v>2259</v>
      </c>
      <c r="L418">
        <v>30</v>
      </c>
      <c r="M418" t="s">
        <v>42</v>
      </c>
      <c r="N418">
        <v>1.1355</v>
      </c>
      <c r="O418">
        <v>1.3262398093858767</v>
      </c>
      <c r="P418">
        <v>7.0053673884878766E-3</v>
      </c>
      <c r="Q418">
        <v>1.3262398093858767</v>
      </c>
      <c r="R418">
        <v>9722.5977306173918</v>
      </c>
      <c r="S418" t="s">
        <v>12</v>
      </c>
      <c r="T418">
        <v>1.26</v>
      </c>
      <c r="U418">
        <v>9236.9969999999994</v>
      </c>
      <c r="V418">
        <v>485.6007306173924</v>
      </c>
      <c r="W418">
        <v>5.2571277290378297E-2</v>
      </c>
    </row>
    <row r="419" spans="1:23" x14ac:dyDescent="0.25">
      <c r="A419" t="s">
        <v>2256</v>
      </c>
      <c r="B419" t="s">
        <v>30</v>
      </c>
      <c r="C419" t="s">
        <v>103</v>
      </c>
      <c r="D419" t="s">
        <v>31</v>
      </c>
      <c r="E419" t="s">
        <v>74</v>
      </c>
      <c r="F419" s="1">
        <v>45801</v>
      </c>
      <c r="G419">
        <v>45831</v>
      </c>
      <c r="H419" t="s">
        <v>9</v>
      </c>
      <c r="I419">
        <v>1812550.81</v>
      </c>
      <c r="J419" t="s">
        <v>75</v>
      </c>
      <c r="K419" t="s">
        <v>2257</v>
      </c>
      <c r="L419">
        <v>30</v>
      </c>
      <c r="M419" t="s">
        <v>30</v>
      </c>
      <c r="N419">
        <v>1.1404000000000001</v>
      </c>
      <c r="O419">
        <v>1.3160992498557416</v>
      </c>
      <c r="P419">
        <v>6.6453003904201387E-3</v>
      </c>
      <c r="Q419">
        <v>6.6453003904201387E-3</v>
      </c>
      <c r="R419">
        <v>12044.944605349339</v>
      </c>
      <c r="S419" t="s">
        <v>12</v>
      </c>
      <c r="T419">
        <v>6.7000000000000002E-3</v>
      </c>
      <c r="U419">
        <v>12144.090427000001</v>
      </c>
      <c r="V419">
        <v>-99.145821650661674</v>
      </c>
      <c r="W419">
        <v>-8.1641208328151454E-3</v>
      </c>
    </row>
    <row r="420" spans="1:23" x14ac:dyDescent="0.25">
      <c r="A420" t="s">
        <v>2254</v>
      </c>
      <c r="B420" t="s">
        <v>22</v>
      </c>
      <c r="C420" t="s">
        <v>127</v>
      </c>
      <c r="D420" t="s">
        <v>31</v>
      </c>
      <c r="E420" t="s">
        <v>124</v>
      </c>
      <c r="F420" s="1">
        <v>45674</v>
      </c>
      <c r="G420">
        <v>45734</v>
      </c>
      <c r="H420" t="s">
        <v>9</v>
      </c>
      <c r="I420">
        <v>3626850.02</v>
      </c>
      <c r="J420" t="s">
        <v>75</v>
      </c>
      <c r="K420" t="s">
        <v>2255</v>
      </c>
      <c r="L420">
        <v>60</v>
      </c>
      <c r="M420" t="s">
        <v>22</v>
      </c>
      <c r="N420">
        <v>1.0298</v>
      </c>
      <c r="O420">
        <v>1.2193764579115012</v>
      </c>
      <c r="P420">
        <v>6.4270111714410539E-3</v>
      </c>
      <c r="Q420">
        <v>6.4270111714410539E-3</v>
      </c>
      <c r="R420">
        <v>23309.80559568121</v>
      </c>
      <c r="S420" t="s">
        <v>11</v>
      </c>
      <c r="T420">
        <v>6.5599999999999999E-3</v>
      </c>
      <c r="U420">
        <v>23792.136131200001</v>
      </c>
      <c r="V420">
        <v>-482.33053551879129</v>
      </c>
      <c r="W420">
        <v>-2.0272687280327193E-2</v>
      </c>
    </row>
    <row r="421" spans="1:23" x14ac:dyDescent="0.25">
      <c r="A421" t="s">
        <v>2252</v>
      </c>
      <c r="B421" t="s">
        <v>39</v>
      </c>
      <c r="C421" t="s">
        <v>82</v>
      </c>
      <c r="D421" t="s">
        <v>33</v>
      </c>
      <c r="E421" t="s">
        <v>83</v>
      </c>
      <c r="F421" s="1">
        <v>46031</v>
      </c>
      <c r="G421">
        <v>46076</v>
      </c>
      <c r="H421" t="s">
        <v>8</v>
      </c>
      <c r="I421">
        <v>3909.68</v>
      </c>
      <c r="J421" t="s">
        <v>75</v>
      </c>
      <c r="K421" t="s">
        <v>2253</v>
      </c>
      <c r="L421">
        <v>45</v>
      </c>
      <c r="M421" t="s">
        <v>39</v>
      </c>
      <c r="N421">
        <v>1.1641999999999999</v>
      </c>
      <c r="O421">
        <v>1.3417079635818829</v>
      </c>
      <c r="P421">
        <v>6.3437227550130768E-3</v>
      </c>
      <c r="Q421">
        <v>1.3417079635818829</v>
      </c>
      <c r="R421">
        <v>5245.6487910568158</v>
      </c>
      <c r="S421" t="s">
        <v>16</v>
      </c>
      <c r="T421">
        <v>1.2490000000000001</v>
      </c>
      <c r="U421">
        <v>4883.1903200000006</v>
      </c>
      <c r="V421">
        <v>362.45847105681514</v>
      </c>
      <c r="W421">
        <v>7.4225751466679493E-2</v>
      </c>
    </row>
    <row r="422" spans="1:23" x14ac:dyDescent="0.25">
      <c r="A422" t="s">
        <v>2250</v>
      </c>
      <c r="B422" t="s">
        <v>34</v>
      </c>
      <c r="C422" t="s">
        <v>177</v>
      </c>
      <c r="D422" t="s">
        <v>31</v>
      </c>
      <c r="E422" t="s">
        <v>74</v>
      </c>
      <c r="F422" s="1">
        <v>45819</v>
      </c>
      <c r="G422">
        <v>45879</v>
      </c>
      <c r="H422" t="s">
        <v>8</v>
      </c>
      <c r="I422">
        <v>7986.13</v>
      </c>
      <c r="J422" t="s">
        <v>75</v>
      </c>
      <c r="K422" t="s">
        <v>2251</v>
      </c>
      <c r="L422">
        <v>60</v>
      </c>
      <c r="M422" t="s">
        <v>34</v>
      </c>
      <c r="N422">
        <v>1.1433</v>
      </c>
      <c r="O422">
        <v>1.3488673902784332</v>
      </c>
      <c r="P422">
        <v>6.88030330384546E-3</v>
      </c>
      <c r="Q422">
        <v>1.3488673902784332</v>
      </c>
      <c r="R422">
        <v>10772.230331524304</v>
      </c>
      <c r="S422" t="s">
        <v>12</v>
      </c>
      <c r="T422">
        <v>1.26</v>
      </c>
      <c r="U422">
        <v>10062.523800000001</v>
      </c>
      <c r="V422">
        <v>709.7065315243035</v>
      </c>
      <c r="W422">
        <v>7.0529674824153302E-2</v>
      </c>
    </row>
    <row r="423" spans="1:23" x14ac:dyDescent="0.25">
      <c r="A423" t="s">
        <v>2248</v>
      </c>
      <c r="B423" t="s">
        <v>42</v>
      </c>
      <c r="C423" t="s">
        <v>151</v>
      </c>
      <c r="D423" t="s">
        <v>35</v>
      </c>
      <c r="E423" t="s">
        <v>152</v>
      </c>
      <c r="F423" s="1">
        <v>45745</v>
      </c>
      <c r="G423">
        <v>45775</v>
      </c>
      <c r="H423" t="s">
        <v>8</v>
      </c>
      <c r="I423">
        <v>4370.6099999999997</v>
      </c>
      <c r="J423" t="s">
        <v>75</v>
      </c>
      <c r="K423" t="s">
        <v>2249</v>
      </c>
      <c r="L423">
        <v>30</v>
      </c>
      <c r="M423" t="s">
        <v>42</v>
      </c>
      <c r="N423">
        <v>1.1185</v>
      </c>
      <c r="O423">
        <v>1.3277540360873694</v>
      </c>
      <c r="P423">
        <v>6.8493570116350275E-3</v>
      </c>
      <c r="Q423">
        <v>1.3277540360873694</v>
      </c>
      <c r="R423">
        <v>5803.0950676638176</v>
      </c>
      <c r="S423" t="s">
        <v>11</v>
      </c>
      <c r="T423">
        <v>1.238</v>
      </c>
      <c r="U423">
        <v>5410.8151799999996</v>
      </c>
      <c r="V423">
        <v>392.27988766381804</v>
      </c>
      <c r="W423">
        <v>7.24992213952904E-2</v>
      </c>
    </row>
    <row r="424" spans="1:23" x14ac:dyDescent="0.25">
      <c r="A424" t="s">
        <v>2246</v>
      </c>
      <c r="B424" t="s">
        <v>37</v>
      </c>
      <c r="C424" t="s">
        <v>91</v>
      </c>
      <c r="D424" t="s">
        <v>31</v>
      </c>
      <c r="E424" t="s">
        <v>74</v>
      </c>
      <c r="F424" s="1">
        <v>45730</v>
      </c>
      <c r="G424">
        <v>45760</v>
      </c>
      <c r="H424" t="s">
        <v>6</v>
      </c>
      <c r="I424">
        <v>4659.43</v>
      </c>
      <c r="J424" t="s">
        <v>75</v>
      </c>
      <c r="K424" t="s">
        <v>2247</v>
      </c>
      <c r="L424">
        <v>30</v>
      </c>
      <c r="M424" t="s">
        <v>37</v>
      </c>
      <c r="N424">
        <v>1.0889</v>
      </c>
      <c r="O424">
        <v>1.2934915600536925</v>
      </c>
      <c r="P424">
        <v>6.7265875957499381E-3</v>
      </c>
      <c r="Q424">
        <v>1.0889</v>
      </c>
      <c r="R424">
        <v>5073.653327</v>
      </c>
      <c r="S424" t="s">
        <v>11</v>
      </c>
      <c r="T424">
        <v>1.052</v>
      </c>
      <c r="U424">
        <v>4901.7203600000003</v>
      </c>
      <c r="V424">
        <v>171.93296699999973</v>
      </c>
      <c r="W424">
        <v>3.5076045627376373E-2</v>
      </c>
    </row>
    <row r="425" spans="1:23" x14ac:dyDescent="0.25">
      <c r="A425" t="s">
        <v>2244</v>
      </c>
      <c r="B425" t="s">
        <v>28</v>
      </c>
      <c r="C425" t="s">
        <v>111</v>
      </c>
      <c r="D425" t="s">
        <v>31</v>
      </c>
      <c r="E425" t="s">
        <v>74</v>
      </c>
      <c r="F425" s="1">
        <v>45956</v>
      </c>
      <c r="G425">
        <v>46001</v>
      </c>
      <c r="H425" t="s">
        <v>9</v>
      </c>
      <c r="I425">
        <v>880251.36</v>
      </c>
      <c r="J425" t="s">
        <v>75</v>
      </c>
      <c r="K425" t="s">
        <v>2245</v>
      </c>
      <c r="L425">
        <v>45</v>
      </c>
      <c r="M425" t="s">
        <v>28</v>
      </c>
      <c r="N425">
        <v>1.1580999999999999</v>
      </c>
      <c r="O425">
        <v>1.3409677755520302</v>
      </c>
      <c r="P425">
        <v>6.3067036976528889E-3</v>
      </c>
      <c r="Q425">
        <v>6.3067036976528889E-3</v>
      </c>
      <c r="R425">
        <v>5551.484506975984</v>
      </c>
      <c r="S425" t="s">
        <v>14</v>
      </c>
      <c r="T425">
        <v>6.9800000000000001E-3</v>
      </c>
      <c r="U425">
        <v>6144.1544928000003</v>
      </c>
      <c r="V425">
        <v>-592.66998582401629</v>
      </c>
      <c r="W425">
        <v>-9.6460788301878472E-2</v>
      </c>
    </row>
    <row r="426" spans="1:23" x14ac:dyDescent="0.25">
      <c r="A426" t="s">
        <v>2242</v>
      </c>
      <c r="B426" t="s">
        <v>38</v>
      </c>
      <c r="C426" t="s">
        <v>87</v>
      </c>
      <c r="D426" t="s">
        <v>33</v>
      </c>
      <c r="E426" t="s">
        <v>88</v>
      </c>
      <c r="F426" s="1">
        <v>45735</v>
      </c>
      <c r="G426">
        <v>45765</v>
      </c>
      <c r="H426" t="s">
        <v>6</v>
      </c>
      <c r="I426">
        <v>7626.36</v>
      </c>
      <c r="J426" t="s">
        <v>75</v>
      </c>
      <c r="K426" t="s">
        <v>2243</v>
      </c>
      <c r="L426">
        <v>30</v>
      </c>
      <c r="M426" t="s">
        <v>38</v>
      </c>
      <c r="N426">
        <v>1.0896999999999999</v>
      </c>
      <c r="O426">
        <v>1.2960584219415303</v>
      </c>
      <c r="P426">
        <v>6.6742206161572847E-3</v>
      </c>
      <c r="Q426">
        <v>1.0896999999999999</v>
      </c>
      <c r="R426">
        <v>8310.4444919999987</v>
      </c>
      <c r="S426" t="s">
        <v>11</v>
      </c>
      <c r="T426">
        <v>1.052</v>
      </c>
      <c r="U426">
        <v>8022.9307200000003</v>
      </c>
      <c r="V426">
        <v>287.51377199999843</v>
      </c>
      <c r="W426">
        <v>3.5836501901140488E-2</v>
      </c>
    </row>
    <row r="427" spans="1:23" x14ac:dyDescent="0.25">
      <c r="A427" t="s">
        <v>2240</v>
      </c>
      <c r="B427" t="s">
        <v>34</v>
      </c>
      <c r="C427" t="s">
        <v>177</v>
      </c>
      <c r="D427" t="s">
        <v>31</v>
      </c>
      <c r="E427" t="s">
        <v>74</v>
      </c>
      <c r="F427" s="1">
        <v>45964</v>
      </c>
      <c r="G427">
        <v>46024</v>
      </c>
      <c r="H427" t="s">
        <v>8</v>
      </c>
      <c r="I427">
        <v>9514.85</v>
      </c>
      <c r="J427" t="s">
        <v>75</v>
      </c>
      <c r="K427" t="s">
        <v>2241</v>
      </c>
      <c r="L427">
        <v>60</v>
      </c>
      <c r="M427" t="s">
        <v>34</v>
      </c>
      <c r="N427">
        <v>1.1514</v>
      </c>
      <c r="O427">
        <v>1.3136337706788364</v>
      </c>
      <c r="P427">
        <v>6.4842034127386384E-3</v>
      </c>
      <c r="Q427">
        <v>1.3136337706788364</v>
      </c>
      <c r="R427">
        <v>12499.028282943527</v>
      </c>
      <c r="S427" t="s">
        <v>14</v>
      </c>
      <c r="T427">
        <v>1.304</v>
      </c>
      <c r="U427">
        <v>12407.3644</v>
      </c>
      <c r="V427">
        <v>91.663882943526914</v>
      </c>
      <c r="W427">
        <v>7.3878609500279456E-3</v>
      </c>
    </row>
    <row r="428" spans="1:23" x14ac:dyDescent="0.25">
      <c r="A428" t="s">
        <v>2238</v>
      </c>
      <c r="B428" t="s">
        <v>37</v>
      </c>
      <c r="C428" t="s">
        <v>91</v>
      </c>
      <c r="D428" t="s">
        <v>31</v>
      </c>
      <c r="E428" t="s">
        <v>74</v>
      </c>
      <c r="F428" s="1">
        <v>46177</v>
      </c>
      <c r="G428">
        <v>46207</v>
      </c>
      <c r="H428" t="s">
        <v>6</v>
      </c>
      <c r="I428">
        <v>3732.56</v>
      </c>
      <c r="J428" t="s">
        <v>75</v>
      </c>
      <c r="K428" t="s">
        <v>2239</v>
      </c>
      <c r="L428">
        <v>30</v>
      </c>
      <c r="M428" t="s">
        <v>37</v>
      </c>
      <c r="N428">
        <v>1.1639999999999999</v>
      </c>
      <c r="O428">
        <v>1.3458203260492541</v>
      </c>
      <c r="P428">
        <v>6.2577280791355303E-3</v>
      </c>
      <c r="Q428">
        <v>1.1639999999999999</v>
      </c>
      <c r="R428">
        <v>4344.6998399999993</v>
      </c>
      <c r="S428" t="s">
        <v>19</v>
      </c>
      <c r="T428">
        <v>1.083</v>
      </c>
      <c r="U428">
        <v>4042.3624799999998</v>
      </c>
      <c r="V428">
        <v>302.33735999999953</v>
      </c>
      <c r="W428">
        <v>7.4792243767312902E-2</v>
      </c>
    </row>
    <row r="429" spans="1:23" x14ac:dyDescent="0.25">
      <c r="A429" t="s">
        <v>2236</v>
      </c>
      <c r="B429" t="s">
        <v>30</v>
      </c>
      <c r="C429" t="s">
        <v>103</v>
      </c>
      <c r="D429" t="s">
        <v>31</v>
      </c>
      <c r="E429" t="s">
        <v>74</v>
      </c>
      <c r="F429" s="1">
        <v>45871</v>
      </c>
      <c r="G429">
        <v>45901</v>
      </c>
      <c r="H429" t="s">
        <v>9</v>
      </c>
      <c r="I429">
        <v>3625865.57</v>
      </c>
      <c r="J429" t="s">
        <v>75</v>
      </c>
      <c r="K429" t="s">
        <v>2237</v>
      </c>
      <c r="L429">
        <v>30</v>
      </c>
      <c r="M429" t="s">
        <v>30</v>
      </c>
      <c r="N429">
        <v>1.1560999999999999</v>
      </c>
      <c r="O429">
        <v>1.3121098626716603</v>
      </c>
      <c r="P429">
        <v>6.5320074580484761E-3</v>
      </c>
      <c r="Q429">
        <v>6.5320074580484761E-3</v>
      </c>
      <c r="R429">
        <v>23684.180945121188</v>
      </c>
      <c r="S429" t="s">
        <v>13</v>
      </c>
      <c r="T429">
        <v>6.8399999999999997E-3</v>
      </c>
      <c r="U429">
        <v>24800.920498799998</v>
      </c>
      <c r="V429">
        <v>-1116.7395536788099</v>
      </c>
      <c r="W429">
        <v>-4.5028149408117481E-2</v>
      </c>
    </row>
    <row r="430" spans="1:23" x14ac:dyDescent="0.25">
      <c r="A430" t="s">
        <v>2234</v>
      </c>
      <c r="B430" t="s">
        <v>20</v>
      </c>
      <c r="C430" t="s">
        <v>123</v>
      </c>
      <c r="D430" t="s">
        <v>31</v>
      </c>
      <c r="E430" t="s">
        <v>124</v>
      </c>
      <c r="F430" s="1">
        <v>46159</v>
      </c>
      <c r="G430">
        <v>46204</v>
      </c>
      <c r="H430" t="s">
        <v>6</v>
      </c>
      <c r="I430">
        <v>32036.29</v>
      </c>
      <c r="J430" t="s">
        <v>75</v>
      </c>
      <c r="K430" t="s">
        <v>2235</v>
      </c>
      <c r="L430">
        <v>45</v>
      </c>
      <c r="M430" t="s">
        <v>20</v>
      </c>
      <c r="N430">
        <v>1.1628000000000001</v>
      </c>
      <c r="O430">
        <v>1.3357840321654222</v>
      </c>
      <c r="P430">
        <v>6.3072249945758298E-3</v>
      </c>
      <c r="Q430">
        <v>1.1628000000000001</v>
      </c>
      <c r="R430">
        <v>37251.798011999999</v>
      </c>
      <c r="S430" t="s">
        <v>19</v>
      </c>
      <c r="T430">
        <v>1.083</v>
      </c>
      <c r="U430">
        <v>34695.302069999998</v>
      </c>
      <c r="V430">
        <v>2556.4959420000014</v>
      </c>
      <c r="W430">
        <v>7.3684210526315838E-2</v>
      </c>
    </row>
    <row r="431" spans="1:23" x14ac:dyDescent="0.25">
      <c r="A431" t="s">
        <v>2232</v>
      </c>
      <c r="B431" t="s">
        <v>26</v>
      </c>
      <c r="C431" t="s">
        <v>94</v>
      </c>
      <c r="D431" t="s">
        <v>31</v>
      </c>
      <c r="E431" t="s">
        <v>74</v>
      </c>
      <c r="F431" s="1">
        <v>46313</v>
      </c>
      <c r="G431">
        <v>46343</v>
      </c>
      <c r="H431" t="s">
        <v>8</v>
      </c>
      <c r="I431">
        <v>6542.23</v>
      </c>
      <c r="J431" t="s">
        <v>84</v>
      </c>
      <c r="K431" t="s">
        <v>2233</v>
      </c>
      <c r="L431">
        <v>30</v>
      </c>
      <c r="M431" t="s">
        <v>26</v>
      </c>
      <c r="N431">
        <v>1.1176999999999999</v>
      </c>
      <c r="O431">
        <v>1.320456022210408</v>
      </c>
      <c r="P431">
        <v>6.3200452360757699E-3</v>
      </c>
      <c r="Q431">
        <v>1.320456022210408</v>
      </c>
      <c r="R431">
        <v>8638.7270021855966</v>
      </c>
      <c r="S431" t="s">
        <v>23</v>
      </c>
      <c r="T431">
        <v>1.3149999999999999</v>
      </c>
      <c r="U431">
        <v>8603.0324499999988</v>
      </c>
      <c r="V431">
        <v>35.694552185597786</v>
      </c>
      <c r="W431">
        <v>4.1490663197019315E-3</v>
      </c>
    </row>
    <row r="432" spans="1:23" x14ac:dyDescent="0.25">
      <c r="A432" t="s">
        <v>2230</v>
      </c>
      <c r="B432" t="s">
        <v>37</v>
      </c>
      <c r="C432" t="s">
        <v>91</v>
      </c>
      <c r="D432" t="s">
        <v>31</v>
      </c>
      <c r="E432" t="s">
        <v>74</v>
      </c>
      <c r="F432" s="1">
        <v>46246</v>
      </c>
      <c r="G432">
        <v>46276</v>
      </c>
      <c r="H432" t="s">
        <v>6</v>
      </c>
      <c r="I432">
        <v>14024.34</v>
      </c>
      <c r="J432" t="s">
        <v>75</v>
      </c>
      <c r="K432" t="s">
        <v>2231</v>
      </c>
      <c r="L432">
        <v>30</v>
      </c>
      <c r="M432" t="s">
        <v>37</v>
      </c>
      <c r="N432">
        <v>1.1545000000000001</v>
      </c>
      <c r="O432">
        <v>1.3525387192764593</v>
      </c>
      <c r="P432">
        <v>6.285729841563675E-3</v>
      </c>
      <c r="Q432">
        <v>1.1545000000000001</v>
      </c>
      <c r="R432">
        <v>16191.100530000002</v>
      </c>
      <c r="S432" t="s">
        <v>21</v>
      </c>
      <c r="T432">
        <v>1.101</v>
      </c>
      <c r="U432">
        <v>15440.798339999999</v>
      </c>
      <c r="V432">
        <v>750.30219000000216</v>
      </c>
      <c r="W432">
        <v>4.8592188919164538E-2</v>
      </c>
    </row>
    <row r="433" spans="1:23" x14ac:dyDescent="0.25">
      <c r="A433" t="s">
        <v>2228</v>
      </c>
      <c r="B433" t="s">
        <v>28</v>
      </c>
      <c r="C433" t="s">
        <v>111</v>
      </c>
      <c r="D433" t="s">
        <v>31</v>
      </c>
      <c r="E433" t="s">
        <v>74</v>
      </c>
      <c r="F433" s="1">
        <v>46133</v>
      </c>
      <c r="G433">
        <v>46178</v>
      </c>
      <c r="H433" t="s">
        <v>9</v>
      </c>
      <c r="I433">
        <v>2576348.5</v>
      </c>
      <c r="J433" t="s">
        <v>75</v>
      </c>
      <c r="K433" t="s">
        <v>2229</v>
      </c>
      <c r="L433">
        <v>45</v>
      </c>
      <c r="M433" t="s">
        <v>28</v>
      </c>
      <c r="N433">
        <v>1.1767000000000001</v>
      </c>
      <c r="O433">
        <v>1.351984833687597</v>
      </c>
      <c r="P433">
        <v>6.2878059207010801E-3</v>
      </c>
      <c r="Q433">
        <v>6.2878059207010801E-3</v>
      </c>
      <c r="R433">
        <v>16199.579352089346</v>
      </c>
      <c r="S433" t="s">
        <v>19</v>
      </c>
      <c r="T433">
        <v>6.6E-3</v>
      </c>
      <c r="U433">
        <v>17003.900099999999</v>
      </c>
      <c r="V433">
        <v>-804.32074791065315</v>
      </c>
      <c r="W433">
        <v>-4.7302133227109071E-2</v>
      </c>
    </row>
    <row r="434" spans="1:23" x14ac:dyDescent="0.25">
      <c r="A434" t="s">
        <v>2226</v>
      </c>
      <c r="B434" t="s">
        <v>32</v>
      </c>
      <c r="C434" t="s">
        <v>106</v>
      </c>
      <c r="D434" t="s">
        <v>31</v>
      </c>
      <c r="E434" t="s">
        <v>74</v>
      </c>
      <c r="F434" s="1">
        <v>46120</v>
      </c>
      <c r="G434">
        <v>46150</v>
      </c>
      <c r="H434" t="s">
        <v>6</v>
      </c>
      <c r="I434">
        <v>20285.560000000001</v>
      </c>
      <c r="J434" t="s">
        <v>75</v>
      </c>
      <c r="K434" t="s">
        <v>2227</v>
      </c>
      <c r="L434">
        <v>30</v>
      </c>
      <c r="M434" t="s">
        <v>32</v>
      </c>
      <c r="N434">
        <v>1.1706000000000001</v>
      </c>
      <c r="O434">
        <v>1.3471741106878576</v>
      </c>
      <c r="P434">
        <v>6.3231242910387299E-3</v>
      </c>
      <c r="Q434">
        <v>1.1706000000000001</v>
      </c>
      <c r="R434">
        <v>23746.276536000005</v>
      </c>
      <c r="S434" t="s">
        <v>19</v>
      </c>
      <c r="T434">
        <v>1.083</v>
      </c>
      <c r="U434">
        <v>21969.261480000001</v>
      </c>
      <c r="V434">
        <v>1777.0150560000038</v>
      </c>
      <c r="W434">
        <v>8.0886426592797961E-2</v>
      </c>
    </row>
    <row r="435" spans="1:23" x14ac:dyDescent="0.25">
      <c r="A435" t="s">
        <v>2224</v>
      </c>
      <c r="B435" t="s">
        <v>34</v>
      </c>
      <c r="C435" t="s">
        <v>177</v>
      </c>
      <c r="D435" t="s">
        <v>31</v>
      </c>
      <c r="E435" t="s">
        <v>74</v>
      </c>
      <c r="F435" s="1">
        <v>45971</v>
      </c>
      <c r="G435">
        <v>46031</v>
      </c>
      <c r="H435" t="s">
        <v>8</v>
      </c>
      <c r="I435">
        <v>22443.56</v>
      </c>
      <c r="J435" t="s">
        <v>75</v>
      </c>
      <c r="K435" t="s">
        <v>2225</v>
      </c>
      <c r="L435">
        <v>60</v>
      </c>
      <c r="M435" t="s">
        <v>34</v>
      </c>
      <c r="N435">
        <v>1.1571</v>
      </c>
      <c r="O435">
        <v>1.3181818181818181</v>
      </c>
      <c r="P435">
        <v>6.489260277045595E-3</v>
      </c>
      <c r="Q435">
        <v>1.3181818181818181</v>
      </c>
      <c r="R435">
        <v>29584.692727272726</v>
      </c>
      <c r="S435" t="s">
        <v>14</v>
      </c>
      <c r="T435">
        <v>1.304</v>
      </c>
      <c r="U435">
        <v>29266.402240000003</v>
      </c>
      <c r="V435">
        <v>318.29048727272311</v>
      </c>
      <c r="W435">
        <v>1.0875627440044475E-2</v>
      </c>
    </row>
    <row r="436" spans="1:23" x14ac:dyDescent="0.25">
      <c r="A436" t="s">
        <v>2222</v>
      </c>
      <c r="B436" t="s">
        <v>32</v>
      </c>
      <c r="C436" t="s">
        <v>106</v>
      </c>
      <c r="D436" t="s">
        <v>31</v>
      </c>
      <c r="E436" t="s">
        <v>74</v>
      </c>
      <c r="F436" s="1">
        <v>46097</v>
      </c>
      <c r="G436">
        <v>46127</v>
      </c>
      <c r="H436" t="s">
        <v>6</v>
      </c>
      <c r="I436">
        <v>20716.900000000001</v>
      </c>
      <c r="J436" t="s">
        <v>75</v>
      </c>
      <c r="K436" t="s">
        <v>2223</v>
      </c>
      <c r="L436">
        <v>30</v>
      </c>
      <c r="M436" t="s">
        <v>32</v>
      </c>
      <c r="N436">
        <v>1.1477999999999999</v>
      </c>
      <c r="O436">
        <v>1.3283492269234329</v>
      </c>
      <c r="P436">
        <v>6.283805978320376E-3</v>
      </c>
      <c r="Q436">
        <v>1.1477999999999999</v>
      </c>
      <c r="R436">
        <v>23778.857820000001</v>
      </c>
      <c r="S436" t="s">
        <v>16</v>
      </c>
      <c r="T436">
        <v>1.0649999999999999</v>
      </c>
      <c r="U436">
        <v>22063.498500000002</v>
      </c>
      <c r="V436">
        <v>1715.3593199999996</v>
      </c>
      <c r="W436">
        <v>7.7746478873239405E-2</v>
      </c>
    </row>
    <row r="437" spans="1:23" x14ac:dyDescent="0.25">
      <c r="A437" t="s">
        <v>2220</v>
      </c>
      <c r="B437" t="s">
        <v>34</v>
      </c>
      <c r="C437" t="s">
        <v>177</v>
      </c>
      <c r="D437" t="s">
        <v>31</v>
      </c>
      <c r="E437" t="s">
        <v>74</v>
      </c>
      <c r="F437" s="1">
        <v>46313</v>
      </c>
      <c r="G437">
        <v>46373</v>
      </c>
      <c r="H437" t="s">
        <v>8</v>
      </c>
      <c r="I437">
        <v>27150.92</v>
      </c>
      <c r="J437" t="s">
        <v>84</v>
      </c>
      <c r="K437" t="s">
        <v>2221</v>
      </c>
      <c r="L437">
        <v>60</v>
      </c>
      <c r="M437" t="s">
        <v>34</v>
      </c>
      <c r="N437">
        <v>1.1176999999999999</v>
      </c>
      <c r="O437">
        <v>1.320456022210408</v>
      </c>
      <c r="P437">
        <v>6.3200452360757699E-3</v>
      </c>
      <c r="Q437">
        <v>1.320456022210408</v>
      </c>
      <c r="R437">
        <v>35851.595822553012</v>
      </c>
      <c r="S437" t="s">
        <v>23</v>
      </c>
      <c r="T437">
        <v>1.3149999999999999</v>
      </c>
      <c r="U437">
        <v>35703.459799999997</v>
      </c>
      <c r="V437">
        <v>148.13602255301521</v>
      </c>
      <c r="W437">
        <v>4.149066319702026E-3</v>
      </c>
    </row>
    <row r="438" spans="1:23" x14ac:dyDescent="0.25">
      <c r="A438" t="s">
        <v>2218</v>
      </c>
      <c r="B438" t="s">
        <v>20</v>
      </c>
      <c r="C438" t="s">
        <v>123</v>
      </c>
      <c r="D438" t="s">
        <v>31</v>
      </c>
      <c r="E438" t="s">
        <v>124</v>
      </c>
      <c r="F438" s="1">
        <v>46256</v>
      </c>
      <c r="G438">
        <v>46301</v>
      </c>
      <c r="H438" t="s">
        <v>6</v>
      </c>
      <c r="I438">
        <v>33229.08</v>
      </c>
      <c r="J438" t="s">
        <v>75</v>
      </c>
      <c r="K438" t="s">
        <v>2219</v>
      </c>
      <c r="L438">
        <v>45</v>
      </c>
      <c r="M438" t="s">
        <v>20</v>
      </c>
      <c r="N438">
        <v>1.1698999999999999</v>
      </c>
      <c r="O438">
        <v>1.3655888875919224</v>
      </c>
      <c r="P438">
        <v>6.3013034579338578E-3</v>
      </c>
      <c r="Q438">
        <v>1.1698999999999999</v>
      </c>
      <c r="R438">
        <v>38874.700691999999</v>
      </c>
      <c r="S438" t="s">
        <v>21</v>
      </c>
      <c r="T438">
        <v>1.101</v>
      </c>
      <c r="U438">
        <v>36585.217080000002</v>
      </c>
      <c r="V438">
        <v>2289.4836119999964</v>
      </c>
      <c r="W438">
        <v>6.2579473206176101E-2</v>
      </c>
    </row>
    <row r="439" spans="1:23" x14ac:dyDescent="0.25">
      <c r="A439" t="s">
        <v>2216</v>
      </c>
      <c r="B439" t="s">
        <v>37</v>
      </c>
      <c r="C439" t="s">
        <v>91</v>
      </c>
      <c r="D439" t="s">
        <v>31</v>
      </c>
      <c r="E439" t="s">
        <v>74</v>
      </c>
      <c r="F439" s="1">
        <v>45701</v>
      </c>
      <c r="G439">
        <v>45731</v>
      </c>
      <c r="H439" t="s">
        <v>6</v>
      </c>
      <c r="I439">
        <v>23564.89</v>
      </c>
      <c r="J439" t="s">
        <v>75</v>
      </c>
      <c r="K439" t="s">
        <v>2217</v>
      </c>
      <c r="L439">
        <v>30</v>
      </c>
      <c r="M439" t="s">
        <v>37</v>
      </c>
      <c r="N439">
        <v>1.0389999999999999</v>
      </c>
      <c r="O439">
        <v>1.2471042934476011</v>
      </c>
      <c r="P439">
        <v>6.5022842480755988E-3</v>
      </c>
      <c r="Q439">
        <v>1.0389999999999999</v>
      </c>
      <c r="R439">
        <v>24483.920709999999</v>
      </c>
      <c r="S439" t="s">
        <v>11</v>
      </c>
      <c r="T439">
        <v>1.052</v>
      </c>
      <c r="U439">
        <v>24790.264279999999</v>
      </c>
      <c r="V439">
        <v>-306.34357000000091</v>
      </c>
      <c r="W439">
        <v>-1.2357414448669238E-2</v>
      </c>
    </row>
    <row r="440" spans="1:23" x14ac:dyDescent="0.25">
      <c r="A440" t="s">
        <v>2214</v>
      </c>
      <c r="B440" t="s">
        <v>38</v>
      </c>
      <c r="C440" t="s">
        <v>87</v>
      </c>
      <c r="D440" t="s">
        <v>33</v>
      </c>
      <c r="E440" t="s">
        <v>88</v>
      </c>
      <c r="F440" s="1">
        <v>46237</v>
      </c>
      <c r="G440">
        <v>46267</v>
      </c>
      <c r="H440" t="s">
        <v>6</v>
      </c>
      <c r="I440">
        <v>1886.89</v>
      </c>
      <c r="J440" t="s">
        <v>75</v>
      </c>
      <c r="K440" t="s">
        <v>2215</v>
      </c>
      <c r="L440">
        <v>30</v>
      </c>
      <c r="M440" t="s">
        <v>38</v>
      </c>
      <c r="N440">
        <v>1.1535</v>
      </c>
      <c r="O440">
        <v>1.3470274310137447</v>
      </c>
      <c r="P440">
        <v>6.3824489570076916E-3</v>
      </c>
      <c r="Q440">
        <v>1.1535</v>
      </c>
      <c r="R440">
        <v>2176.527615</v>
      </c>
      <c r="S440" t="s">
        <v>21</v>
      </c>
      <c r="T440">
        <v>1.101</v>
      </c>
      <c r="U440">
        <v>2077.4658899999999</v>
      </c>
      <c r="V440">
        <v>99.061725000000024</v>
      </c>
      <c r="W440">
        <v>4.7683923705722081E-2</v>
      </c>
    </row>
    <row r="441" spans="1:23" x14ac:dyDescent="0.25">
      <c r="A441" t="s">
        <v>2212</v>
      </c>
      <c r="B441" t="s">
        <v>38</v>
      </c>
      <c r="C441" t="s">
        <v>87</v>
      </c>
      <c r="D441" t="s">
        <v>33</v>
      </c>
      <c r="E441" t="s">
        <v>88</v>
      </c>
      <c r="F441" s="1">
        <v>45804</v>
      </c>
      <c r="G441">
        <v>45834</v>
      </c>
      <c r="H441" t="s">
        <v>6</v>
      </c>
      <c r="I441">
        <v>13503.76</v>
      </c>
      <c r="J441" t="s">
        <v>75</v>
      </c>
      <c r="K441" t="s">
        <v>2213</v>
      </c>
      <c r="L441">
        <v>30</v>
      </c>
      <c r="M441" t="s">
        <v>38</v>
      </c>
      <c r="N441">
        <v>1.1355999999999999</v>
      </c>
      <c r="O441">
        <v>1.3549695740365111</v>
      </c>
      <c r="P441">
        <v>6.9362325922306374E-3</v>
      </c>
      <c r="Q441">
        <v>1.1355999999999999</v>
      </c>
      <c r="R441">
        <v>15334.869855999999</v>
      </c>
      <c r="S441" t="s">
        <v>12</v>
      </c>
      <c r="T441">
        <v>1.07</v>
      </c>
      <c r="U441">
        <v>14449.023200000001</v>
      </c>
      <c r="V441">
        <v>885.84665599999789</v>
      </c>
      <c r="W441">
        <v>6.1308411214953118E-2</v>
      </c>
    </row>
    <row r="442" spans="1:23" x14ac:dyDescent="0.25">
      <c r="A442" t="s">
        <v>2210</v>
      </c>
      <c r="B442" t="s">
        <v>25</v>
      </c>
      <c r="C442" t="s">
        <v>169</v>
      </c>
      <c r="D442" t="s">
        <v>31</v>
      </c>
      <c r="E442" t="s">
        <v>124</v>
      </c>
      <c r="F442" s="1">
        <v>46180</v>
      </c>
      <c r="G442">
        <v>46240</v>
      </c>
      <c r="H442" t="s">
        <v>6</v>
      </c>
      <c r="I442">
        <v>58027.65</v>
      </c>
      <c r="J442" t="s">
        <v>75</v>
      </c>
      <c r="K442" t="s">
        <v>2211</v>
      </c>
      <c r="L442">
        <v>60</v>
      </c>
      <c r="M442" t="s">
        <v>25</v>
      </c>
      <c r="N442">
        <v>1.1639999999999999</v>
      </c>
      <c r="O442">
        <v>1.3467078546388531</v>
      </c>
      <c r="P442">
        <v>6.2553740326741179E-3</v>
      </c>
      <c r="Q442">
        <v>1.1639999999999999</v>
      </c>
      <c r="R442">
        <v>67544.184599999993</v>
      </c>
      <c r="S442" t="s">
        <v>19</v>
      </c>
      <c r="T442">
        <v>1.083</v>
      </c>
      <c r="U442">
        <v>62843.944949999997</v>
      </c>
      <c r="V442">
        <v>4700.2396499999959</v>
      </c>
      <c r="W442">
        <v>7.4792243767312958E-2</v>
      </c>
    </row>
    <row r="443" spans="1:23" x14ac:dyDescent="0.25">
      <c r="A443" t="s">
        <v>2208</v>
      </c>
      <c r="B443" t="s">
        <v>37</v>
      </c>
      <c r="C443" t="s">
        <v>91</v>
      </c>
      <c r="D443" t="s">
        <v>31</v>
      </c>
      <c r="E443" t="s">
        <v>74</v>
      </c>
      <c r="F443" s="1">
        <v>46020</v>
      </c>
      <c r="G443">
        <v>46050</v>
      </c>
      <c r="H443" t="s">
        <v>6</v>
      </c>
      <c r="I443">
        <v>6732.16</v>
      </c>
      <c r="J443" t="s">
        <v>75</v>
      </c>
      <c r="K443" t="s">
        <v>2209</v>
      </c>
      <c r="L443">
        <v>30</v>
      </c>
      <c r="M443" t="s">
        <v>37</v>
      </c>
      <c r="N443">
        <v>1.1766000000000001</v>
      </c>
      <c r="O443">
        <v>1.3483841393536558</v>
      </c>
      <c r="P443">
        <v>6.3956079795618858E-3</v>
      </c>
      <c r="Q443">
        <v>1.1766000000000001</v>
      </c>
      <c r="R443">
        <v>7921.0594560000009</v>
      </c>
      <c r="S443" t="s">
        <v>14</v>
      </c>
      <c r="T443">
        <v>1.1060000000000001</v>
      </c>
      <c r="U443">
        <v>7445.7689600000003</v>
      </c>
      <c r="V443">
        <v>475.29049600000053</v>
      </c>
      <c r="W443">
        <v>6.3833634719710736E-2</v>
      </c>
    </row>
    <row r="444" spans="1:23" x14ac:dyDescent="0.25">
      <c r="A444" t="s">
        <v>2206</v>
      </c>
      <c r="B444" t="s">
        <v>34</v>
      </c>
      <c r="C444" t="s">
        <v>177</v>
      </c>
      <c r="D444" t="s">
        <v>31</v>
      </c>
      <c r="E444" t="s">
        <v>74</v>
      </c>
      <c r="F444" s="1">
        <v>46072</v>
      </c>
      <c r="G444">
        <v>46132</v>
      </c>
      <c r="H444" t="s">
        <v>8</v>
      </c>
      <c r="I444">
        <v>7983.46</v>
      </c>
      <c r="J444" t="s">
        <v>75</v>
      </c>
      <c r="K444" t="s">
        <v>2207</v>
      </c>
      <c r="L444">
        <v>60</v>
      </c>
      <c r="M444" t="s">
        <v>34</v>
      </c>
      <c r="N444">
        <v>1.1753</v>
      </c>
      <c r="O444">
        <v>1.3450446326390477</v>
      </c>
      <c r="P444">
        <v>6.4559187036528423E-3</v>
      </c>
      <c r="Q444">
        <v>1.3450446326390477</v>
      </c>
      <c r="R444">
        <v>10738.110022888532</v>
      </c>
      <c r="S444" t="s">
        <v>16</v>
      </c>
      <c r="T444">
        <v>1.2490000000000001</v>
      </c>
      <c r="U444">
        <v>9971.3415400000013</v>
      </c>
      <c r="V444">
        <v>766.76848288853034</v>
      </c>
      <c r="W444">
        <v>7.6897223890350294E-2</v>
      </c>
    </row>
    <row r="445" spans="1:23" x14ac:dyDescent="0.25">
      <c r="A445" t="s">
        <v>2204</v>
      </c>
      <c r="B445" t="s">
        <v>28</v>
      </c>
      <c r="C445" t="s">
        <v>111</v>
      </c>
      <c r="D445" t="s">
        <v>31</v>
      </c>
      <c r="E445" t="s">
        <v>74</v>
      </c>
      <c r="F445" s="1">
        <v>45809</v>
      </c>
      <c r="G445">
        <v>45854</v>
      </c>
      <c r="H445" t="s">
        <v>9</v>
      </c>
      <c r="I445">
        <v>3950421.68</v>
      </c>
      <c r="J445" t="s">
        <v>75</v>
      </c>
      <c r="K445" t="s">
        <v>2205</v>
      </c>
      <c r="L445">
        <v>45</v>
      </c>
      <c r="M445" t="s">
        <v>28</v>
      </c>
      <c r="N445">
        <v>1.1711</v>
      </c>
      <c r="O445">
        <v>1.3568532035685321</v>
      </c>
      <c r="P445">
        <v>6.790166405751725E-3</v>
      </c>
      <c r="Q445">
        <v>6.790166405751725E-3</v>
      </c>
      <c r="R445">
        <v>26824.020580089291</v>
      </c>
      <c r="S445" t="s">
        <v>12</v>
      </c>
      <c r="T445">
        <v>6.7000000000000002E-3</v>
      </c>
      <c r="U445">
        <v>26467.825256000004</v>
      </c>
      <c r="V445">
        <v>356.19532408928717</v>
      </c>
      <c r="W445">
        <v>1.3457672500257312E-2</v>
      </c>
    </row>
    <row r="446" spans="1:23" x14ac:dyDescent="0.25">
      <c r="A446" t="s">
        <v>2202</v>
      </c>
      <c r="B446" t="s">
        <v>34</v>
      </c>
      <c r="C446" t="s">
        <v>177</v>
      </c>
      <c r="D446" t="s">
        <v>31</v>
      </c>
      <c r="E446" t="s">
        <v>74</v>
      </c>
      <c r="F446" s="1">
        <v>45702</v>
      </c>
      <c r="G446">
        <v>45762</v>
      </c>
      <c r="H446" t="s">
        <v>8</v>
      </c>
      <c r="I446">
        <v>15213.98</v>
      </c>
      <c r="J446" t="s">
        <v>75</v>
      </c>
      <c r="K446" t="s">
        <v>2203</v>
      </c>
      <c r="L446">
        <v>60</v>
      </c>
      <c r="M446" t="s">
        <v>34</v>
      </c>
      <c r="N446">
        <v>1.0478000000000001</v>
      </c>
      <c r="O446">
        <v>1.2591479901460074</v>
      </c>
      <c r="P446">
        <v>6.5450683990255481E-3</v>
      </c>
      <c r="Q446">
        <v>1.2591479901460074</v>
      </c>
      <c r="R446">
        <v>19156.652339121552</v>
      </c>
      <c r="S446" t="s">
        <v>11</v>
      </c>
      <c r="T446">
        <v>1.238</v>
      </c>
      <c r="U446">
        <v>18834.90724</v>
      </c>
      <c r="V446">
        <v>321.7450991215519</v>
      </c>
      <c r="W446">
        <v>1.7082382993543848E-2</v>
      </c>
    </row>
    <row r="447" spans="1:23" x14ac:dyDescent="0.25">
      <c r="A447" t="s">
        <v>2200</v>
      </c>
      <c r="B447" t="s">
        <v>25</v>
      </c>
      <c r="C447" t="s">
        <v>169</v>
      </c>
      <c r="D447" t="s">
        <v>31</v>
      </c>
      <c r="E447" t="s">
        <v>124</v>
      </c>
      <c r="F447" s="1">
        <v>46068</v>
      </c>
      <c r="G447">
        <v>46128</v>
      </c>
      <c r="H447" t="s">
        <v>6</v>
      </c>
      <c r="I447">
        <v>64984.79</v>
      </c>
      <c r="J447" t="s">
        <v>75</v>
      </c>
      <c r="K447" t="s">
        <v>2201</v>
      </c>
      <c r="L447">
        <v>60</v>
      </c>
      <c r="M447" t="s">
        <v>25</v>
      </c>
      <c r="N447">
        <v>1.1555</v>
      </c>
      <c r="O447">
        <v>1.3367963164349013</v>
      </c>
      <c r="P447">
        <v>6.2983756677204832E-3</v>
      </c>
      <c r="Q447">
        <v>1.1555</v>
      </c>
      <c r="R447">
        <v>75089.924845000001</v>
      </c>
      <c r="S447" t="s">
        <v>16</v>
      </c>
      <c r="T447">
        <v>1.0649999999999999</v>
      </c>
      <c r="U447">
        <v>69208.801349999994</v>
      </c>
      <c r="V447">
        <v>5881.1234950000071</v>
      </c>
      <c r="W447">
        <v>8.4976525821596358E-2</v>
      </c>
    </row>
    <row r="448" spans="1:23" x14ac:dyDescent="0.25">
      <c r="A448" t="s">
        <v>2198</v>
      </c>
      <c r="B448" t="s">
        <v>26</v>
      </c>
      <c r="C448" t="s">
        <v>94</v>
      </c>
      <c r="D448" t="s">
        <v>31</v>
      </c>
      <c r="E448" t="s">
        <v>74</v>
      </c>
      <c r="F448" s="1">
        <v>46228</v>
      </c>
      <c r="G448">
        <v>46258</v>
      </c>
      <c r="H448" t="s">
        <v>8</v>
      </c>
      <c r="I448">
        <v>17541.259999999998</v>
      </c>
      <c r="J448" t="s">
        <v>75</v>
      </c>
      <c r="K448" t="s">
        <v>2199</v>
      </c>
      <c r="L448">
        <v>30</v>
      </c>
      <c r="M448" t="s">
        <v>26</v>
      </c>
      <c r="N448">
        <v>1.1376999999999999</v>
      </c>
      <c r="O448">
        <v>1.3323886260364455</v>
      </c>
      <c r="P448">
        <v>6.1041957291554884E-3</v>
      </c>
      <c r="Q448">
        <v>1.3323886260364455</v>
      </c>
      <c r="R448">
        <v>23371.775310348057</v>
      </c>
      <c r="S448" t="s">
        <v>21</v>
      </c>
      <c r="T448">
        <v>1.2929999999999999</v>
      </c>
      <c r="U448">
        <v>22680.849179999997</v>
      </c>
      <c r="V448">
        <v>690.92613034805981</v>
      </c>
      <c r="W448">
        <v>3.0462974506145008E-2</v>
      </c>
    </row>
    <row r="449" spans="1:23" x14ac:dyDescent="0.25">
      <c r="A449" t="s">
        <v>2196</v>
      </c>
      <c r="B449" t="s">
        <v>40</v>
      </c>
      <c r="C449" t="s">
        <v>78</v>
      </c>
      <c r="D449" t="s">
        <v>33</v>
      </c>
      <c r="E449" t="s">
        <v>79</v>
      </c>
      <c r="F449" s="1">
        <v>46207</v>
      </c>
      <c r="G449">
        <v>46237</v>
      </c>
      <c r="H449" t="s">
        <v>9</v>
      </c>
      <c r="I449">
        <v>235455.1</v>
      </c>
      <c r="J449" t="s">
        <v>75</v>
      </c>
      <c r="K449" t="s">
        <v>2197</v>
      </c>
      <c r="L449">
        <v>30</v>
      </c>
      <c r="M449" t="s">
        <v>40</v>
      </c>
      <c r="N449">
        <v>1.1448</v>
      </c>
      <c r="O449">
        <v>1.3355109659356044</v>
      </c>
      <c r="P449">
        <v>6.2055507372072863E-3</v>
      </c>
      <c r="Q449">
        <v>6.2055507372072863E-3</v>
      </c>
      <c r="R449">
        <v>1461.1285693842153</v>
      </c>
      <c r="S449" t="s">
        <v>21</v>
      </c>
      <c r="T449">
        <v>6.7400000000000003E-3</v>
      </c>
      <c r="U449">
        <v>1586.9673740000001</v>
      </c>
      <c r="V449">
        <v>-125.83880461578474</v>
      </c>
      <c r="W449">
        <v>-7.9295142847583669E-2</v>
      </c>
    </row>
    <row r="450" spans="1:23" x14ac:dyDescent="0.25">
      <c r="A450" t="s">
        <v>2194</v>
      </c>
      <c r="B450" t="s">
        <v>28</v>
      </c>
      <c r="C450" t="s">
        <v>111</v>
      </c>
      <c r="D450" t="s">
        <v>31</v>
      </c>
      <c r="E450" t="s">
        <v>74</v>
      </c>
      <c r="F450" s="1">
        <v>45965</v>
      </c>
      <c r="G450">
        <v>46010</v>
      </c>
      <c r="H450" t="s">
        <v>9</v>
      </c>
      <c r="I450">
        <v>2661181.08</v>
      </c>
      <c r="J450" t="s">
        <v>75</v>
      </c>
      <c r="K450" t="s">
        <v>2195</v>
      </c>
      <c r="L450">
        <v>45</v>
      </c>
      <c r="M450" t="s">
        <v>28</v>
      </c>
      <c r="N450">
        <v>1.1491</v>
      </c>
      <c r="O450">
        <v>1.3065378055713475</v>
      </c>
      <c r="P450">
        <v>6.5145416406825786E-3</v>
      </c>
      <c r="Q450">
        <v>6.5145416406825786E-3</v>
      </c>
      <c r="R450">
        <v>17336.374959056637</v>
      </c>
      <c r="S450" t="s">
        <v>14</v>
      </c>
      <c r="T450">
        <v>6.9800000000000001E-3</v>
      </c>
      <c r="U450">
        <v>18575.043938400002</v>
      </c>
      <c r="V450">
        <v>-1238.6689793433652</v>
      </c>
      <c r="W450">
        <v>-6.6684578698771063E-2</v>
      </c>
    </row>
    <row r="451" spans="1:23" x14ac:dyDescent="0.25">
      <c r="A451" t="s">
        <v>2192</v>
      </c>
      <c r="B451" t="s">
        <v>42</v>
      </c>
      <c r="C451" t="s">
        <v>151</v>
      </c>
      <c r="D451" t="s">
        <v>35</v>
      </c>
      <c r="E451" t="s">
        <v>152</v>
      </c>
      <c r="F451" s="1">
        <v>45961</v>
      </c>
      <c r="G451">
        <v>45991</v>
      </c>
      <c r="H451" t="s">
        <v>8</v>
      </c>
      <c r="I451">
        <v>5987.04</v>
      </c>
      <c r="J451" t="s">
        <v>75</v>
      </c>
      <c r="K451" t="s">
        <v>2193</v>
      </c>
      <c r="L451">
        <v>30</v>
      </c>
      <c r="M451" t="s">
        <v>42</v>
      </c>
      <c r="N451">
        <v>1.1554</v>
      </c>
      <c r="O451">
        <v>1.3105716878402902</v>
      </c>
      <c r="P451">
        <v>6.4859099584596387E-3</v>
      </c>
      <c r="Q451">
        <v>1.3105716878402902</v>
      </c>
      <c r="R451">
        <v>7846.4451179673315</v>
      </c>
      <c r="S451" t="s">
        <v>14</v>
      </c>
      <c r="T451">
        <v>1.304</v>
      </c>
      <c r="U451">
        <v>7807.10016</v>
      </c>
      <c r="V451">
        <v>39.344957967331538</v>
      </c>
      <c r="W451">
        <v>5.0396379143330394E-3</v>
      </c>
    </row>
    <row r="452" spans="1:23" x14ac:dyDescent="0.25">
      <c r="A452" t="s">
        <v>2190</v>
      </c>
      <c r="B452" t="s">
        <v>36</v>
      </c>
      <c r="C452" t="s">
        <v>116</v>
      </c>
      <c r="D452" t="s">
        <v>31</v>
      </c>
      <c r="E452" t="s">
        <v>74</v>
      </c>
      <c r="F452" s="1">
        <v>46302</v>
      </c>
      <c r="G452">
        <v>46347</v>
      </c>
      <c r="H452" t="s">
        <v>6</v>
      </c>
      <c r="I452">
        <v>15784.72</v>
      </c>
      <c r="J452" t="s">
        <v>84</v>
      </c>
      <c r="K452" t="s">
        <v>2191</v>
      </c>
      <c r="L452">
        <v>45</v>
      </c>
      <c r="M452" t="s">
        <v>36</v>
      </c>
      <c r="N452">
        <v>1.1176999999999999</v>
      </c>
      <c r="O452">
        <v>1.320456022210408</v>
      </c>
      <c r="P452">
        <v>6.3200452360757699E-3</v>
      </c>
      <c r="Q452">
        <v>1.1176999999999999</v>
      </c>
      <c r="R452">
        <v>17642.581543999997</v>
      </c>
      <c r="S452" t="s">
        <v>23</v>
      </c>
      <c r="T452">
        <v>1.119</v>
      </c>
      <c r="U452">
        <v>17663.10168</v>
      </c>
      <c r="V452">
        <v>-20.520136000002822</v>
      </c>
      <c r="W452">
        <v>-1.1617515638964958E-3</v>
      </c>
    </row>
    <row r="453" spans="1:23" x14ac:dyDescent="0.25">
      <c r="A453" t="s">
        <v>2188</v>
      </c>
      <c r="B453" t="s">
        <v>26</v>
      </c>
      <c r="C453" t="s">
        <v>94</v>
      </c>
      <c r="D453" t="s">
        <v>31</v>
      </c>
      <c r="E453" t="s">
        <v>74</v>
      </c>
      <c r="F453" s="1">
        <v>45753</v>
      </c>
      <c r="G453">
        <v>45783</v>
      </c>
      <c r="H453" t="s">
        <v>8</v>
      </c>
      <c r="I453">
        <v>6669.31</v>
      </c>
      <c r="J453" t="s">
        <v>75</v>
      </c>
      <c r="K453" t="s">
        <v>2189</v>
      </c>
      <c r="L453">
        <v>30</v>
      </c>
      <c r="M453" t="s">
        <v>26</v>
      </c>
      <c r="N453">
        <v>1.1355999999999999</v>
      </c>
      <c r="O453">
        <v>1.3549695740365111</v>
      </c>
      <c r="P453">
        <v>6.9362325922306374E-3</v>
      </c>
      <c r="Q453">
        <v>1.3549695740365111</v>
      </c>
      <c r="R453">
        <v>9036.7121298174443</v>
      </c>
      <c r="S453" t="s">
        <v>12</v>
      </c>
      <c r="T453">
        <v>1.26</v>
      </c>
      <c r="U453">
        <v>8403.3306000000011</v>
      </c>
      <c r="V453">
        <v>633.38152981744315</v>
      </c>
      <c r="W453">
        <v>7.5372677806754745E-2</v>
      </c>
    </row>
    <row r="454" spans="1:23" x14ac:dyDescent="0.25">
      <c r="A454" t="s">
        <v>2186</v>
      </c>
      <c r="B454" t="s">
        <v>37</v>
      </c>
      <c r="C454" t="s">
        <v>91</v>
      </c>
      <c r="D454" t="s">
        <v>31</v>
      </c>
      <c r="E454" t="s">
        <v>74</v>
      </c>
      <c r="F454" s="1">
        <v>45905</v>
      </c>
      <c r="G454">
        <v>45935</v>
      </c>
      <c r="H454" t="s">
        <v>6</v>
      </c>
      <c r="I454">
        <v>21243.5</v>
      </c>
      <c r="J454" t="s">
        <v>75</v>
      </c>
      <c r="K454" t="s">
        <v>2187</v>
      </c>
      <c r="L454">
        <v>30</v>
      </c>
      <c r="M454" t="s">
        <v>37</v>
      </c>
      <c r="N454">
        <v>1.1697</v>
      </c>
      <c r="O454">
        <v>1.347891219174925</v>
      </c>
      <c r="P454">
        <v>6.7577560806516834E-3</v>
      </c>
      <c r="Q454">
        <v>1.1697</v>
      </c>
      <c r="R454">
        <v>24848.521949999998</v>
      </c>
      <c r="S454" t="s">
        <v>13</v>
      </c>
      <c r="T454">
        <v>1.0880000000000001</v>
      </c>
      <c r="U454">
        <v>23112.928</v>
      </c>
      <c r="V454">
        <v>1735.5939499999986</v>
      </c>
      <c r="W454">
        <v>7.5091911764705824E-2</v>
      </c>
    </row>
    <row r="455" spans="1:23" x14ac:dyDescent="0.25">
      <c r="A455" t="s">
        <v>2184</v>
      </c>
      <c r="B455" t="s">
        <v>28</v>
      </c>
      <c r="C455" t="s">
        <v>111</v>
      </c>
      <c r="D455" t="s">
        <v>31</v>
      </c>
      <c r="E455" t="s">
        <v>74</v>
      </c>
      <c r="F455" s="1">
        <v>46179</v>
      </c>
      <c r="G455">
        <v>46224</v>
      </c>
      <c r="H455" t="s">
        <v>9</v>
      </c>
      <c r="I455">
        <v>3782364.89</v>
      </c>
      <c r="J455" t="s">
        <v>75</v>
      </c>
      <c r="K455" t="s">
        <v>2185</v>
      </c>
      <c r="L455">
        <v>45</v>
      </c>
      <c r="M455" t="s">
        <v>28</v>
      </c>
      <c r="N455">
        <v>1.1639999999999999</v>
      </c>
      <c r="O455">
        <v>1.3467078546388531</v>
      </c>
      <c r="P455">
        <v>6.2553740326741179E-3</v>
      </c>
      <c r="Q455">
        <v>6.2553740326741179E-3</v>
      </c>
      <c r="R455">
        <v>23660.107115004299</v>
      </c>
      <c r="S455" t="s">
        <v>19</v>
      </c>
      <c r="T455">
        <v>6.6E-3</v>
      </c>
      <c r="U455">
        <v>24963.608274000002</v>
      </c>
      <c r="V455">
        <v>-1303.501158995703</v>
      </c>
      <c r="W455">
        <v>-5.2216055655436654E-2</v>
      </c>
    </row>
    <row r="456" spans="1:23" x14ac:dyDescent="0.25">
      <c r="A456" t="s">
        <v>2182</v>
      </c>
      <c r="B456" t="s">
        <v>36</v>
      </c>
      <c r="C456" t="s">
        <v>116</v>
      </c>
      <c r="D456" t="s">
        <v>31</v>
      </c>
      <c r="E456" t="s">
        <v>74</v>
      </c>
      <c r="F456" s="1">
        <v>46110</v>
      </c>
      <c r="G456">
        <v>46155</v>
      </c>
      <c r="H456" t="s">
        <v>6</v>
      </c>
      <c r="I456">
        <v>21994.37</v>
      </c>
      <c r="J456" t="s">
        <v>75</v>
      </c>
      <c r="K456" t="s">
        <v>2183</v>
      </c>
      <c r="L456">
        <v>45</v>
      </c>
      <c r="M456" t="s">
        <v>36</v>
      </c>
      <c r="N456">
        <v>1.1516999999999999</v>
      </c>
      <c r="O456">
        <v>1.3280673431734318</v>
      </c>
      <c r="P456">
        <v>6.2538010425716769E-3</v>
      </c>
      <c r="Q456">
        <v>1.1516999999999999</v>
      </c>
      <c r="R456">
        <v>25330.915928999999</v>
      </c>
      <c r="S456" t="s">
        <v>16</v>
      </c>
      <c r="T456">
        <v>1.0649999999999999</v>
      </c>
      <c r="U456">
        <v>23424.00405</v>
      </c>
      <c r="V456">
        <v>1906.9118789999993</v>
      </c>
      <c r="W456">
        <v>8.1408450704225324E-2</v>
      </c>
    </row>
    <row r="457" spans="1:23" x14ac:dyDescent="0.25">
      <c r="A457" t="s">
        <v>2180</v>
      </c>
      <c r="B457" t="s">
        <v>42</v>
      </c>
      <c r="C457" t="s">
        <v>151</v>
      </c>
      <c r="D457" t="s">
        <v>35</v>
      </c>
      <c r="E457" t="s">
        <v>152</v>
      </c>
      <c r="F457" s="1">
        <v>45754</v>
      </c>
      <c r="G457">
        <v>45784</v>
      </c>
      <c r="H457" t="s">
        <v>8</v>
      </c>
      <c r="I457">
        <v>5287.14</v>
      </c>
      <c r="J457" t="s">
        <v>75</v>
      </c>
      <c r="K457" t="s">
        <v>2181</v>
      </c>
      <c r="L457">
        <v>30</v>
      </c>
      <c r="M457" t="s">
        <v>42</v>
      </c>
      <c r="N457">
        <v>1.0967</v>
      </c>
      <c r="O457">
        <v>1.2813712202645231</v>
      </c>
      <c r="P457">
        <v>6.8296176360692481E-3</v>
      </c>
      <c r="Q457">
        <v>1.2813712202645231</v>
      </c>
      <c r="R457">
        <v>6774.7890335093707</v>
      </c>
      <c r="S457" t="s">
        <v>12</v>
      </c>
      <c r="T457">
        <v>1.26</v>
      </c>
      <c r="U457">
        <v>6661.7964000000002</v>
      </c>
      <c r="V457">
        <v>112.99263350937053</v>
      </c>
      <c r="W457">
        <v>1.6961285924224662E-2</v>
      </c>
    </row>
    <row r="458" spans="1:23" x14ac:dyDescent="0.25">
      <c r="A458" t="s">
        <v>2178</v>
      </c>
      <c r="B458" t="s">
        <v>30</v>
      </c>
      <c r="C458" t="s">
        <v>103</v>
      </c>
      <c r="D458" t="s">
        <v>31</v>
      </c>
      <c r="E458" t="s">
        <v>74</v>
      </c>
      <c r="F458" s="1">
        <v>46111</v>
      </c>
      <c r="G458">
        <v>46141</v>
      </c>
      <c r="H458" t="s">
        <v>9</v>
      </c>
      <c r="I458">
        <v>488494.56</v>
      </c>
      <c r="J458" t="s">
        <v>75</v>
      </c>
      <c r="K458" t="s">
        <v>2179</v>
      </c>
      <c r="L458">
        <v>30</v>
      </c>
      <c r="M458" t="s">
        <v>30</v>
      </c>
      <c r="N458">
        <v>1.1484000000000001</v>
      </c>
      <c r="O458">
        <v>1.3229957489948505</v>
      </c>
      <c r="P458">
        <v>6.2712975098296198E-3</v>
      </c>
      <c r="Q458">
        <v>6.2712975098296198E-3</v>
      </c>
      <c r="R458">
        <v>3063.4947176933156</v>
      </c>
      <c r="S458" t="s">
        <v>16</v>
      </c>
      <c r="T458">
        <v>6.4599999999999996E-3</v>
      </c>
      <c r="U458">
        <v>3155.6748576</v>
      </c>
      <c r="V458">
        <v>-92.180139906684417</v>
      </c>
      <c r="W458">
        <v>-2.9210911791080596E-2</v>
      </c>
    </row>
    <row r="459" spans="1:23" x14ac:dyDescent="0.25">
      <c r="A459" t="s">
        <v>2176</v>
      </c>
      <c r="B459" t="s">
        <v>24</v>
      </c>
      <c r="C459" t="s">
        <v>73</v>
      </c>
      <c r="D459" t="s">
        <v>31</v>
      </c>
      <c r="E459" t="s">
        <v>74</v>
      </c>
      <c r="F459" s="1">
        <v>46214</v>
      </c>
      <c r="G459">
        <v>46244</v>
      </c>
      <c r="H459" t="s">
        <v>6</v>
      </c>
      <c r="I459">
        <v>37538.07</v>
      </c>
      <c r="J459" t="s">
        <v>75</v>
      </c>
      <c r="K459" t="s">
        <v>2177</v>
      </c>
      <c r="L459">
        <v>30</v>
      </c>
      <c r="M459" t="s">
        <v>24</v>
      </c>
      <c r="N459">
        <v>1.143</v>
      </c>
      <c r="O459">
        <v>1.3422582349832657</v>
      </c>
      <c r="P459">
        <v>6.1777105177818611E-3</v>
      </c>
      <c r="Q459">
        <v>1.143</v>
      </c>
      <c r="R459">
        <v>42906.014009999999</v>
      </c>
      <c r="S459" t="s">
        <v>21</v>
      </c>
      <c r="T459">
        <v>1.101</v>
      </c>
      <c r="U459">
        <v>41329.415069999995</v>
      </c>
      <c r="V459">
        <v>1576.5989400000035</v>
      </c>
      <c r="W459">
        <v>3.8147138964577748E-2</v>
      </c>
    </row>
    <row r="460" spans="1:23" x14ac:dyDescent="0.25">
      <c r="A460" t="s">
        <v>2174</v>
      </c>
      <c r="B460" t="s">
        <v>43</v>
      </c>
      <c r="C460" t="s">
        <v>215</v>
      </c>
      <c r="D460" t="s">
        <v>35</v>
      </c>
      <c r="E460" t="s">
        <v>152</v>
      </c>
      <c r="F460" s="1">
        <v>46273</v>
      </c>
      <c r="G460">
        <v>46303</v>
      </c>
      <c r="H460" t="s">
        <v>6</v>
      </c>
      <c r="I460">
        <v>9646.1299999999992</v>
      </c>
      <c r="J460" t="s">
        <v>75</v>
      </c>
      <c r="K460" t="s">
        <v>2175</v>
      </c>
      <c r="L460">
        <v>30</v>
      </c>
      <c r="M460" t="s">
        <v>43</v>
      </c>
      <c r="N460">
        <v>1.1614</v>
      </c>
      <c r="O460">
        <v>1.3545602985770935</v>
      </c>
      <c r="P460">
        <v>6.4810267857142861E-3</v>
      </c>
      <c r="Q460">
        <v>1.1614</v>
      </c>
      <c r="R460">
        <v>11203.015382</v>
      </c>
      <c r="S460" t="s">
        <v>21</v>
      </c>
      <c r="T460">
        <v>1.101</v>
      </c>
      <c r="U460">
        <v>10620.38913</v>
      </c>
      <c r="V460">
        <v>582.62625200000002</v>
      </c>
      <c r="W460">
        <v>5.4859218891916445E-2</v>
      </c>
    </row>
    <row r="461" spans="1:23" x14ac:dyDescent="0.25">
      <c r="A461" t="s">
        <v>2172</v>
      </c>
      <c r="B461" t="s">
        <v>26</v>
      </c>
      <c r="C461" t="s">
        <v>94</v>
      </c>
      <c r="D461" t="s">
        <v>31</v>
      </c>
      <c r="E461" t="s">
        <v>74</v>
      </c>
      <c r="F461" s="1">
        <v>46337</v>
      </c>
      <c r="G461">
        <v>46367</v>
      </c>
      <c r="H461" t="s">
        <v>8</v>
      </c>
      <c r="I461">
        <v>36306.82</v>
      </c>
      <c r="J461" t="s">
        <v>84</v>
      </c>
      <c r="K461" t="s">
        <v>2173</v>
      </c>
      <c r="L461">
        <v>30</v>
      </c>
      <c r="M461" t="s">
        <v>26</v>
      </c>
      <c r="N461">
        <v>1.1176999999999999</v>
      </c>
      <c r="O461">
        <v>1.320456022210408</v>
      </c>
      <c r="P461">
        <v>6.3200452360757699E-3</v>
      </c>
      <c r="Q461">
        <v>1.320456022210408</v>
      </c>
      <c r="R461">
        <v>47941.559116309283</v>
      </c>
      <c r="S461" t="s">
        <v>23</v>
      </c>
      <c r="T461">
        <v>1.3149999999999999</v>
      </c>
      <c r="U461">
        <v>47743.4683</v>
      </c>
      <c r="V461">
        <v>198.09081630928267</v>
      </c>
      <c r="W461">
        <v>4.1490663197018447E-3</v>
      </c>
    </row>
    <row r="462" spans="1:23" x14ac:dyDescent="0.25">
      <c r="A462" t="s">
        <v>2170</v>
      </c>
      <c r="B462" t="s">
        <v>32</v>
      </c>
      <c r="C462" t="s">
        <v>106</v>
      </c>
      <c r="D462" t="s">
        <v>31</v>
      </c>
      <c r="E462" t="s">
        <v>74</v>
      </c>
      <c r="F462" s="1">
        <v>45761</v>
      </c>
      <c r="G462">
        <v>45791</v>
      </c>
      <c r="H462" t="s">
        <v>6</v>
      </c>
      <c r="I462">
        <v>5681.2</v>
      </c>
      <c r="J462" t="s">
        <v>75</v>
      </c>
      <c r="K462" t="s">
        <v>2171</v>
      </c>
      <c r="L462">
        <v>30</v>
      </c>
      <c r="M462" t="s">
        <v>32</v>
      </c>
      <c r="N462">
        <v>1.1376999999999999</v>
      </c>
      <c r="O462">
        <v>1.3170415475267123</v>
      </c>
      <c r="P462">
        <v>6.981039455114438E-3</v>
      </c>
      <c r="Q462">
        <v>1.1376999999999999</v>
      </c>
      <c r="R462">
        <v>6463.5012399999996</v>
      </c>
      <c r="S462" t="s">
        <v>12</v>
      </c>
      <c r="T462">
        <v>1.07</v>
      </c>
      <c r="U462">
        <v>6078.884</v>
      </c>
      <c r="V462">
        <v>384.61723999999958</v>
      </c>
      <c r="W462">
        <v>6.3271028037383104E-2</v>
      </c>
    </row>
    <row r="463" spans="1:23" x14ac:dyDescent="0.25">
      <c r="A463" t="s">
        <v>2168</v>
      </c>
      <c r="B463" t="s">
        <v>34</v>
      </c>
      <c r="C463" t="s">
        <v>177</v>
      </c>
      <c r="D463" t="s">
        <v>31</v>
      </c>
      <c r="E463" t="s">
        <v>74</v>
      </c>
      <c r="F463" s="1">
        <v>46333</v>
      </c>
      <c r="G463">
        <v>46393</v>
      </c>
      <c r="H463" t="s">
        <v>8</v>
      </c>
      <c r="I463">
        <v>5445.21</v>
      </c>
      <c r="J463" t="s">
        <v>84</v>
      </c>
      <c r="K463" t="s">
        <v>2169</v>
      </c>
      <c r="L463">
        <v>60</v>
      </c>
      <c r="M463" t="s">
        <v>34</v>
      </c>
      <c r="N463">
        <v>1.1176999999999999</v>
      </c>
      <c r="O463">
        <v>1.320456022210408</v>
      </c>
      <c r="P463">
        <v>6.3200452360757699E-3</v>
      </c>
      <c r="Q463">
        <v>1.320456022210408</v>
      </c>
      <c r="R463">
        <v>7190.1603367003363</v>
      </c>
      <c r="S463" t="s">
        <v>23</v>
      </c>
      <c r="T463">
        <v>1.3149999999999999</v>
      </c>
      <c r="U463">
        <v>7160.4511499999999</v>
      </c>
      <c r="V463">
        <v>29.709186700336431</v>
      </c>
      <c r="W463">
        <v>4.1490663197019974E-3</v>
      </c>
    </row>
    <row r="464" spans="1:23" x14ac:dyDescent="0.25">
      <c r="A464" t="s">
        <v>2166</v>
      </c>
      <c r="B464" t="s">
        <v>26</v>
      </c>
      <c r="C464" t="s">
        <v>94</v>
      </c>
      <c r="D464" t="s">
        <v>31</v>
      </c>
      <c r="E464" t="s">
        <v>74</v>
      </c>
      <c r="F464" s="1">
        <v>46113</v>
      </c>
      <c r="G464">
        <v>46143</v>
      </c>
      <c r="H464" t="s">
        <v>8</v>
      </c>
      <c r="I464">
        <v>23077.21</v>
      </c>
      <c r="J464" t="s">
        <v>75</v>
      </c>
      <c r="K464" t="s">
        <v>2167</v>
      </c>
      <c r="L464">
        <v>30</v>
      </c>
      <c r="M464" t="s">
        <v>26</v>
      </c>
      <c r="N464">
        <v>1.1605000000000001</v>
      </c>
      <c r="O464">
        <v>1.3321777461458109</v>
      </c>
      <c r="P464">
        <v>6.3163337506123123E-3</v>
      </c>
      <c r="Q464">
        <v>1.3321777461458109</v>
      </c>
      <c r="R464">
        <v>30742.945605133566</v>
      </c>
      <c r="S464" t="s">
        <v>19</v>
      </c>
      <c r="T464">
        <v>1.2709999999999999</v>
      </c>
      <c r="U464">
        <v>29331.133909999997</v>
      </c>
      <c r="V464">
        <v>1411.8116951335687</v>
      </c>
      <c r="W464">
        <v>4.8133553222510547E-2</v>
      </c>
    </row>
    <row r="465" spans="1:23" x14ac:dyDescent="0.25">
      <c r="A465" t="s">
        <v>2164</v>
      </c>
      <c r="B465" t="s">
        <v>26</v>
      </c>
      <c r="C465" t="s">
        <v>94</v>
      </c>
      <c r="D465" t="s">
        <v>31</v>
      </c>
      <c r="E465" t="s">
        <v>74</v>
      </c>
      <c r="F465" s="1">
        <v>45703</v>
      </c>
      <c r="G465">
        <v>45733</v>
      </c>
      <c r="H465" t="s">
        <v>8</v>
      </c>
      <c r="I465">
        <v>6892.21</v>
      </c>
      <c r="J465" t="s">
        <v>75</v>
      </c>
      <c r="K465" t="s">
        <v>2165</v>
      </c>
      <c r="L465">
        <v>30</v>
      </c>
      <c r="M465" t="s">
        <v>26</v>
      </c>
      <c r="N465">
        <v>1.083</v>
      </c>
      <c r="O465">
        <v>1.2927021413736304</v>
      </c>
      <c r="P465">
        <v>6.741782868525897E-3</v>
      </c>
      <c r="Q465">
        <v>1.2927021413736304</v>
      </c>
      <c r="R465">
        <v>8909.5746257967494</v>
      </c>
      <c r="S465" t="s">
        <v>11</v>
      </c>
      <c r="T465">
        <v>1.238</v>
      </c>
      <c r="U465">
        <v>8532.5559799999992</v>
      </c>
      <c r="V465">
        <v>377.01864579675021</v>
      </c>
      <c r="W465">
        <v>4.4185897716987527E-2</v>
      </c>
    </row>
    <row r="466" spans="1:23" x14ac:dyDescent="0.25">
      <c r="A466" t="s">
        <v>2162</v>
      </c>
      <c r="B466" t="s">
        <v>34</v>
      </c>
      <c r="C466" t="s">
        <v>177</v>
      </c>
      <c r="D466" t="s">
        <v>31</v>
      </c>
      <c r="E466" t="s">
        <v>74</v>
      </c>
      <c r="F466" s="1">
        <v>45853</v>
      </c>
      <c r="G466">
        <v>45913</v>
      </c>
      <c r="H466" t="s">
        <v>8</v>
      </c>
      <c r="I466">
        <v>21324.92</v>
      </c>
      <c r="J466" t="s">
        <v>75</v>
      </c>
      <c r="K466" t="s">
        <v>2163</v>
      </c>
      <c r="L466">
        <v>60</v>
      </c>
      <c r="M466" t="s">
        <v>34</v>
      </c>
      <c r="N466">
        <v>1.1665000000000001</v>
      </c>
      <c r="O466">
        <v>1.3440488535545572</v>
      </c>
      <c r="P466">
        <v>6.7591841464827909E-3</v>
      </c>
      <c r="Q466">
        <v>1.3440488535545572</v>
      </c>
      <c r="R466">
        <v>28661.734278142645</v>
      </c>
      <c r="S466" t="s">
        <v>13</v>
      </c>
      <c r="T466">
        <v>1.282</v>
      </c>
      <c r="U466">
        <v>27338.547439999998</v>
      </c>
      <c r="V466">
        <v>1323.1868381426466</v>
      </c>
      <c r="W466">
        <v>4.8400041774225536E-2</v>
      </c>
    </row>
    <row r="467" spans="1:23" x14ac:dyDescent="0.25">
      <c r="A467" t="s">
        <v>2160</v>
      </c>
      <c r="B467" t="s">
        <v>41</v>
      </c>
      <c r="C467" t="s">
        <v>172</v>
      </c>
      <c r="D467" t="s">
        <v>33</v>
      </c>
      <c r="E467" t="s">
        <v>83</v>
      </c>
      <c r="F467" s="1">
        <v>46284</v>
      </c>
      <c r="G467">
        <v>46314</v>
      </c>
      <c r="H467" t="s">
        <v>9</v>
      </c>
      <c r="I467">
        <v>732412.82</v>
      </c>
      <c r="J467" t="s">
        <v>75</v>
      </c>
      <c r="K467" t="s">
        <v>2161</v>
      </c>
      <c r="L467">
        <v>30</v>
      </c>
      <c r="M467" t="s">
        <v>41</v>
      </c>
      <c r="N467">
        <v>1.1459999999999999</v>
      </c>
      <c r="O467">
        <v>1.3344201210992082</v>
      </c>
      <c r="P467">
        <v>6.3335912457168119E-3</v>
      </c>
      <c r="Q467">
        <v>6.3335912457168119E-3</v>
      </c>
      <c r="R467">
        <v>4638.8034250027631</v>
      </c>
      <c r="S467" t="s">
        <v>21</v>
      </c>
      <c r="T467">
        <v>6.7400000000000003E-3</v>
      </c>
      <c r="U467">
        <v>4936.4624068000003</v>
      </c>
      <c r="V467">
        <v>-297.65898179723717</v>
      </c>
      <c r="W467">
        <v>-6.0298034760116984E-2</v>
      </c>
    </row>
    <row r="468" spans="1:23" x14ac:dyDescent="0.25">
      <c r="A468" t="s">
        <v>2158</v>
      </c>
      <c r="B468" t="s">
        <v>30</v>
      </c>
      <c r="C468" t="s">
        <v>103</v>
      </c>
      <c r="D468" t="s">
        <v>31</v>
      </c>
      <c r="E468" t="s">
        <v>74</v>
      </c>
      <c r="F468" s="1">
        <v>46008</v>
      </c>
      <c r="G468">
        <v>46038</v>
      </c>
      <c r="H468" t="s">
        <v>9</v>
      </c>
      <c r="I468">
        <v>1460263.29</v>
      </c>
      <c r="J468" t="s">
        <v>75</v>
      </c>
      <c r="K468" t="s">
        <v>2159</v>
      </c>
      <c r="L468">
        <v>30</v>
      </c>
      <c r="M468" t="s">
        <v>30</v>
      </c>
      <c r="N468">
        <v>1.1721999999999999</v>
      </c>
      <c r="O468">
        <v>1.3343198634035287</v>
      </c>
      <c r="P468">
        <v>6.4272398289286102E-3</v>
      </c>
      <c r="Q468">
        <v>6.4272398289286102E-3</v>
      </c>
      <c r="R468">
        <v>9385.4623782103299</v>
      </c>
      <c r="S468" t="s">
        <v>14</v>
      </c>
      <c r="T468">
        <v>6.9800000000000001E-3</v>
      </c>
      <c r="U468">
        <v>10192.637764200001</v>
      </c>
      <c r="V468">
        <v>-807.17538598967076</v>
      </c>
      <c r="W468">
        <v>-7.9192001586159022E-2</v>
      </c>
    </row>
    <row r="469" spans="1:23" x14ac:dyDescent="0.25">
      <c r="A469" t="s">
        <v>2156</v>
      </c>
      <c r="B469" t="s">
        <v>32</v>
      </c>
      <c r="C469" t="s">
        <v>106</v>
      </c>
      <c r="D469" t="s">
        <v>31</v>
      </c>
      <c r="E469" t="s">
        <v>74</v>
      </c>
      <c r="F469" s="1">
        <v>45813</v>
      </c>
      <c r="G469">
        <v>45843</v>
      </c>
      <c r="H469" t="s">
        <v>6</v>
      </c>
      <c r="I469">
        <v>7602.69</v>
      </c>
      <c r="J469" t="s">
        <v>75</v>
      </c>
      <c r="K469" t="s">
        <v>2157</v>
      </c>
      <c r="L469">
        <v>30</v>
      </c>
      <c r="M469" t="s">
        <v>32</v>
      </c>
      <c r="N469">
        <v>1.1423000000000001</v>
      </c>
      <c r="O469">
        <v>1.3568119729183989</v>
      </c>
      <c r="P469">
        <v>6.9797140413051456E-3</v>
      </c>
      <c r="Q469">
        <v>1.1423000000000001</v>
      </c>
      <c r="R469">
        <v>8684.5527870000005</v>
      </c>
      <c r="S469" t="s">
        <v>12</v>
      </c>
      <c r="T469">
        <v>1.07</v>
      </c>
      <c r="U469">
        <v>8134.8783000000003</v>
      </c>
      <c r="V469">
        <v>549.67448700000023</v>
      </c>
      <c r="W469">
        <v>6.7570093457943944E-2</v>
      </c>
    </row>
    <row r="470" spans="1:23" x14ac:dyDescent="0.25">
      <c r="A470" t="s">
        <v>2154</v>
      </c>
      <c r="B470" t="s">
        <v>39</v>
      </c>
      <c r="C470" t="s">
        <v>82</v>
      </c>
      <c r="D470" t="s">
        <v>33</v>
      </c>
      <c r="E470" t="s">
        <v>83</v>
      </c>
      <c r="F470" s="1">
        <v>45993</v>
      </c>
      <c r="G470">
        <v>46038</v>
      </c>
      <c r="H470" t="s">
        <v>8</v>
      </c>
      <c r="I470">
        <v>13529.42</v>
      </c>
      <c r="J470" t="s">
        <v>75</v>
      </c>
      <c r="K470" t="s">
        <v>2155</v>
      </c>
      <c r="L470">
        <v>45</v>
      </c>
      <c r="M470" t="s">
        <v>39</v>
      </c>
      <c r="N470">
        <v>1.1614</v>
      </c>
      <c r="O470">
        <v>1.3203728967712596</v>
      </c>
      <c r="P470">
        <v>6.4073706278274306E-3</v>
      </c>
      <c r="Q470">
        <v>1.3203728967712596</v>
      </c>
      <c r="R470">
        <v>17863.879477035014</v>
      </c>
      <c r="S470" t="s">
        <v>14</v>
      </c>
      <c r="T470">
        <v>1.304</v>
      </c>
      <c r="U470">
        <v>17642.363680000002</v>
      </c>
      <c r="V470">
        <v>221.51579703501193</v>
      </c>
      <c r="W470">
        <v>1.2555902431947367E-2</v>
      </c>
    </row>
    <row r="471" spans="1:23" x14ac:dyDescent="0.25">
      <c r="A471" t="s">
        <v>2152</v>
      </c>
      <c r="B471" t="s">
        <v>36</v>
      </c>
      <c r="C471" t="s">
        <v>116</v>
      </c>
      <c r="D471" t="s">
        <v>31</v>
      </c>
      <c r="E471" t="s">
        <v>74</v>
      </c>
      <c r="F471" s="1">
        <v>46175</v>
      </c>
      <c r="G471">
        <v>46220</v>
      </c>
      <c r="H471" t="s">
        <v>6</v>
      </c>
      <c r="I471">
        <v>27067.74</v>
      </c>
      <c r="J471" t="s">
        <v>75</v>
      </c>
      <c r="K471" t="s">
        <v>2153</v>
      </c>
      <c r="L471">
        <v>45</v>
      </c>
      <c r="M471" t="s">
        <v>36</v>
      </c>
      <c r="N471">
        <v>1.1649</v>
      </c>
      <c r="O471">
        <v>1.3472503325044816</v>
      </c>
      <c r="P471">
        <v>6.2598742543930356E-3</v>
      </c>
      <c r="Q471">
        <v>1.1649</v>
      </c>
      <c r="R471">
        <v>31531.210326000004</v>
      </c>
      <c r="S471" t="s">
        <v>19</v>
      </c>
      <c r="T471">
        <v>1.083</v>
      </c>
      <c r="U471">
        <v>29314.362420000001</v>
      </c>
      <c r="V471">
        <v>2216.8479060000027</v>
      </c>
      <c r="W471">
        <v>7.5623268698061033E-2</v>
      </c>
    </row>
    <row r="472" spans="1:23" x14ac:dyDescent="0.25">
      <c r="A472" t="s">
        <v>2150</v>
      </c>
      <c r="B472" t="s">
        <v>22</v>
      </c>
      <c r="C472" t="s">
        <v>127</v>
      </c>
      <c r="D472" t="s">
        <v>31</v>
      </c>
      <c r="E472" t="s">
        <v>124</v>
      </c>
      <c r="F472" s="1">
        <v>45960</v>
      </c>
      <c r="G472">
        <v>46020</v>
      </c>
      <c r="H472" t="s">
        <v>9</v>
      </c>
      <c r="I472">
        <v>10975365.109999999</v>
      </c>
      <c r="J472" t="s">
        <v>75</v>
      </c>
      <c r="K472" t="s">
        <v>2151</v>
      </c>
      <c r="L472">
        <v>60</v>
      </c>
      <c r="M472" t="s">
        <v>22</v>
      </c>
      <c r="N472">
        <v>1.155</v>
      </c>
      <c r="O472">
        <v>1.312350869219407</v>
      </c>
      <c r="P472">
        <v>6.4753041430733868E-3</v>
      </c>
      <c r="Q472">
        <v>6.4753041430733868E-3</v>
      </c>
      <c r="R472">
        <v>71068.827168526099</v>
      </c>
      <c r="S472" t="s">
        <v>14</v>
      </c>
      <c r="T472">
        <v>6.9800000000000001E-3</v>
      </c>
      <c r="U472">
        <v>76608.048467799992</v>
      </c>
      <c r="V472">
        <v>-5539.2212992738932</v>
      </c>
      <c r="W472">
        <v>-7.2305996694357083E-2</v>
      </c>
    </row>
    <row r="473" spans="1:23" x14ac:dyDescent="0.25">
      <c r="A473" t="s">
        <v>2148</v>
      </c>
      <c r="B473" t="s">
        <v>20</v>
      </c>
      <c r="C473" t="s">
        <v>123</v>
      </c>
      <c r="D473" t="s">
        <v>31</v>
      </c>
      <c r="E473" t="s">
        <v>124</v>
      </c>
      <c r="F473" s="1">
        <v>46068</v>
      </c>
      <c r="G473">
        <v>46113</v>
      </c>
      <c r="H473" t="s">
        <v>6</v>
      </c>
      <c r="I473">
        <v>73192.66</v>
      </c>
      <c r="J473" t="s">
        <v>75</v>
      </c>
      <c r="K473" t="s">
        <v>2149</v>
      </c>
      <c r="L473">
        <v>45</v>
      </c>
      <c r="M473" t="s">
        <v>20</v>
      </c>
      <c r="N473">
        <v>1.1555</v>
      </c>
      <c r="O473">
        <v>1.3367963164349013</v>
      </c>
      <c r="P473">
        <v>6.2983756677204832E-3</v>
      </c>
      <c r="Q473">
        <v>1.1555</v>
      </c>
      <c r="R473">
        <v>84574.118629999997</v>
      </c>
      <c r="S473" t="s">
        <v>16</v>
      </c>
      <c r="T473">
        <v>1.0649999999999999</v>
      </c>
      <c r="U473">
        <v>77950.1829</v>
      </c>
      <c r="V473">
        <v>6623.9357299999974</v>
      </c>
      <c r="W473">
        <v>8.4976525821596205E-2</v>
      </c>
    </row>
    <row r="474" spans="1:23" x14ac:dyDescent="0.25">
      <c r="A474" t="s">
        <v>2146</v>
      </c>
      <c r="B474" t="s">
        <v>34</v>
      </c>
      <c r="C474" t="s">
        <v>177</v>
      </c>
      <c r="D474" t="s">
        <v>31</v>
      </c>
      <c r="E474" t="s">
        <v>74</v>
      </c>
      <c r="F474" s="1">
        <v>46004</v>
      </c>
      <c r="G474">
        <v>46064</v>
      </c>
      <c r="H474" t="s">
        <v>8</v>
      </c>
      <c r="I474">
        <v>22501.1</v>
      </c>
      <c r="J474" t="s">
        <v>75</v>
      </c>
      <c r="K474" t="s">
        <v>2147</v>
      </c>
      <c r="L474">
        <v>60</v>
      </c>
      <c r="M474" t="s">
        <v>34</v>
      </c>
      <c r="N474">
        <v>1.1555</v>
      </c>
      <c r="O474">
        <v>1.3367963164349013</v>
      </c>
      <c r="P474">
        <v>6.2983756677204832E-3</v>
      </c>
      <c r="Q474">
        <v>1.3367963164349013</v>
      </c>
      <c r="R474">
        <v>30079.387595733355</v>
      </c>
      <c r="S474" t="s">
        <v>14</v>
      </c>
      <c r="T474">
        <v>1.304</v>
      </c>
      <c r="U474">
        <v>29341.434399999998</v>
      </c>
      <c r="V474">
        <v>737.95319573335655</v>
      </c>
      <c r="W474">
        <v>2.5150549413267831E-2</v>
      </c>
    </row>
    <row r="475" spans="1:23" x14ac:dyDescent="0.25">
      <c r="A475" t="s">
        <v>2144</v>
      </c>
      <c r="B475" t="s">
        <v>30</v>
      </c>
      <c r="C475" t="s">
        <v>103</v>
      </c>
      <c r="D475" t="s">
        <v>31</v>
      </c>
      <c r="E475" t="s">
        <v>74</v>
      </c>
      <c r="F475" s="1">
        <v>46386</v>
      </c>
      <c r="G475">
        <v>46416</v>
      </c>
      <c r="H475" t="s">
        <v>9</v>
      </c>
      <c r="I475">
        <v>725978.39</v>
      </c>
      <c r="J475" t="s">
        <v>84</v>
      </c>
      <c r="K475" t="s">
        <v>2145</v>
      </c>
      <c r="L475">
        <v>30</v>
      </c>
      <c r="M475" t="s">
        <v>30</v>
      </c>
      <c r="N475">
        <v>1.1176999999999999</v>
      </c>
      <c r="O475">
        <v>1.320456022210408</v>
      </c>
      <c r="P475">
        <v>6.3200452360757699E-3</v>
      </c>
      <c r="Q475">
        <v>6.3200452360757699E-3</v>
      </c>
      <c r="R475">
        <v>4588.2162652134575</v>
      </c>
      <c r="S475" t="s">
        <v>23</v>
      </c>
      <c r="T475">
        <v>6.8799999999999998E-3</v>
      </c>
      <c r="U475">
        <v>4994.7313231999997</v>
      </c>
      <c r="V475">
        <v>-406.51505798654216</v>
      </c>
      <c r="W475">
        <v>-8.1388773826196137E-2</v>
      </c>
    </row>
    <row r="476" spans="1:23" x14ac:dyDescent="0.25">
      <c r="A476" t="s">
        <v>2142</v>
      </c>
      <c r="B476" t="s">
        <v>20</v>
      </c>
      <c r="C476" t="s">
        <v>123</v>
      </c>
      <c r="D476" t="s">
        <v>31</v>
      </c>
      <c r="E476" t="s">
        <v>124</v>
      </c>
      <c r="F476" s="1">
        <v>46082</v>
      </c>
      <c r="G476">
        <v>46127</v>
      </c>
      <c r="H476" t="s">
        <v>6</v>
      </c>
      <c r="I476">
        <v>26326.7</v>
      </c>
      <c r="J476" t="s">
        <v>75</v>
      </c>
      <c r="K476" t="s">
        <v>2143</v>
      </c>
      <c r="L476">
        <v>45</v>
      </c>
      <c r="M476" t="s">
        <v>20</v>
      </c>
      <c r="N476">
        <v>1.1555</v>
      </c>
      <c r="O476">
        <v>1.3367963164349013</v>
      </c>
      <c r="P476">
        <v>6.2983756677204832E-3</v>
      </c>
      <c r="Q476">
        <v>1.1555</v>
      </c>
      <c r="R476">
        <v>30420.501850000001</v>
      </c>
      <c r="S476" t="s">
        <v>16</v>
      </c>
      <c r="T476">
        <v>1.0649999999999999</v>
      </c>
      <c r="U476">
        <v>28037.9355</v>
      </c>
      <c r="V476">
        <v>2382.566350000001</v>
      </c>
      <c r="W476">
        <v>8.4976525821596274E-2</v>
      </c>
    </row>
    <row r="477" spans="1:23" x14ac:dyDescent="0.25">
      <c r="A477" t="s">
        <v>2140</v>
      </c>
      <c r="B477" t="s">
        <v>37</v>
      </c>
      <c r="C477" t="s">
        <v>91</v>
      </c>
      <c r="D477" t="s">
        <v>31</v>
      </c>
      <c r="E477" t="s">
        <v>74</v>
      </c>
      <c r="F477" s="1">
        <v>45728</v>
      </c>
      <c r="G477">
        <v>45758</v>
      </c>
      <c r="H477" t="s">
        <v>6</v>
      </c>
      <c r="I477">
        <v>5662.03</v>
      </c>
      <c r="J477" t="s">
        <v>75</v>
      </c>
      <c r="K477" t="s">
        <v>2141</v>
      </c>
      <c r="L477">
        <v>30</v>
      </c>
      <c r="M477" t="s">
        <v>37</v>
      </c>
      <c r="N477">
        <v>1.0886</v>
      </c>
      <c r="O477">
        <v>1.2947501129903185</v>
      </c>
      <c r="P477">
        <v>6.710226222030451E-3</v>
      </c>
      <c r="Q477">
        <v>1.0886</v>
      </c>
      <c r="R477">
        <v>6163.6858579999998</v>
      </c>
      <c r="S477" t="s">
        <v>11</v>
      </c>
      <c r="T477">
        <v>1.052</v>
      </c>
      <c r="U477">
        <v>5956.4555600000003</v>
      </c>
      <c r="V477">
        <v>207.23029799999949</v>
      </c>
      <c r="W477">
        <v>3.4790874524714743E-2</v>
      </c>
    </row>
    <row r="478" spans="1:23" x14ac:dyDescent="0.25">
      <c r="A478" t="s">
        <v>2138</v>
      </c>
      <c r="B478" t="s">
        <v>28</v>
      </c>
      <c r="C478" t="s">
        <v>111</v>
      </c>
      <c r="D478" t="s">
        <v>31</v>
      </c>
      <c r="E478" t="s">
        <v>74</v>
      </c>
      <c r="F478" s="1">
        <v>45780</v>
      </c>
      <c r="G478">
        <v>45825</v>
      </c>
      <c r="H478" t="s">
        <v>9</v>
      </c>
      <c r="I478">
        <v>2961354.36</v>
      </c>
      <c r="J478" t="s">
        <v>75</v>
      </c>
      <c r="K478" t="s">
        <v>2139</v>
      </c>
      <c r="L478">
        <v>45</v>
      </c>
      <c r="M478" t="s">
        <v>28</v>
      </c>
      <c r="N478">
        <v>1.1781999999999999</v>
      </c>
      <c r="O478">
        <v>1.3653957584888168</v>
      </c>
      <c r="P478">
        <v>6.9477532727916019E-3</v>
      </c>
      <c r="Q478">
        <v>6.9477532727916019E-3</v>
      </c>
      <c r="R478">
        <v>20574.759446585678</v>
      </c>
      <c r="S478" t="s">
        <v>12</v>
      </c>
      <c r="T478">
        <v>6.7000000000000002E-3</v>
      </c>
      <c r="U478">
        <v>19841.074212</v>
      </c>
      <c r="V478">
        <v>733.6852345856787</v>
      </c>
      <c r="W478">
        <v>3.6978100416656952E-2</v>
      </c>
    </row>
    <row r="479" spans="1:23" x14ac:dyDescent="0.25">
      <c r="A479" t="s">
        <v>2136</v>
      </c>
      <c r="B479" t="s">
        <v>20</v>
      </c>
      <c r="C479" t="s">
        <v>123</v>
      </c>
      <c r="D479" t="s">
        <v>31</v>
      </c>
      <c r="E479" t="s">
        <v>124</v>
      </c>
      <c r="F479" s="1">
        <v>45777</v>
      </c>
      <c r="G479">
        <v>45822</v>
      </c>
      <c r="H479" t="s">
        <v>6</v>
      </c>
      <c r="I479">
        <v>79876.87</v>
      </c>
      <c r="J479" t="s">
        <v>75</v>
      </c>
      <c r="K479" t="s">
        <v>2137</v>
      </c>
      <c r="L479">
        <v>45</v>
      </c>
      <c r="M479" t="s">
        <v>20</v>
      </c>
      <c r="N479">
        <v>1.1373</v>
      </c>
      <c r="O479">
        <v>1.3351725757220005</v>
      </c>
      <c r="P479">
        <v>6.9910253257929669E-3</v>
      </c>
      <c r="Q479">
        <v>1.1373</v>
      </c>
      <c r="R479">
        <v>90843.964250999998</v>
      </c>
      <c r="S479" t="s">
        <v>12</v>
      </c>
      <c r="T479">
        <v>1.07</v>
      </c>
      <c r="U479">
        <v>85468.250899999999</v>
      </c>
      <c r="V479">
        <v>5375.7133509999985</v>
      </c>
      <c r="W479">
        <v>6.289719626168222E-2</v>
      </c>
    </row>
    <row r="480" spans="1:23" x14ac:dyDescent="0.25">
      <c r="A480" t="s">
        <v>2134</v>
      </c>
      <c r="B480" t="s">
        <v>22</v>
      </c>
      <c r="C480" t="s">
        <v>127</v>
      </c>
      <c r="D480" t="s">
        <v>31</v>
      </c>
      <c r="E480" t="s">
        <v>124</v>
      </c>
      <c r="F480" s="1">
        <v>46173</v>
      </c>
      <c r="G480">
        <v>46233</v>
      </c>
      <c r="H480" t="s">
        <v>9</v>
      </c>
      <c r="I480">
        <v>3180319.72</v>
      </c>
      <c r="J480" t="s">
        <v>75</v>
      </c>
      <c r="K480" t="s">
        <v>2135</v>
      </c>
      <c r="L480">
        <v>60</v>
      </c>
      <c r="M480" t="s">
        <v>22</v>
      </c>
      <c r="N480">
        <v>1.1644000000000001</v>
      </c>
      <c r="O480">
        <v>1.3426657288147321</v>
      </c>
      <c r="P480">
        <v>6.2787813426799684E-3</v>
      </c>
      <c r="Q480">
        <v>6.2787813426799684E-3</v>
      </c>
      <c r="R480">
        <v>19968.532121693181</v>
      </c>
      <c r="S480" t="s">
        <v>19</v>
      </c>
      <c r="T480">
        <v>6.6E-3</v>
      </c>
      <c r="U480">
        <v>20990.110152000001</v>
      </c>
      <c r="V480">
        <v>-1021.5780303068204</v>
      </c>
      <c r="W480">
        <v>-4.8669493533338194E-2</v>
      </c>
    </row>
    <row r="481" spans="1:23" x14ac:dyDescent="0.25">
      <c r="A481" t="s">
        <v>2132</v>
      </c>
      <c r="B481" t="s">
        <v>30</v>
      </c>
      <c r="C481" t="s">
        <v>103</v>
      </c>
      <c r="D481" t="s">
        <v>31</v>
      </c>
      <c r="E481" t="s">
        <v>74</v>
      </c>
      <c r="F481" s="1">
        <v>45719</v>
      </c>
      <c r="G481">
        <v>45749</v>
      </c>
      <c r="H481" t="s">
        <v>9</v>
      </c>
      <c r="I481">
        <v>1841110.25</v>
      </c>
      <c r="J481" t="s">
        <v>75</v>
      </c>
      <c r="K481" t="s">
        <v>2133</v>
      </c>
      <c r="L481">
        <v>30</v>
      </c>
      <c r="M481" t="s">
        <v>30</v>
      </c>
      <c r="N481">
        <v>1.0465</v>
      </c>
      <c r="O481">
        <v>1.2680237489397794</v>
      </c>
      <c r="P481">
        <v>6.6096128339543985E-3</v>
      </c>
      <c r="Q481">
        <v>6.6096128339543985E-3</v>
      </c>
      <c r="R481">
        <v>12169.02593712499</v>
      </c>
      <c r="S481" t="s">
        <v>11</v>
      </c>
      <c r="T481">
        <v>6.5599999999999999E-3</v>
      </c>
      <c r="U481">
        <v>12077.68324</v>
      </c>
      <c r="V481">
        <v>91.342697124990082</v>
      </c>
      <c r="W481">
        <v>7.5629320052435882E-3</v>
      </c>
    </row>
    <row r="482" spans="1:23" x14ac:dyDescent="0.25">
      <c r="A482" t="s">
        <v>2130</v>
      </c>
      <c r="B482" t="s">
        <v>26</v>
      </c>
      <c r="C482" t="s">
        <v>94</v>
      </c>
      <c r="D482" t="s">
        <v>31</v>
      </c>
      <c r="E482" t="s">
        <v>74</v>
      </c>
      <c r="F482" s="1">
        <v>46058</v>
      </c>
      <c r="G482">
        <v>46088</v>
      </c>
      <c r="H482" t="s">
        <v>8</v>
      </c>
      <c r="I482">
        <v>17750.43</v>
      </c>
      <c r="J482" t="s">
        <v>75</v>
      </c>
      <c r="K482" t="s">
        <v>2131</v>
      </c>
      <c r="L482">
        <v>30</v>
      </c>
      <c r="M482" t="s">
        <v>26</v>
      </c>
      <c r="N482">
        <v>1.1798</v>
      </c>
      <c r="O482">
        <v>1.3574962604993672</v>
      </c>
      <c r="P482">
        <v>6.3735076441035054E-3</v>
      </c>
      <c r="Q482">
        <v>1.3574962604993672</v>
      </c>
      <c r="R482">
        <v>24096.142347255784</v>
      </c>
      <c r="S482" t="s">
        <v>16</v>
      </c>
      <c r="T482">
        <v>1.2490000000000001</v>
      </c>
      <c r="U482">
        <v>22170.287070000002</v>
      </c>
      <c r="V482">
        <v>1925.8552772557814</v>
      </c>
      <c r="W482">
        <v>8.6866501600774318E-2</v>
      </c>
    </row>
    <row r="483" spans="1:23" x14ac:dyDescent="0.25">
      <c r="A483" t="s">
        <v>2128</v>
      </c>
      <c r="B483" t="s">
        <v>42</v>
      </c>
      <c r="C483" t="s">
        <v>151</v>
      </c>
      <c r="D483" t="s">
        <v>35</v>
      </c>
      <c r="E483" t="s">
        <v>152</v>
      </c>
      <c r="F483" s="1">
        <v>45785</v>
      </c>
      <c r="G483">
        <v>45815</v>
      </c>
      <c r="H483" t="s">
        <v>8</v>
      </c>
      <c r="I483">
        <v>4169.49</v>
      </c>
      <c r="J483" t="s">
        <v>75</v>
      </c>
      <c r="K483" t="s">
        <v>2129</v>
      </c>
      <c r="L483">
        <v>30</v>
      </c>
      <c r="M483" t="s">
        <v>42</v>
      </c>
      <c r="N483">
        <v>1.1296999999999999</v>
      </c>
      <c r="O483">
        <v>1.3328220858895705</v>
      </c>
      <c r="P483">
        <v>6.9115937595594984E-3</v>
      </c>
      <c r="Q483">
        <v>1.3328220858895705</v>
      </c>
      <c r="R483">
        <v>5557.1883588957053</v>
      </c>
      <c r="S483" t="s">
        <v>12</v>
      </c>
      <c r="T483">
        <v>1.26</v>
      </c>
      <c r="U483">
        <v>5253.5573999999997</v>
      </c>
      <c r="V483">
        <v>303.63095889570559</v>
      </c>
      <c r="W483">
        <v>5.7795306261563949E-2</v>
      </c>
    </row>
    <row r="484" spans="1:23" x14ac:dyDescent="0.25">
      <c r="A484" t="s">
        <v>2126</v>
      </c>
      <c r="B484" t="s">
        <v>37</v>
      </c>
      <c r="C484" t="s">
        <v>91</v>
      </c>
      <c r="D484" t="s">
        <v>31</v>
      </c>
      <c r="E484" t="s">
        <v>74</v>
      </c>
      <c r="F484" s="1">
        <v>46095</v>
      </c>
      <c r="G484">
        <v>46125</v>
      </c>
      <c r="H484" t="s">
        <v>6</v>
      </c>
      <c r="I484">
        <v>14321.34</v>
      </c>
      <c r="J484" t="s">
        <v>75</v>
      </c>
      <c r="K484" t="s">
        <v>2127</v>
      </c>
      <c r="L484">
        <v>30</v>
      </c>
      <c r="M484" t="s">
        <v>37</v>
      </c>
      <c r="N484">
        <v>1.1555</v>
      </c>
      <c r="O484">
        <v>1.3367963164349013</v>
      </c>
      <c r="P484">
        <v>6.2983756677204832E-3</v>
      </c>
      <c r="Q484">
        <v>1.1555</v>
      </c>
      <c r="R484">
        <v>16548.308369999999</v>
      </c>
      <c r="S484" t="s">
        <v>16</v>
      </c>
      <c r="T484">
        <v>1.0649999999999999</v>
      </c>
      <c r="U484">
        <v>15252.2271</v>
      </c>
      <c r="V484">
        <v>1296.0812699999988</v>
      </c>
      <c r="W484">
        <v>8.4976525821596163E-2</v>
      </c>
    </row>
    <row r="485" spans="1:23" x14ac:dyDescent="0.25">
      <c r="A485" t="s">
        <v>2124</v>
      </c>
      <c r="B485" t="s">
        <v>28</v>
      </c>
      <c r="C485" t="s">
        <v>111</v>
      </c>
      <c r="D485" t="s">
        <v>31</v>
      </c>
      <c r="E485" t="s">
        <v>74</v>
      </c>
      <c r="F485" s="1">
        <v>46308</v>
      </c>
      <c r="G485">
        <v>46353</v>
      </c>
      <c r="H485" t="s">
        <v>9</v>
      </c>
      <c r="I485">
        <v>838823.99</v>
      </c>
      <c r="J485" t="s">
        <v>84</v>
      </c>
      <c r="K485" t="s">
        <v>2125</v>
      </c>
      <c r="L485">
        <v>45</v>
      </c>
      <c r="M485" t="s">
        <v>28</v>
      </c>
      <c r="N485">
        <v>1.1176999999999999</v>
      </c>
      <c r="O485">
        <v>1.320456022210408</v>
      </c>
      <c r="P485">
        <v>6.3200452360757699E-3</v>
      </c>
      <c r="Q485">
        <v>6.3200452360757699E-3</v>
      </c>
      <c r="R485">
        <v>5301.4055619055689</v>
      </c>
      <c r="S485" t="s">
        <v>23</v>
      </c>
      <c r="T485">
        <v>6.8799999999999998E-3</v>
      </c>
      <c r="U485">
        <v>5771.1090512000001</v>
      </c>
      <c r="V485">
        <v>-469.70348929443117</v>
      </c>
      <c r="W485">
        <v>-8.1388773826196303E-2</v>
      </c>
    </row>
    <row r="486" spans="1:23" x14ac:dyDescent="0.25">
      <c r="A486" t="s">
        <v>2122</v>
      </c>
      <c r="B486" t="s">
        <v>37</v>
      </c>
      <c r="C486" t="s">
        <v>91</v>
      </c>
      <c r="D486" t="s">
        <v>31</v>
      </c>
      <c r="E486" t="s">
        <v>74</v>
      </c>
      <c r="F486" s="1">
        <v>46117</v>
      </c>
      <c r="G486">
        <v>46147</v>
      </c>
      <c r="H486" t="s">
        <v>6</v>
      </c>
      <c r="I486">
        <v>5960.07</v>
      </c>
      <c r="J486" t="s">
        <v>75</v>
      </c>
      <c r="K486" t="s">
        <v>2123</v>
      </c>
      <c r="L486">
        <v>30</v>
      </c>
      <c r="M486" t="s">
        <v>37</v>
      </c>
      <c r="N486">
        <v>1.1525000000000001</v>
      </c>
      <c r="O486">
        <v>1.3208714886594157</v>
      </c>
      <c r="P486">
        <v>6.2656300967706864E-3</v>
      </c>
      <c r="Q486">
        <v>1.1525000000000001</v>
      </c>
      <c r="R486">
        <v>6868.9806749999998</v>
      </c>
      <c r="S486" t="s">
        <v>19</v>
      </c>
      <c r="T486">
        <v>1.083</v>
      </c>
      <c r="U486">
        <v>6454.7558099999997</v>
      </c>
      <c r="V486">
        <v>414.22486500000014</v>
      </c>
      <c r="W486">
        <v>6.4173591874422925E-2</v>
      </c>
    </row>
    <row r="487" spans="1:23" x14ac:dyDescent="0.25">
      <c r="A487" t="s">
        <v>2120</v>
      </c>
      <c r="B487" t="s">
        <v>43</v>
      </c>
      <c r="C487" t="s">
        <v>215</v>
      </c>
      <c r="D487" t="s">
        <v>35</v>
      </c>
      <c r="E487" t="s">
        <v>152</v>
      </c>
      <c r="F487" s="1">
        <v>45864</v>
      </c>
      <c r="G487">
        <v>45894</v>
      </c>
      <c r="H487" t="s">
        <v>6</v>
      </c>
      <c r="I487">
        <v>10085.700000000001</v>
      </c>
      <c r="J487" t="s">
        <v>75</v>
      </c>
      <c r="K487" t="s">
        <v>2121</v>
      </c>
      <c r="L487">
        <v>30</v>
      </c>
      <c r="M487" t="s">
        <v>43</v>
      </c>
      <c r="N487">
        <v>1.1636</v>
      </c>
      <c r="O487">
        <v>1.3212217554218235</v>
      </c>
      <c r="P487">
        <v>6.5714124357598687E-3</v>
      </c>
      <c r="Q487">
        <v>1.1636</v>
      </c>
      <c r="R487">
        <v>11735.720520000001</v>
      </c>
      <c r="S487" t="s">
        <v>13</v>
      </c>
      <c r="T487">
        <v>1.0880000000000001</v>
      </c>
      <c r="U487">
        <v>10973.241600000001</v>
      </c>
      <c r="V487">
        <v>762.47891999999956</v>
      </c>
      <c r="W487">
        <v>6.9485294117647006E-2</v>
      </c>
    </row>
    <row r="488" spans="1:23" x14ac:dyDescent="0.25">
      <c r="A488" t="s">
        <v>2118</v>
      </c>
      <c r="B488" t="s">
        <v>43</v>
      </c>
      <c r="C488" t="s">
        <v>215</v>
      </c>
      <c r="D488" t="s">
        <v>35</v>
      </c>
      <c r="E488" t="s">
        <v>152</v>
      </c>
      <c r="F488" s="1">
        <v>46186</v>
      </c>
      <c r="G488">
        <v>46216</v>
      </c>
      <c r="H488" t="s">
        <v>6</v>
      </c>
      <c r="I488">
        <v>3320.98</v>
      </c>
      <c r="J488" t="s">
        <v>75</v>
      </c>
      <c r="K488" t="s">
        <v>2119</v>
      </c>
      <c r="L488">
        <v>30</v>
      </c>
      <c r="M488" t="s">
        <v>43</v>
      </c>
      <c r="N488">
        <v>1.1567000000000001</v>
      </c>
      <c r="O488">
        <v>1.3402467991425759</v>
      </c>
      <c r="P488">
        <v>6.2423097679438749E-3</v>
      </c>
      <c r="Q488">
        <v>1.1567000000000001</v>
      </c>
      <c r="R488">
        <v>3841.3775660000001</v>
      </c>
      <c r="S488" t="s">
        <v>19</v>
      </c>
      <c r="T488">
        <v>1.083</v>
      </c>
      <c r="U488">
        <v>3596.6213399999997</v>
      </c>
      <c r="V488">
        <v>244.75622600000042</v>
      </c>
      <c r="W488">
        <v>6.8051708217913329E-2</v>
      </c>
    </row>
    <row r="489" spans="1:23" x14ac:dyDescent="0.25">
      <c r="A489" t="s">
        <v>2116</v>
      </c>
      <c r="B489" t="s">
        <v>44</v>
      </c>
      <c r="C489" t="s">
        <v>138</v>
      </c>
      <c r="D489" t="s">
        <v>33</v>
      </c>
      <c r="E489" t="s">
        <v>88</v>
      </c>
      <c r="F489" s="1">
        <v>46382</v>
      </c>
      <c r="G489">
        <v>46427</v>
      </c>
      <c r="H489" t="s">
        <v>9</v>
      </c>
      <c r="I489">
        <v>1360620.52</v>
      </c>
      <c r="J489" t="s">
        <v>84</v>
      </c>
      <c r="K489" t="s">
        <v>2117</v>
      </c>
      <c r="L489">
        <v>45</v>
      </c>
      <c r="M489" t="s">
        <v>44</v>
      </c>
      <c r="N489">
        <v>1.1176999999999999</v>
      </c>
      <c r="O489">
        <v>1.320456022210408</v>
      </c>
      <c r="P489">
        <v>6.3200452360757699E-3</v>
      </c>
      <c r="Q489">
        <v>6.3200452360757699E-3</v>
      </c>
      <c r="R489">
        <v>8599.183235532937</v>
      </c>
      <c r="S489" t="s">
        <v>23</v>
      </c>
      <c r="T489">
        <v>6.8799999999999998E-3</v>
      </c>
      <c r="U489">
        <v>9361.0691776000003</v>
      </c>
      <c r="V489">
        <v>-761.8859420670633</v>
      </c>
      <c r="W489">
        <v>-8.1388773826196248E-2</v>
      </c>
    </row>
    <row r="490" spans="1:23" x14ac:dyDescent="0.25">
      <c r="A490" t="s">
        <v>2114</v>
      </c>
      <c r="B490" t="s">
        <v>28</v>
      </c>
      <c r="C490" t="s">
        <v>111</v>
      </c>
      <c r="D490" t="s">
        <v>31</v>
      </c>
      <c r="E490" t="s">
        <v>74</v>
      </c>
      <c r="F490" s="1">
        <v>45820</v>
      </c>
      <c r="G490">
        <v>45865</v>
      </c>
      <c r="H490" t="s">
        <v>9</v>
      </c>
      <c r="I490">
        <v>3294609.66</v>
      </c>
      <c r="J490" t="s">
        <v>75</v>
      </c>
      <c r="K490" t="s">
        <v>2115</v>
      </c>
      <c r="L490">
        <v>45</v>
      </c>
      <c r="M490" t="s">
        <v>28</v>
      </c>
      <c r="N490">
        <v>1.1594</v>
      </c>
      <c r="O490">
        <v>1.3579292574373389</v>
      </c>
      <c r="P490">
        <v>6.9575132021123384E-3</v>
      </c>
      <c r="Q490">
        <v>6.9575132021123384E-3</v>
      </c>
      <c r="R490">
        <v>22922.290205256842</v>
      </c>
      <c r="S490" t="s">
        <v>12</v>
      </c>
      <c r="T490">
        <v>6.7000000000000002E-3</v>
      </c>
      <c r="U490">
        <v>22073.884722000003</v>
      </c>
      <c r="V490">
        <v>848.40548325683994</v>
      </c>
      <c r="W490">
        <v>3.843480628542352E-2</v>
      </c>
    </row>
    <row r="491" spans="1:23" x14ac:dyDescent="0.25">
      <c r="A491" t="s">
        <v>2112</v>
      </c>
      <c r="B491" t="s">
        <v>25</v>
      </c>
      <c r="C491" t="s">
        <v>169</v>
      </c>
      <c r="D491" t="s">
        <v>31</v>
      </c>
      <c r="E491" t="s">
        <v>124</v>
      </c>
      <c r="F491" s="1">
        <v>46337</v>
      </c>
      <c r="G491">
        <v>46397</v>
      </c>
      <c r="H491" t="s">
        <v>6</v>
      </c>
      <c r="I491">
        <v>76719.789999999994</v>
      </c>
      <c r="J491" t="s">
        <v>84</v>
      </c>
      <c r="K491" t="s">
        <v>2113</v>
      </c>
      <c r="L491">
        <v>60</v>
      </c>
      <c r="M491" t="s">
        <v>25</v>
      </c>
      <c r="N491">
        <v>1.1176999999999999</v>
      </c>
      <c r="O491">
        <v>1.320456022210408</v>
      </c>
      <c r="P491">
        <v>6.3200452360757699E-3</v>
      </c>
      <c r="Q491">
        <v>1.1176999999999999</v>
      </c>
      <c r="R491">
        <v>85749.709282999989</v>
      </c>
      <c r="S491" t="s">
        <v>23</v>
      </c>
      <c r="T491">
        <v>1.119</v>
      </c>
      <c r="U491">
        <v>85849.445009999996</v>
      </c>
      <c r="V491">
        <v>-99.735727000006591</v>
      </c>
      <c r="W491">
        <v>-1.1617515638964128E-3</v>
      </c>
    </row>
    <row r="492" spans="1:23" x14ac:dyDescent="0.25">
      <c r="A492" t="s">
        <v>2110</v>
      </c>
      <c r="B492" t="s">
        <v>37</v>
      </c>
      <c r="C492" t="s">
        <v>91</v>
      </c>
      <c r="D492" t="s">
        <v>31</v>
      </c>
      <c r="E492" t="s">
        <v>74</v>
      </c>
      <c r="F492" s="1">
        <v>46263</v>
      </c>
      <c r="G492">
        <v>46293</v>
      </c>
      <c r="H492" t="s">
        <v>6</v>
      </c>
      <c r="I492">
        <v>18100.16</v>
      </c>
      <c r="J492" t="s">
        <v>75</v>
      </c>
      <c r="K492" t="s">
        <v>2111</v>
      </c>
      <c r="L492">
        <v>30</v>
      </c>
      <c r="M492" t="s">
        <v>37</v>
      </c>
      <c r="N492">
        <v>1.1642999999999999</v>
      </c>
      <c r="O492">
        <v>1.3582594493700419</v>
      </c>
      <c r="P492">
        <v>6.2623709122203094E-3</v>
      </c>
      <c r="Q492">
        <v>1.1642999999999999</v>
      </c>
      <c r="R492">
        <v>21074.016287999999</v>
      </c>
      <c r="S492" t="s">
        <v>21</v>
      </c>
      <c r="T492">
        <v>1.101</v>
      </c>
      <c r="U492">
        <v>19928.276160000001</v>
      </c>
      <c r="V492">
        <v>1145.7401279999976</v>
      </c>
      <c r="W492">
        <v>5.749318801089906E-2</v>
      </c>
    </row>
    <row r="493" spans="1:23" x14ac:dyDescent="0.25">
      <c r="A493" t="s">
        <v>2108</v>
      </c>
      <c r="B493" t="s">
        <v>41</v>
      </c>
      <c r="C493" t="s">
        <v>172</v>
      </c>
      <c r="D493" t="s">
        <v>33</v>
      </c>
      <c r="E493" t="s">
        <v>83</v>
      </c>
      <c r="F493" s="1">
        <v>46386</v>
      </c>
      <c r="G493">
        <v>46416</v>
      </c>
      <c r="H493" t="s">
        <v>9</v>
      </c>
      <c r="I493">
        <v>3151964.27</v>
      </c>
      <c r="J493" t="s">
        <v>84</v>
      </c>
      <c r="K493" t="s">
        <v>2109</v>
      </c>
      <c r="L493">
        <v>30</v>
      </c>
      <c r="M493" t="s">
        <v>41</v>
      </c>
      <c r="N493">
        <v>1.1176999999999999</v>
      </c>
      <c r="O493">
        <v>1.320456022210408</v>
      </c>
      <c r="P493">
        <v>6.3200452360757699E-3</v>
      </c>
      <c r="Q493">
        <v>6.3200452360757699E-3</v>
      </c>
      <c r="R493">
        <v>19920.556768894541</v>
      </c>
      <c r="S493" t="s">
        <v>23</v>
      </c>
      <c r="T493">
        <v>6.8799999999999998E-3</v>
      </c>
      <c r="U493">
        <v>21685.514177599998</v>
      </c>
      <c r="V493">
        <v>-1764.9574087054571</v>
      </c>
      <c r="W493">
        <v>-8.1388773826196192E-2</v>
      </c>
    </row>
    <row r="494" spans="1:23" x14ac:dyDescent="0.25">
      <c r="A494" t="s">
        <v>2106</v>
      </c>
      <c r="B494" t="s">
        <v>37</v>
      </c>
      <c r="C494" t="s">
        <v>91</v>
      </c>
      <c r="D494" t="s">
        <v>31</v>
      </c>
      <c r="E494" t="s">
        <v>74</v>
      </c>
      <c r="F494" s="1">
        <v>45700</v>
      </c>
      <c r="G494">
        <v>45730</v>
      </c>
      <c r="H494" t="s">
        <v>6</v>
      </c>
      <c r="I494">
        <v>5688.98</v>
      </c>
      <c r="J494" t="s">
        <v>75</v>
      </c>
      <c r="K494" t="s">
        <v>2107</v>
      </c>
      <c r="L494">
        <v>30</v>
      </c>
      <c r="M494" t="s">
        <v>37</v>
      </c>
      <c r="N494">
        <v>1.0369999999999999</v>
      </c>
      <c r="O494">
        <v>1.2443303175022198</v>
      </c>
      <c r="P494">
        <v>6.5130008792865218E-3</v>
      </c>
      <c r="Q494">
        <v>1.0369999999999999</v>
      </c>
      <c r="R494">
        <v>5899.4722599999996</v>
      </c>
      <c r="S494" t="s">
        <v>11</v>
      </c>
      <c r="T494">
        <v>1.052</v>
      </c>
      <c r="U494">
        <v>5984.8069599999999</v>
      </c>
      <c r="V494">
        <v>-85.334700000000339</v>
      </c>
      <c r="W494">
        <v>-1.4258555133079906E-2</v>
      </c>
    </row>
    <row r="495" spans="1:23" x14ac:dyDescent="0.25">
      <c r="A495" t="s">
        <v>2104</v>
      </c>
      <c r="B495" t="s">
        <v>38</v>
      </c>
      <c r="C495" t="s">
        <v>87</v>
      </c>
      <c r="D495" t="s">
        <v>33</v>
      </c>
      <c r="E495" t="s">
        <v>88</v>
      </c>
      <c r="F495" s="1">
        <v>46085</v>
      </c>
      <c r="G495">
        <v>46115</v>
      </c>
      <c r="H495" t="s">
        <v>6</v>
      </c>
      <c r="I495">
        <v>6451.26</v>
      </c>
      <c r="J495" t="s">
        <v>75</v>
      </c>
      <c r="K495" t="s">
        <v>2105</v>
      </c>
      <c r="L495">
        <v>30</v>
      </c>
      <c r="M495" t="s">
        <v>38</v>
      </c>
      <c r="N495">
        <v>1.1649</v>
      </c>
      <c r="O495">
        <v>1.3381964388282597</v>
      </c>
      <c r="P495">
        <v>6.3648781553928531E-3</v>
      </c>
      <c r="Q495">
        <v>1.1649</v>
      </c>
      <c r="R495">
        <v>7515.0727740000002</v>
      </c>
      <c r="S495" t="s">
        <v>16</v>
      </c>
      <c r="T495">
        <v>1.0649999999999999</v>
      </c>
      <c r="U495">
        <v>6870.5918999999994</v>
      </c>
      <c r="V495">
        <v>644.48087400000077</v>
      </c>
      <c r="W495">
        <v>9.380281690140857E-2</v>
      </c>
    </row>
    <row r="496" spans="1:23" x14ac:dyDescent="0.25">
      <c r="A496" t="s">
        <v>2102</v>
      </c>
      <c r="B496" t="s">
        <v>36</v>
      </c>
      <c r="C496" t="s">
        <v>116</v>
      </c>
      <c r="D496" t="s">
        <v>31</v>
      </c>
      <c r="E496" t="s">
        <v>74</v>
      </c>
      <c r="F496" s="1">
        <v>46064</v>
      </c>
      <c r="G496">
        <v>46109</v>
      </c>
      <c r="H496" t="s">
        <v>6</v>
      </c>
      <c r="I496">
        <v>5688.49</v>
      </c>
      <c r="J496" t="s">
        <v>75</v>
      </c>
      <c r="K496" t="s">
        <v>2103</v>
      </c>
      <c r="L496">
        <v>45</v>
      </c>
      <c r="M496" t="s">
        <v>36</v>
      </c>
      <c r="N496">
        <v>1.19</v>
      </c>
      <c r="O496">
        <v>1.3679733302678467</v>
      </c>
      <c r="P496">
        <v>6.5102029651512667E-3</v>
      </c>
      <c r="Q496">
        <v>1.19</v>
      </c>
      <c r="R496">
        <v>6769.3030999999992</v>
      </c>
      <c r="S496" t="s">
        <v>16</v>
      </c>
      <c r="T496">
        <v>1.0649999999999999</v>
      </c>
      <c r="U496">
        <v>6058.2418499999994</v>
      </c>
      <c r="V496">
        <v>711.06124999999975</v>
      </c>
      <c r="W496">
        <v>0.11737089201877932</v>
      </c>
    </row>
    <row r="497" spans="1:23" x14ac:dyDescent="0.25">
      <c r="A497" t="s">
        <v>2100</v>
      </c>
      <c r="B497" t="s">
        <v>36</v>
      </c>
      <c r="C497" t="s">
        <v>116</v>
      </c>
      <c r="D497" t="s">
        <v>31</v>
      </c>
      <c r="E497" t="s">
        <v>74</v>
      </c>
      <c r="F497" s="1">
        <v>45826</v>
      </c>
      <c r="G497">
        <v>45871</v>
      </c>
      <c r="H497" t="s">
        <v>6</v>
      </c>
      <c r="I497">
        <v>20851.900000000001</v>
      </c>
      <c r="J497" t="s">
        <v>75</v>
      </c>
      <c r="K497" t="s">
        <v>2101</v>
      </c>
      <c r="L497">
        <v>45</v>
      </c>
      <c r="M497" t="s">
        <v>36</v>
      </c>
      <c r="N497">
        <v>1.1508</v>
      </c>
      <c r="O497">
        <v>1.3456501403180543</v>
      </c>
      <c r="P497">
        <v>6.9046619067618656E-3</v>
      </c>
      <c r="Q497">
        <v>1.1508</v>
      </c>
      <c r="R497">
        <v>23996.366520000003</v>
      </c>
      <c r="S497" t="s">
        <v>12</v>
      </c>
      <c r="T497">
        <v>1.07</v>
      </c>
      <c r="U497">
        <v>22311.533000000003</v>
      </c>
      <c r="V497">
        <v>1684.8335200000001</v>
      </c>
      <c r="W497">
        <v>7.5514018691588775E-2</v>
      </c>
    </row>
    <row r="498" spans="1:23" x14ac:dyDescent="0.25">
      <c r="A498" t="s">
        <v>2098</v>
      </c>
      <c r="B498" t="s">
        <v>37</v>
      </c>
      <c r="C498" t="s">
        <v>91</v>
      </c>
      <c r="D498" t="s">
        <v>31</v>
      </c>
      <c r="E498" t="s">
        <v>74</v>
      </c>
      <c r="F498" s="1">
        <v>46156</v>
      </c>
      <c r="G498">
        <v>46186</v>
      </c>
      <c r="H498" t="s">
        <v>6</v>
      </c>
      <c r="I498">
        <v>22943.87</v>
      </c>
      <c r="J498" t="s">
        <v>75</v>
      </c>
      <c r="K498" t="s">
        <v>2099</v>
      </c>
      <c r="L498">
        <v>30</v>
      </c>
      <c r="M498" t="s">
        <v>37</v>
      </c>
      <c r="N498">
        <v>1.1701999999999999</v>
      </c>
      <c r="O498">
        <v>1.3509894017409776</v>
      </c>
      <c r="P498">
        <v>6.3312232862630519E-3</v>
      </c>
      <c r="Q498">
        <v>1.1701999999999999</v>
      </c>
      <c r="R498">
        <v>26848.916673999996</v>
      </c>
      <c r="S498" t="s">
        <v>19</v>
      </c>
      <c r="T498">
        <v>1.083</v>
      </c>
      <c r="U498">
        <v>24848.211209999998</v>
      </c>
      <c r="V498">
        <v>2000.7054639999988</v>
      </c>
      <c r="W498">
        <v>8.0517082179132005E-2</v>
      </c>
    </row>
    <row r="499" spans="1:23" x14ac:dyDescent="0.25">
      <c r="A499" t="s">
        <v>2096</v>
      </c>
      <c r="B499" t="s">
        <v>25</v>
      </c>
      <c r="C499" t="s">
        <v>169</v>
      </c>
      <c r="D499" t="s">
        <v>31</v>
      </c>
      <c r="E499" t="s">
        <v>124</v>
      </c>
      <c r="F499" s="1">
        <v>45798</v>
      </c>
      <c r="G499">
        <v>45858</v>
      </c>
      <c r="H499" t="s">
        <v>6</v>
      </c>
      <c r="I499">
        <v>95842.07</v>
      </c>
      <c r="J499" t="s">
        <v>75</v>
      </c>
      <c r="K499" t="s">
        <v>2097</v>
      </c>
      <c r="L499">
        <v>60</v>
      </c>
      <c r="M499" t="s">
        <v>25</v>
      </c>
      <c r="N499">
        <v>1.1321000000000001</v>
      </c>
      <c r="O499">
        <v>1.3403978214539427</v>
      </c>
      <c r="P499">
        <v>6.9556402064389292E-3</v>
      </c>
      <c r="Q499">
        <v>1.1321000000000001</v>
      </c>
      <c r="R499">
        <v>108502.80744700001</v>
      </c>
      <c r="S499" t="s">
        <v>12</v>
      </c>
      <c r="T499">
        <v>1.07</v>
      </c>
      <c r="U499">
        <v>102551.01490000001</v>
      </c>
      <c r="V499">
        <v>5951.7925470000046</v>
      </c>
      <c r="W499">
        <v>5.803738317757013E-2</v>
      </c>
    </row>
    <row r="500" spans="1:23" x14ac:dyDescent="0.25">
      <c r="A500" t="s">
        <v>2094</v>
      </c>
      <c r="B500" t="s">
        <v>44</v>
      </c>
      <c r="C500" t="s">
        <v>138</v>
      </c>
      <c r="D500" t="s">
        <v>33</v>
      </c>
      <c r="E500" t="s">
        <v>88</v>
      </c>
      <c r="F500" s="1">
        <v>45833</v>
      </c>
      <c r="G500">
        <v>45878</v>
      </c>
      <c r="H500" t="s">
        <v>9</v>
      </c>
      <c r="I500">
        <v>1593324.94</v>
      </c>
      <c r="J500" t="s">
        <v>75</v>
      </c>
      <c r="K500" t="s">
        <v>2095</v>
      </c>
      <c r="L500">
        <v>45</v>
      </c>
      <c r="M500" t="s">
        <v>44</v>
      </c>
      <c r="N500">
        <v>1.1597999999999999</v>
      </c>
      <c r="O500">
        <v>1.3603096410978184</v>
      </c>
      <c r="P500">
        <v>6.8598805228603536E-3</v>
      </c>
      <c r="Q500">
        <v>6.8598805228603536E-3</v>
      </c>
      <c r="R500">
        <v>10930.018722493642</v>
      </c>
      <c r="S500" t="s">
        <v>12</v>
      </c>
      <c r="T500">
        <v>6.7000000000000002E-3</v>
      </c>
      <c r="U500">
        <v>10675.277098</v>
      </c>
      <c r="V500">
        <v>254.74162449364121</v>
      </c>
      <c r="W500">
        <v>2.3862764606022893E-2</v>
      </c>
    </row>
    <row r="501" spans="1:23" x14ac:dyDescent="0.25">
      <c r="A501" t="s">
        <v>2092</v>
      </c>
      <c r="B501" t="s">
        <v>43</v>
      </c>
      <c r="C501" t="s">
        <v>215</v>
      </c>
      <c r="D501" t="s">
        <v>35</v>
      </c>
      <c r="E501" t="s">
        <v>152</v>
      </c>
      <c r="F501" s="1">
        <v>46165</v>
      </c>
      <c r="G501">
        <v>46195</v>
      </c>
      <c r="H501" t="s">
        <v>6</v>
      </c>
      <c r="I501">
        <v>15206.13</v>
      </c>
      <c r="J501" t="s">
        <v>75</v>
      </c>
      <c r="K501" t="s">
        <v>2093</v>
      </c>
      <c r="L501">
        <v>30</v>
      </c>
      <c r="M501" t="s">
        <v>43</v>
      </c>
      <c r="N501">
        <v>1.1595</v>
      </c>
      <c r="O501">
        <v>1.3417343608970353</v>
      </c>
      <c r="P501">
        <v>6.2835311331490814E-3</v>
      </c>
      <c r="Q501">
        <v>1.1595</v>
      </c>
      <c r="R501">
        <v>17631.507734999999</v>
      </c>
      <c r="S501" t="s">
        <v>19</v>
      </c>
      <c r="T501">
        <v>1.083</v>
      </c>
      <c r="U501">
        <v>16468.238789999999</v>
      </c>
      <c r="V501">
        <v>1163.2689449999998</v>
      </c>
      <c r="W501">
        <v>7.0637119113573399E-2</v>
      </c>
    </row>
    <row r="502" spans="1:23" x14ac:dyDescent="0.25">
      <c r="A502" t="s">
        <v>2090</v>
      </c>
      <c r="B502" t="s">
        <v>39</v>
      </c>
      <c r="C502" t="s">
        <v>82</v>
      </c>
      <c r="D502" t="s">
        <v>33</v>
      </c>
      <c r="E502" t="s">
        <v>83</v>
      </c>
      <c r="F502" s="1">
        <v>46108</v>
      </c>
      <c r="G502">
        <v>46153</v>
      </c>
      <c r="H502" t="s">
        <v>8</v>
      </c>
      <c r="I502">
        <v>2620.63</v>
      </c>
      <c r="J502" t="s">
        <v>75</v>
      </c>
      <c r="K502" t="s">
        <v>2091</v>
      </c>
      <c r="L502">
        <v>45</v>
      </c>
      <c r="M502" t="s">
        <v>39</v>
      </c>
      <c r="N502">
        <v>1.1516999999999999</v>
      </c>
      <c r="O502">
        <v>1.3280673431734318</v>
      </c>
      <c r="P502">
        <v>6.2538010425716769E-3</v>
      </c>
      <c r="Q502">
        <v>1.3280673431734318</v>
      </c>
      <c r="R502">
        <v>3480.3731215405905</v>
      </c>
      <c r="S502" t="s">
        <v>16</v>
      </c>
      <c r="T502">
        <v>1.2490000000000001</v>
      </c>
      <c r="U502">
        <v>3273.1668700000005</v>
      </c>
      <c r="V502">
        <v>207.20625154059007</v>
      </c>
      <c r="W502">
        <v>6.3304518153267889E-2</v>
      </c>
    </row>
    <row r="503" spans="1:23" x14ac:dyDescent="0.25">
      <c r="A503" t="s">
        <v>2088</v>
      </c>
      <c r="B503" t="s">
        <v>30</v>
      </c>
      <c r="C503" t="s">
        <v>103</v>
      </c>
      <c r="D503" t="s">
        <v>31</v>
      </c>
      <c r="E503" t="s">
        <v>74</v>
      </c>
      <c r="F503" s="1">
        <v>46033</v>
      </c>
      <c r="G503">
        <v>46063</v>
      </c>
      <c r="H503" t="s">
        <v>9</v>
      </c>
      <c r="I503">
        <v>3972309.54</v>
      </c>
      <c r="J503" t="s">
        <v>75</v>
      </c>
      <c r="K503" t="s">
        <v>2089</v>
      </c>
      <c r="L503">
        <v>30</v>
      </c>
      <c r="M503" t="s">
        <v>30</v>
      </c>
      <c r="N503">
        <v>1.1555</v>
      </c>
      <c r="O503">
        <v>1.3367963164349013</v>
      </c>
      <c r="P503">
        <v>6.2983756677204832E-3</v>
      </c>
      <c r="Q503">
        <v>6.2983756677204832E-3</v>
      </c>
      <c r="R503">
        <v>25019.097751389945</v>
      </c>
      <c r="S503" t="s">
        <v>16</v>
      </c>
      <c r="T503">
        <v>6.4599999999999996E-3</v>
      </c>
      <c r="U503">
        <v>25661.1196284</v>
      </c>
      <c r="V503">
        <v>-642.0218770100546</v>
      </c>
      <c r="W503">
        <v>-2.5019246482897339E-2</v>
      </c>
    </row>
    <row r="504" spans="1:23" x14ac:dyDescent="0.25">
      <c r="A504" t="s">
        <v>2086</v>
      </c>
      <c r="B504" t="s">
        <v>32</v>
      </c>
      <c r="C504" t="s">
        <v>106</v>
      </c>
      <c r="D504" t="s">
        <v>31</v>
      </c>
      <c r="E504" t="s">
        <v>74</v>
      </c>
      <c r="F504" s="1">
        <v>45857</v>
      </c>
      <c r="G504">
        <v>45887</v>
      </c>
      <c r="H504" t="s">
        <v>6</v>
      </c>
      <c r="I504">
        <v>20461.45</v>
      </c>
      <c r="J504" t="s">
        <v>75</v>
      </c>
      <c r="K504" t="s">
        <v>2087</v>
      </c>
      <c r="L504">
        <v>30</v>
      </c>
      <c r="M504" t="s">
        <v>32</v>
      </c>
      <c r="N504">
        <v>1.1655</v>
      </c>
      <c r="O504">
        <v>1.3410424577148774</v>
      </c>
      <c r="P504">
        <v>6.6330886119173637E-3</v>
      </c>
      <c r="Q504">
        <v>1.1655</v>
      </c>
      <c r="R504">
        <v>23847.819975000002</v>
      </c>
      <c r="S504" t="s">
        <v>13</v>
      </c>
      <c r="T504">
        <v>1.0880000000000001</v>
      </c>
      <c r="U504">
        <v>22262.057600000004</v>
      </c>
      <c r="V504">
        <v>1585.7623749999984</v>
      </c>
      <c r="W504">
        <v>7.1231617647058737E-2</v>
      </c>
    </row>
    <row r="505" spans="1:23" x14ac:dyDescent="0.25">
      <c r="A505" t="s">
        <v>2084</v>
      </c>
      <c r="B505" t="s">
        <v>30</v>
      </c>
      <c r="C505" t="s">
        <v>103</v>
      </c>
      <c r="D505" t="s">
        <v>31</v>
      </c>
      <c r="E505" t="s">
        <v>74</v>
      </c>
      <c r="F505" s="1">
        <v>46340</v>
      </c>
      <c r="G505">
        <v>46370</v>
      </c>
      <c r="H505" t="s">
        <v>9</v>
      </c>
      <c r="I505">
        <v>2351377.4300000002</v>
      </c>
      <c r="J505" t="s">
        <v>84</v>
      </c>
      <c r="K505" t="s">
        <v>2085</v>
      </c>
      <c r="L505">
        <v>30</v>
      </c>
      <c r="M505" t="s">
        <v>30</v>
      </c>
      <c r="N505">
        <v>1.1176999999999999</v>
      </c>
      <c r="O505">
        <v>1.320456022210408</v>
      </c>
      <c r="P505">
        <v>6.3200452360757699E-3</v>
      </c>
      <c r="Q505">
        <v>6.3200452360757699E-3</v>
      </c>
      <c r="R505">
        <v>14860.811724687588</v>
      </c>
      <c r="S505" t="s">
        <v>23</v>
      </c>
      <c r="T505">
        <v>6.8799999999999998E-3</v>
      </c>
      <c r="U505">
        <v>16177.476718400001</v>
      </c>
      <c r="V505">
        <v>-1316.664993712413</v>
      </c>
      <c r="W505">
        <v>-8.1388773826196234E-2</v>
      </c>
    </row>
    <row r="506" spans="1:23" x14ac:dyDescent="0.25">
      <c r="A506" t="s">
        <v>2082</v>
      </c>
      <c r="B506" t="s">
        <v>20</v>
      </c>
      <c r="C506" t="s">
        <v>123</v>
      </c>
      <c r="D506" t="s">
        <v>31</v>
      </c>
      <c r="E506" t="s">
        <v>124</v>
      </c>
      <c r="F506" s="1">
        <v>45767</v>
      </c>
      <c r="G506">
        <v>45812</v>
      </c>
      <c r="H506" t="s">
        <v>6</v>
      </c>
      <c r="I506">
        <v>21099.040000000001</v>
      </c>
      <c r="J506" t="s">
        <v>75</v>
      </c>
      <c r="K506" t="s">
        <v>2083</v>
      </c>
      <c r="L506">
        <v>45</v>
      </c>
      <c r="M506" t="s">
        <v>20</v>
      </c>
      <c r="N506">
        <v>1.1574</v>
      </c>
      <c r="O506">
        <v>1.357972544878564</v>
      </c>
      <c r="P506">
        <v>6.9351069566780518E-3</v>
      </c>
      <c r="Q506">
        <v>1.1574</v>
      </c>
      <c r="R506">
        <v>24420.028896</v>
      </c>
      <c r="S506" t="s">
        <v>12</v>
      </c>
      <c r="T506">
        <v>1.07</v>
      </c>
      <c r="U506">
        <v>22575.972800000003</v>
      </c>
      <c r="V506">
        <v>1844.0560959999966</v>
      </c>
      <c r="W506">
        <v>8.1682242990654047E-2</v>
      </c>
    </row>
    <row r="507" spans="1:23" x14ac:dyDescent="0.25">
      <c r="A507" t="s">
        <v>2080</v>
      </c>
      <c r="B507" t="s">
        <v>28</v>
      </c>
      <c r="C507" t="s">
        <v>111</v>
      </c>
      <c r="D507" t="s">
        <v>31</v>
      </c>
      <c r="E507" t="s">
        <v>74</v>
      </c>
      <c r="F507" s="1">
        <v>46214</v>
      </c>
      <c r="G507">
        <v>46259</v>
      </c>
      <c r="H507" t="s">
        <v>9</v>
      </c>
      <c r="I507">
        <v>5491929.2300000004</v>
      </c>
      <c r="J507" t="s">
        <v>75</v>
      </c>
      <c r="K507" t="s">
        <v>2081</v>
      </c>
      <c r="L507">
        <v>45</v>
      </c>
      <c r="M507" t="s">
        <v>28</v>
      </c>
      <c r="N507">
        <v>1.143</v>
      </c>
      <c r="O507">
        <v>1.3422582349832657</v>
      </c>
      <c r="P507">
        <v>6.1777105177818611E-3</v>
      </c>
      <c r="Q507">
        <v>6.1777105177818611E-3</v>
      </c>
      <c r="R507">
        <v>33927.548967084644</v>
      </c>
      <c r="S507" t="s">
        <v>21</v>
      </c>
      <c r="T507">
        <v>6.7400000000000003E-3</v>
      </c>
      <c r="U507">
        <v>37015.603010200008</v>
      </c>
      <c r="V507">
        <v>-3088.054043115364</v>
      </c>
      <c r="W507">
        <v>-8.3425739201504312E-2</v>
      </c>
    </row>
    <row r="508" spans="1:23" x14ac:dyDescent="0.25">
      <c r="A508" t="s">
        <v>2078</v>
      </c>
      <c r="B508" t="s">
        <v>40</v>
      </c>
      <c r="C508" t="s">
        <v>78</v>
      </c>
      <c r="D508" t="s">
        <v>33</v>
      </c>
      <c r="E508" t="s">
        <v>79</v>
      </c>
      <c r="F508" s="1">
        <v>46106</v>
      </c>
      <c r="G508">
        <v>46136</v>
      </c>
      <c r="H508" t="s">
        <v>9</v>
      </c>
      <c r="I508">
        <v>1337394.0900000001</v>
      </c>
      <c r="J508" t="s">
        <v>75</v>
      </c>
      <c r="K508" t="s">
        <v>2079</v>
      </c>
      <c r="L508">
        <v>30</v>
      </c>
      <c r="M508" t="s">
        <v>40</v>
      </c>
      <c r="N508">
        <v>1.1592</v>
      </c>
      <c r="O508">
        <v>1.3392176344185402</v>
      </c>
      <c r="P508">
        <v>6.2907689803006457E-3</v>
      </c>
      <c r="Q508">
        <v>6.2907689803006457E-3</v>
      </c>
      <c r="R508">
        <v>8413.2372558094103</v>
      </c>
      <c r="S508" t="s">
        <v>16</v>
      </c>
      <c r="T508">
        <v>6.4599999999999996E-3</v>
      </c>
      <c r="U508">
        <v>8639.5658213999995</v>
      </c>
      <c r="V508">
        <v>-226.32856559058928</v>
      </c>
      <c r="W508">
        <v>-2.6196752275441756E-2</v>
      </c>
    </row>
    <row r="509" spans="1:23" x14ac:dyDescent="0.25">
      <c r="A509" t="s">
        <v>2076</v>
      </c>
      <c r="B509" t="s">
        <v>43</v>
      </c>
      <c r="C509" t="s">
        <v>215</v>
      </c>
      <c r="D509" t="s">
        <v>35</v>
      </c>
      <c r="E509" t="s">
        <v>152</v>
      </c>
      <c r="F509" s="1">
        <v>45695</v>
      </c>
      <c r="G509">
        <v>45725</v>
      </c>
      <c r="H509" t="s">
        <v>6</v>
      </c>
      <c r="I509">
        <v>4191.18</v>
      </c>
      <c r="J509" t="s">
        <v>75</v>
      </c>
      <c r="K509" t="s">
        <v>2077</v>
      </c>
      <c r="L509">
        <v>30</v>
      </c>
      <c r="M509" t="s">
        <v>43</v>
      </c>
      <c r="N509">
        <v>1.0377000000000001</v>
      </c>
      <c r="O509">
        <v>1.2449461926985232</v>
      </c>
      <c r="P509">
        <v>6.5772960638904735E-3</v>
      </c>
      <c r="Q509">
        <v>1.0377000000000001</v>
      </c>
      <c r="R509">
        <v>4349.1874860000007</v>
      </c>
      <c r="S509" t="s">
        <v>11</v>
      </c>
      <c r="T509">
        <v>1.052</v>
      </c>
      <c r="U509">
        <v>4409.1213600000001</v>
      </c>
      <c r="V509">
        <v>-59.933873999999378</v>
      </c>
      <c r="W509">
        <v>-1.359315589353598E-2</v>
      </c>
    </row>
    <row r="510" spans="1:23" x14ac:dyDescent="0.25">
      <c r="A510" t="s">
        <v>2074</v>
      </c>
      <c r="B510" t="s">
        <v>24</v>
      </c>
      <c r="C510" t="s">
        <v>73</v>
      </c>
      <c r="D510" t="s">
        <v>31</v>
      </c>
      <c r="E510" t="s">
        <v>74</v>
      </c>
      <c r="F510" s="1">
        <v>46335</v>
      </c>
      <c r="G510">
        <v>46365</v>
      </c>
      <c r="H510" t="s">
        <v>6</v>
      </c>
      <c r="I510">
        <v>6794.8</v>
      </c>
      <c r="J510" t="s">
        <v>84</v>
      </c>
      <c r="K510" t="s">
        <v>2075</v>
      </c>
      <c r="L510">
        <v>30</v>
      </c>
      <c r="M510" t="s">
        <v>24</v>
      </c>
      <c r="N510">
        <v>1.1176999999999999</v>
      </c>
      <c r="O510">
        <v>1.320456022210408</v>
      </c>
      <c r="P510">
        <v>6.3200452360757699E-3</v>
      </c>
      <c r="Q510">
        <v>1.1176999999999999</v>
      </c>
      <c r="R510">
        <v>7594.5479599999999</v>
      </c>
      <c r="S510" t="s">
        <v>23</v>
      </c>
      <c r="T510">
        <v>1.119</v>
      </c>
      <c r="U510">
        <v>7603.3811999999998</v>
      </c>
      <c r="V510">
        <v>-8.8332399999999325</v>
      </c>
      <c r="W510">
        <v>-1.1617515638963271E-3</v>
      </c>
    </row>
    <row r="511" spans="1:23" x14ac:dyDescent="0.25">
      <c r="A511" t="s">
        <v>2072</v>
      </c>
      <c r="B511" t="s">
        <v>34</v>
      </c>
      <c r="C511" t="s">
        <v>177</v>
      </c>
      <c r="D511" t="s">
        <v>31</v>
      </c>
      <c r="E511" t="s">
        <v>74</v>
      </c>
      <c r="F511" s="1">
        <v>46185</v>
      </c>
      <c r="G511">
        <v>46245</v>
      </c>
      <c r="H511" t="s">
        <v>8</v>
      </c>
      <c r="I511">
        <v>14225.49</v>
      </c>
      <c r="J511" t="s">
        <v>75</v>
      </c>
      <c r="K511" t="s">
        <v>2073</v>
      </c>
      <c r="L511">
        <v>60</v>
      </c>
      <c r="M511" t="s">
        <v>34</v>
      </c>
      <c r="N511">
        <v>1.1567000000000001</v>
      </c>
      <c r="O511">
        <v>1.3402467991425759</v>
      </c>
      <c r="P511">
        <v>6.2423097679438749E-3</v>
      </c>
      <c r="Q511">
        <v>1.3402467991425759</v>
      </c>
      <c r="R511">
        <v>19065.667438734723</v>
      </c>
      <c r="S511" t="s">
        <v>19</v>
      </c>
      <c r="T511">
        <v>1.2709999999999999</v>
      </c>
      <c r="U511">
        <v>18080.59779</v>
      </c>
      <c r="V511">
        <v>985.06964873472316</v>
      </c>
      <c r="W511">
        <v>5.4482139372601088E-2</v>
      </c>
    </row>
    <row r="512" spans="1:23" x14ac:dyDescent="0.25">
      <c r="A512" t="s">
        <v>2070</v>
      </c>
      <c r="B512" t="s">
        <v>30</v>
      </c>
      <c r="C512" t="s">
        <v>103</v>
      </c>
      <c r="D512" t="s">
        <v>31</v>
      </c>
      <c r="E512" t="s">
        <v>74</v>
      </c>
      <c r="F512" s="1">
        <v>46025</v>
      </c>
      <c r="G512">
        <v>46055</v>
      </c>
      <c r="H512" t="s">
        <v>9</v>
      </c>
      <c r="I512">
        <v>2309969.98</v>
      </c>
      <c r="J512" t="s">
        <v>75</v>
      </c>
      <c r="K512" t="s">
        <v>2071</v>
      </c>
      <c r="L512">
        <v>30</v>
      </c>
      <c r="M512" t="s">
        <v>30</v>
      </c>
      <c r="N512">
        <v>1.1555</v>
      </c>
      <c r="O512">
        <v>1.3367963164349013</v>
      </c>
      <c r="P512">
        <v>6.2983756677204832E-3</v>
      </c>
      <c r="Q512">
        <v>6.2983756677204832E-3</v>
      </c>
      <c r="R512">
        <v>14549.058715196772</v>
      </c>
      <c r="S512" t="s">
        <v>16</v>
      </c>
      <c r="T512">
        <v>6.4599999999999996E-3</v>
      </c>
      <c r="U512">
        <v>14922.4060708</v>
      </c>
      <c r="V512">
        <v>-373.3473556032277</v>
      </c>
      <c r="W512">
        <v>-2.5019246482897266E-2</v>
      </c>
    </row>
    <row r="513" spans="1:23" x14ac:dyDescent="0.25">
      <c r="A513" t="s">
        <v>2068</v>
      </c>
      <c r="B513" t="s">
        <v>25</v>
      </c>
      <c r="C513" t="s">
        <v>169</v>
      </c>
      <c r="D513" t="s">
        <v>31</v>
      </c>
      <c r="E513" t="s">
        <v>124</v>
      </c>
      <c r="F513" s="1">
        <v>46062</v>
      </c>
      <c r="G513">
        <v>46122</v>
      </c>
      <c r="H513" t="s">
        <v>6</v>
      </c>
      <c r="I513">
        <v>44003.07</v>
      </c>
      <c r="J513" t="s">
        <v>75</v>
      </c>
      <c r="K513" t="s">
        <v>2069</v>
      </c>
      <c r="L513">
        <v>60</v>
      </c>
      <c r="M513" t="s">
        <v>25</v>
      </c>
      <c r="N513">
        <v>1.1886000000000001</v>
      </c>
      <c r="O513">
        <v>1.3660498793242157</v>
      </c>
      <c r="P513">
        <v>6.4023700511715602E-3</v>
      </c>
      <c r="Q513">
        <v>1.1886000000000001</v>
      </c>
      <c r="R513">
        <v>52302.049002000007</v>
      </c>
      <c r="S513" t="s">
        <v>16</v>
      </c>
      <c r="T513">
        <v>1.0649999999999999</v>
      </c>
      <c r="U513">
        <v>46863.269549999997</v>
      </c>
      <c r="V513">
        <v>5438.7794520000098</v>
      </c>
      <c r="W513">
        <v>0.11605633802816923</v>
      </c>
    </row>
    <row r="514" spans="1:23" x14ac:dyDescent="0.25">
      <c r="A514" t="s">
        <v>2066</v>
      </c>
      <c r="B514" t="s">
        <v>28</v>
      </c>
      <c r="C514" t="s">
        <v>111</v>
      </c>
      <c r="D514" t="s">
        <v>31</v>
      </c>
      <c r="E514" t="s">
        <v>74</v>
      </c>
      <c r="F514" s="1">
        <v>46032</v>
      </c>
      <c r="G514">
        <v>46077</v>
      </c>
      <c r="H514" t="s">
        <v>9</v>
      </c>
      <c r="I514">
        <v>866710.42</v>
      </c>
      <c r="J514" t="s">
        <v>75</v>
      </c>
      <c r="K514" t="s">
        <v>2067</v>
      </c>
      <c r="L514">
        <v>45</v>
      </c>
      <c r="M514" t="s">
        <v>28</v>
      </c>
      <c r="N514">
        <v>1.1555</v>
      </c>
      <c r="O514">
        <v>1.3367963164349013</v>
      </c>
      <c r="P514">
        <v>6.2983756677204832E-3</v>
      </c>
      <c r="Q514">
        <v>6.2983756677204832E-3</v>
      </c>
      <c r="R514">
        <v>5458.8678202878009</v>
      </c>
      <c r="S514" t="s">
        <v>16</v>
      </c>
      <c r="T514">
        <v>6.4599999999999996E-3</v>
      </c>
      <c r="U514">
        <v>5598.9493131999998</v>
      </c>
      <c r="V514">
        <v>-140.08149291219888</v>
      </c>
      <c r="W514">
        <v>-2.5019246482897217E-2</v>
      </c>
    </row>
    <row r="515" spans="1:23" x14ac:dyDescent="0.25">
      <c r="A515" t="s">
        <v>2064</v>
      </c>
      <c r="B515" t="s">
        <v>32</v>
      </c>
      <c r="C515" t="s">
        <v>106</v>
      </c>
      <c r="D515" t="s">
        <v>31</v>
      </c>
      <c r="E515" t="s">
        <v>74</v>
      </c>
      <c r="F515" s="1">
        <v>45945</v>
      </c>
      <c r="G515">
        <v>45975</v>
      </c>
      <c r="H515" t="s">
        <v>6</v>
      </c>
      <c r="I515">
        <v>7345.55</v>
      </c>
      <c r="J515" t="s">
        <v>75</v>
      </c>
      <c r="K515" t="s">
        <v>2065</v>
      </c>
      <c r="L515">
        <v>30</v>
      </c>
      <c r="M515" t="s">
        <v>32</v>
      </c>
      <c r="N515">
        <v>1.1621999999999999</v>
      </c>
      <c r="O515">
        <v>1.3350947731188969</v>
      </c>
      <c r="P515">
        <v>6.5985351728836648E-3</v>
      </c>
      <c r="Q515">
        <v>1.1621999999999999</v>
      </c>
      <c r="R515">
        <v>8536.9982099999997</v>
      </c>
      <c r="S515" t="s">
        <v>14</v>
      </c>
      <c r="T515">
        <v>1.1060000000000001</v>
      </c>
      <c r="U515">
        <v>8124.1783000000005</v>
      </c>
      <c r="V515">
        <v>412.81990999999925</v>
      </c>
      <c r="W515">
        <v>5.0813743218806412E-2</v>
      </c>
    </row>
    <row r="516" spans="1:23" x14ac:dyDescent="0.25">
      <c r="A516" t="s">
        <v>2062</v>
      </c>
      <c r="B516" t="s">
        <v>38</v>
      </c>
      <c r="C516" t="s">
        <v>87</v>
      </c>
      <c r="D516" t="s">
        <v>33</v>
      </c>
      <c r="E516" t="s">
        <v>88</v>
      </c>
      <c r="F516" s="1">
        <v>46045</v>
      </c>
      <c r="G516">
        <v>46075</v>
      </c>
      <c r="H516" t="s">
        <v>6</v>
      </c>
      <c r="I516">
        <v>8663.42</v>
      </c>
      <c r="J516" t="s">
        <v>75</v>
      </c>
      <c r="K516" t="s">
        <v>2063</v>
      </c>
      <c r="L516">
        <v>30</v>
      </c>
      <c r="M516" t="s">
        <v>38</v>
      </c>
      <c r="N516">
        <v>1.1741999999999999</v>
      </c>
      <c r="O516">
        <v>1.3526091464117036</v>
      </c>
      <c r="P516">
        <v>6.322761294491411E-3</v>
      </c>
      <c r="Q516">
        <v>1.1741999999999999</v>
      </c>
      <c r="R516">
        <v>10172.587764</v>
      </c>
      <c r="S516" t="s">
        <v>16</v>
      </c>
      <c r="T516">
        <v>1.0649999999999999</v>
      </c>
      <c r="U516">
        <v>9226.5422999999992</v>
      </c>
      <c r="V516">
        <v>946.04546400000072</v>
      </c>
      <c r="W516">
        <v>0.10253521126760572</v>
      </c>
    </row>
    <row r="517" spans="1:23" x14ac:dyDescent="0.25">
      <c r="A517" t="s">
        <v>2060</v>
      </c>
      <c r="B517" t="s">
        <v>36</v>
      </c>
      <c r="C517" t="s">
        <v>116</v>
      </c>
      <c r="D517" t="s">
        <v>31</v>
      </c>
      <c r="E517" t="s">
        <v>74</v>
      </c>
      <c r="F517" s="1">
        <v>46164</v>
      </c>
      <c r="G517">
        <v>46209</v>
      </c>
      <c r="H517" t="s">
        <v>6</v>
      </c>
      <c r="I517">
        <v>17516.47</v>
      </c>
      <c r="J517" t="s">
        <v>75</v>
      </c>
      <c r="K517" t="s">
        <v>2061</v>
      </c>
      <c r="L517">
        <v>45</v>
      </c>
      <c r="M517" t="s">
        <v>36</v>
      </c>
      <c r="N517">
        <v>1.1595</v>
      </c>
      <c r="O517">
        <v>1.3417343608970353</v>
      </c>
      <c r="P517">
        <v>6.2835311331490814E-3</v>
      </c>
      <c r="Q517">
        <v>1.1595</v>
      </c>
      <c r="R517">
        <v>20310.346965000001</v>
      </c>
      <c r="S517" t="s">
        <v>19</v>
      </c>
      <c r="T517">
        <v>1.083</v>
      </c>
      <c r="U517">
        <v>18970.337009999999</v>
      </c>
      <c r="V517">
        <v>1340.0099550000014</v>
      </c>
      <c r="W517">
        <v>7.0637119113573482E-2</v>
      </c>
    </row>
    <row r="518" spans="1:23" x14ac:dyDescent="0.25">
      <c r="A518" t="s">
        <v>2058</v>
      </c>
      <c r="B518" t="s">
        <v>34</v>
      </c>
      <c r="C518" t="s">
        <v>177</v>
      </c>
      <c r="D518" t="s">
        <v>31</v>
      </c>
      <c r="E518" t="s">
        <v>74</v>
      </c>
      <c r="F518" s="1">
        <v>45743</v>
      </c>
      <c r="G518">
        <v>45803</v>
      </c>
      <c r="H518" t="s">
        <v>8</v>
      </c>
      <c r="I518">
        <v>5409.48</v>
      </c>
      <c r="J518" t="s">
        <v>75</v>
      </c>
      <c r="K518" t="s">
        <v>2059</v>
      </c>
      <c r="L518">
        <v>60</v>
      </c>
      <c r="M518" t="s">
        <v>34</v>
      </c>
      <c r="N518">
        <v>1.0785</v>
      </c>
      <c r="O518">
        <v>1.2944381766244988</v>
      </c>
      <c r="P518">
        <v>6.63488157490003E-3</v>
      </c>
      <c r="Q518">
        <v>1.2944381766244988</v>
      </c>
      <c r="R518">
        <v>7002.2374276866931</v>
      </c>
      <c r="S518" t="s">
        <v>11</v>
      </c>
      <c r="T518">
        <v>1.238</v>
      </c>
      <c r="U518">
        <v>6696.9362399999991</v>
      </c>
      <c r="V518">
        <v>305.30118768669399</v>
      </c>
      <c r="W518">
        <v>4.5588187903472417E-2</v>
      </c>
    </row>
    <row r="519" spans="1:23" x14ac:dyDescent="0.25">
      <c r="A519" t="s">
        <v>2056</v>
      </c>
      <c r="B519" t="s">
        <v>41</v>
      </c>
      <c r="C519" t="s">
        <v>172</v>
      </c>
      <c r="D519" t="s">
        <v>33</v>
      </c>
      <c r="E519" t="s">
        <v>83</v>
      </c>
      <c r="F519" s="1">
        <v>45887</v>
      </c>
      <c r="G519">
        <v>45917</v>
      </c>
      <c r="H519" t="s">
        <v>9</v>
      </c>
      <c r="I519">
        <v>702928.38</v>
      </c>
      <c r="J519" t="s">
        <v>75</v>
      </c>
      <c r="K519" t="s">
        <v>2057</v>
      </c>
      <c r="L519">
        <v>30</v>
      </c>
      <c r="M519" t="s">
        <v>41</v>
      </c>
      <c r="N519">
        <v>1.1673</v>
      </c>
      <c r="O519">
        <v>1.3540192553068089</v>
      </c>
      <c r="P519">
        <v>6.7759911766413182E-3</v>
      </c>
      <c r="Q519">
        <v>6.7759911766413182E-3</v>
      </c>
      <c r="R519">
        <v>4763.0365006907759</v>
      </c>
      <c r="S519" t="s">
        <v>13</v>
      </c>
      <c r="T519">
        <v>6.8399999999999997E-3</v>
      </c>
      <c r="U519">
        <v>4808.0301191999997</v>
      </c>
      <c r="V519">
        <v>-44.993618509223779</v>
      </c>
      <c r="W519">
        <v>-9.3580151109182719E-3</v>
      </c>
    </row>
    <row r="520" spans="1:23" x14ac:dyDescent="0.25">
      <c r="A520" t="s">
        <v>2054</v>
      </c>
      <c r="B520" t="s">
        <v>24</v>
      </c>
      <c r="C520" t="s">
        <v>73</v>
      </c>
      <c r="D520" t="s">
        <v>31</v>
      </c>
      <c r="E520" t="s">
        <v>74</v>
      </c>
      <c r="F520" s="1">
        <v>45844</v>
      </c>
      <c r="G520">
        <v>45874</v>
      </c>
      <c r="H520" t="s">
        <v>6</v>
      </c>
      <c r="I520">
        <v>22351.11</v>
      </c>
      <c r="J520" t="s">
        <v>75</v>
      </c>
      <c r="K520" t="s">
        <v>2055</v>
      </c>
      <c r="L520">
        <v>30</v>
      </c>
      <c r="M520" t="s">
        <v>24</v>
      </c>
      <c r="N520">
        <v>1.1724000000000001</v>
      </c>
      <c r="O520">
        <v>1.3469669117647061</v>
      </c>
      <c r="P520">
        <v>6.7977039485127852E-3</v>
      </c>
      <c r="Q520">
        <v>1.1724000000000001</v>
      </c>
      <c r="R520">
        <v>26204.441364000002</v>
      </c>
      <c r="S520" t="s">
        <v>13</v>
      </c>
      <c r="T520">
        <v>1.0880000000000001</v>
      </c>
      <c r="U520">
        <v>24318.007680000002</v>
      </c>
      <c r="V520">
        <v>1886.4336839999996</v>
      </c>
      <c r="W520">
        <v>7.757352941176468E-2</v>
      </c>
    </row>
    <row r="521" spans="1:23" x14ac:dyDescent="0.25">
      <c r="A521" t="s">
        <v>2052</v>
      </c>
      <c r="B521" t="s">
        <v>42</v>
      </c>
      <c r="C521" t="s">
        <v>151</v>
      </c>
      <c r="D521" t="s">
        <v>35</v>
      </c>
      <c r="E521" t="s">
        <v>152</v>
      </c>
      <c r="F521" s="1">
        <v>46019</v>
      </c>
      <c r="G521">
        <v>46049</v>
      </c>
      <c r="H521" t="s">
        <v>8</v>
      </c>
      <c r="I521">
        <v>5366.91</v>
      </c>
      <c r="J521" t="s">
        <v>75</v>
      </c>
      <c r="K521" t="s">
        <v>2053</v>
      </c>
      <c r="L521">
        <v>30</v>
      </c>
      <c r="M521" t="s">
        <v>42</v>
      </c>
      <c r="N521">
        <v>1.1555</v>
      </c>
      <c r="O521">
        <v>1.3367963164349013</v>
      </c>
      <c r="P521">
        <v>6.2983756677204832E-3</v>
      </c>
      <c r="Q521">
        <v>1.3367963164349013</v>
      </c>
      <c r="R521">
        <v>7174.4655186376358</v>
      </c>
      <c r="S521" t="s">
        <v>14</v>
      </c>
      <c r="T521">
        <v>1.304</v>
      </c>
      <c r="U521">
        <v>6998.45064</v>
      </c>
      <c r="V521">
        <v>176.01487863763577</v>
      </c>
      <c r="W521">
        <v>2.5150549413267817E-2</v>
      </c>
    </row>
    <row r="522" spans="1:23" x14ac:dyDescent="0.25">
      <c r="A522" t="s">
        <v>2050</v>
      </c>
      <c r="B522" t="s">
        <v>44</v>
      </c>
      <c r="C522" t="s">
        <v>138</v>
      </c>
      <c r="D522" t="s">
        <v>33</v>
      </c>
      <c r="E522" t="s">
        <v>88</v>
      </c>
      <c r="F522" s="1">
        <v>46234</v>
      </c>
      <c r="G522">
        <v>46279</v>
      </c>
      <c r="H522" t="s">
        <v>9</v>
      </c>
      <c r="I522">
        <v>1092206</v>
      </c>
      <c r="J522" t="s">
        <v>75</v>
      </c>
      <c r="K522" t="s">
        <v>2051</v>
      </c>
      <c r="L522">
        <v>45</v>
      </c>
      <c r="M522" t="s">
        <v>44</v>
      </c>
      <c r="N522">
        <v>1.1485000000000001</v>
      </c>
      <c r="O522">
        <v>1.3421289425402874</v>
      </c>
      <c r="P522">
        <v>6.2408302994077054E-3</v>
      </c>
      <c r="Q522">
        <v>6.2408302994077054E-3</v>
      </c>
      <c r="R522">
        <v>6816.2722979948921</v>
      </c>
      <c r="S522" t="s">
        <v>21</v>
      </c>
      <c r="T522">
        <v>6.7400000000000003E-3</v>
      </c>
      <c r="U522">
        <v>7361.4684400000006</v>
      </c>
      <c r="V522">
        <v>-545.19614200510841</v>
      </c>
      <c r="W522">
        <v>-7.4060786438025994E-2</v>
      </c>
    </row>
    <row r="523" spans="1:23" x14ac:dyDescent="0.25">
      <c r="A523" t="s">
        <v>2048</v>
      </c>
      <c r="B523" t="s">
        <v>38</v>
      </c>
      <c r="C523" t="s">
        <v>87</v>
      </c>
      <c r="D523" t="s">
        <v>33</v>
      </c>
      <c r="E523" t="s">
        <v>88</v>
      </c>
      <c r="F523" s="1">
        <v>46364</v>
      </c>
      <c r="G523">
        <v>46394</v>
      </c>
      <c r="H523" t="s">
        <v>6</v>
      </c>
      <c r="I523">
        <v>1876.46</v>
      </c>
      <c r="J523" t="s">
        <v>84</v>
      </c>
      <c r="K523" t="s">
        <v>2049</v>
      </c>
      <c r="L523">
        <v>30</v>
      </c>
      <c r="M523" t="s">
        <v>38</v>
      </c>
      <c r="N523">
        <v>1.1176999999999999</v>
      </c>
      <c r="O523">
        <v>1.320456022210408</v>
      </c>
      <c r="P523">
        <v>6.3200452360757699E-3</v>
      </c>
      <c r="Q523">
        <v>1.1176999999999999</v>
      </c>
      <c r="R523">
        <v>2097.3193419999998</v>
      </c>
      <c r="S523" t="s">
        <v>23</v>
      </c>
      <c r="T523">
        <v>1.119</v>
      </c>
      <c r="U523">
        <v>2099.7587400000002</v>
      </c>
      <c r="V523">
        <v>-2.4393980000004376</v>
      </c>
      <c r="W523">
        <v>-1.1617515638965444E-3</v>
      </c>
    </row>
    <row r="524" spans="1:23" x14ac:dyDescent="0.25">
      <c r="A524" t="s">
        <v>2046</v>
      </c>
      <c r="B524" t="s">
        <v>20</v>
      </c>
      <c r="C524" t="s">
        <v>123</v>
      </c>
      <c r="D524" t="s">
        <v>31</v>
      </c>
      <c r="E524" t="s">
        <v>124</v>
      </c>
      <c r="F524" s="1">
        <v>45754</v>
      </c>
      <c r="G524">
        <v>45799</v>
      </c>
      <c r="H524" t="s">
        <v>6</v>
      </c>
      <c r="I524">
        <v>51239.27</v>
      </c>
      <c r="J524" t="s">
        <v>75</v>
      </c>
      <c r="K524" t="s">
        <v>2047</v>
      </c>
      <c r="L524">
        <v>45</v>
      </c>
      <c r="M524" t="s">
        <v>20</v>
      </c>
      <c r="N524">
        <v>1.0967</v>
      </c>
      <c r="O524">
        <v>1.2813712202645231</v>
      </c>
      <c r="P524">
        <v>6.8296176360692481E-3</v>
      </c>
      <c r="Q524">
        <v>1.0967</v>
      </c>
      <c r="R524">
        <v>56194.107408999997</v>
      </c>
      <c r="S524" t="s">
        <v>12</v>
      </c>
      <c r="T524">
        <v>1.07</v>
      </c>
      <c r="U524">
        <v>54826.018900000003</v>
      </c>
      <c r="V524">
        <v>1368.0885089999938</v>
      </c>
      <c r="W524">
        <v>2.495327102803727E-2</v>
      </c>
    </row>
    <row r="525" spans="1:23" x14ac:dyDescent="0.25">
      <c r="A525" t="s">
        <v>2044</v>
      </c>
      <c r="B525" t="s">
        <v>36</v>
      </c>
      <c r="C525" t="s">
        <v>116</v>
      </c>
      <c r="D525" t="s">
        <v>31</v>
      </c>
      <c r="E525" t="s">
        <v>74</v>
      </c>
      <c r="F525" s="1">
        <v>46279</v>
      </c>
      <c r="G525">
        <v>46324</v>
      </c>
      <c r="H525" t="s">
        <v>6</v>
      </c>
      <c r="I525">
        <v>10353.83</v>
      </c>
      <c r="J525" t="s">
        <v>75</v>
      </c>
      <c r="K525" t="s">
        <v>2045</v>
      </c>
      <c r="L525">
        <v>45</v>
      </c>
      <c r="M525" t="s">
        <v>36</v>
      </c>
      <c r="N525">
        <v>1.1551</v>
      </c>
      <c r="O525">
        <v>1.3494474169957242</v>
      </c>
      <c r="P525">
        <v>6.4704234819628051E-3</v>
      </c>
      <c r="Q525">
        <v>1.1551</v>
      </c>
      <c r="R525">
        <v>11959.709032999999</v>
      </c>
      <c r="S525" t="s">
        <v>21</v>
      </c>
      <c r="T525">
        <v>1.101</v>
      </c>
      <c r="U525">
        <v>11399.56683</v>
      </c>
      <c r="V525">
        <v>560.14220299999943</v>
      </c>
      <c r="W525">
        <v>4.913714804722974E-2</v>
      </c>
    </row>
    <row r="526" spans="1:23" x14ac:dyDescent="0.25">
      <c r="A526" t="s">
        <v>2042</v>
      </c>
      <c r="B526" t="s">
        <v>43</v>
      </c>
      <c r="C526" t="s">
        <v>215</v>
      </c>
      <c r="D526" t="s">
        <v>35</v>
      </c>
      <c r="E526" t="s">
        <v>152</v>
      </c>
      <c r="F526" s="1">
        <v>45945</v>
      </c>
      <c r="G526">
        <v>45975</v>
      </c>
      <c r="H526" t="s">
        <v>6</v>
      </c>
      <c r="I526">
        <v>5875.71</v>
      </c>
      <c r="J526" t="s">
        <v>75</v>
      </c>
      <c r="K526" t="s">
        <v>2043</v>
      </c>
      <c r="L526">
        <v>30</v>
      </c>
      <c r="M526" t="s">
        <v>43</v>
      </c>
      <c r="N526">
        <v>1.1621999999999999</v>
      </c>
      <c r="O526">
        <v>1.3350947731188969</v>
      </c>
      <c r="P526">
        <v>6.5985351728836648E-3</v>
      </c>
      <c r="Q526">
        <v>1.1621999999999999</v>
      </c>
      <c r="R526">
        <v>6828.7501619999994</v>
      </c>
      <c r="S526" t="s">
        <v>14</v>
      </c>
      <c r="T526">
        <v>1.1060000000000001</v>
      </c>
      <c r="U526">
        <v>6498.5352600000006</v>
      </c>
      <c r="V526">
        <v>330.2149019999988</v>
      </c>
      <c r="W526">
        <v>5.0813743218806322E-2</v>
      </c>
    </row>
    <row r="527" spans="1:23" x14ac:dyDescent="0.25">
      <c r="A527" t="s">
        <v>2040</v>
      </c>
      <c r="B527" t="s">
        <v>39</v>
      </c>
      <c r="C527" t="s">
        <v>82</v>
      </c>
      <c r="D527" t="s">
        <v>33</v>
      </c>
      <c r="E527" t="s">
        <v>83</v>
      </c>
      <c r="F527" s="1">
        <v>45659</v>
      </c>
      <c r="G527">
        <v>45704</v>
      </c>
      <c r="H527" t="s">
        <v>8</v>
      </c>
      <c r="I527">
        <v>9258.86</v>
      </c>
      <c r="J527" t="s">
        <v>75</v>
      </c>
      <c r="K527" t="s">
        <v>2041</v>
      </c>
      <c r="L527">
        <v>45</v>
      </c>
      <c r="M527" t="s">
        <v>39</v>
      </c>
      <c r="N527">
        <v>1.0321</v>
      </c>
      <c r="O527">
        <v>1.2417286267715777</v>
      </c>
      <c r="P527">
        <v>6.3694149592693162E-3</v>
      </c>
      <c r="Q527">
        <v>1.2417286267715777</v>
      </c>
      <c r="R527">
        <v>11496.99151327029</v>
      </c>
      <c r="S527" t="s">
        <v>11</v>
      </c>
      <c r="T527">
        <v>1.238</v>
      </c>
      <c r="U527">
        <v>11462.46868</v>
      </c>
      <c r="V527">
        <v>34.522833270289993</v>
      </c>
      <c r="W527">
        <v>3.0118148397235136E-3</v>
      </c>
    </row>
    <row r="528" spans="1:23" x14ac:dyDescent="0.25">
      <c r="A528" t="s">
        <v>2038</v>
      </c>
      <c r="B528" t="s">
        <v>24</v>
      </c>
      <c r="C528" t="s">
        <v>73</v>
      </c>
      <c r="D528" t="s">
        <v>31</v>
      </c>
      <c r="E528" t="s">
        <v>74</v>
      </c>
      <c r="F528" s="1">
        <v>45687</v>
      </c>
      <c r="G528">
        <v>45717</v>
      </c>
      <c r="H528" t="s">
        <v>6</v>
      </c>
      <c r="I528">
        <v>27051.24</v>
      </c>
      <c r="J528" t="s">
        <v>75</v>
      </c>
      <c r="K528" t="s">
        <v>2039</v>
      </c>
      <c r="L528">
        <v>30</v>
      </c>
      <c r="M528" t="s">
        <v>24</v>
      </c>
      <c r="N528">
        <v>1.0403</v>
      </c>
      <c r="O528">
        <v>1.2431140586724025</v>
      </c>
      <c r="P528">
        <v>6.4888972055888224E-3</v>
      </c>
      <c r="Q528">
        <v>1.0403</v>
      </c>
      <c r="R528">
        <v>28141.404972</v>
      </c>
      <c r="S528" t="s">
        <v>11</v>
      </c>
      <c r="T528">
        <v>1.052</v>
      </c>
      <c r="U528">
        <v>28457.904480000005</v>
      </c>
      <c r="V528">
        <v>-316.49950800000443</v>
      </c>
      <c r="W528">
        <v>-1.1121673003802434E-2</v>
      </c>
    </row>
    <row r="529" spans="1:23" x14ac:dyDescent="0.25">
      <c r="A529" t="s">
        <v>2036</v>
      </c>
      <c r="B529" t="s">
        <v>24</v>
      </c>
      <c r="C529" t="s">
        <v>73</v>
      </c>
      <c r="D529" t="s">
        <v>31</v>
      </c>
      <c r="E529" t="s">
        <v>74</v>
      </c>
      <c r="F529" s="1">
        <v>45667</v>
      </c>
      <c r="G529">
        <v>45697</v>
      </c>
      <c r="H529" t="s">
        <v>6</v>
      </c>
      <c r="I529">
        <v>27183.9</v>
      </c>
      <c r="J529" t="s">
        <v>75</v>
      </c>
      <c r="K529" t="s">
        <v>2037</v>
      </c>
      <c r="L529">
        <v>30</v>
      </c>
      <c r="M529" t="s">
        <v>24</v>
      </c>
      <c r="N529">
        <v>1.0304</v>
      </c>
      <c r="O529">
        <v>1.2311662863082935</v>
      </c>
      <c r="P529">
        <v>6.3269065454992016E-3</v>
      </c>
      <c r="Q529">
        <v>1.0304</v>
      </c>
      <c r="R529">
        <v>28010.290560000001</v>
      </c>
      <c r="S529" t="s">
        <v>11</v>
      </c>
      <c r="T529">
        <v>1.052</v>
      </c>
      <c r="U529">
        <v>28597.462800000001</v>
      </c>
      <c r="V529">
        <v>-587.17223999999987</v>
      </c>
      <c r="W529">
        <v>-2.0532319391634975E-2</v>
      </c>
    </row>
    <row r="530" spans="1:23" x14ac:dyDescent="0.25">
      <c r="A530" t="s">
        <v>2034</v>
      </c>
      <c r="B530" t="s">
        <v>36</v>
      </c>
      <c r="C530" t="s">
        <v>116</v>
      </c>
      <c r="D530" t="s">
        <v>31</v>
      </c>
      <c r="E530" t="s">
        <v>74</v>
      </c>
      <c r="F530" s="1">
        <v>45837</v>
      </c>
      <c r="G530">
        <v>45882</v>
      </c>
      <c r="H530" t="s">
        <v>6</v>
      </c>
      <c r="I530">
        <v>17441.47</v>
      </c>
      <c r="J530" t="s">
        <v>75</v>
      </c>
      <c r="K530" t="s">
        <v>2035</v>
      </c>
      <c r="L530">
        <v>45</v>
      </c>
      <c r="M530" t="s">
        <v>36</v>
      </c>
      <c r="N530">
        <v>1.1780999999999999</v>
      </c>
      <c r="O530">
        <v>1.3496391339214113</v>
      </c>
      <c r="P530">
        <v>6.7640810702187517E-3</v>
      </c>
      <c r="Q530">
        <v>1.1780999999999999</v>
      </c>
      <c r="R530">
        <v>20547.795806999999</v>
      </c>
      <c r="S530" t="s">
        <v>12</v>
      </c>
      <c r="T530">
        <v>1.07</v>
      </c>
      <c r="U530">
        <v>18662.372900000002</v>
      </c>
      <c r="V530">
        <v>1885.4229069999965</v>
      </c>
      <c r="W530">
        <v>0.10102803738317737</v>
      </c>
    </row>
    <row r="531" spans="1:23" x14ac:dyDescent="0.25">
      <c r="A531" t="s">
        <v>2032</v>
      </c>
      <c r="B531" t="s">
        <v>28</v>
      </c>
      <c r="C531" t="s">
        <v>111</v>
      </c>
      <c r="D531" t="s">
        <v>31</v>
      </c>
      <c r="E531" t="s">
        <v>74</v>
      </c>
      <c r="F531" s="1">
        <v>45680</v>
      </c>
      <c r="G531">
        <v>45725</v>
      </c>
      <c r="H531" t="s">
        <v>9</v>
      </c>
      <c r="I531">
        <v>2148575.77</v>
      </c>
      <c r="J531" t="s">
        <v>75</v>
      </c>
      <c r="K531" t="s">
        <v>2033</v>
      </c>
      <c r="L531">
        <v>45</v>
      </c>
      <c r="M531" t="s">
        <v>28</v>
      </c>
      <c r="N531">
        <v>1.0404</v>
      </c>
      <c r="O531">
        <v>1.2317090495809064</v>
      </c>
      <c r="P531">
        <v>6.3993111083774134E-3</v>
      </c>
      <c r="Q531">
        <v>6.3993111083774134E-3</v>
      </c>
      <c r="R531">
        <v>13749.404792151554</v>
      </c>
      <c r="S531" t="s">
        <v>11</v>
      </c>
      <c r="T531">
        <v>6.5599999999999999E-3</v>
      </c>
      <c r="U531">
        <v>14094.6570512</v>
      </c>
      <c r="V531">
        <v>-345.25225904844592</v>
      </c>
      <c r="W531">
        <v>-2.4495257869296762E-2</v>
      </c>
    </row>
    <row r="532" spans="1:23" x14ac:dyDescent="0.25">
      <c r="A532" t="s">
        <v>2030</v>
      </c>
      <c r="B532" t="s">
        <v>41</v>
      </c>
      <c r="C532" t="s">
        <v>172</v>
      </c>
      <c r="D532" t="s">
        <v>33</v>
      </c>
      <c r="E532" t="s">
        <v>83</v>
      </c>
      <c r="F532" s="1">
        <v>46378</v>
      </c>
      <c r="G532">
        <v>46408</v>
      </c>
      <c r="H532" t="s">
        <v>9</v>
      </c>
      <c r="I532">
        <v>2591849.5699999998</v>
      </c>
      <c r="J532" t="s">
        <v>84</v>
      </c>
      <c r="K532" t="s">
        <v>2031</v>
      </c>
      <c r="L532">
        <v>30</v>
      </c>
      <c r="M532" t="s">
        <v>41</v>
      </c>
      <c r="N532">
        <v>1.1176999999999999</v>
      </c>
      <c r="O532">
        <v>1.320456022210408</v>
      </c>
      <c r="P532">
        <v>6.3200452360757699E-3</v>
      </c>
      <c r="Q532">
        <v>6.3200452360757699E-3</v>
      </c>
      <c r="R532">
        <v>16380.606527503531</v>
      </c>
      <c r="S532" t="s">
        <v>23</v>
      </c>
      <c r="T532">
        <v>6.8799999999999998E-3</v>
      </c>
      <c r="U532">
        <v>17831.9250416</v>
      </c>
      <c r="V532">
        <v>-1451.3185140964688</v>
      </c>
      <c r="W532">
        <v>-8.1388773826196317E-2</v>
      </c>
    </row>
    <row r="533" spans="1:23" x14ac:dyDescent="0.25">
      <c r="A533" t="s">
        <v>2028</v>
      </c>
      <c r="B533" t="s">
        <v>26</v>
      </c>
      <c r="C533" t="s">
        <v>94</v>
      </c>
      <c r="D533" t="s">
        <v>31</v>
      </c>
      <c r="E533" t="s">
        <v>74</v>
      </c>
      <c r="F533" s="1">
        <v>45706</v>
      </c>
      <c r="G533">
        <v>45736</v>
      </c>
      <c r="H533" t="s">
        <v>8</v>
      </c>
      <c r="I533">
        <v>5850.23</v>
      </c>
      <c r="J533" t="s">
        <v>75</v>
      </c>
      <c r="K533" t="s">
        <v>2029</v>
      </c>
      <c r="L533">
        <v>30</v>
      </c>
      <c r="M533" t="s">
        <v>26</v>
      </c>
      <c r="N533">
        <v>1.0447</v>
      </c>
      <c r="O533">
        <v>1.2582956940680516</v>
      </c>
      <c r="P533">
        <v>6.5890886155786808E-3</v>
      </c>
      <c r="Q533">
        <v>1.2582956940680516</v>
      </c>
      <c r="R533">
        <v>7361.3192183077372</v>
      </c>
      <c r="S533" t="s">
        <v>11</v>
      </c>
      <c r="T533">
        <v>1.238</v>
      </c>
      <c r="U533">
        <v>7242.5847399999993</v>
      </c>
      <c r="V533">
        <v>118.73447830773785</v>
      </c>
      <c r="W533">
        <v>1.6393937050122504E-2</v>
      </c>
    </row>
    <row r="534" spans="1:23" x14ac:dyDescent="0.25">
      <c r="A534" t="s">
        <v>2026</v>
      </c>
      <c r="B534" t="s">
        <v>24</v>
      </c>
      <c r="C534" t="s">
        <v>73</v>
      </c>
      <c r="D534" t="s">
        <v>31</v>
      </c>
      <c r="E534" t="s">
        <v>74</v>
      </c>
      <c r="F534" s="1">
        <v>45904</v>
      </c>
      <c r="G534">
        <v>45934</v>
      </c>
      <c r="H534" t="s">
        <v>6</v>
      </c>
      <c r="I534">
        <v>32549.49</v>
      </c>
      <c r="J534" t="s">
        <v>75</v>
      </c>
      <c r="K534" t="s">
        <v>2027</v>
      </c>
      <c r="L534">
        <v>30</v>
      </c>
      <c r="M534" t="s">
        <v>24</v>
      </c>
      <c r="N534">
        <v>1.1647000000000001</v>
      </c>
      <c r="O534">
        <v>1.3444534226018701</v>
      </c>
      <c r="P534">
        <v>6.7417226209770791E-3</v>
      </c>
      <c r="Q534">
        <v>1.1647000000000001</v>
      </c>
      <c r="R534">
        <v>37910.391003000004</v>
      </c>
      <c r="S534" t="s">
        <v>13</v>
      </c>
      <c r="T534">
        <v>1.0880000000000001</v>
      </c>
      <c r="U534">
        <v>35413.845120000005</v>
      </c>
      <c r="V534">
        <v>2496.5458829999989</v>
      </c>
      <c r="W534">
        <v>7.0496323529411722E-2</v>
      </c>
    </row>
    <row r="535" spans="1:23" x14ac:dyDescent="0.25">
      <c r="A535" t="s">
        <v>2024</v>
      </c>
      <c r="B535" t="s">
        <v>28</v>
      </c>
      <c r="C535" t="s">
        <v>111</v>
      </c>
      <c r="D535" t="s">
        <v>31</v>
      </c>
      <c r="E535" t="s">
        <v>74</v>
      </c>
      <c r="F535" s="1">
        <v>45894</v>
      </c>
      <c r="G535">
        <v>45939</v>
      </c>
      <c r="H535" t="s">
        <v>9</v>
      </c>
      <c r="I535">
        <v>4398447.99</v>
      </c>
      <c r="J535" t="s">
        <v>75</v>
      </c>
      <c r="K535" t="s">
        <v>2025</v>
      </c>
      <c r="L535">
        <v>45</v>
      </c>
      <c r="M535" t="s">
        <v>28</v>
      </c>
      <c r="N535">
        <v>1.1697</v>
      </c>
      <c r="O535">
        <v>1.3508488278092159</v>
      </c>
      <c r="P535">
        <v>6.7863773497331163E-3</v>
      </c>
      <c r="Q535">
        <v>6.7863773497331163E-3</v>
      </c>
      <c r="R535">
        <v>29849.527813315155</v>
      </c>
      <c r="S535" t="s">
        <v>13</v>
      </c>
      <c r="T535">
        <v>6.8399999999999997E-3</v>
      </c>
      <c r="U535">
        <v>30085.3842516</v>
      </c>
      <c r="V535">
        <v>-235.85643828484535</v>
      </c>
      <c r="W535">
        <v>-7.8395687524683028E-3</v>
      </c>
    </row>
    <row r="536" spans="1:23" x14ac:dyDescent="0.25">
      <c r="A536" t="s">
        <v>2022</v>
      </c>
      <c r="B536" t="s">
        <v>26</v>
      </c>
      <c r="C536" t="s">
        <v>94</v>
      </c>
      <c r="D536" t="s">
        <v>31</v>
      </c>
      <c r="E536" t="s">
        <v>74</v>
      </c>
      <c r="F536" s="1">
        <v>46011</v>
      </c>
      <c r="G536">
        <v>46041</v>
      </c>
      <c r="H536" t="s">
        <v>8</v>
      </c>
      <c r="I536">
        <v>22774.54</v>
      </c>
      <c r="J536" t="s">
        <v>75</v>
      </c>
      <c r="K536" t="s">
        <v>2023</v>
      </c>
      <c r="L536">
        <v>30</v>
      </c>
      <c r="M536" t="s">
        <v>26</v>
      </c>
      <c r="N536">
        <v>1.1555</v>
      </c>
      <c r="O536">
        <v>1.3367963164349013</v>
      </c>
      <c r="P536">
        <v>6.2983756677204832E-3</v>
      </c>
      <c r="Q536">
        <v>1.3367963164349013</v>
      </c>
      <c r="R536">
        <v>30444.921180499317</v>
      </c>
      <c r="S536" t="s">
        <v>14</v>
      </c>
      <c r="T536">
        <v>1.304</v>
      </c>
      <c r="U536">
        <v>29698.000160000003</v>
      </c>
      <c r="V536">
        <v>746.92102049931418</v>
      </c>
      <c r="W536">
        <v>2.5150549413267768E-2</v>
      </c>
    </row>
    <row r="537" spans="1:23" x14ac:dyDescent="0.25">
      <c r="A537" t="s">
        <v>2020</v>
      </c>
      <c r="B537" t="s">
        <v>36</v>
      </c>
      <c r="C537" t="s">
        <v>116</v>
      </c>
      <c r="D537" t="s">
        <v>31</v>
      </c>
      <c r="E537" t="s">
        <v>74</v>
      </c>
      <c r="F537" s="1">
        <v>45841</v>
      </c>
      <c r="G537">
        <v>45886</v>
      </c>
      <c r="H537" t="s">
        <v>6</v>
      </c>
      <c r="I537">
        <v>19403.16</v>
      </c>
      <c r="J537" t="s">
        <v>75</v>
      </c>
      <c r="K537" t="s">
        <v>2021</v>
      </c>
      <c r="L537">
        <v>45</v>
      </c>
      <c r="M537" t="s">
        <v>36</v>
      </c>
      <c r="N537">
        <v>1.1781999999999999</v>
      </c>
      <c r="O537">
        <v>1.3653957584888168</v>
      </c>
      <c r="P537">
        <v>6.9477532727916019E-3</v>
      </c>
      <c r="Q537">
        <v>1.1781999999999999</v>
      </c>
      <c r="R537">
        <v>22860.803111999998</v>
      </c>
      <c r="S537" t="s">
        <v>13</v>
      </c>
      <c r="T537">
        <v>1.0880000000000001</v>
      </c>
      <c r="U537">
        <v>21110.638080000001</v>
      </c>
      <c r="V537">
        <v>1750.1650319999972</v>
      </c>
      <c r="W537">
        <v>8.290441176470574E-2</v>
      </c>
    </row>
    <row r="538" spans="1:23" x14ac:dyDescent="0.25">
      <c r="A538" t="s">
        <v>2018</v>
      </c>
      <c r="B538" t="s">
        <v>30</v>
      </c>
      <c r="C538" t="s">
        <v>103</v>
      </c>
      <c r="D538" t="s">
        <v>31</v>
      </c>
      <c r="E538" t="s">
        <v>74</v>
      </c>
      <c r="F538" s="1">
        <v>46059</v>
      </c>
      <c r="G538">
        <v>46089</v>
      </c>
      <c r="H538" t="s">
        <v>9</v>
      </c>
      <c r="I538">
        <v>1127003.8400000001</v>
      </c>
      <c r="J538" t="s">
        <v>75</v>
      </c>
      <c r="K538" t="s">
        <v>2019</v>
      </c>
      <c r="L538">
        <v>30</v>
      </c>
      <c r="M538" t="s">
        <v>30</v>
      </c>
      <c r="N538">
        <v>1.1794</v>
      </c>
      <c r="O538">
        <v>1.3589123170872219</v>
      </c>
      <c r="P538">
        <v>6.3658444432449935E-3</v>
      </c>
      <c r="Q538">
        <v>6.3658444432449935E-3</v>
      </c>
      <c r="R538">
        <v>7174.3311323797707</v>
      </c>
      <c r="S538" t="s">
        <v>16</v>
      </c>
      <c r="T538">
        <v>6.4599999999999996E-3</v>
      </c>
      <c r="U538">
        <v>7280.4448063999998</v>
      </c>
      <c r="V538">
        <v>-106.11367402022915</v>
      </c>
      <c r="W538">
        <v>-1.4575163584366179E-2</v>
      </c>
    </row>
    <row r="539" spans="1:23" x14ac:dyDescent="0.25">
      <c r="A539" t="s">
        <v>2016</v>
      </c>
      <c r="B539" t="s">
        <v>41</v>
      </c>
      <c r="C539" t="s">
        <v>172</v>
      </c>
      <c r="D539" t="s">
        <v>33</v>
      </c>
      <c r="E539" t="s">
        <v>83</v>
      </c>
      <c r="F539" s="1">
        <v>46195</v>
      </c>
      <c r="G539">
        <v>46225</v>
      </c>
      <c r="H539" t="s">
        <v>9</v>
      </c>
      <c r="I539">
        <v>1312301.23</v>
      </c>
      <c r="J539" t="s">
        <v>75</v>
      </c>
      <c r="K539" t="s">
        <v>2017</v>
      </c>
      <c r="L539">
        <v>30</v>
      </c>
      <c r="M539" t="s">
        <v>41</v>
      </c>
      <c r="N539">
        <v>1.1456</v>
      </c>
      <c r="O539">
        <v>1.3248831937826711</v>
      </c>
      <c r="P539">
        <v>6.1814061403982082E-3</v>
      </c>
      <c r="Q539">
        <v>6.1814061403982082E-3</v>
      </c>
      <c r="R539">
        <v>8111.8668811741209</v>
      </c>
      <c r="S539" t="s">
        <v>19</v>
      </c>
      <c r="T539">
        <v>6.6E-3</v>
      </c>
      <c r="U539">
        <v>8661.188118</v>
      </c>
      <c r="V539">
        <v>-549.32123682587917</v>
      </c>
      <c r="W539">
        <v>-6.3423312060877604E-2</v>
      </c>
    </row>
    <row r="540" spans="1:23" x14ac:dyDescent="0.25">
      <c r="A540" t="s">
        <v>2014</v>
      </c>
      <c r="B540" t="s">
        <v>24</v>
      </c>
      <c r="C540" t="s">
        <v>73</v>
      </c>
      <c r="D540" t="s">
        <v>31</v>
      </c>
      <c r="E540" t="s">
        <v>74</v>
      </c>
      <c r="F540" s="1">
        <v>45847</v>
      </c>
      <c r="G540">
        <v>45877</v>
      </c>
      <c r="H540" t="s">
        <v>6</v>
      </c>
      <c r="I540">
        <v>14019.09</v>
      </c>
      <c r="J540" t="s">
        <v>75</v>
      </c>
      <c r="K540" t="s">
        <v>2015</v>
      </c>
      <c r="L540">
        <v>30</v>
      </c>
      <c r="M540" t="s">
        <v>24</v>
      </c>
      <c r="N540">
        <v>1.1698</v>
      </c>
      <c r="O540">
        <v>1.3581794961105307</v>
      </c>
      <c r="P540">
        <v>6.815824739264697E-3</v>
      </c>
      <c r="Q540">
        <v>1.1698</v>
      </c>
      <c r="R540">
        <v>16399.531481999999</v>
      </c>
      <c r="S540" t="s">
        <v>13</v>
      </c>
      <c r="T540">
        <v>1.0880000000000001</v>
      </c>
      <c r="U540">
        <v>15252.769920000001</v>
      </c>
      <c r="V540">
        <v>1146.7615619999979</v>
      </c>
      <c r="W540">
        <v>7.5183823529411622E-2</v>
      </c>
    </row>
    <row r="541" spans="1:23" x14ac:dyDescent="0.25">
      <c r="A541" t="s">
        <v>2012</v>
      </c>
      <c r="B541" t="s">
        <v>38</v>
      </c>
      <c r="C541" t="s">
        <v>87</v>
      </c>
      <c r="D541" t="s">
        <v>33</v>
      </c>
      <c r="E541" t="s">
        <v>88</v>
      </c>
      <c r="F541" s="1">
        <v>46060</v>
      </c>
      <c r="G541">
        <v>46090</v>
      </c>
      <c r="H541" t="s">
        <v>6</v>
      </c>
      <c r="I541">
        <v>13008.07</v>
      </c>
      <c r="J541" t="s">
        <v>75</v>
      </c>
      <c r="K541" t="s">
        <v>2013</v>
      </c>
      <c r="L541">
        <v>30</v>
      </c>
      <c r="M541" t="s">
        <v>38</v>
      </c>
      <c r="N541">
        <v>1.1555</v>
      </c>
      <c r="O541">
        <v>1.3367963164349013</v>
      </c>
      <c r="P541">
        <v>6.2983756677204832E-3</v>
      </c>
      <c r="Q541">
        <v>1.1555</v>
      </c>
      <c r="R541">
        <v>15030.824885</v>
      </c>
      <c r="S541" t="s">
        <v>16</v>
      </c>
      <c r="T541">
        <v>1.0649999999999999</v>
      </c>
      <c r="U541">
        <v>13853.59455</v>
      </c>
      <c r="V541">
        <v>1177.2303350000002</v>
      </c>
      <c r="W541">
        <v>8.497652582159626E-2</v>
      </c>
    </row>
    <row r="542" spans="1:23" x14ac:dyDescent="0.25">
      <c r="A542" t="s">
        <v>2010</v>
      </c>
      <c r="B542" t="s">
        <v>41</v>
      </c>
      <c r="C542" t="s">
        <v>172</v>
      </c>
      <c r="D542" t="s">
        <v>33</v>
      </c>
      <c r="E542" t="s">
        <v>83</v>
      </c>
      <c r="F542" s="1">
        <v>45717</v>
      </c>
      <c r="G542">
        <v>45747</v>
      </c>
      <c r="H542" t="s">
        <v>9</v>
      </c>
      <c r="I542">
        <v>442169</v>
      </c>
      <c r="J542" t="s">
        <v>75</v>
      </c>
      <c r="K542" t="s">
        <v>2011</v>
      </c>
      <c r="L542">
        <v>30</v>
      </c>
      <c r="M542" t="s">
        <v>41</v>
      </c>
      <c r="N542">
        <v>1.0803</v>
      </c>
      <c r="O542">
        <v>1.2944700736924091</v>
      </c>
      <c r="P542">
        <v>6.7007815407517683E-3</v>
      </c>
      <c r="Q542">
        <v>6.7007815407517683E-3</v>
      </c>
      <c r="R542">
        <v>2962.8778730926688</v>
      </c>
      <c r="S542" t="s">
        <v>11</v>
      </c>
      <c r="T542">
        <v>6.5599999999999999E-3</v>
      </c>
      <c r="U542">
        <v>2900.6286399999999</v>
      </c>
      <c r="V542">
        <v>62.249233092668874</v>
      </c>
      <c r="W542">
        <v>2.1460600724355006E-2</v>
      </c>
    </row>
    <row r="543" spans="1:23" x14ac:dyDescent="0.25">
      <c r="A543" t="s">
        <v>2008</v>
      </c>
      <c r="B543" t="s">
        <v>24</v>
      </c>
      <c r="C543" t="s">
        <v>73</v>
      </c>
      <c r="D543" t="s">
        <v>31</v>
      </c>
      <c r="E543" t="s">
        <v>74</v>
      </c>
      <c r="F543" s="1">
        <v>45760</v>
      </c>
      <c r="G543">
        <v>45790</v>
      </c>
      <c r="H543" t="s">
        <v>6</v>
      </c>
      <c r="I543">
        <v>15224.59</v>
      </c>
      <c r="J543" t="s">
        <v>75</v>
      </c>
      <c r="K543" t="s">
        <v>2009</v>
      </c>
      <c r="L543">
        <v>30</v>
      </c>
      <c r="M543" t="s">
        <v>24</v>
      </c>
      <c r="N543">
        <v>1.1423000000000001</v>
      </c>
      <c r="O543">
        <v>1.3568119729183989</v>
      </c>
      <c r="P543">
        <v>6.9797140413051456E-3</v>
      </c>
      <c r="Q543">
        <v>1.1423000000000001</v>
      </c>
      <c r="R543">
        <v>17391.049157000001</v>
      </c>
      <c r="S543" t="s">
        <v>12</v>
      </c>
      <c r="T543">
        <v>1.07</v>
      </c>
      <c r="U543">
        <v>16290.311300000001</v>
      </c>
      <c r="V543">
        <v>1100.7378570000001</v>
      </c>
      <c r="W543">
        <v>6.7570093457943931E-2</v>
      </c>
    </row>
    <row r="544" spans="1:23" x14ac:dyDescent="0.25">
      <c r="A544" t="s">
        <v>2006</v>
      </c>
      <c r="B544" t="s">
        <v>28</v>
      </c>
      <c r="C544" t="s">
        <v>111</v>
      </c>
      <c r="D544" t="s">
        <v>31</v>
      </c>
      <c r="E544" t="s">
        <v>74</v>
      </c>
      <c r="F544" s="1">
        <v>45746</v>
      </c>
      <c r="G544">
        <v>45791</v>
      </c>
      <c r="H544" t="s">
        <v>9</v>
      </c>
      <c r="I544">
        <v>5109033.7300000004</v>
      </c>
      <c r="J544" t="s">
        <v>75</v>
      </c>
      <c r="K544" t="s">
        <v>2007</v>
      </c>
      <c r="L544">
        <v>45</v>
      </c>
      <c r="M544" t="s">
        <v>28</v>
      </c>
      <c r="N544">
        <v>1.1194</v>
      </c>
      <c r="O544">
        <v>1.3283493532692536</v>
      </c>
      <c r="P544">
        <v>6.8653787181846048E-3</v>
      </c>
      <c r="Q544">
        <v>6.8653787181846048E-3</v>
      </c>
      <c r="R544">
        <v>35075.451440429315</v>
      </c>
      <c r="S544" t="s">
        <v>11</v>
      </c>
      <c r="T544">
        <v>6.5599999999999999E-3</v>
      </c>
      <c r="U544">
        <v>33515.261268800001</v>
      </c>
      <c r="V544">
        <v>1560.1901716293141</v>
      </c>
      <c r="W544">
        <v>4.6551633869604502E-2</v>
      </c>
    </row>
    <row r="545" spans="1:23" x14ac:dyDescent="0.25">
      <c r="A545" t="s">
        <v>2004</v>
      </c>
      <c r="B545" t="s">
        <v>38</v>
      </c>
      <c r="C545" t="s">
        <v>87</v>
      </c>
      <c r="D545" t="s">
        <v>33</v>
      </c>
      <c r="E545" t="s">
        <v>88</v>
      </c>
      <c r="F545" s="1">
        <v>46256</v>
      </c>
      <c r="G545">
        <v>46286</v>
      </c>
      <c r="H545" t="s">
        <v>6</v>
      </c>
      <c r="I545">
        <v>6948.62</v>
      </c>
      <c r="J545" t="s">
        <v>75</v>
      </c>
      <c r="K545" t="s">
        <v>2005</v>
      </c>
      <c r="L545">
        <v>30</v>
      </c>
      <c r="M545" t="s">
        <v>38</v>
      </c>
      <c r="N545">
        <v>1.1698999999999999</v>
      </c>
      <c r="O545">
        <v>1.3655888875919224</v>
      </c>
      <c r="P545">
        <v>6.3013034579338578E-3</v>
      </c>
      <c r="Q545">
        <v>1.1698999999999999</v>
      </c>
      <c r="R545">
        <v>8129.1905379999998</v>
      </c>
      <c r="S545" t="s">
        <v>21</v>
      </c>
      <c r="T545">
        <v>1.101</v>
      </c>
      <c r="U545">
        <v>7650.4306200000001</v>
      </c>
      <c r="V545">
        <v>478.75991799999974</v>
      </c>
      <c r="W545">
        <v>6.257947320617617E-2</v>
      </c>
    </row>
    <row r="546" spans="1:23" x14ac:dyDescent="0.25">
      <c r="A546" t="s">
        <v>2002</v>
      </c>
      <c r="B546" t="s">
        <v>24</v>
      </c>
      <c r="C546" t="s">
        <v>73</v>
      </c>
      <c r="D546" t="s">
        <v>31</v>
      </c>
      <c r="E546" t="s">
        <v>74</v>
      </c>
      <c r="F546" s="1">
        <v>46122</v>
      </c>
      <c r="G546">
        <v>46152</v>
      </c>
      <c r="H546" t="s">
        <v>6</v>
      </c>
      <c r="I546">
        <v>29244.34</v>
      </c>
      <c r="J546" t="s">
        <v>75</v>
      </c>
      <c r="K546" t="s">
        <v>2003</v>
      </c>
      <c r="L546">
        <v>30</v>
      </c>
      <c r="M546" t="s">
        <v>24</v>
      </c>
      <c r="N546">
        <v>1.1711</v>
      </c>
      <c r="O546">
        <v>1.3444693186384249</v>
      </c>
      <c r="P546">
        <v>6.2817143163653921E-3</v>
      </c>
      <c r="Q546">
        <v>1.1711</v>
      </c>
      <c r="R546">
        <v>34248.046574</v>
      </c>
      <c r="S546" t="s">
        <v>19</v>
      </c>
      <c r="T546">
        <v>1.083</v>
      </c>
      <c r="U546">
        <v>31671.620220000001</v>
      </c>
      <c r="V546">
        <v>2576.4263539999993</v>
      </c>
      <c r="W546">
        <v>8.1348107109879941E-2</v>
      </c>
    </row>
    <row r="547" spans="1:23" x14ac:dyDescent="0.25">
      <c r="A547" t="s">
        <v>2000</v>
      </c>
      <c r="B547" t="s">
        <v>37</v>
      </c>
      <c r="C547" t="s">
        <v>91</v>
      </c>
      <c r="D547" t="s">
        <v>31</v>
      </c>
      <c r="E547" t="s">
        <v>74</v>
      </c>
      <c r="F547" s="1">
        <v>45985</v>
      </c>
      <c r="G547">
        <v>46015</v>
      </c>
      <c r="H547" t="s">
        <v>6</v>
      </c>
      <c r="I547">
        <v>15483.6</v>
      </c>
      <c r="J547" t="s">
        <v>75</v>
      </c>
      <c r="K547" t="s">
        <v>2001</v>
      </c>
      <c r="L547">
        <v>30</v>
      </c>
      <c r="M547" t="s">
        <v>37</v>
      </c>
      <c r="N547">
        <v>1.1544000000000001</v>
      </c>
      <c r="O547">
        <v>1.3112221717401182</v>
      </c>
      <c r="P547">
        <v>6.3701578192252514E-3</v>
      </c>
      <c r="Q547">
        <v>1.1544000000000001</v>
      </c>
      <c r="R547">
        <v>17874.26784</v>
      </c>
      <c r="S547" t="s">
        <v>14</v>
      </c>
      <c r="T547">
        <v>1.1060000000000001</v>
      </c>
      <c r="U547">
        <v>17124.8616</v>
      </c>
      <c r="V547">
        <v>749.40624000000025</v>
      </c>
      <c r="W547">
        <v>4.3761301989150105E-2</v>
      </c>
    </row>
    <row r="548" spans="1:23" x14ac:dyDescent="0.25">
      <c r="A548" t="s">
        <v>1998</v>
      </c>
      <c r="B548" t="s">
        <v>30</v>
      </c>
      <c r="C548" t="s">
        <v>103</v>
      </c>
      <c r="D548" t="s">
        <v>31</v>
      </c>
      <c r="E548" t="s">
        <v>74</v>
      </c>
      <c r="F548" s="1">
        <v>46299</v>
      </c>
      <c r="G548">
        <v>46329</v>
      </c>
      <c r="H548" t="s">
        <v>9</v>
      </c>
      <c r="I548">
        <v>2085133.92</v>
      </c>
      <c r="J548" t="s">
        <v>84</v>
      </c>
      <c r="K548" t="s">
        <v>1999</v>
      </c>
      <c r="L548">
        <v>30</v>
      </c>
      <c r="M548" t="s">
        <v>30</v>
      </c>
      <c r="N548">
        <v>1.1225000000000001</v>
      </c>
      <c r="O548">
        <v>1.3200757353027648</v>
      </c>
      <c r="P548">
        <v>6.3421662240804562E-3</v>
      </c>
      <c r="Q548">
        <v>6.3421662240804562E-3</v>
      </c>
      <c r="R548">
        <v>13224.265920108479</v>
      </c>
      <c r="S548" t="s">
        <v>23</v>
      </c>
      <c r="T548">
        <v>6.8799999999999998E-3</v>
      </c>
      <c r="U548">
        <v>14345.7213696</v>
      </c>
      <c r="V548">
        <v>-1121.455449491521</v>
      </c>
      <c r="W548">
        <v>-7.8173513941794226E-2</v>
      </c>
    </row>
    <row r="549" spans="1:23" x14ac:dyDescent="0.25">
      <c r="A549" t="s">
        <v>1996</v>
      </c>
      <c r="B549" t="s">
        <v>40</v>
      </c>
      <c r="C549" t="s">
        <v>78</v>
      </c>
      <c r="D549" t="s">
        <v>33</v>
      </c>
      <c r="E549" t="s">
        <v>79</v>
      </c>
      <c r="F549" s="1">
        <v>46064</v>
      </c>
      <c r="G549">
        <v>46094</v>
      </c>
      <c r="H549" t="s">
        <v>9</v>
      </c>
      <c r="I549">
        <v>2370987.38</v>
      </c>
      <c r="J549" t="s">
        <v>75</v>
      </c>
      <c r="K549" t="s">
        <v>1997</v>
      </c>
      <c r="L549">
        <v>30</v>
      </c>
      <c r="M549" t="s">
        <v>40</v>
      </c>
      <c r="N549">
        <v>1.19</v>
      </c>
      <c r="O549">
        <v>1.3679733302678467</v>
      </c>
      <c r="P549">
        <v>6.5102029651512667E-3</v>
      </c>
      <c r="Q549">
        <v>6.5102029651512667E-3</v>
      </c>
      <c r="R549">
        <v>15435.609071612233</v>
      </c>
      <c r="S549" t="s">
        <v>16</v>
      </c>
      <c r="T549">
        <v>6.4599999999999996E-3</v>
      </c>
      <c r="U549">
        <v>15316.578474799999</v>
      </c>
      <c r="V549">
        <v>119.03059681223385</v>
      </c>
      <c r="W549">
        <v>7.7713568345614556E-3</v>
      </c>
    </row>
    <row r="550" spans="1:23" x14ac:dyDescent="0.25">
      <c r="A550" t="s">
        <v>1994</v>
      </c>
      <c r="B550" t="s">
        <v>30</v>
      </c>
      <c r="C550" t="s">
        <v>103</v>
      </c>
      <c r="D550" t="s">
        <v>31</v>
      </c>
      <c r="E550" t="s">
        <v>74</v>
      </c>
      <c r="F550" s="1">
        <v>45728</v>
      </c>
      <c r="G550">
        <v>45758</v>
      </c>
      <c r="H550" t="s">
        <v>9</v>
      </c>
      <c r="I550">
        <v>2004398.28</v>
      </c>
      <c r="J550" t="s">
        <v>75</v>
      </c>
      <c r="K550" t="s">
        <v>1995</v>
      </c>
      <c r="L550">
        <v>30</v>
      </c>
      <c r="M550" t="s">
        <v>30</v>
      </c>
      <c r="N550">
        <v>1.0886</v>
      </c>
      <c r="O550">
        <v>1.2947501129903185</v>
      </c>
      <c r="P550">
        <v>6.710226222030451E-3</v>
      </c>
      <c r="Q550">
        <v>6.710226222030451E-3</v>
      </c>
      <c r="R550">
        <v>13449.965897848735</v>
      </c>
      <c r="S550" t="s">
        <v>11</v>
      </c>
      <c r="T550">
        <v>6.5599999999999999E-3</v>
      </c>
      <c r="U550">
        <v>13148.8527168</v>
      </c>
      <c r="V550">
        <v>301.11318104873499</v>
      </c>
      <c r="W550">
        <v>2.2900338724154184E-2</v>
      </c>
    </row>
    <row r="551" spans="1:23" x14ac:dyDescent="0.25">
      <c r="A551" t="s">
        <v>1992</v>
      </c>
      <c r="B551" t="s">
        <v>20</v>
      </c>
      <c r="C551" t="s">
        <v>123</v>
      </c>
      <c r="D551" t="s">
        <v>31</v>
      </c>
      <c r="E551" t="s">
        <v>124</v>
      </c>
      <c r="F551" s="1">
        <v>46271</v>
      </c>
      <c r="G551">
        <v>46316</v>
      </c>
      <c r="H551" t="s">
        <v>6</v>
      </c>
      <c r="I551">
        <v>54891.28</v>
      </c>
      <c r="J551" t="s">
        <v>75</v>
      </c>
      <c r="K551" t="s">
        <v>1993</v>
      </c>
      <c r="L551">
        <v>45</v>
      </c>
      <c r="M551" t="s">
        <v>20</v>
      </c>
      <c r="N551">
        <v>1.1621999999999999</v>
      </c>
      <c r="O551">
        <v>1.3530000698502875</v>
      </c>
      <c r="P551">
        <v>6.400132165868164E-3</v>
      </c>
      <c r="Q551">
        <v>1.1621999999999999</v>
      </c>
      <c r="R551">
        <v>63794.645615999994</v>
      </c>
      <c r="S551" t="s">
        <v>21</v>
      </c>
      <c r="T551">
        <v>1.101</v>
      </c>
      <c r="U551">
        <v>60435.299279999999</v>
      </c>
      <c r="V551">
        <v>3359.3463359999951</v>
      </c>
      <c r="W551">
        <v>5.5585831062670218E-2</v>
      </c>
    </row>
    <row r="552" spans="1:23" x14ac:dyDescent="0.25">
      <c r="A552" t="s">
        <v>1990</v>
      </c>
      <c r="B552" t="s">
        <v>20</v>
      </c>
      <c r="C552" t="s">
        <v>123</v>
      </c>
      <c r="D552" t="s">
        <v>31</v>
      </c>
      <c r="E552" t="s">
        <v>124</v>
      </c>
      <c r="F552" s="1">
        <v>46267</v>
      </c>
      <c r="G552">
        <v>46312</v>
      </c>
      <c r="H552" t="s">
        <v>6</v>
      </c>
      <c r="I552">
        <v>72459.95</v>
      </c>
      <c r="J552" t="s">
        <v>75</v>
      </c>
      <c r="K552" t="s">
        <v>1991</v>
      </c>
      <c r="L552">
        <v>45</v>
      </c>
      <c r="M552" t="s">
        <v>20</v>
      </c>
      <c r="N552">
        <v>1.1577999999999999</v>
      </c>
      <c r="O552">
        <v>1.3483172237102596</v>
      </c>
      <c r="P552">
        <v>6.2658296352419091E-3</v>
      </c>
      <c r="Q552">
        <v>1.1577999999999999</v>
      </c>
      <c r="R552">
        <v>83894.130109999998</v>
      </c>
      <c r="S552" t="s">
        <v>21</v>
      </c>
      <c r="T552">
        <v>1.101</v>
      </c>
      <c r="U552">
        <v>79778.404949999996</v>
      </c>
      <c r="V552">
        <v>4115.7251600000018</v>
      </c>
      <c r="W552">
        <v>5.1589464123524095E-2</v>
      </c>
    </row>
    <row r="553" spans="1:23" x14ac:dyDescent="0.25">
      <c r="A553" t="s">
        <v>1988</v>
      </c>
      <c r="B553" t="s">
        <v>32</v>
      </c>
      <c r="C553" t="s">
        <v>106</v>
      </c>
      <c r="D553" t="s">
        <v>31</v>
      </c>
      <c r="E553" t="s">
        <v>806</v>
      </c>
      <c r="F553" s="1">
        <v>46349</v>
      </c>
      <c r="G553">
        <v>46379</v>
      </c>
      <c r="H553" t="s">
        <v>6</v>
      </c>
      <c r="I553">
        <v>19777.14</v>
      </c>
      <c r="J553" t="s">
        <v>84</v>
      </c>
      <c r="K553" t="s">
        <v>1989</v>
      </c>
      <c r="L553">
        <v>30</v>
      </c>
      <c r="M553" t="s">
        <v>32</v>
      </c>
      <c r="N553">
        <v>1.1176999999999999</v>
      </c>
      <c r="O553">
        <v>1.320456022210408</v>
      </c>
      <c r="P553">
        <v>6.3200452360757699E-3</v>
      </c>
      <c r="Q553">
        <v>1.1176999999999999</v>
      </c>
      <c r="R553">
        <v>22104.909377999997</v>
      </c>
      <c r="S553" t="s">
        <v>23</v>
      </c>
      <c r="T553">
        <v>1.119</v>
      </c>
      <c r="U553">
        <v>22130.61966</v>
      </c>
      <c r="V553">
        <v>-25.710282000003644</v>
      </c>
      <c r="W553">
        <v>-1.1617515638965006E-3</v>
      </c>
    </row>
    <row r="554" spans="1:23" x14ac:dyDescent="0.25">
      <c r="A554" t="s">
        <v>1986</v>
      </c>
      <c r="B554" t="s">
        <v>41</v>
      </c>
      <c r="C554" t="s">
        <v>172</v>
      </c>
      <c r="D554" t="s">
        <v>33</v>
      </c>
      <c r="E554" t="s">
        <v>83</v>
      </c>
      <c r="F554" s="1">
        <v>45961</v>
      </c>
      <c r="G554">
        <v>45991</v>
      </c>
      <c r="H554" t="s">
        <v>9</v>
      </c>
      <c r="I554">
        <v>1754068.45</v>
      </c>
      <c r="J554" t="s">
        <v>75</v>
      </c>
      <c r="K554" t="s">
        <v>1987</v>
      </c>
      <c r="L554">
        <v>30</v>
      </c>
      <c r="M554" t="s">
        <v>41</v>
      </c>
      <c r="N554">
        <v>1.1554</v>
      </c>
      <c r="O554">
        <v>1.3105716878402902</v>
      </c>
      <c r="P554">
        <v>6.4859099584596387E-3</v>
      </c>
      <c r="Q554">
        <v>6.4859099584596387E-3</v>
      </c>
      <c r="R554">
        <v>11376.730027674863</v>
      </c>
      <c r="S554" t="s">
        <v>14</v>
      </c>
      <c r="T554">
        <v>6.9800000000000001E-3</v>
      </c>
      <c r="U554">
        <v>12243.397781</v>
      </c>
      <c r="V554">
        <v>-866.6677533251368</v>
      </c>
      <c r="W554">
        <v>-7.0786538902630536E-2</v>
      </c>
    </row>
    <row r="555" spans="1:23" x14ac:dyDescent="0.25">
      <c r="A555" t="s">
        <v>1984</v>
      </c>
      <c r="B555" t="s">
        <v>25</v>
      </c>
      <c r="C555" t="s">
        <v>169</v>
      </c>
      <c r="D555" t="s">
        <v>31</v>
      </c>
      <c r="E555" t="s">
        <v>124</v>
      </c>
      <c r="F555" s="1">
        <v>46328</v>
      </c>
      <c r="G555">
        <v>46388</v>
      </c>
      <c r="H555" t="s">
        <v>6</v>
      </c>
      <c r="I555">
        <v>67091.490000000005</v>
      </c>
      <c r="J555" t="s">
        <v>84</v>
      </c>
      <c r="K555" t="s">
        <v>1985</v>
      </c>
      <c r="L555">
        <v>60</v>
      </c>
      <c r="M555" t="s">
        <v>25</v>
      </c>
      <c r="N555">
        <v>1.1176999999999999</v>
      </c>
      <c r="O555">
        <v>1.320456022210408</v>
      </c>
      <c r="P555">
        <v>6.3200452360757699E-3</v>
      </c>
      <c r="Q555">
        <v>1.1176999999999999</v>
      </c>
      <c r="R555">
        <v>74988.158372999998</v>
      </c>
      <c r="S555" t="s">
        <v>23</v>
      </c>
      <c r="T555">
        <v>1.119</v>
      </c>
      <c r="U555">
        <v>75075.377310000011</v>
      </c>
      <c r="V555">
        <v>-87.218937000012374</v>
      </c>
      <c r="W555">
        <v>-1.1617515638965006E-3</v>
      </c>
    </row>
    <row r="556" spans="1:23" x14ac:dyDescent="0.25">
      <c r="A556" t="s">
        <v>1982</v>
      </c>
      <c r="B556" t="s">
        <v>40</v>
      </c>
      <c r="C556" t="s">
        <v>78</v>
      </c>
      <c r="D556" t="s">
        <v>33</v>
      </c>
      <c r="E556" t="s">
        <v>79</v>
      </c>
      <c r="F556" s="1">
        <v>46191</v>
      </c>
      <c r="G556">
        <v>46221</v>
      </c>
      <c r="H556" t="s">
        <v>9</v>
      </c>
      <c r="I556">
        <v>790563.08</v>
      </c>
      <c r="J556" t="s">
        <v>75</v>
      </c>
      <c r="K556" t="s">
        <v>1983</v>
      </c>
      <c r="L556">
        <v>30</v>
      </c>
      <c r="M556" t="s">
        <v>40</v>
      </c>
      <c r="N556">
        <v>1.1460999999999999</v>
      </c>
      <c r="O556">
        <v>1.3228606385188946</v>
      </c>
      <c r="P556">
        <v>6.2139449143352845E-3</v>
      </c>
      <c r="Q556">
        <v>6.2139449143352845E-3</v>
      </c>
      <c r="R556">
        <v>4912.5154304272382</v>
      </c>
      <c r="S556" t="s">
        <v>19</v>
      </c>
      <c r="T556">
        <v>6.6E-3</v>
      </c>
      <c r="U556">
        <v>5217.7163279999995</v>
      </c>
      <c r="V556">
        <v>-305.20089757276128</v>
      </c>
      <c r="W556">
        <v>-5.849319479768416E-2</v>
      </c>
    </row>
    <row r="557" spans="1:23" x14ac:dyDescent="0.25">
      <c r="A557" t="s">
        <v>1980</v>
      </c>
      <c r="B557" t="s">
        <v>22</v>
      </c>
      <c r="C557" t="s">
        <v>127</v>
      </c>
      <c r="D557" t="s">
        <v>31</v>
      </c>
      <c r="E557" t="s">
        <v>124</v>
      </c>
      <c r="F557" s="1">
        <v>46015</v>
      </c>
      <c r="G557">
        <v>46075</v>
      </c>
      <c r="H557" t="s">
        <v>9</v>
      </c>
      <c r="I557">
        <v>5386942</v>
      </c>
      <c r="J557" t="s">
        <v>75</v>
      </c>
      <c r="K557" t="s">
        <v>1981</v>
      </c>
      <c r="L557">
        <v>60</v>
      </c>
      <c r="M557" t="s">
        <v>22</v>
      </c>
      <c r="N557">
        <v>1.1787000000000001</v>
      </c>
      <c r="O557">
        <v>1.350326497880628</v>
      </c>
      <c r="P557">
        <v>6.4119023010390033E-3</v>
      </c>
      <c r="Q557">
        <v>6.4119023010390033E-3</v>
      </c>
      <c r="R557">
        <v>34540.545805363654</v>
      </c>
      <c r="S557" t="s">
        <v>14</v>
      </c>
      <c r="T557">
        <v>6.9800000000000001E-3</v>
      </c>
      <c r="U557">
        <v>37600.855159999999</v>
      </c>
      <c r="V557">
        <v>-3060.3093546363452</v>
      </c>
      <c r="W557">
        <v>-8.1389355152005141E-2</v>
      </c>
    </row>
    <row r="558" spans="1:23" x14ac:dyDescent="0.25">
      <c r="A558" t="s">
        <v>1978</v>
      </c>
      <c r="B558" t="s">
        <v>38</v>
      </c>
      <c r="C558" t="s">
        <v>87</v>
      </c>
      <c r="D558" t="s">
        <v>33</v>
      </c>
      <c r="E558" t="s">
        <v>88</v>
      </c>
      <c r="F558" s="1">
        <v>45824</v>
      </c>
      <c r="G558">
        <v>45854</v>
      </c>
      <c r="H558" t="s">
        <v>6</v>
      </c>
      <c r="I558">
        <v>8625.14</v>
      </c>
      <c r="J558" t="s">
        <v>75</v>
      </c>
      <c r="K558" t="s">
        <v>1979</v>
      </c>
      <c r="L558">
        <v>30</v>
      </c>
      <c r="M558" t="s">
        <v>38</v>
      </c>
      <c r="N558">
        <v>1.1574</v>
      </c>
      <c r="O558">
        <v>1.357972544878564</v>
      </c>
      <c r="P558">
        <v>6.9351069566780518E-3</v>
      </c>
      <c r="Q558">
        <v>1.1574</v>
      </c>
      <c r="R558">
        <v>9982.7370359999986</v>
      </c>
      <c r="S558" t="s">
        <v>12</v>
      </c>
      <c r="T558">
        <v>1.07</v>
      </c>
      <c r="U558">
        <v>9228.8997999999992</v>
      </c>
      <c r="V558">
        <v>753.83723599999939</v>
      </c>
      <c r="W558">
        <v>8.1682242990654144E-2</v>
      </c>
    </row>
    <row r="559" spans="1:23" x14ac:dyDescent="0.25">
      <c r="A559" t="s">
        <v>1976</v>
      </c>
      <c r="B559" t="s">
        <v>40</v>
      </c>
      <c r="C559" t="s">
        <v>78</v>
      </c>
      <c r="D559" t="s">
        <v>33</v>
      </c>
      <c r="E559" t="s">
        <v>79</v>
      </c>
      <c r="F559" s="1">
        <v>46375</v>
      </c>
      <c r="G559">
        <v>46405</v>
      </c>
      <c r="H559" t="s">
        <v>9</v>
      </c>
      <c r="I559">
        <v>1513701.57</v>
      </c>
      <c r="J559" t="s">
        <v>84</v>
      </c>
      <c r="K559" t="s">
        <v>1977</v>
      </c>
      <c r="L559">
        <v>30</v>
      </c>
      <c r="M559" t="s">
        <v>40</v>
      </c>
      <c r="N559">
        <v>1.1176999999999999</v>
      </c>
      <c r="O559">
        <v>1.320456022210408</v>
      </c>
      <c r="P559">
        <v>6.3200452360757699E-3</v>
      </c>
      <c r="Q559">
        <v>6.3200452360757699E-3</v>
      </c>
      <c r="R559">
        <v>9566.662396318914</v>
      </c>
      <c r="S559" t="s">
        <v>23</v>
      </c>
      <c r="T559">
        <v>6.8799999999999998E-3</v>
      </c>
      <c r="U559">
        <v>10414.266801600001</v>
      </c>
      <c r="V559">
        <v>-847.60440528108666</v>
      </c>
      <c r="W559">
        <v>-8.1388773826196248E-2</v>
      </c>
    </row>
    <row r="560" spans="1:23" x14ac:dyDescent="0.25">
      <c r="A560" t="s">
        <v>1974</v>
      </c>
      <c r="B560" t="s">
        <v>43</v>
      </c>
      <c r="C560" t="s">
        <v>215</v>
      </c>
      <c r="D560" t="s">
        <v>35</v>
      </c>
      <c r="E560" t="s">
        <v>152</v>
      </c>
      <c r="F560" s="1">
        <v>46287</v>
      </c>
      <c r="G560">
        <v>46317</v>
      </c>
      <c r="H560" t="s">
        <v>6</v>
      </c>
      <c r="I560">
        <v>7894.4</v>
      </c>
      <c r="J560" t="s">
        <v>75</v>
      </c>
      <c r="K560" t="s">
        <v>1975</v>
      </c>
      <c r="L560">
        <v>30</v>
      </c>
      <c r="M560" t="s">
        <v>43</v>
      </c>
      <c r="N560">
        <v>1.1463000000000001</v>
      </c>
      <c r="O560">
        <v>1.3363254837957568</v>
      </c>
      <c r="P560">
        <v>6.3623244713326308E-3</v>
      </c>
      <c r="Q560">
        <v>1.1463000000000001</v>
      </c>
      <c r="R560">
        <v>9049.3507200000004</v>
      </c>
      <c r="S560" t="s">
        <v>21</v>
      </c>
      <c r="T560">
        <v>1.101</v>
      </c>
      <c r="U560">
        <v>8691.7343999999994</v>
      </c>
      <c r="V560">
        <v>357.616320000001</v>
      </c>
      <c r="W560">
        <v>4.1144414168937445E-2</v>
      </c>
    </row>
    <row r="561" spans="1:23" x14ac:dyDescent="0.25">
      <c r="A561" t="s">
        <v>1972</v>
      </c>
      <c r="B561" t="s">
        <v>32</v>
      </c>
      <c r="C561" t="s">
        <v>106</v>
      </c>
      <c r="D561" t="s">
        <v>31</v>
      </c>
      <c r="E561" t="s">
        <v>806</v>
      </c>
      <c r="F561" s="1">
        <v>46295</v>
      </c>
      <c r="G561">
        <v>46325</v>
      </c>
      <c r="H561" t="s">
        <v>6</v>
      </c>
      <c r="I561">
        <v>20906.87</v>
      </c>
      <c r="J561" t="s">
        <v>75</v>
      </c>
      <c r="K561" t="s">
        <v>1973</v>
      </c>
      <c r="L561">
        <v>30</v>
      </c>
      <c r="M561" t="s">
        <v>32</v>
      </c>
      <c r="N561">
        <v>1.1355</v>
      </c>
      <c r="O561">
        <v>1.3286451446824941</v>
      </c>
      <c r="P561">
        <v>6.3695518034442133E-3</v>
      </c>
      <c r="Q561">
        <v>1.1355</v>
      </c>
      <c r="R561">
        <v>23739.750884999998</v>
      </c>
      <c r="S561" t="s">
        <v>21</v>
      </c>
      <c r="T561">
        <v>1.101</v>
      </c>
      <c r="U561">
        <v>23018.46387</v>
      </c>
      <c r="V561">
        <v>721.28701499999806</v>
      </c>
      <c r="W561">
        <v>3.1335149863760133E-2</v>
      </c>
    </row>
    <row r="562" spans="1:23" x14ac:dyDescent="0.25">
      <c r="A562" t="s">
        <v>1970</v>
      </c>
      <c r="B562" t="s">
        <v>26</v>
      </c>
      <c r="C562" t="s">
        <v>94</v>
      </c>
      <c r="D562" t="s">
        <v>31</v>
      </c>
      <c r="E562" t="s">
        <v>74</v>
      </c>
      <c r="F562" s="1">
        <v>46249</v>
      </c>
      <c r="G562">
        <v>46279</v>
      </c>
      <c r="H562" t="s">
        <v>8</v>
      </c>
      <c r="I562">
        <v>7661.15</v>
      </c>
      <c r="J562" t="s">
        <v>75</v>
      </c>
      <c r="K562" t="s">
        <v>1971</v>
      </c>
      <c r="L562">
        <v>30</v>
      </c>
      <c r="M562" t="s">
        <v>26</v>
      </c>
      <c r="N562">
        <v>1.1567000000000001</v>
      </c>
      <c r="O562">
        <v>1.3536571094207139</v>
      </c>
      <c r="P562">
        <v>6.2888055238405913E-3</v>
      </c>
      <c r="Q562">
        <v>1.3536571094207139</v>
      </c>
      <c r="R562">
        <v>10370.570163838502</v>
      </c>
      <c r="S562" t="s">
        <v>21</v>
      </c>
      <c r="T562">
        <v>1.2929999999999999</v>
      </c>
      <c r="U562">
        <v>9905.8669499999996</v>
      </c>
      <c r="V562">
        <v>464.70321383850205</v>
      </c>
      <c r="W562">
        <v>4.6911917572091164E-2</v>
      </c>
    </row>
    <row r="563" spans="1:23" x14ac:dyDescent="0.25">
      <c r="A563" t="s">
        <v>1968</v>
      </c>
      <c r="B563" t="s">
        <v>30</v>
      </c>
      <c r="C563" t="s">
        <v>103</v>
      </c>
      <c r="D563" t="s">
        <v>31</v>
      </c>
      <c r="E563" t="s">
        <v>74</v>
      </c>
      <c r="F563" s="1">
        <v>46273</v>
      </c>
      <c r="G563">
        <v>46303</v>
      </c>
      <c r="H563" t="s">
        <v>9</v>
      </c>
      <c r="I563">
        <v>2382721.0299999998</v>
      </c>
      <c r="J563" t="s">
        <v>75</v>
      </c>
      <c r="K563" t="s">
        <v>1969</v>
      </c>
      <c r="L563">
        <v>30</v>
      </c>
      <c r="M563" t="s">
        <v>30</v>
      </c>
      <c r="N563">
        <v>1.1614</v>
      </c>
      <c r="O563">
        <v>1.3545602985770935</v>
      </c>
      <c r="P563">
        <v>6.4810267857142861E-3</v>
      </c>
      <c r="Q563">
        <v>6.4810267857142861E-3</v>
      </c>
      <c r="R563">
        <v>15442.478818314732</v>
      </c>
      <c r="S563" t="s">
        <v>21</v>
      </c>
      <c r="T563">
        <v>6.7400000000000003E-3</v>
      </c>
      <c r="U563">
        <v>16059.539742199999</v>
      </c>
      <c r="V563">
        <v>-617.06092388526667</v>
      </c>
      <c r="W563">
        <v>-3.8423325561678608E-2</v>
      </c>
    </row>
    <row r="564" spans="1:23" x14ac:dyDescent="0.25">
      <c r="A564" t="s">
        <v>1966</v>
      </c>
      <c r="B564" t="s">
        <v>32</v>
      </c>
      <c r="C564" t="s">
        <v>106</v>
      </c>
      <c r="D564" t="s">
        <v>31</v>
      </c>
      <c r="E564" t="s">
        <v>74</v>
      </c>
      <c r="F564" s="1">
        <v>46288</v>
      </c>
      <c r="G564">
        <v>46318</v>
      </c>
      <c r="H564" t="s">
        <v>6</v>
      </c>
      <c r="I564">
        <v>13344.74</v>
      </c>
      <c r="J564" t="s">
        <v>75</v>
      </c>
      <c r="K564" t="s">
        <v>1967</v>
      </c>
      <c r="L564">
        <v>30</v>
      </c>
      <c r="M564" t="s">
        <v>32</v>
      </c>
      <c r="N564">
        <v>1.1411</v>
      </c>
      <c r="O564">
        <v>1.327632344386271</v>
      </c>
      <c r="P564">
        <v>6.3324084350721427E-3</v>
      </c>
      <c r="Q564">
        <v>1.1411</v>
      </c>
      <c r="R564">
        <v>15227.682814</v>
      </c>
      <c r="S564" t="s">
        <v>21</v>
      </c>
      <c r="T564">
        <v>1.101</v>
      </c>
      <c r="U564">
        <v>14692.558739999999</v>
      </c>
      <c r="V564">
        <v>535.1240740000012</v>
      </c>
      <c r="W564">
        <v>3.6421435059037326E-2</v>
      </c>
    </row>
    <row r="565" spans="1:23" x14ac:dyDescent="0.25">
      <c r="A565" t="s">
        <v>1964</v>
      </c>
      <c r="B565" t="s">
        <v>38</v>
      </c>
      <c r="C565" t="s">
        <v>87</v>
      </c>
      <c r="D565" t="s">
        <v>33</v>
      </c>
      <c r="E565" t="s">
        <v>88</v>
      </c>
      <c r="F565" s="1">
        <v>46171</v>
      </c>
      <c r="G565">
        <v>46201</v>
      </c>
      <c r="H565" t="s">
        <v>6</v>
      </c>
      <c r="I565">
        <v>6164.81</v>
      </c>
      <c r="J565" t="s">
        <v>75</v>
      </c>
      <c r="K565" t="s">
        <v>1965</v>
      </c>
      <c r="L565">
        <v>30</v>
      </c>
      <c r="M565" t="s">
        <v>38</v>
      </c>
      <c r="N565">
        <v>1.1644000000000001</v>
      </c>
      <c r="O565">
        <v>1.3426657288147321</v>
      </c>
      <c r="P565">
        <v>6.2787813426799684E-3</v>
      </c>
      <c r="Q565">
        <v>1.1644000000000001</v>
      </c>
      <c r="R565">
        <v>7178.3047640000013</v>
      </c>
      <c r="S565" t="s">
        <v>19</v>
      </c>
      <c r="T565">
        <v>1.083</v>
      </c>
      <c r="U565">
        <v>6676.4892300000001</v>
      </c>
      <c r="V565">
        <v>501.81553400000121</v>
      </c>
      <c r="W565">
        <v>7.5161588180978942E-2</v>
      </c>
    </row>
    <row r="566" spans="1:23" x14ac:dyDescent="0.25">
      <c r="A566" t="s">
        <v>1962</v>
      </c>
      <c r="B566" t="s">
        <v>40</v>
      </c>
      <c r="C566" t="s">
        <v>78</v>
      </c>
      <c r="D566" t="s">
        <v>33</v>
      </c>
      <c r="E566" t="s">
        <v>79</v>
      </c>
      <c r="F566" s="1">
        <v>45676</v>
      </c>
      <c r="G566">
        <v>45706</v>
      </c>
      <c r="H566" t="s">
        <v>9</v>
      </c>
      <c r="I566">
        <v>1586213.73</v>
      </c>
      <c r="J566" t="s">
        <v>75</v>
      </c>
      <c r="K566" t="s">
        <v>1963</v>
      </c>
      <c r="L566">
        <v>30</v>
      </c>
      <c r="M566" t="s">
        <v>40</v>
      </c>
      <c r="N566">
        <v>1.0335000000000001</v>
      </c>
      <c r="O566">
        <v>1.2423666875030055</v>
      </c>
      <c r="P566">
        <v>6.4384500373785196E-3</v>
      </c>
      <c r="Q566">
        <v>6.4384500373785196E-3</v>
      </c>
      <c r="R566">
        <v>10212.757849208821</v>
      </c>
      <c r="S566" t="s">
        <v>11</v>
      </c>
      <c r="T566">
        <v>6.5599999999999999E-3</v>
      </c>
      <c r="U566">
        <v>10405.5620688</v>
      </c>
      <c r="V566">
        <v>-192.80421959117848</v>
      </c>
      <c r="W566">
        <v>-1.8528957716689037E-2</v>
      </c>
    </row>
    <row r="567" spans="1:23" x14ac:dyDescent="0.25">
      <c r="A567" t="s">
        <v>1960</v>
      </c>
      <c r="B567" t="s">
        <v>42</v>
      </c>
      <c r="C567" t="s">
        <v>151</v>
      </c>
      <c r="D567" t="s">
        <v>35</v>
      </c>
      <c r="E567" t="s">
        <v>152</v>
      </c>
      <c r="F567" s="1">
        <v>45715</v>
      </c>
      <c r="G567">
        <v>45745</v>
      </c>
      <c r="H567" t="s">
        <v>8</v>
      </c>
      <c r="I567">
        <v>1670.06</v>
      </c>
      <c r="J567" t="s">
        <v>75</v>
      </c>
      <c r="K567" t="s">
        <v>1961</v>
      </c>
      <c r="L567">
        <v>30</v>
      </c>
      <c r="M567" t="s">
        <v>42</v>
      </c>
      <c r="N567">
        <v>1.0477000000000001</v>
      </c>
      <c r="O567">
        <v>1.267281942109274</v>
      </c>
      <c r="P567">
        <v>6.6847444650035099E-3</v>
      </c>
      <c r="Q567">
        <v>1.267281942109274</v>
      </c>
      <c r="R567">
        <v>2116.436880239014</v>
      </c>
      <c r="S567" t="s">
        <v>11</v>
      </c>
      <c r="T567">
        <v>1.238</v>
      </c>
      <c r="U567">
        <v>2067.5342799999999</v>
      </c>
      <c r="V567">
        <v>48.902600239014191</v>
      </c>
      <c r="W567">
        <v>2.3652618828169658E-2</v>
      </c>
    </row>
    <row r="568" spans="1:23" x14ac:dyDescent="0.25">
      <c r="A568" t="s">
        <v>1958</v>
      </c>
      <c r="B568" t="s">
        <v>28</v>
      </c>
      <c r="C568" t="s">
        <v>111</v>
      </c>
      <c r="D568" t="s">
        <v>31</v>
      </c>
      <c r="E568" t="s">
        <v>74</v>
      </c>
      <c r="F568" s="1">
        <v>46275</v>
      </c>
      <c r="G568">
        <v>46320</v>
      </c>
      <c r="H568" t="s">
        <v>9</v>
      </c>
      <c r="I568">
        <v>5364841.9800000004</v>
      </c>
      <c r="J568" t="s">
        <v>75</v>
      </c>
      <c r="K568" t="s">
        <v>1959</v>
      </c>
      <c r="L568">
        <v>45</v>
      </c>
      <c r="M568" t="s">
        <v>28</v>
      </c>
      <c r="N568">
        <v>1.1616</v>
      </c>
      <c r="O568">
        <v>1.3520339870802538</v>
      </c>
      <c r="P568">
        <v>6.4861242950471831E-3</v>
      </c>
      <c r="Q568">
        <v>6.4861242950471831E-3</v>
      </c>
      <c r="R568">
        <v>34797.031905567033</v>
      </c>
      <c r="S568" t="s">
        <v>21</v>
      </c>
      <c r="T568">
        <v>6.7400000000000003E-3</v>
      </c>
      <c r="U568">
        <v>36159.034945200008</v>
      </c>
      <c r="V568">
        <v>-1362.0030396329748</v>
      </c>
      <c r="W568">
        <v>-3.7667018538993839E-2</v>
      </c>
    </row>
    <row r="569" spans="1:23" x14ac:dyDescent="0.25">
      <c r="A569" t="s">
        <v>1956</v>
      </c>
      <c r="B569" t="s">
        <v>39</v>
      </c>
      <c r="C569" t="s">
        <v>82</v>
      </c>
      <c r="D569" t="s">
        <v>33</v>
      </c>
      <c r="E569" t="s">
        <v>83</v>
      </c>
      <c r="F569" s="1">
        <v>45813</v>
      </c>
      <c r="G569">
        <v>45858</v>
      </c>
      <c r="H569" t="s">
        <v>8</v>
      </c>
      <c r="I569">
        <v>16783.09</v>
      </c>
      <c r="J569" t="s">
        <v>75</v>
      </c>
      <c r="K569" t="s">
        <v>1957</v>
      </c>
      <c r="L569">
        <v>45</v>
      </c>
      <c r="M569" t="s">
        <v>39</v>
      </c>
      <c r="N569">
        <v>1.1423000000000001</v>
      </c>
      <c r="O569">
        <v>1.3568119729183989</v>
      </c>
      <c r="P569">
        <v>6.9797140413051456E-3</v>
      </c>
      <c r="Q569">
        <v>1.3568119729183989</v>
      </c>
      <c r="R569">
        <v>22771.497454567052</v>
      </c>
      <c r="S569" t="s">
        <v>12</v>
      </c>
      <c r="T569">
        <v>1.26</v>
      </c>
      <c r="U569">
        <v>21146.6934</v>
      </c>
      <c r="V569">
        <v>1624.8040545670519</v>
      </c>
      <c r="W569">
        <v>7.6834899141586449E-2</v>
      </c>
    </row>
    <row r="570" spans="1:23" x14ac:dyDescent="0.25">
      <c r="A570" t="s">
        <v>1954</v>
      </c>
      <c r="B570" t="s">
        <v>26</v>
      </c>
      <c r="C570" t="s">
        <v>94</v>
      </c>
      <c r="D570" t="s">
        <v>31</v>
      </c>
      <c r="E570" t="s">
        <v>74</v>
      </c>
      <c r="F570" s="1">
        <v>46237</v>
      </c>
      <c r="G570">
        <v>46267</v>
      </c>
      <c r="H570" t="s">
        <v>8</v>
      </c>
      <c r="I570">
        <v>6090.12</v>
      </c>
      <c r="J570" t="s">
        <v>75</v>
      </c>
      <c r="K570" t="s">
        <v>1955</v>
      </c>
      <c r="L570">
        <v>30</v>
      </c>
      <c r="M570" t="s">
        <v>26</v>
      </c>
      <c r="N570">
        <v>1.1535</v>
      </c>
      <c r="O570">
        <v>1.3470274310137447</v>
      </c>
      <c r="P570">
        <v>6.3824489570076916E-3</v>
      </c>
      <c r="Q570">
        <v>1.3470274310137447</v>
      </c>
      <c r="R570">
        <v>8203.5586981654269</v>
      </c>
      <c r="S570" t="s">
        <v>21</v>
      </c>
      <c r="T570">
        <v>1.2929999999999999</v>
      </c>
      <c r="U570">
        <v>7874.5251599999992</v>
      </c>
      <c r="V570">
        <v>329.03353816542767</v>
      </c>
      <c r="W570">
        <v>4.1784556081782546E-2</v>
      </c>
    </row>
    <row r="571" spans="1:23" x14ac:dyDescent="0.25">
      <c r="A571" t="s">
        <v>1952</v>
      </c>
      <c r="B571" t="s">
        <v>41</v>
      </c>
      <c r="C571" t="s">
        <v>172</v>
      </c>
      <c r="D571" t="s">
        <v>33</v>
      </c>
      <c r="E571" t="s">
        <v>83</v>
      </c>
      <c r="F571" s="1">
        <v>46199</v>
      </c>
      <c r="G571">
        <v>46229</v>
      </c>
      <c r="H571" t="s">
        <v>9</v>
      </c>
      <c r="I571">
        <v>776171.64</v>
      </c>
      <c r="J571" t="s">
        <v>75</v>
      </c>
      <c r="K571" t="s">
        <v>1953</v>
      </c>
      <c r="L571">
        <v>30</v>
      </c>
      <c r="M571" t="s">
        <v>41</v>
      </c>
      <c r="N571">
        <v>1.1400999999999999</v>
      </c>
      <c r="O571">
        <v>1.3218090964951943</v>
      </c>
      <c r="P571">
        <v>6.1861096039066733E-3</v>
      </c>
      <c r="Q571">
        <v>6.1861096039066733E-3</v>
      </c>
      <c r="R571">
        <v>4801.4828364839932</v>
      </c>
      <c r="S571" t="s">
        <v>19</v>
      </c>
      <c r="T571">
        <v>6.6E-3</v>
      </c>
      <c r="U571">
        <v>5122.7328239999997</v>
      </c>
      <c r="V571">
        <v>-321.24998751600651</v>
      </c>
      <c r="W571">
        <v>-6.2710666074746388E-2</v>
      </c>
    </row>
    <row r="572" spans="1:23" x14ac:dyDescent="0.25">
      <c r="A572" t="s">
        <v>1950</v>
      </c>
      <c r="B572" t="s">
        <v>24</v>
      </c>
      <c r="C572" t="s">
        <v>73</v>
      </c>
      <c r="D572" t="s">
        <v>31</v>
      </c>
      <c r="E572" t="s">
        <v>74</v>
      </c>
      <c r="F572" s="1">
        <v>45969</v>
      </c>
      <c r="G572">
        <v>45999</v>
      </c>
      <c r="H572" t="s">
        <v>6</v>
      </c>
      <c r="I572">
        <v>16455.52</v>
      </c>
      <c r="J572" t="s">
        <v>75</v>
      </c>
      <c r="K572" t="s">
        <v>1951</v>
      </c>
      <c r="L572">
        <v>30</v>
      </c>
      <c r="M572" t="s">
        <v>24</v>
      </c>
      <c r="N572">
        <v>1.1555</v>
      </c>
      <c r="O572">
        <v>1.3367963164349013</v>
      </c>
      <c r="P572">
        <v>6.2983756677204832E-3</v>
      </c>
      <c r="Q572">
        <v>1.1555</v>
      </c>
      <c r="R572">
        <v>19014.353360000001</v>
      </c>
      <c r="S572" t="s">
        <v>14</v>
      </c>
      <c r="T572">
        <v>1.1060000000000001</v>
      </c>
      <c r="U572">
        <v>18199.805120000001</v>
      </c>
      <c r="V572">
        <v>814.54824000000008</v>
      </c>
      <c r="W572">
        <v>4.4755877034358051E-2</v>
      </c>
    </row>
    <row r="573" spans="1:23" x14ac:dyDescent="0.25">
      <c r="A573" t="s">
        <v>1948</v>
      </c>
      <c r="B573" t="s">
        <v>39</v>
      </c>
      <c r="C573" t="s">
        <v>82</v>
      </c>
      <c r="D573" t="s">
        <v>33</v>
      </c>
      <c r="E573" t="s">
        <v>83</v>
      </c>
      <c r="F573" s="1">
        <v>45855</v>
      </c>
      <c r="G573">
        <v>45900</v>
      </c>
      <c r="H573" t="s">
        <v>8</v>
      </c>
      <c r="I573">
        <v>831.89</v>
      </c>
      <c r="J573" t="s">
        <v>75</v>
      </c>
      <c r="K573" t="s">
        <v>1949</v>
      </c>
      <c r="L573">
        <v>45</v>
      </c>
      <c r="M573" t="s">
        <v>39</v>
      </c>
      <c r="N573">
        <v>1.1578999999999999</v>
      </c>
      <c r="O573">
        <v>1.3395418787598334</v>
      </c>
      <c r="P573">
        <v>6.7210355235662869E-3</v>
      </c>
      <c r="Q573">
        <v>1.3395418787598334</v>
      </c>
      <c r="R573">
        <v>1114.3514935215178</v>
      </c>
      <c r="S573" t="s">
        <v>13</v>
      </c>
      <c r="T573">
        <v>1.282</v>
      </c>
      <c r="U573">
        <v>1066.48298</v>
      </c>
      <c r="V573">
        <v>47.868513521517798</v>
      </c>
      <c r="W573">
        <v>4.4884460811102485E-2</v>
      </c>
    </row>
    <row r="574" spans="1:23" x14ac:dyDescent="0.25">
      <c r="A574" t="s">
        <v>1946</v>
      </c>
      <c r="B574" t="s">
        <v>28</v>
      </c>
      <c r="C574" t="s">
        <v>111</v>
      </c>
      <c r="D574" t="s">
        <v>31</v>
      </c>
      <c r="E574" t="s">
        <v>74</v>
      </c>
      <c r="F574" s="1">
        <v>46310</v>
      </c>
      <c r="G574">
        <v>46355</v>
      </c>
      <c r="H574" t="s">
        <v>9</v>
      </c>
      <c r="I574">
        <v>2234924.11</v>
      </c>
      <c r="J574" t="s">
        <v>84</v>
      </c>
      <c r="K574" t="s">
        <v>1947</v>
      </c>
      <c r="L574">
        <v>45</v>
      </c>
      <c r="M574" t="s">
        <v>28</v>
      </c>
      <c r="N574">
        <v>1.1176999999999999</v>
      </c>
      <c r="O574">
        <v>1.320456022210408</v>
      </c>
      <c r="P574">
        <v>6.3200452360757699E-3</v>
      </c>
      <c r="Q574">
        <v>6.3200452360757699E-3</v>
      </c>
      <c r="R574">
        <v>14124.82147439638</v>
      </c>
      <c r="S574" t="s">
        <v>23</v>
      </c>
      <c r="T574">
        <v>6.8799999999999998E-3</v>
      </c>
      <c r="U574">
        <v>15376.277876799999</v>
      </c>
      <c r="V574">
        <v>-1251.456402403619</v>
      </c>
      <c r="W574">
        <v>-8.1388773826196179E-2</v>
      </c>
    </row>
    <row r="575" spans="1:23" x14ac:dyDescent="0.25">
      <c r="A575" t="s">
        <v>1944</v>
      </c>
      <c r="B575" t="s">
        <v>28</v>
      </c>
      <c r="C575" t="s">
        <v>111</v>
      </c>
      <c r="D575" t="s">
        <v>31</v>
      </c>
      <c r="E575" t="s">
        <v>74</v>
      </c>
      <c r="F575" s="1">
        <v>45709</v>
      </c>
      <c r="G575">
        <v>45754</v>
      </c>
      <c r="H575" t="s">
        <v>9</v>
      </c>
      <c r="I575">
        <v>3247067.81</v>
      </c>
      <c r="J575" t="s">
        <v>75</v>
      </c>
      <c r="K575" t="s">
        <v>1945</v>
      </c>
      <c r="L575">
        <v>45</v>
      </c>
      <c r="M575" t="s">
        <v>28</v>
      </c>
      <c r="N575">
        <v>1.0465</v>
      </c>
      <c r="O575">
        <v>1.2644997583373609</v>
      </c>
      <c r="P575">
        <v>6.6461323510732884E-3</v>
      </c>
      <c r="Q575">
        <v>6.6461323510732884E-3</v>
      </c>
      <c r="R575">
        <v>21580.442418169696</v>
      </c>
      <c r="S575" t="s">
        <v>11</v>
      </c>
      <c r="T575">
        <v>6.5599999999999999E-3</v>
      </c>
      <c r="U575">
        <v>21300.764833599998</v>
      </c>
      <c r="V575">
        <v>279.6775845696975</v>
      </c>
      <c r="W575">
        <v>1.3129931566050241E-2</v>
      </c>
    </row>
    <row r="576" spans="1:23" x14ac:dyDescent="0.25">
      <c r="A576" t="s">
        <v>1942</v>
      </c>
      <c r="B576" t="s">
        <v>44</v>
      </c>
      <c r="C576" t="s">
        <v>138</v>
      </c>
      <c r="D576" t="s">
        <v>33</v>
      </c>
      <c r="E576" t="s">
        <v>88</v>
      </c>
      <c r="F576" s="1">
        <v>45721</v>
      </c>
      <c r="G576">
        <v>45766</v>
      </c>
      <c r="H576" t="s">
        <v>9</v>
      </c>
      <c r="I576">
        <v>339058.63</v>
      </c>
      <c r="J576" t="s">
        <v>75</v>
      </c>
      <c r="K576" t="s">
        <v>1943</v>
      </c>
      <c r="L576">
        <v>45</v>
      </c>
      <c r="M576" t="s">
        <v>44</v>
      </c>
      <c r="N576">
        <v>1.0693999999999999</v>
      </c>
      <c r="O576">
        <v>1.2807185628742515</v>
      </c>
      <c r="P576">
        <v>6.6799925042163779E-3</v>
      </c>
      <c r="Q576">
        <v>6.6799925042163779E-3</v>
      </c>
      <c r="R576">
        <v>2264.9091068898742</v>
      </c>
      <c r="S576" t="s">
        <v>11</v>
      </c>
      <c r="T576">
        <v>6.5599999999999999E-3</v>
      </c>
      <c r="U576">
        <v>2224.2246128000002</v>
      </c>
      <c r="V576">
        <v>40.684494089874079</v>
      </c>
      <c r="W576">
        <v>1.8291540276886769E-2</v>
      </c>
    </row>
    <row r="577" spans="1:23" x14ac:dyDescent="0.25">
      <c r="A577" t="s">
        <v>1940</v>
      </c>
      <c r="B577" t="s">
        <v>32</v>
      </c>
      <c r="C577" t="s">
        <v>106</v>
      </c>
      <c r="D577" t="s">
        <v>31</v>
      </c>
      <c r="E577" t="s">
        <v>74</v>
      </c>
      <c r="F577" s="1">
        <v>46047</v>
      </c>
      <c r="G577">
        <v>46077</v>
      </c>
      <c r="H577" t="s">
        <v>6</v>
      </c>
      <c r="I577">
        <v>8549.0400000000009</v>
      </c>
      <c r="J577" t="s">
        <v>75</v>
      </c>
      <c r="K577" t="s">
        <v>1941</v>
      </c>
      <c r="L577">
        <v>30</v>
      </c>
      <c r="M577" t="s">
        <v>32</v>
      </c>
      <c r="N577">
        <v>1.1555</v>
      </c>
      <c r="O577">
        <v>1.3367963164349013</v>
      </c>
      <c r="P577">
        <v>6.2983756677204832E-3</v>
      </c>
      <c r="Q577">
        <v>1.1555</v>
      </c>
      <c r="R577">
        <v>9878.4157200000009</v>
      </c>
      <c r="S577" t="s">
        <v>16</v>
      </c>
      <c r="T577">
        <v>1.0649999999999999</v>
      </c>
      <c r="U577">
        <v>9104.7276000000002</v>
      </c>
      <c r="V577">
        <v>773.68812000000071</v>
      </c>
      <c r="W577">
        <v>8.4976525821596316E-2</v>
      </c>
    </row>
    <row r="578" spans="1:23" x14ac:dyDescent="0.25">
      <c r="A578" t="s">
        <v>1938</v>
      </c>
      <c r="B578" t="s">
        <v>22</v>
      </c>
      <c r="C578" t="s">
        <v>127</v>
      </c>
      <c r="D578" t="s">
        <v>31</v>
      </c>
      <c r="E578" t="s">
        <v>124</v>
      </c>
      <c r="F578" s="1">
        <v>45666</v>
      </c>
      <c r="G578">
        <v>45726</v>
      </c>
      <c r="H578" t="s">
        <v>9</v>
      </c>
      <c r="I578">
        <v>10299335.93</v>
      </c>
      <c r="J578" t="s">
        <v>75</v>
      </c>
      <c r="K578" t="s">
        <v>1939</v>
      </c>
      <c r="L578">
        <v>60</v>
      </c>
      <c r="M578" t="s">
        <v>22</v>
      </c>
      <c r="N578">
        <v>1.0305</v>
      </c>
      <c r="O578">
        <v>1.2295962199312713</v>
      </c>
      <c r="P578">
        <v>6.339197834645669E-3</v>
      </c>
      <c r="Q578">
        <v>6.339197834645669E-3</v>
      </c>
      <c r="R578">
        <v>65289.528025744337</v>
      </c>
      <c r="S578" t="s">
        <v>11</v>
      </c>
      <c r="T578">
        <v>6.5599999999999999E-3</v>
      </c>
      <c r="U578">
        <v>67563.643700799992</v>
      </c>
      <c r="V578">
        <v>-2274.1156750556547</v>
      </c>
      <c r="W578">
        <v>-3.3658866669867421E-2</v>
      </c>
    </row>
    <row r="579" spans="1:23" x14ac:dyDescent="0.25">
      <c r="A579" t="s">
        <v>1936</v>
      </c>
      <c r="B579" t="s">
        <v>40</v>
      </c>
      <c r="C579" t="s">
        <v>78</v>
      </c>
      <c r="D579" t="s">
        <v>33</v>
      </c>
      <c r="E579" t="s">
        <v>79</v>
      </c>
      <c r="F579" s="1">
        <v>45934</v>
      </c>
      <c r="G579">
        <v>45964</v>
      </c>
      <c r="H579" t="s">
        <v>9</v>
      </c>
      <c r="I579">
        <v>1821346.7</v>
      </c>
      <c r="J579" t="s">
        <v>75</v>
      </c>
      <c r="K579" t="s">
        <v>1937</v>
      </c>
      <c r="L579">
        <v>30</v>
      </c>
      <c r="M579" t="s">
        <v>40</v>
      </c>
      <c r="N579">
        <v>1.1886000000000001</v>
      </c>
      <c r="O579">
        <v>1.3660498793242157</v>
      </c>
      <c r="P579">
        <v>6.4023700511715602E-3</v>
      </c>
      <c r="Q579">
        <v>6.4023700511715602E-3</v>
      </c>
      <c r="R579">
        <v>11660.935564880152</v>
      </c>
      <c r="S579" t="s">
        <v>14</v>
      </c>
      <c r="T579">
        <v>6.9800000000000001E-3</v>
      </c>
      <c r="U579">
        <v>12712.999965999999</v>
      </c>
      <c r="V579">
        <v>-1052.0644011198474</v>
      </c>
      <c r="W579">
        <v>-8.2755006995478456E-2</v>
      </c>
    </row>
    <row r="580" spans="1:23" x14ac:dyDescent="0.25">
      <c r="A580" t="s">
        <v>1934</v>
      </c>
      <c r="B580" t="s">
        <v>25</v>
      </c>
      <c r="C580" t="s">
        <v>169</v>
      </c>
      <c r="D580" t="s">
        <v>31</v>
      </c>
      <c r="E580" t="s">
        <v>124</v>
      </c>
      <c r="F580" s="1">
        <v>45897</v>
      </c>
      <c r="G580">
        <v>45957</v>
      </c>
      <c r="H580" t="s">
        <v>6</v>
      </c>
      <c r="I580">
        <v>39592.639999999999</v>
      </c>
      <c r="J580" t="s">
        <v>75</v>
      </c>
      <c r="K580" t="s">
        <v>1935</v>
      </c>
      <c r="L580">
        <v>60</v>
      </c>
      <c r="M580" t="s">
        <v>25</v>
      </c>
      <c r="N580">
        <v>1.1676</v>
      </c>
      <c r="O580">
        <v>1.3518582841264328</v>
      </c>
      <c r="P580">
        <v>6.8089573128061586E-3</v>
      </c>
      <c r="Q580">
        <v>1.1676</v>
      </c>
      <c r="R580">
        <v>46228.366463999999</v>
      </c>
      <c r="S580" t="s">
        <v>13</v>
      </c>
      <c r="T580">
        <v>1.0880000000000001</v>
      </c>
      <c r="U580">
        <v>43076.79232</v>
      </c>
      <c r="V580">
        <v>3151.5741439999983</v>
      </c>
      <c r="W580">
        <v>7.3161764705882315E-2</v>
      </c>
    </row>
    <row r="581" spans="1:23" x14ac:dyDescent="0.25">
      <c r="A581" t="s">
        <v>1932</v>
      </c>
      <c r="B581" t="s">
        <v>24</v>
      </c>
      <c r="C581" t="s">
        <v>73</v>
      </c>
      <c r="D581" t="s">
        <v>31</v>
      </c>
      <c r="E581" t="s">
        <v>74</v>
      </c>
      <c r="F581" s="1">
        <v>46369</v>
      </c>
      <c r="G581">
        <v>46399</v>
      </c>
      <c r="H581" t="s">
        <v>6</v>
      </c>
      <c r="I581">
        <v>14603.87</v>
      </c>
      <c r="J581" t="s">
        <v>84</v>
      </c>
      <c r="K581" t="s">
        <v>1933</v>
      </c>
      <c r="L581">
        <v>30</v>
      </c>
      <c r="M581" t="s">
        <v>24</v>
      </c>
      <c r="N581">
        <v>1.1176999999999999</v>
      </c>
      <c r="O581">
        <v>1.320456022210408</v>
      </c>
      <c r="P581">
        <v>6.3200452360757699E-3</v>
      </c>
      <c r="Q581">
        <v>1.1176999999999999</v>
      </c>
      <c r="R581">
        <v>16322.745499000001</v>
      </c>
      <c r="S581" t="s">
        <v>23</v>
      </c>
      <c r="T581">
        <v>1.119</v>
      </c>
      <c r="U581">
        <v>16341.730530000001</v>
      </c>
      <c r="V581">
        <v>-18.985031000000163</v>
      </c>
      <c r="W581">
        <v>-1.161751563896346E-3</v>
      </c>
    </row>
    <row r="582" spans="1:23" x14ac:dyDescent="0.25">
      <c r="A582" t="s">
        <v>1930</v>
      </c>
      <c r="B582" t="s">
        <v>22</v>
      </c>
      <c r="C582" t="s">
        <v>127</v>
      </c>
      <c r="D582" t="s">
        <v>31</v>
      </c>
      <c r="E582" t="s">
        <v>124</v>
      </c>
      <c r="F582" s="1">
        <v>45880</v>
      </c>
      <c r="G582">
        <v>45940</v>
      </c>
      <c r="H582" t="s">
        <v>9</v>
      </c>
      <c r="I582">
        <v>5457670.4100000001</v>
      </c>
      <c r="J582" t="s">
        <v>75</v>
      </c>
      <c r="K582" t="s">
        <v>1931</v>
      </c>
      <c r="L582">
        <v>60</v>
      </c>
      <c r="M582" t="s">
        <v>22</v>
      </c>
      <c r="N582">
        <v>1.1621999999999999</v>
      </c>
      <c r="O582">
        <v>1.3426524953789278</v>
      </c>
      <c r="P582">
        <v>6.7624810892586975E-3</v>
      </c>
      <c r="Q582">
        <v>6.7624810892586975E-3</v>
      </c>
      <c r="R582">
        <v>36907.392939031764</v>
      </c>
      <c r="S582" t="s">
        <v>13</v>
      </c>
      <c r="T582">
        <v>6.8399999999999997E-3</v>
      </c>
      <c r="U582">
        <v>37330.4656044</v>
      </c>
      <c r="V582">
        <v>-423.0726653682359</v>
      </c>
      <c r="W582">
        <v>-1.1333174084985694E-2</v>
      </c>
    </row>
    <row r="583" spans="1:23" x14ac:dyDescent="0.25">
      <c r="A583" t="s">
        <v>1928</v>
      </c>
      <c r="B583" t="s">
        <v>22</v>
      </c>
      <c r="C583" t="s">
        <v>127</v>
      </c>
      <c r="D583" t="s">
        <v>31</v>
      </c>
      <c r="E583" t="s">
        <v>124</v>
      </c>
      <c r="F583" s="1">
        <v>46319</v>
      </c>
      <c r="G583">
        <v>46379</v>
      </c>
      <c r="H583" t="s">
        <v>9</v>
      </c>
      <c r="I583">
        <v>14282148.189999999</v>
      </c>
      <c r="J583" t="s">
        <v>84</v>
      </c>
      <c r="K583" t="s">
        <v>1929</v>
      </c>
      <c r="L583">
        <v>60</v>
      </c>
      <c r="M583" t="s">
        <v>22</v>
      </c>
      <c r="N583">
        <v>1.1176999999999999</v>
      </c>
      <c r="O583">
        <v>1.320456022210408</v>
      </c>
      <c r="P583">
        <v>6.3200452360757699E-3</v>
      </c>
      <c r="Q583">
        <v>6.3200452360757699E-3</v>
      </c>
      <c r="R583">
        <v>90263.822629137678</v>
      </c>
      <c r="S583" t="s">
        <v>23</v>
      </c>
      <c r="T583">
        <v>6.8799999999999998E-3</v>
      </c>
      <c r="U583">
        <v>98261.179547199994</v>
      </c>
      <c r="V583">
        <v>-7997.3569180623163</v>
      </c>
      <c r="W583">
        <v>-8.1388773826196206E-2</v>
      </c>
    </row>
    <row r="584" spans="1:23" x14ac:dyDescent="0.25">
      <c r="A584" t="s">
        <v>1926</v>
      </c>
      <c r="B584" t="s">
        <v>38</v>
      </c>
      <c r="C584" t="s">
        <v>87</v>
      </c>
      <c r="D584" t="s">
        <v>33</v>
      </c>
      <c r="E584" t="s">
        <v>88</v>
      </c>
      <c r="F584" s="1">
        <v>46286</v>
      </c>
      <c r="G584">
        <v>46316</v>
      </c>
      <c r="H584" t="s">
        <v>6</v>
      </c>
      <c r="I584">
        <v>4809.41</v>
      </c>
      <c r="J584" t="s">
        <v>75</v>
      </c>
      <c r="K584" t="s">
        <v>1927</v>
      </c>
      <c r="L584">
        <v>30</v>
      </c>
      <c r="M584" t="s">
        <v>38</v>
      </c>
      <c r="N584">
        <v>1.149</v>
      </c>
      <c r="O584">
        <v>1.3394730706458382</v>
      </c>
      <c r="P584">
        <v>6.3586054233536254E-3</v>
      </c>
      <c r="Q584">
        <v>1.149</v>
      </c>
      <c r="R584">
        <v>5526.0120900000002</v>
      </c>
      <c r="S584" t="s">
        <v>21</v>
      </c>
      <c r="T584">
        <v>1.101</v>
      </c>
      <c r="U584">
        <v>5295.1604099999995</v>
      </c>
      <c r="V584">
        <v>230.85168000000067</v>
      </c>
      <c r="W584">
        <v>4.3596730245231738E-2</v>
      </c>
    </row>
    <row r="585" spans="1:23" x14ac:dyDescent="0.25">
      <c r="A585" t="s">
        <v>1924</v>
      </c>
      <c r="B585" t="s">
        <v>36</v>
      </c>
      <c r="C585" t="s">
        <v>116</v>
      </c>
      <c r="D585" t="s">
        <v>31</v>
      </c>
      <c r="E585" t="s">
        <v>74</v>
      </c>
      <c r="F585" s="1">
        <v>46072</v>
      </c>
      <c r="G585">
        <v>46117</v>
      </c>
      <c r="H585" t="s">
        <v>6</v>
      </c>
      <c r="I585">
        <v>31181.06</v>
      </c>
      <c r="J585" t="s">
        <v>75</v>
      </c>
      <c r="K585" t="s">
        <v>1925</v>
      </c>
      <c r="L585">
        <v>45</v>
      </c>
      <c r="M585" t="s">
        <v>36</v>
      </c>
      <c r="N585">
        <v>1.1753</v>
      </c>
      <c r="O585">
        <v>1.3450446326390477</v>
      </c>
      <c r="P585">
        <v>6.4559187036528423E-3</v>
      </c>
      <c r="Q585">
        <v>1.1753</v>
      </c>
      <c r="R585">
        <v>36647.099818000002</v>
      </c>
      <c r="S585" t="s">
        <v>16</v>
      </c>
      <c r="T585">
        <v>1.0649999999999999</v>
      </c>
      <c r="U585">
        <v>33207.8289</v>
      </c>
      <c r="V585">
        <v>3439.270918000002</v>
      </c>
      <c r="W585">
        <v>0.10356807511737096</v>
      </c>
    </row>
    <row r="586" spans="1:23" x14ac:dyDescent="0.25">
      <c r="A586" t="s">
        <v>1922</v>
      </c>
      <c r="B586" t="s">
        <v>30</v>
      </c>
      <c r="C586" t="s">
        <v>103</v>
      </c>
      <c r="D586" t="s">
        <v>31</v>
      </c>
      <c r="E586" t="s">
        <v>74</v>
      </c>
      <c r="F586" s="1">
        <v>45717</v>
      </c>
      <c r="G586">
        <v>45747</v>
      </c>
      <c r="H586" t="s">
        <v>9</v>
      </c>
      <c r="I586">
        <v>2404302.16</v>
      </c>
      <c r="J586" t="s">
        <v>75</v>
      </c>
      <c r="K586" t="s">
        <v>1923</v>
      </c>
      <c r="L586">
        <v>30</v>
      </c>
      <c r="M586" t="s">
        <v>30</v>
      </c>
      <c r="N586">
        <v>1.0803</v>
      </c>
      <c r="O586">
        <v>1.2944700736924091</v>
      </c>
      <c r="P586">
        <v>6.7007815407517683E-3</v>
      </c>
      <c r="Q586">
        <v>6.7007815407517683E-3</v>
      </c>
      <c r="R586">
        <v>16110.703532117606</v>
      </c>
      <c r="S586" t="s">
        <v>11</v>
      </c>
      <c r="T586">
        <v>6.5599999999999999E-3</v>
      </c>
      <c r="U586">
        <v>15772.222169600002</v>
      </c>
      <c r="V586">
        <v>338.48136251760479</v>
      </c>
      <c r="W586">
        <v>2.1460600724354937E-2</v>
      </c>
    </row>
    <row r="587" spans="1:23" x14ac:dyDescent="0.25">
      <c r="A587" t="s">
        <v>1920</v>
      </c>
      <c r="B587" t="s">
        <v>44</v>
      </c>
      <c r="C587" t="s">
        <v>138</v>
      </c>
      <c r="D587" t="s">
        <v>33</v>
      </c>
      <c r="E587" t="s">
        <v>88</v>
      </c>
      <c r="F587" s="1">
        <v>45873</v>
      </c>
      <c r="G587">
        <v>45918</v>
      </c>
      <c r="H587" t="s">
        <v>9</v>
      </c>
      <c r="I587">
        <v>622394.85</v>
      </c>
      <c r="J587" t="s">
        <v>75</v>
      </c>
      <c r="K587" t="s">
        <v>1921</v>
      </c>
      <c r="L587">
        <v>45</v>
      </c>
      <c r="M587" t="s">
        <v>44</v>
      </c>
      <c r="N587">
        <v>1.1565000000000001</v>
      </c>
      <c r="O587">
        <v>1.3286994485294119</v>
      </c>
      <c r="P587">
        <v>6.7849809328248759E-3</v>
      </c>
      <c r="Q587">
        <v>6.7849809328248759E-3</v>
      </c>
      <c r="R587">
        <v>4222.9371899383987</v>
      </c>
      <c r="S587" t="s">
        <v>13</v>
      </c>
      <c r="T587">
        <v>6.8399999999999997E-3</v>
      </c>
      <c r="U587">
        <v>4257.1807739999995</v>
      </c>
      <c r="V587">
        <v>-34.243584061600814</v>
      </c>
      <c r="W587">
        <v>-8.0437232712168641E-3</v>
      </c>
    </row>
    <row r="588" spans="1:23" x14ac:dyDescent="0.25">
      <c r="A588" t="s">
        <v>1918</v>
      </c>
      <c r="B588" t="s">
        <v>28</v>
      </c>
      <c r="C588" t="s">
        <v>111</v>
      </c>
      <c r="D588" t="s">
        <v>31</v>
      </c>
      <c r="E588" t="s">
        <v>74</v>
      </c>
      <c r="F588" s="1">
        <v>46042</v>
      </c>
      <c r="G588">
        <v>46087</v>
      </c>
      <c r="H588" t="s">
        <v>9</v>
      </c>
      <c r="I588">
        <v>4593482.09</v>
      </c>
      <c r="J588" t="s">
        <v>75</v>
      </c>
      <c r="K588" t="s">
        <v>1919</v>
      </c>
      <c r="L588">
        <v>45</v>
      </c>
      <c r="M588" t="s">
        <v>28</v>
      </c>
      <c r="N588">
        <v>1.1728000000000001</v>
      </c>
      <c r="O588">
        <v>1.3446457234579225</v>
      </c>
      <c r="P588">
        <v>6.3332973323253052E-3</v>
      </c>
      <c r="Q588">
        <v>6.3332973323253052E-3</v>
      </c>
      <c r="R588">
        <v>29091.887866681067</v>
      </c>
      <c r="S588" t="s">
        <v>16</v>
      </c>
      <c r="T588">
        <v>6.4599999999999996E-3</v>
      </c>
      <c r="U588">
        <v>29673.894301399996</v>
      </c>
      <c r="V588">
        <v>-582.00643471892909</v>
      </c>
      <c r="W588">
        <v>-1.9613416048714253E-2</v>
      </c>
    </row>
    <row r="589" spans="1:23" x14ac:dyDescent="0.25">
      <c r="A589" t="s">
        <v>1916</v>
      </c>
      <c r="B589" t="s">
        <v>24</v>
      </c>
      <c r="C589" t="s">
        <v>73</v>
      </c>
      <c r="D589" t="s">
        <v>31</v>
      </c>
      <c r="E589" t="s">
        <v>74</v>
      </c>
      <c r="F589" s="1">
        <v>46174</v>
      </c>
      <c r="G589">
        <v>46204</v>
      </c>
      <c r="H589" t="s">
        <v>6</v>
      </c>
      <c r="I589">
        <v>35842.550000000003</v>
      </c>
      <c r="J589" t="s">
        <v>75</v>
      </c>
      <c r="K589" t="s">
        <v>1917</v>
      </c>
      <c r="L589">
        <v>30</v>
      </c>
      <c r="M589" t="s">
        <v>24</v>
      </c>
      <c r="N589">
        <v>1.1646000000000001</v>
      </c>
      <c r="O589">
        <v>1.3464673441781416</v>
      </c>
      <c r="P589">
        <v>6.2700549154732421E-3</v>
      </c>
      <c r="Q589">
        <v>1.1646000000000001</v>
      </c>
      <c r="R589">
        <v>41742.233730000007</v>
      </c>
      <c r="S589" t="s">
        <v>19</v>
      </c>
      <c r="T589">
        <v>1.083</v>
      </c>
      <c r="U589">
        <v>38817.481650000002</v>
      </c>
      <c r="V589">
        <v>2924.7520800000057</v>
      </c>
      <c r="W589">
        <v>7.5346260387811781E-2</v>
      </c>
    </row>
    <row r="590" spans="1:23" x14ac:dyDescent="0.25">
      <c r="A590" t="s">
        <v>1914</v>
      </c>
      <c r="B590" t="s">
        <v>37</v>
      </c>
      <c r="C590" t="s">
        <v>91</v>
      </c>
      <c r="D590" t="s">
        <v>31</v>
      </c>
      <c r="E590" t="s">
        <v>74</v>
      </c>
      <c r="F590" s="1">
        <v>46209</v>
      </c>
      <c r="G590">
        <v>46239</v>
      </c>
      <c r="H590" t="s">
        <v>6</v>
      </c>
      <c r="I590">
        <v>7524.93</v>
      </c>
      <c r="J590" t="s">
        <v>75</v>
      </c>
      <c r="K590" t="s">
        <v>1915</v>
      </c>
      <c r="L590">
        <v>30</v>
      </c>
      <c r="M590" t="s">
        <v>37</v>
      </c>
      <c r="N590">
        <v>1.1415</v>
      </c>
      <c r="O590">
        <v>1.3344946105824311</v>
      </c>
      <c r="P590">
        <v>6.1599481949166255E-3</v>
      </c>
      <c r="Q590">
        <v>1.1415</v>
      </c>
      <c r="R590">
        <v>8589.7075949999999</v>
      </c>
      <c r="S590" t="s">
        <v>21</v>
      </c>
      <c r="T590">
        <v>1.101</v>
      </c>
      <c r="U590">
        <v>8284.9479300000003</v>
      </c>
      <c r="V590">
        <v>304.75966499999959</v>
      </c>
      <c r="W590">
        <v>3.6784741144414115E-2</v>
      </c>
    </row>
    <row r="591" spans="1:23" x14ac:dyDescent="0.25">
      <c r="A591" t="s">
        <v>1912</v>
      </c>
      <c r="B591" t="s">
        <v>25</v>
      </c>
      <c r="C591" t="s">
        <v>169</v>
      </c>
      <c r="D591" t="s">
        <v>31</v>
      </c>
      <c r="E591" t="s">
        <v>124</v>
      </c>
      <c r="F591" s="1">
        <v>46215</v>
      </c>
      <c r="G591">
        <v>46275</v>
      </c>
      <c r="H591" t="s">
        <v>6</v>
      </c>
      <c r="I591">
        <v>24827.84</v>
      </c>
      <c r="J591" t="s">
        <v>75</v>
      </c>
      <c r="K591" t="s">
        <v>1913</v>
      </c>
      <c r="L591">
        <v>60</v>
      </c>
      <c r="M591" t="s">
        <v>25</v>
      </c>
      <c r="N591">
        <v>1.143</v>
      </c>
      <c r="O591">
        <v>1.3422582349832657</v>
      </c>
      <c r="P591">
        <v>6.1777105177818611E-3</v>
      </c>
      <c r="Q591">
        <v>1.143</v>
      </c>
      <c r="R591">
        <v>28378.221120000002</v>
      </c>
      <c r="S591" t="s">
        <v>21</v>
      </c>
      <c r="T591">
        <v>1.101</v>
      </c>
      <c r="U591">
        <v>27335.451839999998</v>
      </c>
      <c r="V591">
        <v>1042.7692800000041</v>
      </c>
      <c r="W591">
        <v>3.8147138964577811E-2</v>
      </c>
    </row>
    <row r="592" spans="1:23" x14ac:dyDescent="0.25">
      <c r="A592" t="s">
        <v>1910</v>
      </c>
      <c r="B592" t="s">
        <v>22</v>
      </c>
      <c r="C592" t="s">
        <v>127</v>
      </c>
      <c r="D592" t="s">
        <v>31</v>
      </c>
      <c r="E592" t="s">
        <v>124</v>
      </c>
      <c r="F592" s="1">
        <v>46222</v>
      </c>
      <c r="G592">
        <v>46282</v>
      </c>
      <c r="H592" t="s">
        <v>9</v>
      </c>
      <c r="I592">
        <v>3862948.96</v>
      </c>
      <c r="J592" t="s">
        <v>75</v>
      </c>
      <c r="K592" t="s">
        <v>1911</v>
      </c>
      <c r="L592">
        <v>60</v>
      </c>
      <c r="M592" t="s">
        <v>22</v>
      </c>
      <c r="N592">
        <v>1.1435</v>
      </c>
      <c r="O592">
        <v>1.3437448588685985</v>
      </c>
      <c r="P592">
        <v>6.1594398060867217E-3</v>
      </c>
      <c r="Q592">
        <v>6.1594398060867217E-3</v>
      </c>
      <c r="R592">
        <v>23793.601593105304</v>
      </c>
      <c r="S592" t="s">
        <v>21</v>
      </c>
      <c r="T592">
        <v>6.7400000000000003E-3</v>
      </c>
      <c r="U592">
        <v>26036.275990400001</v>
      </c>
      <c r="V592">
        <v>-2242.674397294697</v>
      </c>
      <c r="W592">
        <v>-8.6136527286836545E-2</v>
      </c>
    </row>
    <row r="593" spans="1:23" x14ac:dyDescent="0.25">
      <c r="A593" t="s">
        <v>1908</v>
      </c>
      <c r="B593" t="s">
        <v>36</v>
      </c>
      <c r="C593" t="s">
        <v>116</v>
      </c>
      <c r="D593" t="s">
        <v>31</v>
      </c>
      <c r="E593" t="s">
        <v>74</v>
      </c>
      <c r="F593" s="1">
        <v>45769</v>
      </c>
      <c r="G593">
        <v>45814</v>
      </c>
      <c r="H593" t="s">
        <v>6</v>
      </c>
      <c r="I593">
        <v>37229.440000000002</v>
      </c>
      <c r="J593" t="s">
        <v>75</v>
      </c>
      <c r="K593" t="s">
        <v>1909</v>
      </c>
      <c r="L593">
        <v>45</v>
      </c>
      <c r="M593" t="s">
        <v>36</v>
      </c>
      <c r="N593">
        <v>1.1476</v>
      </c>
      <c r="O593">
        <v>1.3366255910922686</v>
      </c>
      <c r="P593">
        <v>7.1257373486494869E-3</v>
      </c>
      <c r="Q593">
        <v>1.1476</v>
      </c>
      <c r="R593">
        <v>42724.505343999997</v>
      </c>
      <c r="S593" t="s">
        <v>12</v>
      </c>
      <c r="T593">
        <v>1.07</v>
      </c>
      <c r="U593">
        <v>39835.500800000002</v>
      </c>
      <c r="V593">
        <v>2889.0045439999958</v>
      </c>
      <c r="W593">
        <v>7.2523364485981207E-2</v>
      </c>
    </row>
    <row r="594" spans="1:23" x14ac:dyDescent="0.25">
      <c r="A594" t="s">
        <v>1906</v>
      </c>
      <c r="B594" t="s">
        <v>30</v>
      </c>
      <c r="C594" t="s">
        <v>103</v>
      </c>
      <c r="D594" t="s">
        <v>31</v>
      </c>
      <c r="E594" t="s">
        <v>74</v>
      </c>
      <c r="F594" s="1">
        <v>45774</v>
      </c>
      <c r="G594">
        <v>45804</v>
      </c>
      <c r="H594" t="s">
        <v>9</v>
      </c>
      <c r="I594">
        <v>5074228.2699999996</v>
      </c>
      <c r="J594" t="s">
        <v>75</v>
      </c>
      <c r="K594" t="s">
        <v>1907</v>
      </c>
      <c r="L594">
        <v>30</v>
      </c>
      <c r="M594" t="s">
        <v>30</v>
      </c>
      <c r="N594">
        <v>1.1597999999999999</v>
      </c>
      <c r="O594">
        <v>1.3603096410978184</v>
      </c>
      <c r="P594">
        <v>6.8598805228603536E-3</v>
      </c>
      <c r="Q594">
        <v>6.8598805228603536E-3</v>
      </c>
      <c r="R594">
        <v>34808.599677920385</v>
      </c>
      <c r="S594" t="s">
        <v>12</v>
      </c>
      <c r="T594">
        <v>6.7000000000000002E-3</v>
      </c>
      <c r="U594">
        <v>33997.329408999998</v>
      </c>
      <c r="V594">
        <v>811.27026892038702</v>
      </c>
      <c r="W594">
        <v>2.3862764606022914E-2</v>
      </c>
    </row>
    <row r="595" spans="1:23" x14ac:dyDescent="0.25">
      <c r="A595" t="s">
        <v>1904</v>
      </c>
      <c r="B595" t="s">
        <v>24</v>
      </c>
      <c r="C595" t="s">
        <v>73</v>
      </c>
      <c r="D595" t="s">
        <v>31</v>
      </c>
      <c r="E595" t="s">
        <v>74</v>
      </c>
      <c r="F595" s="1">
        <v>45911</v>
      </c>
      <c r="G595">
        <v>45941</v>
      </c>
      <c r="H595" t="s">
        <v>6</v>
      </c>
      <c r="I595">
        <v>14445.38</v>
      </c>
      <c r="J595" t="s">
        <v>75</v>
      </c>
      <c r="K595" t="s">
        <v>1905</v>
      </c>
      <c r="L595">
        <v>30</v>
      </c>
      <c r="M595" t="s">
        <v>24</v>
      </c>
      <c r="N595">
        <v>1.1685000000000001</v>
      </c>
      <c r="O595">
        <v>1.3513357233722678</v>
      </c>
      <c r="P595">
        <v>6.7590236001850998E-3</v>
      </c>
      <c r="Q595">
        <v>1.1685000000000001</v>
      </c>
      <c r="R595">
        <v>16879.426530000001</v>
      </c>
      <c r="S595" t="s">
        <v>13</v>
      </c>
      <c r="T595">
        <v>1.0880000000000001</v>
      </c>
      <c r="U595">
        <v>15716.57344</v>
      </c>
      <c r="V595">
        <v>1162.8530900000005</v>
      </c>
      <c r="W595">
        <v>7.3988970588235323E-2</v>
      </c>
    </row>
    <row r="596" spans="1:23" x14ac:dyDescent="0.25">
      <c r="A596" t="s">
        <v>1902</v>
      </c>
      <c r="B596" t="s">
        <v>26</v>
      </c>
      <c r="C596" t="s">
        <v>94</v>
      </c>
      <c r="D596" t="s">
        <v>31</v>
      </c>
      <c r="E596" t="s">
        <v>74</v>
      </c>
      <c r="F596" s="1">
        <v>45662</v>
      </c>
      <c r="G596">
        <v>45692</v>
      </c>
      <c r="H596" t="s">
        <v>8</v>
      </c>
      <c r="I596">
        <v>21940.9</v>
      </c>
      <c r="J596" t="s">
        <v>75</v>
      </c>
      <c r="K596" t="s">
        <v>1903</v>
      </c>
      <c r="L596">
        <v>30</v>
      </c>
      <c r="M596" t="s">
        <v>26</v>
      </c>
      <c r="N596">
        <v>1.03</v>
      </c>
      <c r="O596">
        <v>1.2216384187491844</v>
      </c>
      <c r="P596">
        <v>6.3678516228748072E-3</v>
      </c>
      <c r="Q596">
        <v>1.2216384187491844</v>
      </c>
      <c r="R596">
        <v>26803.846381933981</v>
      </c>
      <c r="S596" t="s">
        <v>11</v>
      </c>
      <c r="T596">
        <v>1.238</v>
      </c>
      <c r="U596">
        <v>27162.834200000001</v>
      </c>
      <c r="V596">
        <v>-358.98781806601983</v>
      </c>
      <c r="W596">
        <v>-1.3216139944115987E-2</v>
      </c>
    </row>
    <row r="597" spans="1:23" x14ac:dyDescent="0.25">
      <c r="A597" t="s">
        <v>1900</v>
      </c>
      <c r="B597" t="s">
        <v>39</v>
      </c>
      <c r="C597" t="s">
        <v>82</v>
      </c>
      <c r="D597" t="s">
        <v>33</v>
      </c>
      <c r="E597" t="s">
        <v>83</v>
      </c>
      <c r="F597" s="1">
        <v>46149</v>
      </c>
      <c r="G597">
        <v>46194</v>
      </c>
      <c r="H597" t="s">
        <v>8</v>
      </c>
      <c r="I597">
        <v>13106.54</v>
      </c>
      <c r="J597" t="s">
        <v>75</v>
      </c>
      <c r="K597" t="s">
        <v>1901</v>
      </c>
      <c r="L597">
        <v>45</v>
      </c>
      <c r="M597" t="s">
        <v>39</v>
      </c>
      <c r="N597">
        <v>1.177</v>
      </c>
      <c r="O597">
        <v>1.3621108667978243</v>
      </c>
      <c r="P597">
        <v>6.3943065138262626E-3</v>
      </c>
      <c r="Q597">
        <v>1.3621108667978243</v>
      </c>
      <c r="R597">
        <v>17852.560560120357</v>
      </c>
      <c r="S597" t="s">
        <v>19</v>
      </c>
      <c r="T597">
        <v>1.2709999999999999</v>
      </c>
      <c r="U597">
        <v>16658.412339999999</v>
      </c>
      <c r="V597">
        <v>1194.148220120358</v>
      </c>
      <c r="W597">
        <v>7.1684395592308769E-2</v>
      </c>
    </row>
    <row r="598" spans="1:23" x14ac:dyDescent="0.25">
      <c r="A598" t="s">
        <v>1898</v>
      </c>
      <c r="B598" t="s">
        <v>38</v>
      </c>
      <c r="C598" t="s">
        <v>87</v>
      </c>
      <c r="D598" t="s">
        <v>33</v>
      </c>
      <c r="E598" t="s">
        <v>88</v>
      </c>
      <c r="F598" s="1">
        <v>46322</v>
      </c>
      <c r="G598">
        <v>46352</v>
      </c>
      <c r="H598" t="s">
        <v>6</v>
      </c>
      <c r="I598">
        <v>7686.9</v>
      </c>
      <c r="J598" t="s">
        <v>84</v>
      </c>
      <c r="K598" t="s">
        <v>1899</v>
      </c>
      <c r="L598">
        <v>30</v>
      </c>
      <c r="M598" t="s">
        <v>38</v>
      </c>
      <c r="N598">
        <v>1.1176999999999999</v>
      </c>
      <c r="O598">
        <v>1.320456022210408</v>
      </c>
      <c r="P598">
        <v>6.3200452360757699E-3</v>
      </c>
      <c r="Q598">
        <v>1.1176999999999999</v>
      </c>
      <c r="R598">
        <v>8591.6481299999996</v>
      </c>
      <c r="S598" t="s">
        <v>23</v>
      </c>
      <c r="T598">
        <v>1.119</v>
      </c>
      <c r="U598">
        <v>8601.6410999999989</v>
      </c>
      <c r="V598">
        <v>-9.9929699999993318</v>
      </c>
      <c r="W598">
        <v>-1.1617515638962584E-3</v>
      </c>
    </row>
    <row r="599" spans="1:23" x14ac:dyDescent="0.25">
      <c r="A599" t="s">
        <v>1896</v>
      </c>
      <c r="B599" t="s">
        <v>41</v>
      </c>
      <c r="C599" t="s">
        <v>172</v>
      </c>
      <c r="D599" t="s">
        <v>33</v>
      </c>
      <c r="E599" t="s">
        <v>83</v>
      </c>
      <c r="F599" s="1">
        <v>45682</v>
      </c>
      <c r="G599">
        <v>45712</v>
      </c>
      <c r="H599" t="s">
        <v>9</v>
      </c>
      <c r="I599">
        <v>1521223</v>
      </c>
      <c r="J599" t="s">
        <v>75</v>
      </c>
      <c r="K599" t="s">
        <v>1897</v>
      </c>
      <c r="L599">
        <v>30</v>
      </c>
      <c r="M599" t="s">
        <v>41</v>
      </c>
      <c r="N599">
        <v>1.0369999999999999</v>
      </c>
      <c r="O599">
        <v>1.2443303175022198</v>
      </c>
      <c r="P599">
        <v>6.5130008792865218E-3</v>
      </c>
      <c r="Q599">
        <v>6.5130008792865218E-3</v>
      </c>
      <c r="R599">
        <v>9907.726736590881</v>
      </c>
      <c r="S599" t="s">
        <v>11</v>
      </c>
      <c r="T599">
        <v>6.5599999999999999E-3</v>
      </c>
      <c r="U599">
        <v>9979.2228799999993</v>
      </c>
      <c r="V599">
        <v>-71.496143409118304</v>
      </c>
      <c r="W599">
        <v>-7.1645001087618067E-3</v>
      </c>
    </row>
    <row r="600" spans="1:23" x14ac:dyDescent="0.25">
      <c r="A600" t="s">
        <v>1894</v>
      </c>
      <c r="B600" t="s">
        <v>44</v>
      </c>
      <c r="C600" t="s">
        <v>138</v>
      </c>
      <c r="D600" t="s">
        <v>33</v>
      </c>
      <c r="E600" t="s">
        <v>88</v>
      </c>
      <c r="F600" s="1">
        <v>45805</v>
      </c>
      <c r="G600">
        <v>45850</v>
      </c>
      <c r="H600" t="s">
        <v>9</v>
      </c>
      <c r="I600">
        <v>874996.75</v>
      </c>
      <c r="J600" t="s">
        <v>75</v>
      </c>
      <c r="K600" t="s">
        <v>1895</v>
      </c>
      <c r="L600">
        <v>45</v>
      </c>
      <c r="M600" t="s">
        <v>44</v>
      </c>
      <c r="N600">
        <v>1.1316999999999999</v>
      </c>
      <c r="O600">
        <v>1.3475827577994759</v>
      </c>
      <c r="P600">
        <v>6.9246772318423784E-3</v>
      </c>
      <c r="Q600">
        <v>6.9246772318423784E-3</v>
      </c>
      <c r="R600">
        <v>6059.0700726610776</v>
      </c>
      <c r="S600" t="s">
        <v>12</v>
      </c>
      <c r="T600">
        <v>6.7000000000000002E-3</v>
      </c>
      <c r="U600">
        <v>5862.4782249999998</v>
      </c>
      <c r="V600">
        <v>196.59184766107774</v>
      </c>
      <c r="W600">
        <v>3.3533915200355008E-2</v>
      </c>
    </row>
    <row r="601" spans="1:23" x14ac:dyDescent="0.25">
      <c r="A601" t="s">
        <v>1892</v>
      </c>
      <c r="B601" t="s">
        <v>22</v>
      </c>
      <c r="C601" t="s">
        <v>127</v>
      </c>
      <c r="D601" t="s">
        <v>31</v>
      </c>
      <c r="E601" t="s">
        <v>124</v>
      </c>
      <c r="F601" s="1">
        <v>46197</v>
      </c>
      <c r="G601">
        <v>46257</v>
      </c>
      <c r="H601" t="s">
        <v>9</v>
      </c>
      <c r="I601">
        <v>11718724.470000001</v>
      </c>
      <c r="J601" t="s">
        <v>75</v>
      </c>
      <c r="K601" t="s">
        <v>1893</v>
      </c>
      <c r="L601">
        <v>60</v>
      </c>
      <c r="M601" t="s">
        <v>22</v>
      </c>
      <c r="N601">
        <v>1.1339999999999999</v>
      </c>
      <c r="O601">
        <v>1.3160796146927405</v>
      </c>
      <c r="P601">
        <v>6.1848922825197706E-3</v>
      </c>
      <c r="Q601">
        <v>6.1848922825197706E-3</v>
      </c>
      <c r="R601">
        <v>72479.048535478592</v>
      </c>
      <c r="S601" t="s">
        <v>19</v>
      </c>
      <c r="T601">
        <v>6.6E-3</v>
      </c>
      <c r="U601">
        <v>77343.581502000001</v>
      </c>
      <c r="V601">
        <v>-4864.5329665214085</v>
      </c>
      <c r="W601">
        <v>-6.2895108709125638E-2</v>
      </c>
    </row>
    <row r="602" spans="1:23" x14ac:dyDescent="0.25">
      <c r="A602" t="s">
        <v>1890</v>
      </c>
      <c r="B602" t="s">
        <v>34</v>
      </c>
      <c r="C602" t="s">
        <v>177</v>
      </c>
      <c r="D602" t="s">
        <v>31</v>
      </c>
      <c r="E602" t="s">
        <v>74</v>
      </c>
      <c r="F602" s="1">
        <v>45778</v>
      </c>
      <c r="G602">
        <v>45838</v>
      </c>
      <c r="H602" t="s">
        <v>8</v>
      </c>
      <c r="I602">
        <v>19481.5</v>
      </c>
      <c r="J602" t="s">
        <v>75</v>
      </c>
      <c r="K602" t="s">
        <v>1891</v>
      </c>
      <c r="L602">
        <v>60</v>
      </c>
      <c r="M602" t="s">
        <v>34</v>
      </c>
      <c r="N602">
        <v>1.181</v>
      </c>
      <c r="O602">
        <v>1.3751746623195156</v>
      </c>
      <c r="P602">
        <v>7.0005927682276238E-3</v>
      </c>
      <c r="Q602">
        <v>1.3751746623195156</v>
      </c>
      <c r="R602">
        <v>26790.465183977642</v>
      </c>
      <c r="S602" t="s">
        <v>12</v>
      </c>
      <c r="T602">
        <v>1.26</v>
      </c>
      <c r="U602">
        <v>24546.69</v>
      </c>
      <c r="V602">
        <v>2243.7751839776429</v>
      </c>
      <c r="W602">
        <v>9.1408462158345707E-2</v>
      </c>
    </row>
    <row r="603" spans="1:23" x14ac:dyDescent="0.25">
      <c r="A603" t="s">
        <v>1888</v>
      </c>
      <c r="B603" t="s">
        <v>37</v>
      </c>
      <c r="C603" t="s">
        <v>91</v>
      </c>
      <c r="D603" t="s">
        <v>31</v>
      </c>
      <c r="E603" t="s">
        <v>74</v>
      </c>
      <c r="F603" s="1">
        <v>46347</v>
      </c>
      <c r="G603">
        <v>46377</v>
      </c>
      <c r="H603" t="s">
        <v>6</v>
      </c>
      <c r="I603">
        <v>8656.83</v>
      </c>
      <c r="J603" t="s">
        <v>84</v>
      </c>
      <c r="K603" t="s">
        <v>1889</v>
      </c>
      <c r="L603">
        <v>30</v>
      </c>
      <c r="M603" t="s">
        <v>37</v>
      </c>
      <c r="N603">
        <v>1.1176999999999999</v>
      </c>
      <c r="O603">
        <v>1.320456022210408</v>
      </c>
      <c r="P603">
        <v>6.3200452360757699E-3</v>
      </c>
      <c r="Q603">
        <v>1.1176999999999999</v>
      </c>
      <c r="R603">
        <v>9675.7388909999991</v>
      </c>
      <c r="S603" t="s">
        <v>23</v>
      </c>
      <c r="T603">
        <v>1.119</v>
      </c>
      <c r="U603">
        <v>9686.9927700000007</v>
      </c>
      <c r="V603">
        <v>-11.253879000001689</v>
      </c>
      <c r="W603">
        <v>-1.1617515638965104E-3</v>
      </c>
    </row>
    <row r="604" spans="1:23" x14ac:dyDescent="0.25">
      <c r="A604" t="s">
        <v>1886</v>
      </c>
      <c r="B604" t="s">
        <v>30</v>
      </c>
      <c r="C604" t="s">
        <v>103</v>
      </c>
      <c r="D604" t="s">
        <v>31</v>
      </c>
      <c r="E604" t="s">
        <v>74</v>
      </c>
      <c r="F604" s="1">
        <v>45972</v>
      </c>
      <c r="G604">
        <v>46002</v>
      </c>
      <c r="H604" t="s">
        <v>9</v>
      </c>
      <c r="I604">
        <v>1483611.36</v>
      </c>
      <c r="J604" t="s">
        <v>75</v>
      </c>
      <c r="K604" t="s">
        <v>1887</v>
      </c>
      <c r="L604">
        <v>30</v>
      </c>
      <c r="M604" t="s">
        <v>30</v>
      </c>
      <c r="N604">
        <v>1.1575</v>
      </c>
      <c r="O604">
        <v>1.3147432985006815</v>
      </c>
      <c r="P604">
        <v>6.4860472935111503E-3</v>
      </c>
      <c r="Q604">
        <v>6.4860472935111503E-3</v>
      </c>
      <c r="R604">
        <v>9622.7734461503969</v>
      </c>
      <c r="S604" t="s">
        <v>14</v>
      </c>
      <c r="T604">
        <v>6.9800000000000001E-3</v>
      </c>
      <c r="U604">
        <v>10355.607292800001</v>
      </c>
      <c r="V604">
        <v>-732.83384664960431</v>
      </c>
      <c r="W604">
        <v>-7.0766863393818116E-2</v>
      </c>
    </row>
    <row r="605" spans="1:23" x14ac:dyDescent="0.25">
      <c r="A605" t="s">
        <v>1884</v>
      </c>
      <c r="B605" t="s">
        <v>37</v>
      </c>
      <c r="C605" t="s">
        <v>91</v>
      </c>
      <c r="D605" t="s">
        <v>31</v>
      </c>
      <c r="E605" t="s">
        <v>74</v>
      </c>
      <c r="F605" s="1">
        <v>46104</v>
      </c>
      <c r="G605">
        <v>46134</v>
      </c>
      <c r="H605" t="s">
        <v>6</v>
      </c>
      <c r="I605">
        <v>11335.73</v>
      </c>
      <c r="J605" t="s">
        <v>75</v>
      </c>
      <c r="K605" t="s">
        <v>1885</v>
      </c>
      <c r="L605">
        <v>30</v>
      </c>
      <c r="M605" t="s">
        <v>37</v>
      </c>
      <c r="N605">
        <v>1.1596</v>
      </c>
      <c r="O605">
        <v>1.3418190233742189</v>
      </c>
      <c r="P605">
        <v>6.3069726966169908E-3</v>
      </c>
      <c r="Q605">
        <v>1.1596</v>
      </c>
      <c r="R605">
        <v>13144.912507999999</v>
      </c>
      <c r="S605" t="s">
        <v>16</v>
      </c>
      <c r="T605">
        <v>1.0649999999999999</v>
      </c>
      <c r="U605">
        <v>12072.552449999999</v>
      </c>
      <c r="V605">
        <v>1072.3600580000002</v>
      </c>
      <c r="W605">
        <v>8.8826291079812228E-2</v>
      </c>
    </row>
    <row r="606" spans="1:23" x14ac:dyDescent="0.25">
      <c r="A606" t="s">
        <v>1882</v>
      </c>
      <c r="B606" t="s">
        <v>26</v>
      </c>
      <c r="C606" t="s">
        <v>94</v>
      </c>
      <c r="D606" t="s">
        <v>31</v>
      </c>
      <c r="E606" t="s">
        <v>74</v>
      </c>
      <c r="F606" s="1">
        <v>45950</v>
      </c>
      <c r="G606">
        <v>45980</v>
      </c>
      <c r="H606" t="s">
        <v>8</v>
      </c>
      <c r="I606">
        <v>33764.699999999997</v>
      </c>
      <c r="J606" t="s">
        <v>75</v>
      </c>
      <c r="K606" t="s">
        <v>1883</v>
      </c>
      <c r="L606">
        <v>30</v>
      </c>
      <c r="M606" t="s">
        <v>26</v>
      </c>
      <c r="N606">
        <v>1.1655</v>
      </c>
      <c r="O606">
        <v>1.3410424577148774</v>
      </c>
      <c r="P606">
        <v>6.6330886119173637E-3</v>
      </c>
      <c r="Q606">
        <v>1.3410424577148774</v>
      </c>
      <c r="R606">
        <v>45279.896272005521</v>
      </c>
      <c r="S606" t="s">
        <v>14</v>
      </c>
      <c r="T606">
        <v>1.304</v>
      </c>
      <c r="U606">
        <v>44029.168799999999</v>
      </c>
      <c r="V606">
        <v>1250.7274720055211</v>
      </c>
      <c r="W606">
        <v>2.840679272613298E-2</v>
      </c>
    </row>
    <row r="607" spans="1:23" x14ac:dyDescent="0.25">
      <c r="A607" t="s">
        <v>1880</v>
      </c>
      <c r="B607" t="s">
        <v>32</v>
      </c>
      <c r="C607" t="s">
        <v>106</v>
      </c>
      <c r="D607" t="s">
        <v>31</v>
      </c>
      <c r="E607" t="s">
        <v>74</v>
      </c>
      <c r="F607" s="1">
        <v>46288</v>
      </c>
      <c r="G607">
        <v>46318</v>
      </c>
      <c r="H607" t="s">
        <v>6</v>
      </c>
      <c r="I607">
        <v>22303.48</v>
      </c>
      <c r="J607" t="s">
        <v>75</v>
      </c>
      <c r="K607" t="s">
        <v>1881</v>
      </c>
      <c r="L607">
        <v>30</v>
      </c>
      <c r="M607" t="s">
        <v>32</v>
      </c>
      <c r="N607">
        <v>1.1411</v>
      </c>
      <c r="O607">
        <v>1.327632344386271</v>
      </c>
      <c r="P607">
        <v>6.3324084350721427E-3</v>
      </c>
      <c r="Q607">
        <v>1.1411</v>
      </c>
      <c r="R607">
        <v>25450.501027999999</v>
      </c>
      <c r="S607" t="s">
        <v>21</v>
      </c>
      <c r="T607">
        <v>1.101</v>
      </c>
      <c r="U607">
        <v>24556.13148</v>
      </c>
      <c r="V607">
        <v>894.36954799999876</v>
      </c>
      <c r="W607">
        <v>3.6421435059037187E-2</v>
      </c>
    </row>
    <row r="608" spans="1:23" x14ac:dyDescent="0.25">
      <c r="A608" t="s">
        <v>1878</v>
      </c>
      <c r="B608" t="s">
        <v>32</v>
      </c>
      <c r="C608" t="s">
        <v>106</v>
      </c>
      <c r="D608" t="s">
        <v>31</v>
      </c>
      <c r="E608" t="s">
        <v>74</v>
      </c>
      <c r="F608" s="1">
        <v>46308</v>
      </c>
      <c r="G608">
        <v>46338</v>
      </c>
      <c r="H608" t="s">
        <v>6</v>
      </c>
      <c r="I608">
        <v>11227.79</v>
      </c>
      <c r="J608" t="s">
        <v>84</v>
      </c>
      <c r="K608" t="s">
        <v>1879</v>
      </c>
      <c r="L608">
        <v>30</v>
      </c>
      <c r="M608" t="s">
        <v>32</v>
      </c>
      <c r="N608">
        <v>1.1176999999999999</v>
      </c>
      <c r="O608">
        <v>1.320456022210408</v>
      </c>
      <c r="P608">
        <v>6.3200452360757699E-3</v>
      </c>
      <c r="Q608">
        <v>1.1176999999999999</v>
      </c>
      <c r="R608">
        <v>12549.300883</v>
      </c>
      <c r="S608" t="s">
        <v>23</v>
      </c>
      <c r="T608">
        <v>1.119</v>
      </c>
      <c r="U608">
        <v>12563.897010000001</v>
      </c>
      <c r="V608">
        <v>-14.596127000000706</v>
      </c>
      <c r="W608">
        <v>-1.1617515638963922E-3</v>
      </c>
    </row>
    <row r="609" spans="1:23" x14ac:dyDescent="0.25">
      <c r="A609" t="s">
        <v>1876</v>
      </c>
      <c r="B609" t="s">
        <v>24</v>
      </c>
      <c r="C609" t="s">
        <v>73</v>
      </c>
      <c r="D609" t="s">
        <v>31</v>
      </c>
      <c r="E609" t="s">
        <v>74</v>
      </c>
      <c r="F609" s="1">
        <v>45784</v>
      </c>
      <c r="G609">
        <v>45814</v>
      </c>
      <c r="H609" t="s">
        <v>6</v>
      </c>
      <c r="I609">
        <v>8684.11</v>
      </c>
      <c r="J609" t="s">
        <v>75</v>
      </c>
      <c r="K609" t="s">
        <v>1877</v>
      </c>
      <c r="L609">
        <v>30</v>
      </c>
      <c r="M609" t="s">
        <v>24</v>
      </c>
      <c r="N609">
        <v>1.1359999999999999</v>
      </c>
      <c r="O609">
        <v>1.3347432734108799</v>
      </c>
      <c r="P609">
        <v>6.9740315550371416E-3</v>
      </c>
      <c r="Q609">
        <v>1.1359999999999999</v>
      </c>
      <c r="R609">
        <v>9865.1489600000004</v>
      </c>
      <c r="S609" t="s">
        <v>12</v>
      </c>
      <c r="T609">
        <v>1.07</v>
      </c>
      <c r="U609">
        <v>9291.9977000000017</v>
      </c>
      <c r="V609">
        <v>573.15125999999873</v>
      </c>
      <c r="W609">
        <v>6.1682242990654057E-2</v>
      </c>
    </row>
    <row r="610" spans="1:23" x14ac:dyDescent="0.25">
      <c r="A610" t="s">
        <v>1874</v>
      </c>
      <c r="B610" t="s">
        <v>38</v>
      </c>
      <c r="C610" t="s">
        <v>87</v>
      </c>
      <c r="D610" t="s">
        <v>33</v>
      </c>
      <c r="E610" t="s">
        <v>88</v>
      </c>
      <c r="F610" s="1">
        <v>45740</v>
      </c>
      <c r="G610">
        <v>45770</v>
      </c>
      <c r="H610" t="s">
        <v>6</v>
      </c>
      <c r="I610">
        <v>5586.46</v>
      </c>
      <c r="J610" t="s">
        <v>75</v>
      </c>
      <c r="K610" t="s">
        <v>1875</v>
      </c>
      <c r="L610">
        <v>30</v>
      </c>
      <c r="M610" t="s">
        <v>38</v>
      </c>
      <c r="N610">
        <v>1.0824</v>
      </c>
      <c r="O610">
        <v>1.2937618780105902</v>
      </c>
      <c r="P610">
        <v>6.6753006475485663E-3</v>
      </c>
      <c r="Q610">
        <v>1.0824</v>
      </c>
      <c r="R610">
        <v>6046.7843039999998</v>
      </c>
      <c r="S610" t="s">
        <v>11</v>
      </c>
      <c r="T610">
        <v>1.052</v>
      </c>
      <c r="U610">
        <v>5876.9559200000003</v>
      </c>
      <c r="V610">
        <v>169.82838399999946</v>
      </c>
      <c r="W610">
        <v>2.889733840304173E-2</v>
      </c>
    </row>
    <row r="611" spans="1:23" x14ac:dyDescent="0.25">
      <c r="A611" t="s">
        <v>1872</v>
      </c>
      <c r="B611" t="s">
        <v>30</v>
      </c>
      <c r="C611" t="s">
        <v>103</v>
      </c>
      <c r="D611" t="s">
        <v>31</v>
      </c>
      <c r="E611" t="s">
        <v>74</v>
      </c>
      <c r="F611" s="1">
        <v>46318</v>
      </c>
      <c r="G611">
        <v>46348</v>
      </c>
      <c r="H611" t="s">
        <v>9</v>
      </c>
      <c r="I611">
        <v>4101933.74</v>
      </c>
      <c r="J611" t="s">
        <v>84</v>
      </c>
      <c r="K611" t="s">
        <v>1873</v>
      </c>
      <c r="L611">
        <v>30</v>
      </c>
      <c r="M611" t="s">
        <v>30</v>
      </c>
      <c r="N611">
        <v>1.1176999999999999</v>
      </c>
      <c r="O611">
        <v>1.320456022210408</v>
      </c>
      <c r="P611">
        <v>6.3200452360757699E-3</v>
      </c>
      <c r="Q611">
        <v>6.3200452360757699E-3</v>
      </c>
      <c r="R611">
        <v>25924.406792185466</v>
      </c>
      <c r="S611" t="s">
        <v>23</v>
      </c>
      <c r="T611">
        <v>6.8799999999999998E-3</v>
      </c>
      <c r="U611">
        <v>28221.304131200002</v>
      </c>
      <c r="V611">
        <v>-2296.8973390145366</v>
      </c>
      <c r="W611">
        <v>-8.1388773826196317E-2</v>
      </c>
    </row>
    <row r="612" spans="1:23" x14ac:dyDescent="0.25">
      <c r="A612" t="s">
        <v>1870</v>
      </c>
      <c r="B612" t="s">
        <v>30</v>
      </c>
      <c r="C612" t="s">
        <v>103</v>
      </c>
      <c r="D612" t="s">
        <v>31</v>
      </c>
      <c r="E612" t="s">
        <v>74</v>
      </c>
      <c r="F612" s="1">
        <v>45932</v>
      </c>
      <c r="G612">
        <v>45962</v>
      </c>
      <c r="H612" t="s">
        <v>9</v>
      </c>
      <c r="I612">
        <v>2720362.74</v>
      </c>
      <c r="J612" t="s">
        <v>75</v>
      </c>
      <c r="K612" t="s">
        <v>1871</v>
      </c>
      <c r="L612">
        <v>30</v>
      </c>
      <c r="M612" t="s">
        <v>30</v>
      </c>
      <c r="N612">
        <v>1.1754</v>
      </c>
      <c r="O612">
        <v>1.3477812177502579</v>
      </c>
      <c r="P612">
        <v>6.8127282211789255E-3</v>
      </c>
      <c r="Q612">
        <v>6.8127282211789255E-3</v>
      </c>
      <c r="R612">
        <v>18533.092010641631</v>
      </c>
      <c r="S612" t="s">
        <v>14</v>
      </c>
      <c r="T612">
        <v>6.9800000000000001E-3</v>
      </c>
      <c r="U612">
        <v>18988.131925200003</v>
      </c>
      <c r="V612">
        <v>-455.0399145583724</v>
      </c>
      <c r="W612">
        <v>-2.3964438226514978E-2</v>
      </c>
    </row>
    <row r="613" spans="1:23" x14ac:dyDescent="0.25">
      <c r="A613" t="s">
        <v>1868</v>
      </c>
      <c r="B613" t="s">
        <v>39</v>
      </c>
      <c r="C613" t="s">
        <v>82</v>
      </c>
      <c r="D613" t="s">
        <v>33</v>
      </c>
      <c r="E613" t="s">
        <v>83</v>
      </c>
      <c r="F613" s="1">
        <v>45678</v>
      </c>
      <c r="G613">
        <v>45723</v>
      </c>
      <c r="H613" t="s">
        <v>8</v>
      </c>
      <c r="I613">
        <v>2928.39</v>
      </c>
      <c r="J613" t="s">
        <v>75</v>
      </c>
      <c r="K613" t="s">
        <v>1869</v>
      </c>
      <c r="L613">
        <v>45</v>
      </c>
      <c r="M613" t="s">
        <v>39</v>
      </c>
      <c r="N613">
        <v>1.0357000000000001</v>
      </c>
      <c r="O613">
        <v>1.2249121852565847</v>
      </c>
      <c r="P613">
        <v>6.4225474389185177E-3</v>
      </c>
      <c r="Q613">
        <v>1.2249121852565847</v>
      </c>
      <c r="R613">
        <v>3587.0205941835302</v>
      </c>
      <c r="S613" t="s">
        <v>11</v>
      </c>
      <c r="T613">
        <v>1.238</v>
      </c>
      <c r="U613">
        <v>3625.3468199999998</v>
      </c>
      <c r="V613">
        <v>-38.32622581646956</v>
      </c>
      <c r="W613">
        <v>-1.0571740503566377E-2</v>
      </c>
    </row>
    <row r="614" spans="1:23" x14ac:dyDescent="0.25">
      <c r="A614" t="s">
        <v>1866</v>
      </c>
      <c r="B614" t="s">
        <v>39</v>
      </c>
      <c r="C614" t="s">
        <v>82</v>
      </c>
      <c r="D614" t="s">
        <v>33</v>
      </c>
      <c r="E614" t="s">
        <v>83</v>
      </c>
      <c r="F614" s="1">
        <v>46184</v>
      </c>
      <c r="G614">
        <v>46229</v>
      </c>
      <c r="H614" t="s">
        <v>8</v>
      </c>
      <c r="I614">
        <v>5742</v>
      </c>
      <c r="J614" t="s">
        <v>75</v>
      </c>
      <c r="K614" t="s">
        <v>1867</v>
      </c>
      <c r="L614">
        <v>45</v>
      </c>
      <c r="M614" t="s">
        <v>39</v>
      </c>
      <c r="N614">
        <v>1.1536999999999999</v>
      </c>
      <c r="O614">
        <v>1.336383644156145</v>
      </c>
      <c r="P614">
        <v>6.2291452945305321E-3</v>
      </c>
      <c r="Q614">
        <v>1.336383644156145</v>
      </c>
      <c r="R614">
        <v>7673.5148847445844</v>
      </c>
      <c r="S614" t="s">
        <v>19</v>
      </c>
      <c r="T614">
        <v>1.2709999999999999</v>
      </c>
      <c r="U614">
        <v>7298.0819999999994</v>
      </c>
      <c r="V614">
        <v>375.43288474458495</v>
      </c>
      <c r="W614">
        <v>5.1442678328989036E-2</v>
      </c>
    </row>
    <row r="615" spans="1:23" x14ac:dyDescent="0.25">
      <c r="A615" t="s">
        <v>1864</v>
      </c>
      <c r="B615" t="s">
        <v>24</v>
      </c>
      <c r="C615" t="s">
        <v>73</v>
      </c>
      <c r="D615" t="s">
        <v>31</v>
      </c>
      <c r="E615" t="s">
        <v>74</v>
      </c>
      <c r="F615" s="1">
        <v>46139</v>
      </c>
      <c r="G615">
        <v>46169</v>
      </c>
      <c r="H615" t="s">
        <v>6</v>
      </c>
      <c r="I615">
        <v>14741.48</v>
      </c>
      <c r="J615" t="s">
        <v>75</v>
      </c>
      <c r="K615" t="s">
        <v>1865</v>
      </c>
      <c r="L615">
        <v>30</v>
      </c>
      <c r="M615" t="s">
        <v>24</v>
      </c>
      <c r="N615">
        <v>1.1749000000000001</v>
      </c>
      <c r="O615">
        <v>1.357010857010857</v>
      </c>
      <c r="P615">
        <v>6.280872447343099E-3</v>
      </c>
      <c r="Q615">
        <v>1.1749000000000001</v>
      </c>
      <c r="R615">
        <v>17319.764852</v>
      </c>
      <c r="S615" t="s">
        <v>19</v>
      </c>
      <c r="T615">
        <v>1.083</v>
      </c>
      <c r="U615">
        <v>15965.02284</v>
      </c>
      <c r="V615">
        <v>1354.7420120000006</v>
      </c>
      <c r="W615">
        <v>8.4856879039704569E-2</v>
      </c>
    </row>
    <row r="616" spans="1:23" x14ac:dyDescent="0.25">
      <c r="A616" t="s">
        <v>1862</v>
      </c>
      <c r="B616" t="s">
        <v>32</v>
      </c>
      <c r="C616" t="s">
        <v>106</v>
      </c>
      <c r="D616" t="s">
        <v>31</v>
      </c>
      <c r="E616" t="s">
        <v>74</v>
      </c>
      <c r="F616" s="1">
        <v>46052</v>
      </c>
      <c r="G616">
        <v>46082</v>
      </c>
      <c r="H616" t="s">
        <v>6</v>
      </c>
      <c r="I616">
        <v>24745.05</v>
      </c>
      <c r="J616" t="s">
        <v>75</v>
      </c>
      <c r="K616" t="s">
        <v>1863</v>
      </c>
      <c r="L616">
        <v>30</v>
      </c>
      <c r="M616" t="s">
        <v>32</v>
      </c>
      <c r="N616">
        <v>1.1919</v>
      </c>
      <c r="O616">
        <v>1.376010159316555</v>
      </c>
      <c r="P616">
        <v>6.4921836701345385E-3</v>
      </c>
      <c r="Q616">
        <v>1.1919</v>
      </c>
      <c r="R616">
        <v>29493.625094999999</v>
      </c>
      <c r="S616" t="s">
        <v>16</v>
      </c>
      <c r="T616">
        <v>1.0649999999999999</v>
      </c>
      <c r="U616">
        <v>26353.478249999996</v>
      </c>
      <c r="V616">
        <v>3140.1468450000029</v>
      </c>
      <c r="W616">
        <v>0.11915492957746492</v>
      </c>
    </row>
    <row r="617" spans="1:23" x14ac:dyDescent="0.25">
      <c r="A617" t="s">
        <v>1860</v>
      </c>
      <c r="B617" t="s">
        <v>42</v>
      </c>
      <c r="C617" t="s">
        <v>151</v>
      </c>
      <c r="D617" t="s">
        <v>35</v>
      </c>
      <c r="E617" t="s">
        <v>152</v>
      </c>
      <c r="F617" s="1">
        <v>45739</v>
      </c>
      <c r="G617">
        <v>45769</v>
      </c>
      <c r="H617" t="s">
        <v>8</v>
      </c>
      <c r="I617">
        <v>2353.94</v>
      </c>
      <c r="J617" t="s">
        <v>75</v>
      </c>
      <c r="K617" t="s">
        <v>1861</v>
      </c>
      <c r="L617">
        <v>30</v>
      </c>
      <c r="M617" t="s">
        <v>42</v>
      </c>
      <c r="N617">
        <v>1.1359999999999999</v>
      </c>
      <c r="O617">
        <v>1.3347432734108799</v>
      </c>
      <c r="P617">
        <v>6.9740315550371416E-3</v>
      </c>
      <c r="Q617">
        <v>1.3347432734108799</v>
      </c>
      <c r="R617">
        <v>3141.905581012807</v>
      </c>
      <c r="S617" t="s">
        <v>11</v>
      </c>
      <c r="T617">
        <v>1.238</v>
      </c>
      <c r="U617">
        <v>2914.1777200000001</v>
      </c>
      <c r="V617">
        <v>227.7278610128069</v>
      </c>
      <c r="W617">
        <v>7.8144808894087245E-2</v>
      </c>
    </row>
    <row r="618" spans="1:23" x14ac:dyDescent="0.25">
      <c r="A618" t="s">
        <v>1858</v>
      </c>
      <c r="B618" t="s">
        <v>32</v>
      </c>
      <c r="C618" t="s">
        <v>106</v>
      </c>
      <c r="D618" t="s">
        <v>31</v>
      </c>
      <c r="E618" t="s">
        <v>74</v>
      </c>
      <c r="F618" s="1">
        <v>45948</v>
      </c>
      <c r="G618">
        <v>45978</v>
      </c>
      <c r="H618" t="s">
        <v>6</v>
      </c>
      <c r="I618">
        <v>15514.69</v>
      </c>
      <c r="J618" t="s">
        <v>75</v>
      </c>
      <c r="K618" t="s">
        <v>1859</v>
      </c>
      <c r="L618">
        <v>30</v>
      </c>
      <c r="M618" t="s">
        <v>32</v>
      </c>
      <c r="N618">
        <v>1.1805000000000001</v>
      </c>
      <c r="O618">
        <v>1.347141389934954</v>
      </c>
      <c r="P618">
        <v>6.411231195351111E-3</v>
      </c>
      <c r="Q618">
        <v>1.1805000000000001</v>
      </c>
      <c r="R618">
        <v>18315.091545000003</v>
      </c>
      <c r="S618" t="s">
        <v>14</v>
      </c>
      <c r="T618">
        <v>1.1060000000000001</v>
      </c>
      <c r="U618">
        <v>17159.247140000003</v>
      </c>
      <c r="V618">
        <v>1155.8444049999998</v>
      </c>
      <c r="W618">
        <v>6.7359855334538851E-2</v>
      </c>
    </row>
    <row r="619" spans="1:23" x14ac:dyDescent="0.25">
      <c r="A619" t="s">
        <v>1856</v>
      </c>
      <c r="B619" t="s">
        <v>30</v>
      </c>
      <c r="C619" t="s">
        <v>103</v>
      </c>
      <c r="D619" t="s">
        <v>31</v>
      </c>
      <c r="E619" t="s">
        <v>74</v>
      </c>
      <c r="F619" s="1">
        <v>45876</v>
      </c>
      <c r="G619">
        <v>45906</v>
      </c>
      <c r="H619" t="s">
        <v>9</v>
      </c>
      <c r="I619">
        <v>623341.55000000005</v>
      </c>
      <c r="J619" t="s">
        <v>75</v>
      </c>
      <c r="K619" t="s">
        <v>1857</v>
      </c>
      <c r="L619">
        <v>30</v>
      </c>
      <c r="M619" t="s">
        <v>30</v>
      </c>
      <c r="N619">
        <v>1.1642999999999999</v>
      </c>
      <c r="O619">
        <v>1.3424420615703907</v>
      </c>
      <c r="P619">
        <v>6.7849650349650348E-3</v>
      </c>
      <c r="Q619">
        <v>6.7849650349650348E-3</v>
      </c>
      <c r="R619">
        <v>4229.3506215909092</v>
      </c>
      <c r="S619" t="s">
        <v>13</v>
      </c>
      <c r="T619">
        <v>6.8399999999999997E-3</v>
      </c>
      <c r="U619">
        <v>4263.6562020000001</v>
      </c>
      <c r="V619">
        <v>-34.305580409090908</v>
      </c>
      <c r="W619">
        <v>-8.0460475197317305E-3</v>
      </c>
    </row>
    <row r="620" spans="1:23" x14ac:dyDescent="0.25">
      <c r="A620" t="s">
        <v>1854</v>
      </c>
      <c r="B620" t="s">
        <v>34</v>
      </c>
      <c r="C620" t="s">
        <v>177</v>
      </c>
      <c r="D620" t="s">
        <v>31</v>
      </c>
      <c r="E620" t="s">
        <v>74</v>
      </c>
      <c r="F620" s="1">
        <v>45674</v>
      </c>
      <c r="G620">
        <v>45734</v>
      </c>
      <c r="H620" t="s">
        <v>8</v>
      </c>
      <c r="I620">
        <v>26255.64</v>
      </c>
      <c r="J620" t="s">
        <v>75</v>
      </c>
      <c r="K620" t="s">
        <v>1855</v>
      </c>
      <c r="L620">
        <v>60</v>
      </c>
      <c r="M620" t="s">
        <v>34</v>
      </c>
      <c r="N620">
        <v>1.0298</v>
      </c>
      <c r="O620">
        <v>1.2193764579115012</v>
      </c>
      <c r="P620">
        <v>6.4270111714410539E-3</v>
      </c>
      <c r="Q620">
        <v>1.2193764579115012</v>
      </c>
      <c r="R620">
        <v>32015.509303399525</v>
      </c>
      <c r="S620" t="s">
        <v>11</v>
      </c>
      <c r="T620">
        <v>1.238</v>
      </c>
      <c r="U620">
        <v>32504.482319999999</v>
      </c>
      <c r="V620">
        <v>-488.97301660047378</v>
      </c>
      <c r="W620">
        <v>-1.5043248859853671E-2</v>
      </c>
    </row>
    <row r="621" spans="1:23" x14ac:dyDescent="0.25">
      <c r="A621" t="s">
        <v>1852</v>
      </c>
      <c r="B621" t="s">
        <v>38</v>
      </c>
      <c r="C621" t="s">
        <v>87</v>
      </c>
      <c r="D621" t="s">
        <v>33</v>
      </c>
      <c r="E621" t="s">
        <v>88</v>
      </c>
      <c r="F621" s="1">
        <v>45716</v>
      </c>
      <c r="G621">
        <v>45746</v>
      </c>
      <c r="H621" t="s">
        <v>6</v>
      </c>
      <c r="I621">
        <v>3081.13</v>
      </c>
      <c r="J621" t="s">
        <v>75</v>
      </c>
      <c r="K621" t="s">
        <v>1853</v>
      </c>
      <c r="L621">
        <v>30</v>
      </c>
      <c r="M621" t="s">
        <v>38</v>
      </c>
      <c r="N621">
        <v>1.0410999999999999</v>
      </c>
      <c r="O621">
        <v>1.2602895603331394</v>
      </c>
      <c r="P621">
        <v>6.6329001019367981E-3</v>
      </c>
      <c r="Q621">
        <v>1.0410999999999999</v>
      </c>
      <c r="R621">
        <v>3207.764443</v>
      </c>
      <c r="S621" t="s">
        <v>11</v>
      </c>
      <c r="T621">
        <v>1.052</v>
      </c>
      <c r="U621">
        <v>3241.3487600000003</v>
      </c>
      <c r="V621">
        <v>-33.584317000000283</v>
      </c>
      <c r="W621">
        <v>-1.0361216730038109E-2</v>
      </c>
    </row>
    <row r="622" spans="1:23" x14ac:dyDescent="0.25">
      <c r="A622" t="s">
        <v>1850</v>
      </c>
      <c r="B622" t="s">
        <v>42</v>
      </c>
      <c r="C622" t="s">
        <v>151</v>
      </c>
      <c r="D622" t="s">
        <v>35</v>
      </c>
      <c r="E622" t="s">
        <v>152</v>
      </c>
      <c r="F622" s="1">
        <v>46131</v>
      </c>
      <c r="G622">
        <v>46161</v>
      </c>
      <c r="H622" t="s">
        <v>8</v>
      </c>
      <c r="I622">
        <v>6110.38</v>
      </c>
      <c r="J622" t="s">
        <v>75</v>
      </c>
      <c r="K622" t="s">
        <v>1851</v>
      </c>
      <c r="L622">
        <v>30</v>
      </c>
      <c r="M622" t="s">
        <v>42</v>
      </c>
      <c r="N622">
        <v>1.1797</v>
      </c>
      <c r="O622">
        <v>1.3533636196769456</v>
      </c>
      <c r="P622">
        <v>6.2843596846366926E-3</v>
      </c>
      <c r="Q622">
        <v>1.3533636196769456</v>
      </c>
      <c r="R622">
        <v>8269.5659944016152</v>
      </c>
      <c r="S622" t="s">
        <v>19</v>
      </c>
      <c r="T622">
        <v>1.2709999999999999</v>
      </c>
      <c r="U622">
        <v>7766.2929799999993</v>
      </c>
      <c r="V622">
        <v>503.27301440161591</v>
      </c>
      <c r="W622">
        <v>6.4802218471239792E-2</v>
      </c>
    </row>
    <row r="623" spans="1:23" x14ac:dyDescent="0.25">
      <c r="A623" t="s">
        <v>1848</v>
      </c>
      <c r="B623" t="s">
        <v>39</v>
      </c>
      <c r="C623" t="s">
        <v>82</v>
      </c>
      <c r="D623" t="s">
        <v>33</v>
      </c>
      <c r="E623" t="s">
        <v>83</v>
      </c>
      <c r="F623" s="1">
        <v>46196</v>
      </c>
      <c r="G623">
        <v>46241</v>
      </c>
      <c r="H623" t="s">
        <v>8</v>
      </c>
      <c r="I623">
        <v>5712.26</v>
      </c>
      <c r="J623" t="s">
        <v>75</v>
      </c>
      <c r="K623" t="s">
        <v>1849</v>
      </c>
      <c r="L623">
        <v>45</v>
      </c>
      <c r="M623" t="s">
        <v>39</v>
      </c>
      <c r="N623">
        <v>1.1392</v>
      </c>
      <c r="O623">
        <v>1.3215777262180974</v>
      </c>
      <c r="P623">
        <v>6.1906314531029235E-3</v>
      </c>
      <c r="Q623">
        <v>1.3215777262180974</v>
      </c>
      <c r="R623">
        <v>7549.1955823665894</v>
      </c>
      <c r="S623" t="s">
        <v>19</v>
      </c>
      <c r="T623">
        <v>1.2709999999999999</v>
      </c>
      <c r="U623">
        <v>7260.2824599999994</v>
      </c>
      <c r="V623">
        <v>288.91312236658996</v>
      </c>
      <c r="W623">
        <v>3.9793647693231758E-2</v>
      </c>
    </row>
    <row r="624" spans="1:23" x14ac:dyDescent="0.25">
      <c r="A624" t="s">
        <v>1846</v>
      </c>
      <c r="B624" t="s">
        <v>22</v>
      </c>
      <c r="C624" t="s">
        <v>127</v>
      </c>
      <c r="D624" t="s">
        <v>31</v>
      </c>
      <c r="E624" t="s">
        <v>124</v>
      </c>
      <c r="F624" s="1">
        <v>45978</v>
      </c>
      <c r="G624">
        <v>46038</v>
      </c>
      <c r="H624" t="s">
        <v>9</v>
      </c>
      <c r="I624">
        <v>10410644.74</v>
      </c>
      <c r="J624" t="s">
        <v>75</v>
      </c>
      <c r="K624" t="s">
        <v>1847</v>
      </c>
      <c r="L624">
        <v>60</v>
      </c>
      <c r="M624" t="s">
        <v>22</v>
      </c>
      <c r="N624">
        <v>1.1593</v>
      </c>
      <c r="O624">
        <v>1.3181353041500854</v>
      </c>
      <c r="P624">
        <v>6.4559781700729525E-3</v>
      </c>
      <c r="Q624">
        <v>6.4559781700729525E-3</v>
      </c>
      <c r="R624">
        <v>67210.895177824816</v>
      </c>
      <c r="S624" t="s">
        <v>14</v>
      </c>
      <c r="T624">
        <v>6.9800000000000001E-3</v>
      </c>
      <c r="U624">
        <v>72666.300285200006</v>
      </c>
      <c r="V624">
        <v>-5455.4051073751907</v>
      </c>
      <c r="W624">
        <v>-7.5074760734534007E-2</v>
      </c>
    </row>
    <row r="625" spans="1:23" x14ac:dyDescent="0.25">
      <c r="A625" t="s">
        <v>1844</v>
      </c>
      <c r="B625" t="s">
        <v>40</v>
      </c>
      <c r="C625" t="s">
        <v>78</v>
      </c>
      <c r="D625" t="s">
        <v>33</v>
      </c>
      <c r="E625" t="s">
        <v>79</v>
      </c>
      <c r="F625" s="1">
        <v>46228</v>
      </c>
      <c r="G625">
        <v>46258</v>
      </c>
      <c r="H625" t="s">
        <v>9</v>
      </c>
      <c r="I625">
        <v>2988878.32</v>
      </c>
      <c r="J625" t="s">
        <v>75</v>
      </c>
      <c r="K625" t="s">
        <v>1845</v>
      </c>
      <c r="L625">
        <v>30</v>
      </c>
      <c r="M625" t="s">
        <v>40</v>
      </c>
      <c r="N625">
        <v>1.1376999999999999</v>
      </c>
      <c r="O625">
        <v>1.3323886260364455</v>
      </c>
      <c r="P625">
        <v>6.1041957291554884E-3</v>
      </c>
      <c r="Q625">
        <v>6.1041957291554884E-3</v>
      </c>
      <c r="R625">
        <v>18244.698275909432</v>
      </c>
      <c r="S625" t="s">
        <v>21</v>
      </c>
      <c r="T625">
        <v>6.7400000000000003E-3</v>
      </c>
      <c r="U625">
        <v>20145.039876800001</v>
      </c>
      <c r="V625">
        <v>-1900.3416008905697</v>
      </c>
      <c r="W625">
        <v>-9.4332977870105611E-2</v>
      </c>
    </row>
    <row r="626" spans="1:23" x14ac:dyDescent="0.25">
      <c r="A626" t="s">
        <v>1842</v>
      </c>
      <c r="B626" t="s">
        <v>32</v>
      </c>
      <c r="C626" t="s">
        <v>106</v>
      </c>
      <c r="D626" t="s">
        <v>31</v>
      </c>
      <c r="E626" t="s">
        <v>74</v>
      </c>
      <c r="F626" s="1">
        <v>46184</v>
      </c>
      <c r="G626">
        <v>46214</v>
      </c>
      <c r="H626" t="s">
        <v>6</v>
      </c>
      <c r="I626">
        <v>14206.98</v>
      </c>
      <c r="J626" t="s">
        <v>75</v>
      </c>
      <c r="K626" t="s">
        <v>1843</v>
      </c>
      <c r="L626">
        <v>30</v>
      </c>
      <c r="M626" t="s">
        <v>32</v>
      </c>
      <c r="N626">
        <v>1.1536999999999999</v>
      </c>
      <c r="O626">
        <v>1.336383644156145</v>
      </c>
      <c r="P626">
        <v>6.2291452945305321E-3</v>
      </c>
      <c r="Q626">
        <v>1.1536999999999999</v>
      </c>
      <c r="R626">
        <v>16390.592826</v>
      </c>
      <c r="S626" t="s">
        <v>19</v>
      </c>
      <c r="T626">
        <v>1.083</v>
      </c>
      <c r="U626">
        <v>15386.159339999998</v>
      </c>
      <c r="V626">
        <v>1004.4334860000017</v>
      </c>
      <c r="W626">
        <v>6.5281625115420253E-2</v>
      </c>
    </row>
    <row r="627" spans="1:23" x14ac:dyDescent="0.25">
      <c r="A627" t="s">
        <v>1840</v>
      </c>
      <c r="B627" t="s">
        <v>38</v>
      </c>
      <c r="C627" t="s">
        <v>87</v>
      </c>
      <c r="D627" t="s">
        <v>33</v>
      </c>
      <c r="E627" t="s">
        <v>88</v>
      </c>
      <c r="F627" s="1">
        <v>46205</v>
      </c>
      <c r="G627">
        <v>46235</v>
      </c>
      <c r="H627" t="s">
        <v>6</v>
      </c>
      <c r="I627">
        <v>4813.3599999999997</v>
      </c>
      <c r="J627" t="s">
        <v>75</v>
      </c>
      <c r="K627" t="s">
        <v>1841</v>
      </c>
      <c r="L627">
        <v>30</v>
      </c>
      <c r="M627" t="s">
        <v>38</v>
      </c>
      <c r="N627">
        <v>1.1398999999999999</v>
      </c>
      <c r="O627">
        <v>1.3306484561956458</v>
      </c>
      <c r="P627">
        <v>6.1887181714533899E-3</v>
      </c>
      <c r="Q627">
        <v>1.1398999999999999</v>
      </c>
      <c r="R627">
        <v>5486.7490639999996</v>
      </c>
      <c r="S627" t="s">
        <v>21</v>
      </c>
      <c r="T627">
        <v>1.101</v>
      </c>
      <c r="U627">
        <v>5299.5093599999991</v>
      </c>
      <c r="V627">
        <v>187.23970400000053</v>
      </c>
      <c r="W627">
        <v>3.5331516802906554E-2</v>
      </c>
    </row>
    <row r="628" spans="1:23" x14ac:dyDescent="0.25">
      <c r="A628" t="s">
        <v>1838</v>
      </c>
      <c r="B628" t="s">
        <v>37</v>
      </c>
      <c r="C628" t="s">
        <v>91</v>
      </c>
      <c r="D628" t="s">
        <v>31</v>
      </c>
      <c r="E628" t="s">
        <v>74</v>
      </c>
      <c r="F628" s="1">
        <v>45980</v>
      </c>
      <c r="G628">
        <v>46010</v>
      </c>
      <c r="H628" t="s">
        <v>6</v>
      </c>
      <c r="I628">
        <v>8798.64</v>
      </c>
      <c r="J628" t="s">
        <v>75</v>
      </c>
      <c r="K628" t="s">
        <v>1839</v>
      </c>
      <c r="L628">
        <v>30</v>
      </c>
      <c r="M628" t="s">
        <v>37</v>
      </c>
      <c r="N628">
        <v>1.1583000000000001</v>
      </c>
      <c r="O628">
        <v>1.3122238586156112</v>
      </c>
      <c r="P628">
        <v>6.4047553220901304E-3</v>
      </c>
      <c r="Q628">
        <v>1.1583000000000001</v>
      </c>
      <c r="R628">
        <v>10191.464712000001</v>
      </c>
      <c r="S628" t="s">
        <v>14</v>
      </c>
      <c r="T628">
        <v>1.1060000000000001</v>
      </c>
      <c r="U628">
        <v>9731.2958400000007</v>
      </c>
      <c r="V628">
        <v>460.16887200000019</v>
      </c>
      <c r="W628">
        <v>4.7287522603978317E-2</v>
      </c>
    </row>
    <row r="629" spans="1:23" x14ac:dyDescent="0.25">
      <c r="A629" t="s">
        <v>1836</v>
      </c>
      <c r="B629" t="s">
        <v>38</v>
      </c>
      <c r="C629" t="s">
        <v>87</v>
      </c>
      <c r="D629" t="s">
        <v>33</v>
      </c>
      <c r="E629" t="s">
        <v>88</v>
      </c>
      <c r="F629" s="1">
        <v>45667</v>
      </c>
      <c r="G629">
        <v>45697</v>
      </c>
      <c r="H629" t="s">
        <v>6</v>
      </c>
      <c r="I629">
        <v>8197.99</v>
      </c>
      <c r="J629" t="s">
        <v>75</v>
      </c>
      <c r="K629" t="s">
        <v>1837</v>
      </c>
      <c r="L629">
        <v>30</v>
      </c>
      <c r="M629" t="s">
        <v>38</v>
      </c>
      <c r="N629">
        <v>1.0304</v>
      </c>
      <c r="O629">
        <v>1.2311662863082935</v>
      </c>
      <c r="P629">
        <v>6.3269065454992016E-3</v>
      </c>
      <c r="Q629">
        <v>1.0304</v>
      </c>
      <c r="R629">
        <v>8447.2088960000001</v>
      </c>
      <c r="S629" t="s">
        <v>11</v>
      </c>
      <c r="T629">
        <v>1.052</v>
      </c>
      <c r="U629">
        <v>8624.2854800000005</v>
      </c>
      <c r="V629">
        <v>-177.07658400000037</v>
      </c>
      <c r="W629">
        <v>-2.0532319391635023E-2</v>
      </c>
    </row>
    <row r="630" spans="1:23" x14ac:dyDescent="0.25">
      <c r="A630" t="s">
        <v>1834</v>
      </c>
      <c r="B630" t="s">
        <v>26</v>
      </c>
      <c r="C630" t="s">
        <v>94</v>
      </c>
      <c r="D630" t="s">
        <v>31</v>
      </c>
      <c r="E630" t="s">
        <v>74</v>
      </c>
      <c r="F630" s="1">
        <v>45988</v>
      </c>
      <c r="G630">
        <v>46018</v>
      </c>
      <c r="H630" t="s">
        <v>8</v>
      </c>
      <c r="I630">
        <v>14330.81</v>
      </c>
      <c r="J630" t="s">
        <v>75</v>
      </c>
      <c r="K630" t="s">
        <v>1835</v>
      </c>
      <c r="L630">
        <v>30</v>
      </c>
      <c r="M630" t="s">
        <v>26</v>
      </c>
      <c r="N630">
        <v>1.1586000000000001</v>
      </c>
      <c r="O630">
        <v>1.3235092529129542</v>
      </c>
      <c r="P630">
        <v>6.3972171608414775E-3</v>
      </c>
      <c r="Q630">
        <v>1.3235092529129542</v>
      </c>
      <c r="R630">
        <v>18966.959636737491</v>
      </c>
      <c r="S630" t="s">
        <v>14</v>
      </c>
      <c r="T630">
        <v>1.304</v>
      </c>
      <c r="U630">
        <v>18687.376240000001</v>
      </c>
      <c r="V630">
        <v>279.58339673748924</v>
      </c>
      <c r="W630">
        <v>1.4961083522203929E-2</v>
      </c>
    </row>
    <row r="631" spans="1:23" x14ac:dyDescent="0.25">
      <c r="A631" t="s">
        <v>1832</v>
      </c>
      <c r="B631" t="s">
        <v>24</v>
      </c>
      <c r="C631" t="s">
        <v>73</v>
      </c>
      <c r="D631" t="s">
        <v>31</v>
      </c>
      <c r="E631" t="s">
        <v>74</v>
      </c>
      <c r="F631" s="1">
        <v>46358</v>
      </c>
      <c r="G631">
        <v>46388</v>
      </c>
      <c r="H631" t="s">
        <v>6</v>
      </c>
      <c r="I631">
        <v>14875.6</v>
      </c>
      <c r="J631" t="s">
        <v>84</v>
      </c>
      <c r="K631" t="s">
        <v>1833</v>
      </c>
      <c r="L631">
        <v>30</v>
      </c>
      <c r="M631" t="s">
        <v>24</v>
      </c>
      <c r="N631">
        <v>1.1176999999999999</v>
      </c>
      <c r="O631">
        <v>1.320456022210408</v>
      </c>
      <c r="P631">
        <v>6.3200452360757699E-3</v>
      </c>
      <c r="Q631">
        <v>1.1176999999999999</v>
      </c>
      <c r="R631">
        <v>16626.458119999999</v>
      </c>
      <c r="S631" t="s">
        <v>23</v>
      </c>
      <c r="T631">
        <v>1.119</v>
      </c>
      <c r="U631">
        <v>16645.796399999999</v>
      </c>
      <c r="V631">
        <v>-19.338279999999941</v>
      </c>
      <c r="W631">
        <v>-1.1617515638963326E-3</v>
      </c>
    </row>
    <row r="632" spans="1:23" x14ac:dyDescent="0.25">
      <c r="A632" t="s">
        <v>1830</v>
      </c>
      <c r="B632" t="s">
        <v>28</v>
      </c>
      <c r="C632" t="s">
        <v>111</v>
      </c>
      <c r="D632" t="s">
        <v>31</v>
      </c>
      <c r="E632" t="s">
        <v>74</v>
      </c>
      <c r="F632" s="1">
        <v>45788</v>
      </c>
      <c r="G632">
        <v>45833</v>
      </c>
      <c r="H632" t="s">
        <v>9</v>
      </c>
      <c r="I632">
        <v>1108267.93</v>
      </c>
      <c r="J632" t="s">
        <v>75</v>
      </c>
      <c r="K632" t="s">
        <v>1831</v>
      </c>
      <c r="L632">
        <v>45</v>
      </c>
      <c r="M632" t="s">
        <v>28</v>
      </c>
      <c r="N632">
        <v>1.1665000000000001</v>
      </c>
      <c r="O632">
        <v>1.3440488535545572</v>
      </c>
      <c r="P632">
        <v>6.7591841464827909E-3</v>
      </c>
      <c r="Q632">
        <v>6.7591841464827909E-3</v>
      </c>
      <c r="R632">
        <v>7490.9870225112991</v>
      </c>
      <c r="S632" t="s">
        <v>12</v>
      </c>
      <c r="T632">
        <v>6.7000000000000002E-3</v>
      </c>
      <c r="U632">
        <v>7425.3951310000002</v>
      </c>
      <c r="V632">
        <v>65.591891511298854</v>
      </c>
      <c r="W632">
        <v>8.8334546989239336E-3</v>
      </c>
    </row>
    <row r="633" spans="1:23" x14ac:dyDescent="0.25">
      <c r="A633" t="s">
        <v>1828</v>
      </c>
      <c r="B633" t="s">
        <v>36</v>
      </c>
      <c r="C633" t="s">
        <v>116</v>
      </c>
      <c r="D633" t="s">
        <v>31</v>
      </c>
      <c r="E633" t="s">
        <v>74</v>
      </c>
      <c r="F633" s="1">
        <v>46190</v>
      </c>
      <c r="G633">
        <v>46235</v>
      </c>
      <c r="H633" t="s">
        <v>6</v>
      </c>
      <c r="I633">
        <v>15761.14</v>
      </c>
      <c r="J633" t="s">
        <v>75</v>
      </c>
      <c r="K633" t="s">
        <v>1829</v>
      </c>
      <c r="L633">
        <v>45</v>
      </c>
      <c r="M633" t="s">
        <v>36</v>
      </c>
      <c r="N633">
        <v>1.1591</v>
      </c>
      <c r="O633">
        <v>1.3405734244705827</v>
      </c>
      <c r="P633">
        <v>6.2377569691098918E-3</v>
      </c>
      <c r="Q633">
        <v>1.1591</v>
      </c>
      <c r="R633">
        <v>18268.737374</v>
      </c>
      <c r="S633" t="s">
        <v>19</v>
      </c>
      <c r="T633">
        <v>1.083</v>
      </c>
      <c r="U633">
        <v>17069.314619999997</v>
      </c>
      <c r="V633">
        <v>1199.4227540000029</v>
      </c>
      <c r="W633">
        <v>7.0267774699907845E-2</v>
      </c>
    </row>
    <row r="634" spans="1:23" x14ac:dyDescent="0.25">
      <c r="A634" t="s">
        <v>1826</v>
      </c>
      <c r="B634" t="s">
        <v>34</v>
      </c>
      <c r="C634" t="s">
        <v>177</v>
      </c>
      <c r="D634" t="s">
        <v>31</v>
      </c>
      <c r="E634" t="s">
        <v>74</v>
      </c>
      <c r="F634" s="1">
        <v>46335</v>
      </c>
      <c r="G634">
        <v>46395</v>
      </c>
      <c r="H634" t="s">
        <v>8</v>
      </c>
      <c r="I634">
        <v>12579.97</v>
      </c>
      <c r="J634" t="s">
        <v>84</v>
      </c>
      <c r="K634" t="s">
        <v>1827</v>
      </c>
      <c r="L634">
        <v>60</v>
      </c>
      <c r="M634" t="s">
        <v>34</v>
      </c>
      <c r="N634">
        <v>1.1176999999999999</v>
      </c>
      <c r="O634">
        <v>1.320456022210408</v>
      </c>
      <c r="P634">
        <v>6.3200452360757699E-3</v>
      </c>
      <c r="Q634">
        <v>1.320456022210408</v>
      </c>
      <c r="R634">
        <v>16611.297145726265</v>
      </c>
      <c r="S634" t="s">
        <v>23</v>
      </c>
      <c r="T634">
        <v>1.3149999999999999</v>
      </c>
      <c r="U634">
        <v>16542.660549999997</v>
      </c>
      <c r="V634">
        <v>68.636595726267842</v>
      </c>
      <c r="W634">
        <v>4.149066319701993E-3</v>
      </c>
    </row>
    <row r="635" spans="1:23" x14ac:dyDescent="0.25">
      <c r="A635" t="s">
        <v>1824</v>
      </c>
      <c r="B635" t="s">
        <v>22</v>
      </c>
      <c r="C635" t="s">
        <v>127</v>
      </c>
      <c r="D635" t="s">
        <v>31</v>
      </c>
      <c r="E635" t="s">
        <v>124</v>
      </c>
      <c r="F635" s="1">
        <v>46214</v>
      </c>
      <c r="G635">
        <v>46274</v>
      </c>
      <c r="H635" t="s">
        <v>9</v>
      </c>
      <c r="I635">
        <v>7265785.0499999998</v>
      </c>
      <c r="J635" t="s">
        <v>75</v>
      </c>
      <c r="K635" t="s">
        <v>1825</v>
      </c>
      <c r="L635">
        <v>60</v>
      </c>
      <c r="M635" t="s">
        <v>22</v>
      </c>
      <c r="N635">
        <v>1.143</v>
      </c>
      <c r="O635">
        <v>1.3422582349832657</v>
      </c>
      <c r="P635">
        <v>6.1777105177818611E-3</v>
      </c>
      <c r="Q635">
        <v>6.1777105177818611E-3</v>
      </c>
      <c r="R635">
        <v>44885.916723327202</v>
      </c>
      <c r="S635" t="s">
        <v>21</v>
      </c>
      <c r="T635">
        <v>6.7400000000000003E-3</v>
      </c>
      <c r="U635">
        <v>48971.391237000003</v>
      </c>
      <c r="V635">
        <v>-4085.4745136728015</v>
      </c>
      <c r="W635">
        <v>-8.3425739201504423E-2</v>
      </c>
    </row>
    <row r="636" spans="1:23" x14ac:dyDescent="0.25">
      <c r="A636" t="s">
        <v>1822</v>
      </c>
      <c r="B636" t="s">
        <v>41</v>
      </c>
      <c r="C636" t="s">
        <v>172</v>
      </c>
      <c r="D636" t="s">
        <v>33</v>
      </c>
      <c r="E636" t="s">
        <v>83</v>
      </c>
      <c r="F636" s="1">
        <v>45730</v>
      </c>
      <c r="G636">
        <v>45760</v>
      </c>
      <c r="H636" t="s">
        <v>9</v>
      </c>
      <c r="I636">
        <v>322326.46000000002</v>
      </c>
      <c r="J636" t="s">
        <v>75</v>
      </c>
      <c r="K636" t="s">
        <v>1823</v>
      </c>
      <c r="L636">
        <v>30</v>
      </c>
      <c r="M636" t="s">
        <v>41</v>
      </c>
      <c r="N636">
        <v>1.0889</v>
      </c>
      <c r="O636">
        <v>1.2934915600536925</v>
      </c>
      <c r="P636">
        <v>6.7265875957499381E-3</v>
      </c>
      <c r="Q636">
        <v>6.7265875957499381E-3</v>
      </c>
      <c r="R636">
        <v>2168.1571676179888</v>
      </c>
      <c r="S636" t="s">
        <v>11</v>
      </c>
      <c r="T636">
        <v>6.5599999999999999E-3</v>
      </c>
      <c r="U636">
        <v>2114.4615776000001</v>
      </c>
      <c r="V636">
        <v>53.695590017988707</v>
      </c>
      <c r="W636">
        <v>2.5394450571636959E-2</v>
      </c>
    </row>
    <row r="637" spans="1:23" x14ac:dyDescent="0.25">
      <c r="A637" t="s">
        <v>1820</v>
      </c>
      <c r="B637" t="s">
        <v>30</v>
      </c>
      <c r="C637" t="s">
        <v>103</v>
      </c>
      <c r="D637" t="s">
        <v>31</v>
      </c>
      <c r="E637" t="s">
        <v>74</v>
      </c>
      <c r="F637" s="1">
        <v>45934</v>
      </c>
      <c r="G637">
        <v>45964</v>
      </c>
      <c r="H637" t="s">
        <v>9</v>
      </c>
      <c r="I637">
        <v>2063873.92</v>
      </c>
      <c r="J637" t="s">
        <v>75</v>
      </c>
      <c r="K637" t="s">
        <v>1821</v>
      </c>
      <c r="L637">
        <v>30</v>
      </c>
      <c r="M637" t="s">
        <v>30</v>
      </c>
      <c r="N637">
        <v>1.1886000000000001</v>
      </c>
      <c r="O637">
        <v>1.3660498793242157</v>
      </c>
      <c r="P637">
        <v>6.4023700511715602E-3</v>
      </c>
      <c r="Q637">
        <v>6.4023700511715602E-3</v>
      </c>
      <c r="R637">
        <v>13213.684574802048</v>
      </c>
      <c r="S637" t="s">
        <v>14</v>
      </c>
      <c r="T637">
        <v>6.9800000000000001E-3</v>
      </c>
      <c r="U637">
        <v>14405.839961599999</v>
      </c>
      <c r="V637">
        <v>-1192.155386797951</v>
      </c>
      <c r="W637">
        <v>-8.2755006995478456E-2</v>
      </c>
    </row>
    <row r="638" spans="1:23" x14ac:dyDescent="0.25">
      <c r="A638" t="s">
        <v>1818</v>
      </c>
      <c r="B638" t="s">
        <v>24</v>
      </c>
      <c r="C638" t="s">
        <v>73</v>
      </c>
      <c r="D638" t="s">
        <v>31</v>
      </c>
      <c r="E638" t="s">
        <v>74</v>
      </c>
      <c r="F638" s="1">
        <v>46343</v>
      </c>
      <c r="G638">
        <v>46373</v>
      </c>
      <c r="H638" t="s">
        <v>6</v>
      </c>
      <c r="I638">
        <v>32655.599999999999</v>
      </c>
      <c r="J638" t="s">
        <v>84</v>
      </c>
      <c r="K638" t="s">
        <v>1819</v>
      </c>
      <c r="L638">
        <v>30</v>
      </c>
      <c r="M638" t="s">
        <v>24</v>
      </c>
      <c r="N638">
        <v>1.1176999999999999</v>
      </c>
      <c r="O638">
        <v>1.320456022210408</v>
      </c>
      <c r="P638">
        <v>6.3200452360757699E-3</v>
      </c>
      <c r="Q638">
        <v>1.1176999999999999</v>
      </c>
      <c r="R638">
        <v>36499.164119999994</v>
      </c>
      <c r="S638" t="s">
        <v>23</v>
      </c>
      <c r="T638">
        <v>1.119</v>
      </c>
      <c r="U638">
        <v>36541.616399999999</v>
      </c>
      <c r="V638">
        <v>-42.452280000004976</v>
      </c>
      <c r="W638">
        <v>-1.1617515638964722E-3</v>
      </c>
    </row>
    <row r="639" spans="1:23" x14ac:dyDescent="0.25">
      <c r="A639" t="s">
        <v>1816</v>
      </c>
      <c r="B639" t="s">
        <v>38</v>
      </c>
      <c r="C639" t="s">
        <v>87</v>
      </c>
      <c r="D639" t="s">
        <v>33</v>
      </c>
      <c r="E639" t="s">
        <v>88</v>
      </c>
      <c r="F639" s="1">
        <v>45931</v>
      </c>
      <c r="G639">
        <v>45961</v>
      </c>
      <c r="H639" t="s">
        <v>6</v>
      </c>
      <c r="I639">
        <v>3826.62</v>
      </c>
      <c r="J639" t="s">
        <v>75</v>
      </c>
      <c r="K639" t="s">
        <v>1817</v>
      </c>
      <c r="L639">
        <v>30</v>
      </c>
      <c r="M639" t="s">
        <v>38</v>
      </c>
      <c r="N639">
        <v>1.1724000000000001</v>
      </c>
      <c r="O639">
        <v>1.3469669117647061</v>
      </c>
      <c r="P639">
        <v>6.7977039485127852E-3</v>
      </c>
      <c r="Q639">
        <v>1.1724000000000001</v>
      </c>
      <c r="R639">
        <v>4486.3292879999999</v>
      </c>
      <c r="S639" t="s">
        <v>14</v>
      </c>
      <c r="T639">
        <v>1.1060000000000001</v>
      </c>
      <c r="U639">
        <v>4232.24172</v>
      </c>
      <c r="V639">
        <v>254.08756799999992</v>
      </c>
      <c r="W639">
        <v>6.0036166365280273E-2</v>
      </c>
    </row>
    <row r="640" spans="1:23" x14ac:dyDescent="0.25">
      <c r="A640" t="s">
        <v>1814</v>
      </c>
      <c r="B640" t="s">
        <v>34</v>
      </c>
      <c r="C640" t="s">
        <v>177</v>
      </c>
      <c r="D640" t="s">
        <v>31</v>
      </c>
      <c r="E640" t="s">
        <v>74</v>
      </c>
      <c r="F640" s="1">
        <v>45758</v>
      </c>
      <c r="G640">
        <v>45818</v>
      </c>
      <c r="H640" t="s">
        <v>8</v>
      </c>
      <c r="I640">
        <v>3830.89</v>
      </c>
      <c r="J640" t="s">
        <v>75</v>
      </c>
      <c r="K640" t="s">
        <v>1815</v>
      </c>
      <c r="L640">
        <v>60</v>
      </c>
      <c r="M640" t="s">
        <v>34</v>
      </c>
      <c r="N640">
        <v>1.1346000000000001</v>
      </c>
      <c r="O640">
        <v>1.3089826714968043</v>
      </c>
      <c r="P640">
        <v>7.0006787190720066E-3</v>
      </c>
      <c r="Q640">
        <v>1.3089826714968043</v>
      </c>
      <c r="R640">
        <v>5014.5686264103924</v>
      </c>
      <c r="S640" t="s">
        <v>12</v>
      </c>
      <c r="T640">
        <v>1.26</v>
      </c>
      <c r="U640">
        <v>4826.9214000000002</v>
      </c>
      <c r="V640">
        <v>187.64722641039225</v>
      </c>
      <c r="W640">
        <v>3.8875136108574765E-2</v>
      </c>
    </row>
    <row r="641" spans="1:23" x14ac:dyDescent="0.25">
      <c r="A641" t="s">
        <v>1812</v>
      </c>
      <c r="B641" t="s">
        <v>38</v>
      </c>
      <c r="C641" t="s">
        <v>87</v>
      </c>
      <c r="D641" t="s">
        <v>33</v>
      </c>
      <c r="E641" t="s">
        <v>88</v>
      </c>
      <c r="F641" s="1">
        <v>46180</v>
      </c>
      <c r="G641">
        <v>46210</v>
      </c>
      <c r="H641" t="s">
        <v>6</v>
      </c>
      <c r="I641">
        <v>4783.1000000000004</v>
      </c>
      <c r="J641" t="s">
        <v>75</v>
      </c>
      <c r="K641" t="s">
        <v>1813</v>
      </c>
      <c r="L641">
        <v>30</v>
      </c>
      <c r="M641" t="s">
        <v>38</v>
      </c>
      <c r="N641">
        <v>1.1639999999999999</v>
      </c>
      <c r="O641">
        <v>1.3467078546388531</v>
      </c>
      <c r="P641">
        <v>6.2553740326741179E-3</v>
      </c>
      <c r="Q641">
        <v>1.1639999999999999</v>
      </c>
      <c r="R641">
        <v>5567.5284000000001</v>
      </c>
      <c r="S641" t="s">
        <v>19</v>
      </c>
      <c r="T641">
        <v>1.083</v>
      </c>
      <c r="U641">
        <v>5180.0973000000004</v>
      </c>
      <c r="V641">
        <v>387.43109999999979</v>
      </c>
      <c r="W641">
        <v>7.4792243767312971E-2</v>
      </c>
    </row>
    <row r="642" spans="1:23" x14ac:dyDescent="0.25">
      <c r="A642" t="s">
        <v>1810</v>
      </c>
      <c r="B642" t="s">
        <v>20</v>
      </c>
      <c r="C642" t="s">
        <v>123</v>
      </c>
      <c r="D642" t="s">
        <v>31</v>
      </c>
      <c r="E642" t="s">
        <v>124</v>
      </c>
      <c r="F642" s="1">
        <v>46332</v>
      </c>
      <c r="G642">
        <v>46377</v>
      </c>
      <c r="H642" t="s">
        <v>6</v>
      </c>
      <c r="I642">
        <v>15928.68</v>
      </c>
      <c r="J642" t="s">
        <v>84</v>
      </c>
      <c r="K642" t="s">
        <v>1811</v>
      </c>
      <c r="L642">
        <v>45</v>
      </c>
      <c r="M642" t="s">
        <v>20</v>
      </c>
      <c r="N642">
        <v>1.1176999999999999</v>
      </c>
      <c r="O642">
        <v>1.320456022210408</v>
      </c>
      <c r="P642">
        <v>6.3200452360757699E-3</v>
      </c>
      <c r="Q642">
        <v>1.1176999999999999</v>
      </c>
      <c r="R642">
        <v>17803.485635999998</v>
      </c>
      <c r="S642" t="s">
        <v>23</v>
      </c>
      <c r="T642">
        <v>1.119</v>
      </c>
      <c r="U642">
        <v>17824.192920000001</v>
      </c>
      <c r="V642">
        <v>-20.70728400000371</v>
      </c>
      <c r="W642">
        <v>-1.1617515638965442E-3</v>
      </c>
    </row>
    <row r="643" spans="1:23" x14ac:dyDescent="0.25">
      <c r="A643" t="s">
        <v>1808</v>
      </c>
      <c r="B643" t="s">
        <v>28</v>
      </c>
      <c r="C643" t="s">
        <v>111</v>
      </c>
      <c r="D643" t="s">
        <v>31</v>
      </c>
      <c r="E643" t="s">
        <v>74</v>
      </c>
      <c r="F643" s="1">
        <v>45977</v>
      </c>
      <c r="G643">
        <v>46022</v>
      </c>
      <c r="H643" t="s">
        <v>9</v>
      </c>
      <c r="I643">
        <v>4858168.6100000003</v>
      </c>
      <c r="J643" t="s">
        <v>75</v>
      </c>
      <c r="K643" t="s">
        <v>1809</v>
      </c>
      <c r="L643">
        <v>45</v>
      </c>
      <c r="M643" t="s">
        <v>28</v>
      </c>
      <c r="N643">
        <v>1.1555</v>
      </c>
      <c r="O643">
        <v>1.3367963164349013</v>
      </c>
      <c r="P643">
        <v>6.2983756677204832E-3</v>
      </c>
      <c r="Q643">
        <v>6.2983756677204832E-3</v>
      </c>
      <c r="R643">
        <v>30598.570962907444</v>
      </c>
      <c r="S643" t="s">
        <v>14</v>
      </c>
      <c r="T643">
        <v>6.9800000000000001E-3</v>
      </c>
      <c r="U643">
        <v>33910.0168978</v>
      </c>
      <c r="V643">
        <v>-3311.4459348925557</v>
      </c>
      <c r="W643">
        <v>-9.765391579935763E-2</v>
      </c>
    </row>
    <row r="644" spans="1:23" x14ac:dyDescent="0.25">
      <c r="A644" t="s">
        <v>1806</v>
      </c>
      <c r="B644" t="s">
        <v>34</v>
      </c>
      <c r="C644" t="s">
        <v>177</v>
      </c>
      <c r="D644" t="s">
        <v>31</v>
      </c>
      <c r="E644" t="s">
        <v>74</v>
      </c>
      <c r="F644" s="1">
        <v>45669</v>
      </c>
      <c r="G644">
        <v>45729</v>
      </c>
      <c r="H644" t="s">
        <v>8</v>
      </c>
      <c r="I644">
        <v>24078.02</v>
      </c>
      <c r="J644" t="s">
        <v>75</v>
      </c>
      <c r="K644" t="s">
        <v>1807</v>
      </c>
      <c r="L644">
        <v>60</v>
      </c>
      <c r="M644" t="s">
        <v>34</v>
      </c>
      <c r="N644">
        <v>1.0471999999999999</v>
      </c>
      <c r="O644">
        <v>1.2405672112115431</v>
      </c>
      <c r="P644">
        <v>6.3892617449664421E-3</v>
      </c>
      <c r="Q644">
        <v>1.2405672112115431</v>
      </c>
      <c r="R644">
        <v>29870.402122895761</v>
      </c>
      <c r="S644" t="s">
        <v>11</v>
      </c>
      <c r="T644">
        <v>1.238</v>
      </c>
      <c r="U644">
        <v>29808.588759999999</v>
      </c>
      <c r="V644">
        <v>61.813362895762111</v>
      </c>
      <c r="W644">
        <v>2.0736762613434811E-3</v>
      </c>
    </row>
    <row r="645" spans="1:23" x14ac:dyDescent="0.25">
      <c r="A645" t="s">
        <v>1804</v>
      </c>
      <c r="B645" t="s">
        <v>44</v>
      </c>
      <c r="C645" t="s">
        <v>138</v>
      </c>
      <c r="D645" t="s">
        <v>33</v>
      </c>
      <c r="E645" t="s">
        <v>88</v>
      </c>
      <c r="F645" s="1">
        <v>46340</v>
      </c>
      <c r="G645">
        <v>46385</v>
      </c>
      <c r="H645" t="s">
        <v>9</v>
      </c>
      <c r="I645">
        <v>851908.68</v>
      </c>
      <c r="J645" t="s">
        <v>84</v>
      </c>
      <c r="K645" t="s">
        <v>1805</v>
      </c>
      <c r="L645">
        <v>45</v>
      </c>
      <c r="M645" t="s">
        <v>44</v>
      </c>
      <c r="N645">
        <v>1.1176999999999999</v>
      </c>
      <c r="O645">
        <v>1.320456022210408</v>
      </c>
      <c r="P645">
        <v>6.3200452360757699E-3</v>
      </c>
      <c r="Q645">
        <v>6.3200452360757699E-3</v>
      </c>
      <c r="R645">
        <v>5384.1013946055982</v>
      </c>
      <c r="S645" t="s">
        <v>23</v>
      </c>
      <c r="T645">
        <v>6.8799999999999998E-3</v>
      </c>
      <c r="U645">
        <v>5861.1317184</v>
      </c>
      <c r="V645">
        <v>-477.03032379440174</v>
      </c>
      <c r="W645">
        <v>-8.1388773826196109E-2</v>
      </c>
    </row>
    <row r="646" spans="1:23" x14ac:dyDescent="0.25">
      <c r="A646" t="s">
        <v>1802</v>
      </c>
      <c r="B646" t="s">
        <v>32</v>
      </c>
      <c r="C646" t="s">
        <v>106</v>
      </c>
      <c r="D646" t="s">
        <v>31</v>
      </c>
      <c r="E646" t="s">
        <v>74</v>
      </c>
      <c r="F646" s="1">
        <v>45821</v>
      </c>
      <c r="G646">
        <v>45851</v>
      </c>
      <c r="H646" t="s">
        <v>6</v>
      </c>
      <c r="I646">
        <v>22174.65</v>
      </c>
      <c r="J646" t="s">
        <v>75</v>
      </c>
      <c r="K646" t="s">
        <v>1803</v>
      </c>
      <c r="L646">
        <v>30</v>
      </c>
      <c r="M646" t="s">
        <v>32</v>
      </c>
      <c r="N646">
        <v>1.1512</v>
      </c>
      <c r="O646">
        <v>1.3535567313345092</v>
      </c>
      <c r="P646">
        <v>6.9374472700976259E-3</v>
      </c>
      <c r="Q646">
        <v>1.1512</v>
      </c>
      <c r="R646">
        <v>25527.45708</v>
      </c>
      <c r="S646" t="s">
        <v>12</v>
      </c>
      <c r="T646">
        <v>1.07</v>
      </c>
      <c r="U646">
        <v>23726.875500000002</v>
      </c>
      <c r="V646">
        <v>1800.5815799999982</v>
      </c>
      <c r="W646">
        <v>7.5887850467289644E-2</v>
      </c>
    </row>
    <row r="647" spans="1:23" x14ac:dyDescent="0.25">
      <c r="A647" t="s">
        <v>1800</v>
      </c>
      <c r="B647" t="s">
        <v>34</v>
      </c>
      <c r="C647" t="s">
        <v>177</v>
      </c>
      <c r="D647" t="s">
        <v>31</v>
      </c>
      <c r="E647" t="s">
        <v>74</v>
      </c>
      <c r="F647" s="1">
        <v>45899</v>
      </c>
      <c r="G647">
        <v>45959</v>
      </c>
      <c r="H647" t="s">
        <v>8</v>
      </c>
      <c r="I647">
        <v>4605.08</v>
      </c>
      <c r="J647" t="s">
        <v>75</v>
      </c>
      <c r="K647" t="s">
        <v>1801</v>
      </c>
      <c r="L647">
        <v>60</v>
      </c>
      <c r="M647" t="s">
        <v>34</v>
      </c>
      <c r="N647">
        <v>1.1721999999999999</v>
      </c>
      <c r="O647">
        <v>1.3343198634035287</v>
      </c>
      <c r="P647">
        <v>6.4272398289286102E-3</v>
      </c>
      <c r="Q647">
        <v>1.3343198634035287</v>
      </c>
      <c r="R647">
        <v>6144.6497165623223</v>
      </c>
      <c r="S647" t="s">
        <v>13</v>
      </c>
      <c r="T647">
        <v>1.282</v>
      </c>
      <c r="U647">
        <v>5903.7125599999999</v>
      </c>
      <c r="V647">
        <v>240.93715656232234</v>
      </c>
      <c r="W647">
        <v>4.0811125899788442E-2</v>
      </c>
    </row>
    <row r="648" spans="1:23" x14ac:dyDescent="0.25">
      <c r="A648" t="s">
        <v>1798</v>
      </c>
      <c r="B648" t="s">
        <v>36</v>
      </c>
      <c r="C648" t="s">
        <v>116</v>
      </c>
      <c r="D648" t="s">
        <v>31</v>
      </c>
      <c r="E648" t="s">
        <v>74</v>
      </c>
      <c r="F648" s="1">
        <v>46235</v>
      </c>
      <c r="G648">
        <v>46280</v>
      </c>
      <c r="H648" t="s">
        <v>6</v>
      </c>
      <c r="I648">
        <v>16312.24</v>
      </c>
      <c r="J648" t="s">
        <v>75</v>
      </c>
      <c r="K648" t="s">
        <v>1799</v>
      </c>
      <c r="L648">
        <v>45</v>
      </c>
      <c r="M648" t="s">
        <v>36</v>
      </c>
      <c r="N648">
        <v>1.1485000000000001</v>
      </c>
      <c r="O648">
        <v>1.3421289425402874</v>
      </c>
      <c r="P648">
        <v>6.2408302994077054E-3</v>
      </c>
      <c r="Q648">
        <v>1.1485000000000001</v>
      </c>
      <c r="R648">
        <v>18734.607640000002</v>
      </c>
      <c r="S648" t="s">
        <v>21</v>
      </c>
      <c r="T648">
        <v>1.101</v>
      </c>
      <c r="U648">
        <v>17959.776239999999</v>
      </c>
      <c r="V648">
        <v>774.83140000000276</v>
      </c>
      <c r="W648">
        <v>4.3142597638510603E-2</v>
      </c>
    </row>
    <row r="649" spans="1:23" x14ac:dyDescent="0.25">
      <c r="A649" t="s">
        <v>1796</v>
      </c>
      <c r="B649" t="s">
        <v>36</v>
      </c>
      <c r="C649" t="s">
        <v>116</v>
      </c>
      <c r="D649" t="s">
        <v>31</v>
      </c>
      <c r="E649" t="s">
        <v>74</v>
      </c>
      <c r="F649" s="1">
        <v>46267</v>
      </c>
      <c r="G649">
        <v>46312</v>
      </c>
      <c r="H649" t="s">
        <v>6</v>
      </c>
      <c r="I649">
        <v>19642.099999999999</v>
      </c>
      <c r="J649" t="s">
        <v>75</v>
      </c>
      <c r="K649" t="s">
        <v>1797</v>
      </c>
      <c r="L649">
        <v>45</v>
      </c>
      <c r="M649" t="s">
        <v>36</v>
      </c>
      <c r="N649">
        <v>1.1577999999999999</v>
      </c>
      <c r="O649">
        <v>1.3483172237102596</v>
      </c>
      <c r="P649">
        <v>6.2658296352419091E-3</v>
      </c>
      <c r="Q649">
        <v>1.1577999999999999</v>
      </c>
      <c r="R649">
        <v>22741.623379999997</v>
      </c>
      <c r="S649" t="s">
        <v>21</v>
      </c>
      <c r="T649">
        <v>1.101</v>
      </c>
      <c r="U649">
        <v>21625.952099999999</v>
      </c>
      <c r="V649">
        <v>1115.6712799999987</v>
      </c>
      <c r="W649">
        <v>5.1589464123524012E-2</v>
      </c>
    </row>
    <row r="650" spans="1:23" x14ac:dyDescent="0.25">
      <c r="A650" t="s">
        <v>1794</v>
      </c>
      <c r="B650" t="s">
        <v>43</v>
      </c>
      <c r="C650" t="s">
        <v>215</v>
      </c>
      <c r="D650" t="s">
        <v>35</v>
      </c>
      <c r="E650" t="s">
        <v>152</v>
      </c>
      <c r="F650" s="1">
        <v>45892</v>
      </c>
      <c r="G650">
        <v>45922</v>
      </c>
      <c r="H650" t="s">
        <v>6</v>
      </c>
      <c r="I650">
        <v>1676.16</v>
      </c>
      <c r="J650" t="s">
        <v>75</v>
      </c>
      <c r="K650" t="s">
        <v>1795</v>
      </c>
      <c r="L650">
        <v>30</v>
      </c>
      <c r="M650" t="s">
        <v>43</v>
      </c>
      <c r="N650">
        <v>1.1655</v>
      </c>
      <c r="O650">
        <v>1.3326091927738395</v>
      </c>
      <c r="P650">
        <v>6.4289260301174916E-3</v>
      </c>
      <c r="Q650">
        <v>1.1655</v>
      </c>
      <c r="R650">
        <v>1953.56448</v>
      </c>
      <c r="S650" t="s">
        <v>13</v>
      </c>
      <c r="T650">
        <v>1.0880000000000001</v>
      </c>
      <c r="U650">
        <v>1823.6620800000003</v>
      </c>
      <c r="V650">
        <v>129.90239999999972</v>
      </c>
      <c r="W650">
        <v>7.1231617647058654E-2</v>
      </c>
    </row>
    <row r="651" spans="1:23" x14ac:dyDescent="0.25">
      <c r="A651" t="s">
        <v>1792</v>
      </c>
      <c r="B651" t="s">
        <v>36</v>
      </c>
      <c r="C651" t="s">
        <v>116</v>
      </c>
      <c r="D651" t="s">
        <v>31</v>
      </c>
      <c r="E651" t="s">
        <v>74</v>
      </c>
      <c r="F651" s="1">
        <v>45874</v>
      </c>
      <c r="G651">
        <v>45919</v>
      </c>
      <c r="H651" t="s">
        <v>6</v>
      </c>
      <c r="I651">
        <v>8205.4699999999993</v>
      </c>
      <c r="J651" t="s">
        <v>75</v>
      </c>
      <c r="K651" t="s">
        <v>1793</v>
      </c>
      <c r="L651">
        <v>45</v>
      </c>
      <c r="M651" t="s">
        <v>36</v>
      </c>
      <c r="N651">
        <v>1.1546000000000001</v>
      </c>
      <c r="O651">
        <v>1.3281950995053493</v>
      </c>
      <c r="P651">
        <v>6.7750264053514858E-3</v>
      </c>
      <c r="Q651">
        <v>1.1546000000000001</v>
      </c>
      <c r="R651">
        <v>9474.0356620000002</v>
      </c>
      <c r="S651" t="s">
        <v>13</v>
      </c>
      <c r="T651">
        <v>1.0880000000000001</v>
      </c>
      <c r="U651">
        <v>8927.5513599999995</v>
      </c>
      <c r="V651">
        <v>546.48430200000075</v>
      </c>
      <c r="W651">
        <v>6.1213235294117735E-2</v>
      </c>
    </row>
    <row r="652" spans="1:23" x14ac:dyDescent="0.25">
      <c r="A652" t="s">
        <v>1790</v>
      </c>
      <c r="B652" t="s">
        <v>37</v>
      </c>
      <c r="C652" t="s">
        <v>91</v>
      </c>
      <c r="D652" t="s">
        <v>31</v>
      </c>
      <c r="E652" t="s">
        <v>74</v>
      </c>
      <c r="F652" s="1">
        <v>46284</v>
      </c>
      <c r="G652">
        <v>46314</v>
      </c>
      <c r="H652" t="s">
        <v>6</v>
      </c>
      <c r="I652">
        <v>19207.32</v>
      </c>
      <c r="J652" t="s">
        <v>75</v>
      </c>
      <c r="K652" t="s">
        <v>1791</v>
      </c>
      <c r="L652">
        <v>30</v>
      </c>
      <c r="M652" t="s">
        <v>37</v>
      </c>
      <c r="N652">
        <v>1.1459999999999999</v>
      </c>
      <c r="O652">
        <v>1.3344201210992082</v>
      </c>
      <c r="P652">
        <v>6.3335912457168119E-3</v>
      </c>
      <c r="Q652">
        <v>1.1459999999999999</v>
      </c>
      <c r="R652">
        <v>22011.588719999996</v>
      </c>
      <c r="S652" t="s">
        <v>21</v>
      </c>
      <c r="T652">
        <v>1.101</v>
      </c>
      <c r="U652">
        <v>21147.259320000001</v>
      </c>
      <c r="V652">
        <v>864.32939999999508</v>
      </c>
      <c r="W652">
        <v>4.0871934604904396E-2</v>
      </c>
    </row>
    <row r="653" spans="1:23" x14ac:dyDescent="0.25">
      <c r="A653" t="s">
        <v>1788</v>
      </c>
      <c r="B653" t="s">
        <v>26</v>
      </c>
      <c r="C653" t="s">
        <v>94</v>
      </c>
      <c r="D653" t="s">
        <v>31</v>
      </c>
      <c r="E653" t="s">
        <v>74</v>
      </c>
      <c r="F653" s="1">
        <v>45900</v>
      </c>
      <c r="G653">
        <v>45930</v>
      </c>
      <c r="H653" t="s">
        <v>8</v>
      </c>
      <c r="I653">
        <v>26635.37</v>
      </c>
      <c r="J653" t="s">
        <v>75</v>
      </c>
      <c r="K653" t="s">
        <v>1789</v>
      </c>
      <c r="L653">
        <v>30</v>
      </c>
      <c r="M653" t="s">
        <v>26</v>
      </c>
      <c r="N653">
        <v>1.1718999999999999</v>
      </c>
      <c r="O653">
        <v>1.3399268236908299</v>
      </c>
      <c r="P653">
        <v>6.4196110654615168E-3</v>
      </c>
      <c r="Q653">
        <v>1.3399268236908299</v>
      </c>
      <c r="R653">
        <v>35689.44672193002</v>
      </c>
      <c r="S653" t="s">
        <v>13</v>
      </c>
      <c r="T653">
        <v>1.282</v>
      </c>
      <c r="U653">
        <v>34146.54434</v>
      </c>
      <c r="V653">
        <v>1542.9023819300201</v>
      </c>
      <c r="W653">
        <v>4.5184729868042048E-2</v>
      </c>
    </row>
    <row r="654" spans="1:23" x14ac:dyDescent="0.25">
      <c r="A654" t="s">
        <v>1786</v>
      </c>
      <c r="B654" t="s">
        <v>30</v>
      </c>
      <c r="C654" t="s">
        <v>103</v>
      </c>
      <c r="D654" t="s">
        <v>31</v>
      </c>
      <c r="E654" t="s">
        <v>74</v>
      </c>
      <c r="F654" s="1">
        <v>46222</v>
      </c>
      <c r="G654">
        <v>46252</v>
      </c>
      <c r="H654" t="s">
        <v>9</v>
      </c>
      <c r="I654">
        <v>2406973.6800000002</v>
      </c>
      <c r="J654" t="s">
        <v>75</v>
      </c>
      <c r="K654" t="s">
        <v>1787</v>
      </c>
      <c r="L654">
        <v>30</v>
      </c>
      <c r="M654" t="s">
        <v>30</v>
      </c>
      <c r="N654">
        <v>1.1435</v>
      </c>
      <c r="O654">
        <v>1.3437448588685985</v>
      </c>
      <c r="P654">
        <v>6.1594398060867217E-3</v>
      </c>
      <c r="Q654">
        <v>6.1594398060867217E-3</v>
      </c>
      <c r="R654">
        <v>14825.609496795045</v>
      </c>
      <c r="S654" t="s">
        <v>21</v>
      </c>
      <c r="T654">
        <v>6.7400000000000003E-3</v>
      </c>
      <c r="U654">
        <v>16223.002603200002</v>
      </c>
      <c r="V654">
        <v>-1397.3931064049575</v>
      </c>
      <c r="W654">
        <v>-8.6136527286836559E-2</v>
      </c>
    </row>
    <row r="655" spans="1:23" x14ac:dyDescent="0.25">
      <c r="A655" t="s">
        <v>1784</v>
      </c>
      <c r="B655" t="s">
        <v>41</v>
      </c>
      <c r="C655" t="s">
        <v>172</v>
      </c>
      <c r="D655" t="s">
        <v>33</v>
      </c>
      <c r="E655" t="s">
        <v>83</v>
      </c>
      <c r="F655" s="1">
        <v>45858</v>
      </c>
      <c r="G655">
        <v>45888</v>
      </c>
      <c r="H655" t="s">
        <v>9</v>
      </c>
      <c r="I655">
        <v>456619.32</v>
      </c>
      <c r="J655" t="s">
        <v>75</v>
      </c>
      <c r="K655" t="s">
        <v>1785</v>
      </c>
      <c r="L655">
        <v>30</v>
      </c>
      <c r="M655" t="s">
        <v>41</v>
      </c>
      <c r="N655">
        <v>1.1607000000000001</v>
      </c>
      <c r="O655">
        <v>1.3375201659368519</v>
      </c>
      <c r="P655">
        <v>6.5780674412014746E-3</v>
      </c>
      <c r="Q655">
        <v>6.5780674412014746E-3</v>
      </c>
      <c r="R655">
        <v>3003.6726819155574</v>
      </c>
      <c r="S655" t="s">
        <v>13</v>
      </c>
      <c r="T655">
        <v>6.8399999999999997E-3</v>
      </c>
      <c r="U655">
        <v>3123.2761488000001</v>
      </c>
      <c r="V655">
        <v>-119.6034668844427</v>
      </c>
      <c r="W655">
        <v>-3.8294233742474475E-2</v>
      </c>
    </row>
    <row r="656" spans="1:23" x14ac:dyDescent="0.25">
      <c r="A656" t="s">
        <v>1782</v>
      </c>
      <c r="B656" t="s">
        <v>41</v>
      </c>
      <c r="C656" t="s">
        <v>172</v>
      </c>
      <c r="D656" t="s">
        <v>33</v>
      </c>
      <c r="E656" t="s">
        <v>83</v>
      </c>
      <c r="F656" s="1">
        <v>45697</v>
      </c>
      <c r="G656">
        <v>45727</v>
      </c>
      <c r="H656" t="s">
        <v>9</v>
      </c>
      <c r="I656">
        <v>1184324.58</v>
      </c>
      <c r="J656" t="s">
        <v>75</v>
      </c>
      <c r="K656" t="s">
        <v>1783</v>
      </c>
      <c r="L656">
        <v>30</v>
      </c>
      <c r="M656" t="s">
        <v>41</v>
      </c>
      <c r="N656">
        <v>1.0693999999999999</v>
      </c>
      <c r="O656">
        <v>1.2807185628742515</v>
      </c>
      <c r="P656">
        <v>6.6799925042163779E-3</v>
      </c>
      <c r="Q656">
        <v>6.6799925042163779E-3</v>
      </c>
      <c r="R656">
        <v>7911.2793169592105</v>
      </c>
      <c r="S656" t="s">
        <v>11</v>
      </c>
      <c r="T656">
        <v>6.5599999999999999E-3</v>
      </c>
      <c r="U656">
        <v>7769.1692448000003</v>
      </c>
      <c r="V656">
        <v>142.11007215921018</v>
      </c>
      <c r="W656">
        <v>1.8291540276886897E-2</v>
      </c>
    </row>
    <row r="657" spans="1:23" x14ac:dyDescent="0.25">
      <c r="A657" t="s">
        <v>1780</v>
      </c>
      <c r="B657" t="s">
        <v>36</v>
      </c>
      <c r="C657" t="s">
        <v>116</v>
      </c>
      <c r="D657" t="s">
        <v>31</v>
      </c>
      <c r="E657" t="s">
        <v>74</v>
      </c>
      <c r="F657" s="1">
        <v>45708</v>
      </c>
      <c r="G657">
        <v>45753</v>
      </c>
      <c r="H657" t="s">
        <v>6</v>
      </c>
      <c r="I657">
        <v>22296.04</v>
      </c>
      <c r="J657" t="s">
        <v>75</v>
      </c>
      <c r="K657" t="s">
        <v>1781</v>
      </c>
      <c r="L657">
        <v>45</v>
      </c>
      <c r="M657" t="s">
        <v>36</v>
      </c>
      <c r="N657">
        <v>1.0443</v>
      </c>
      <c r="O657">
        <v>1.2608816391582047</v>
      </c>
      <c r="P657">
        <v>6.6685823754789276E-3</v>
      </c>
      <c r="Q657">
        <v>1.0443</v>
      </c>
      <c r="R657">
        <v>23283.754572000002</v>
      </c>
      <c r="S657" t="s">
        <v>11</v>
      </c>
      <c r="T657">
        <v>1.052</v>
      </c>
      <c r="U657">
        <v>23455.434080000003</v>
      </c>
      <c r="V657">
        <v>-171.67950800000108</v>
      </c>
      <c r="W657">
        <v>-7.3193916349810336E-3</v>
      </c>
    </row>
    <row r="658" spans="1:23" x14ac:dyDescent="0.25">
      <c r="A658" t="s">
        <v>1778</v>
      </c>
      <c r="B658" t="s">
        <v>40</v>
      </c>
      <c r="C658" t="s">
        <v>78</v>
      </c>
      <c r="D658" t="s">
        <v>33</v>
      </c>
      <c r="E658" t="s">
        <v>79</v>
      </c>
      <c r="F658" s="1">
        <v>45932</v>
      </c>
      <c r="G658">
        <v>45962</v>
      </c>
      <c r="H658" t="s">
        <v>9</v>
      </c>
      <c r="I658">
        <v>952636.41</v>
      </c>
      <c r="J658" t="s">
        <v>75</v>
      </c>
      <c r="K658" t="s">
        <v>1779</v>
      </c>
      <c r="L658">
        <v>30</v>
      </c>
      <c r="M658" t="s">
        <v>40</v>
      </c>
      <c r="N658">
        <v>1.1754</v>
      </c>
      <c r="O658">
        <v>1.3477812177502579</v>
      </c>
      <c r="P658">
        <v>6.8127282211789255E-3</v>
      </c>
      <c r="Q658">
        <v>6.8127282211789255E-3</v>
      </c>
      <c r="R658">
        <v>6490.0529549295779</v>
      </c>
      <c r="S658" t="s">
        <v>14</v>
      </c>
      <c r="T658">
        <v>6.9800000000000001E-3</v>
      </c>
      <c r="U658">
        <v>6649.4021418000002</v>
      </c>
      <c r="V658">
        <v>-159.34918687042227</v>
      </c>
      <c r="W658">
        <v>-2.3964438226514943E-2</v>
      </c>
    </row>
    <row r="659" spans="1:23" x14ac:dyDescent="0.25">
      <c r="A659" t="s">
        <v>1775</v>
      </c>
      <c r="B659" t="s">
        <v>24</v>
      </c>
      <c r="C659" t="s">
        <v>73</v>
      </c>
      <c r="D659" t="s">
        <v>31</v>
      </c>
      <c r="E659" t="s">
        <v>74</v>
      </c>
      <c r="F659" s="1">
        <v>46064</v>
      </c>
      <c r="G659">
        <v>46094</v>
      </c>
      <c r="H659" t="s">
        <v>6</v>
      </c>
      <c r="I659">
        <v>43061.85</v>
      </c>
      <c r="J659" t="s">
        <v>75</v>
      </c>
      <c r="K659" t="s">
        <v>1776</v>
      </c>
      <c r="L659">
        <v>30</v>
      </c>
      <c r="M659" t="s">
        <v>24</v>
      </c>
      <c r="N659">
        <v>1.19</v>
      </c>
      <c r="O659">
        <v>1.3679733302678467</v>
      </c>
      <c r="P659">
        <v>6.5102029651512667E-3</v>
      </c>
      <c r="Q659">
        <v>1.19</v>
      </c>
      <c r="R659">
        <v>51243.601499999997</v>
      </c>
      <c r="S659" t="s">
        <v>16</v>
      </c>
      <c r="T659">
        <v>1.0649999999999999</v>
      </c>
      <c r="U659">
        <v>45860.870249999993</v>
      </c>
      <c r="V659">
        <v>5382.7312500000044</v>
      </c>
      <c r="W659">
        <v>0.11737089201877945</v>
      </c>
    </row>
    <row r="660" spans="1:23" x14ac:dyDescent="0.25">
      <c r="A660" t="s">
        <v>1775</v>
      </c>
      <c r="B660" t="s">
        <v>34</v>
      </c>
      <c r="C660" t="s">
        <v>177</v>
      </c>
      <c r="D660" t="s">
        <v>31</v>
      </c>
      <c r="E660" t="s">
        <v>74</v>
      </c>
      <c r="F660" s="1">
        <v>46259</v>
      </c>
      <c r="G660">
        <v>46319</v>
      </c>
      <c r="H660" t="s">
        <v>8</v>
      </c>
      <c r="I660">
        <v>6771.3</v>
      </c>
      <c r="J660" t="s">
        <v>75</v>
      </c>
      <c r="K660" t="s">
        <v>1777</v>
      </c>
      <c r="L660">
        <v>60</v>
      </c>
      <c r="M660" t="s">
        <v>34</v>
      </c>
      <c r="N660">
        <v>1.1661999999999999</v>
      </c>
      <c r="O660">
        <v>1.3631794272355346</v>
      </c>
      <c r="P660">
        <v>6.2800215401184701E-3</v>
      </c>
      <c r="Q660">
        <v>1.3631794272355346</v>
      </c>
      <c r="R660">
        <v>9230.4968556399763</v>
      </c>
      <c r="S660" t="s">
        <v>21</v>
      </c>
      <c r="T660">
        <v>1.2929999999999999</v>
      </c>
      <c r="U660">
        <v>8755.2909</v>
      </c>
      <c r="V660">
        <v>475.20595563997631</v>
      </c>
      <c r="W660">
        <v>5.4276432510080998E-2</v>
      </c>
    </row>
    <row r="661" spans="1:23" x14ac:dyDescent="0.25">
      <c r="A661" t="s">
        <v>1773</v>
      </c>
      <c r="B661" t="s">
        <v>28</v>
      </c>
      <c r="C661" t="s">
        <v>111</v>
      </c>
      <c r="D661" t="s">
        <v>31</v>
      </c>
      <c r="E661" t="s">
        <v>74</v>
      </c>
      <c r="F661" s="1">
        <v>45686</v>
      </c>
      <c r="G661">
        <v>45731</v>
      </c>
      <c r="H661" t="s">
        <v>9</v>
      </c>
      <c r="I661">
        <v>4610859.42</v>
      </c>
      <c r="J661" t="s">
        <v>75</v>
      </c>
      <c r="K661" t="s">
        <v>1774</v>
      </c>
      <c r="L661">
        <v>45</v>
      </c>
      <c r="M661" t="s">
        <v>28</v>
      </c>
      <c r="N661">
        <v>1.0396000000000001</v>
      </c>
      <c r="O661">
        <v>1.2417137465212666</v>
      </c>
      <c r="P661">
        <v>6.437151702786378E-3</v>
      </c>
      <c r="Q661">
        <v>6.437151702786378E-3</v>
      </c>
      <c r="R661">
        <v>29680.801566761609</v>
      </c>
      <c r="S661" t="s">
        <v>11</v>
      </c>
      <c r="T661">
        <v>6.5599999999999999E-3</v>
      </c>
      <c r="U661">
        <v>30247.237795199999</v>
      </c>
      <c r="V661">
        <v>-566.43622843838966</v>
      </c>
      <c r="W661">
        <v>-1.8726874575247288E-2</v>
      </c>
    </row>
    <row r="662" spans="1:23" x14ac:dyDescent="0.25">
      <c r="A662" t="s">
        <v>1771</v>
      </c>
      <c r="B662" t="s">
        <v>24</v>
      </c>
      <c r="C662" t="s">
        <v>73</v>
      </c>
      <c r="D662" t="s">
        <v>31</v>
      </c>
      <c r="E662" t="s">
        <v>74</v>
      </c>
      <c r="F662" s="1">
        <v>46200</v>
      </c>
      <c r="G662">
        <v>46230</v>
      </c>
      <c r="H662" t="s">
        <v>6</v>
      </c>
      <c r="I662">
        <v>17332.740000000002</v>
      </c>
      <c r="J662" t="s">
        <v>75</v>
      </c>
      <c r="K662" t="s">
        <v>1772</v>
      </c>
      <c r="L662">
        <v>30</v>
      </c>
      <c r="M662" t="s">
        <v>24</v>
      </c>
      <c r="N662">
        <v>1.1400999999999999</v>
      </c>
      <c r="O662">
        <v>1.3218090964951943</v>
      </c>
      <c r="P662">
        <v>6.1861096039066733E-3</v>
      </c>
      <c r="Q662">
        <v>1.1400999999999999</v>
      </c>
      <c r="R662">
        <v>19761.056874000002</v>
      </c>
      <c r="S662" t="s">
        <v>19</v>
      </c>
      <c r="T662">
        <v>1.083</v>
      </c>
      <c r="U662">
        <v>18771.35742</v>
      </c>
      <c r="V662">
        <v>989.69945400000142</v>
      </c>
      <c r="W662">
        <v>5.2723915050784935E-2</v>
      </c>
    </row>
    <row r="663" spans="1:23" x14ac:dyDescent="0.25">
      <c r="A663" t="s">
        <v>1769</v>
      </c>
      <c r="B663" t="s">
        <v>24</v>
      </c>
      <c r="C663" t="s">
        <v>73</v>
      </c>
      <c r="D663" t="s">
        <v>31</v>
      </c>
      <c r="E663" t="s">
        <v>74</v>
      </c>
      <c r="F663" s="1">
        <v>45998</v>
      </c>
      <c r="G663">
        <v>46028</v>
      </c>
      <c r="H663" t="s">
        <v>6</v>
      </c>
      <c r="I663">
        <v>13969.24</v>
      </c>
      <c r="J663" t="s">
        <v>75</v>
      </c>
      <c r="K663" t="s">
        <v>1770</v>
      </c>
      <c r="L663">
        <v>30</v>
      </c>
      <c r="M663" t="s">
        <v>24</v>
      </c>
      <c r="N663">
        <v>1.1555</v>
      </c>
      <c r="O663">
        <v>1.3367963164349013</v>
      </c>
      <c r="P663">
        <v>6.2983756677204832E-3</v>
      </c>
      <c r="Q663">
        <v>1.1555</v>
      </c>
      <c r="R663">
        <v>16141.456819999999</v>
      </c>
      <c r="S663" t="s">
        <v>14</v>
      </c>
      <c r="T663">
        <v>1.1060000000000001</v>
      </c>
      <c r="U663">
        <v>15449.979440000001</v>
      </c>
      <c r="V663">
        <v>691.47737999999845</v>
      </c>
      <c r="W663">
        <v>4.4755877034357947E-2</v>
      </c>
    </row>
    <row r="664" spans="1:23" x14ac:dyDescent="0.25">
      <c r="A664" t="s">
        <v>1767</v>
      </c>
      <c r="B664" t="s">
        <v>30</v>
      </c>
      <c r="C664" t="s">
        <v>103</v>
      </c>
      <c r="D664" t="s">
        <v>31</v>
      </c>
      <c r="E664" t="s">
        <v>74</v>
      </c>
      <c r="F664" s="1">
        <v>45744</v>
      </c>
      <c r="G664">
        <v>45774</v>
      </c>
      <c r="H664" t="s">
        <v>9</v>
      </c>
      <c r="I664">
        <v>702669.89</v>
      </c>
      <c r="J664" t="s">
        <v>75</v>
      </c>
      <c r="K664" t="s">
        <v>1768</v>
      </c>
      <c r="L664">
        <v>30</v>
      </c>
      <c r="M664" t="s">
        <v>30</v>
      </c>
      <c r="N664">
        <v>1.0797000000000001</v>
      </c>
      <c r="O664">
        <v>1.2952566040452027</v>
      </c>
      <c r="P664">
        <v>6.6385882931628152E-3</v>
      </c>
      <c r="Q664">
        <v>6.6385882931628152E-3</v>
      </c>
      <c r="R664">
        <v>4664.7361057120033</v>
      </c>
      <c r="S664" t="s">
        <v>11</v>
      </c>
      <c r="T664">
        <v>6.5599999999999999E-3</v>
      </c>
      <c r="U664">
        <v>4609.5144784000004</v>
      </c>
      <c r="V664">
        <v>55.221627312002965</v>
      </c>
      <c r="W664">
        <v>1.1979922738233992E-2</v>
      </c>
    </row>
    <row r="665" spans="1:23" x14ac:dyDescent="0.25">
      <c r="A665" t="s">
        <v>1765</v>
      </c>
      <c r="B665" t="s">
        <v>37</v>
      </c>
      <c r="C665" t="s">
        <v>91</v>
      </c>
      <c r="D665" t="s">
        <v>31</v>
      </c>
      <c r="E665" t="s">
        <v>74</v>
      </c>
      <c r="F665" s="1">
        <v>46146</v>
      </c>
      <c r="G665">
        <v>46176</v>
      </c>
      <c r="H665" t="s">
        <v>6</v>
      </c>
      <c r="I665">
        <v>2896.55</v>
      </c>
      <c r="J665" t="s">
        <v>75</v>
      </c>
      <c r="K665" t="s">
        <v>1766</v>
      </c>
      <c r="L665">
        <v>30</v>
      </c>
      <c r="M665" t="s">
        <v>37</v>
      </c>
      <c r="N665">
        <v>1.17</v>
      </c>
      <c r="O665">
        <v>1.354825262280275</v>
      </c>
      <c r="P665">
        <v>6.3645759669259637E-3</v>
      </c>
      <c r="Q665">
        <v>1.17</v>
      </c>
      <c r="R665">
        <v>3388.9634999999998</v>
      </c>
      <c r="S665" t="s">
        <v>19</v>
      </c>
      <c r="T665">
        <v>1.083</v>
      </c>
      <c r="U665">
        <v>3136.9636500000001</v>
      </c>
      <c r="V665">
        <v>251.9998499999997</v>
      </c>
      <c r="W665">
        <v>8.0332409972299068E-2</v>
      </c>
    </row>
    <row r="666" spans="1:23" x14ac:dyDescent="0.25">
      <c r="A666" t="s">
        <v>1763</v>
      </c>
      <c r="B666" t="s">
        <v>26</v>
      </c>
      <c r="C666" t="s">
        <v>94</v>
      </c>
      <c r="D666" t="s">
        <v>31</v>
      </c>
      <c r="E666" t="s">
        <v>74</v>
      </c>
      <c r="F666" s="1">
        <v>45855</v>
      </c>
      <c r="G666">
        <v>45885</v>
      </c>
      <c r="H666" t="s">
        <v>8</v>
      </c>
      <c r="I666">
        <v>14134.77</v>
      </c>
      <c r="J666" t="s">
        <v>75</v>
      </c>
      <c r="K666" t="s">
        <v>1764</v>
      </c>
      <c r="L666">
        <v>30</v>
      </c>
      <c r="M666" t="s">
        <v>26</v>
      </c>
      <c r="N666">
        <v>1.1578999999999999</v>
      </c>
      <c r="O666">
        <v>1.3395418787598334</v>
      </c>
      <c r="P666">
        <v>6.7210355235662869E-3</v>
      </c>
      <c r="Q666">
        <v>1.3395418787598334</v>
      </c>
      <c r="R666">
        <v>18934.116361638131</v>
      </c>
      <c r="S666" t="s">
        <v>13</v>
      </c>
      <c r="T666">
        <v>1.282</v>
      </c>
      <c r="U666">
        <v>18120.775140000002</v>
      </c>
      <c r="V666">
        <v>813.34122163812935</v>
      </c>
      <c r="W666">
        <v>4.4884460811102436E-2</v>
      </c>
    </row>
    <row r="667" spans="1:23" x14ac:dyDescent="0.25">
      <c r="A667" t="s">
        <v>1761</v>
      </c>
      <c r="B667" t="s">
        <v>22</v>
      </c>
      <c r="C667" t="s">
        <v>127</v>
      </c>
      <c r="D667" t="s">
        <v>31</v>
      </c>
      <c r="E667" t="s">
        <v>124</v>
      </c>
      <c r="F667" s="1">
        <v>45812</v>
      </c>
      <c r="G667">
        <v>45872</v>
      </c>
      <c r="H667" t="s">
        <v>9</v>
      </c>
      <c r="I667">
        <v>4921085.96</v>
      </c>
      <c r="J667" t="s">
        <v>75</v>
      </c>
      <c r="K667" t="s">
        <v>1762</v>
      </c>
      <c r="L667">
        <v>60</v>
      </c>
      <c r="M667" t="s">
        <v>22</v>
      </c>
      <c r="N667">
        <v>1.1384000000000001</v>
      </c>
      <c r="O667">
        <v>1.3518584491153072</v>
      </c>
      <c r="P667">
        <v>6.9351203167834297E-3</v>
      </c>
      <c r="Q667">
        <v>6.9351203167834297E-3</v>
      </c>
      <c r="R667">
        <v>34128.323221833685</v>
      </c>
      <c r="S667" t="s">
        <v>12</v>
      </c>
      <c r="T667">
        <v>6.7000000000000002E-3</v>
      </c>
      <c r="U667">
        <v>32971.275932000004</v>
      </c>
      <c r="V667">
        <v>1157.0472898336811</v>
      </c>
      <c r="W667">
        <v>3.5092584594541523E-2</v>
      </c>
    </row>
    <row r="668" spans="1:23" x14ac:dyDescent="0.25">
      <c r="A668" t="s">
        <v>1759</v>
      </c>
      <c r="B668" t="s">
        <v>30</v>
      </c>
      <c r="C668" t="s">
        <v>103</v>
      </c>
      <c r="D668" t="s">
        <v>31</v>
      </c>
      <c r="E668" t="s">
        <v>74</v>
      </c>
      <c r="F668" s="1">
        <v>46114</v>
      </c>
      <c r="G668">
        <v>46144</v>
      </c>
      <c r="H668" t="s">
        <v>9</v>
      </c>
      <c r="I668">
        <v>3768408.4</v>
      </c>
      <c r="J668" t="s">
        <v>75</v>
      </c>
      <c r="K668" t="s">
        <v>1760</v>
      </c>
      <c r="L668">
        <v>30</v>
      </c>
      <c r="M668" t="s">
        <v>30</v>
      </c>
      <c r="N668">
        <v>1.1525000000000001</v>
      </c>
      <c r="O668">
        <v>1.3208714886594157</v>
      </c>
      <c r="P668">
        <v>6.2656300967706864E-3</v>
      </c>
      <c r="Q668">
        <v>6.2656300967706864E-3</v>
      </c>
      <c r="R668">
        <v>23611.453087963466</v>
      </c>
      <c r="S668" t="s">
        <v>19</v>
      </c>
      <c r="T668">
        <v>6.6E-3</v>
      </c>
      <c r="U668">
        <v>24871.495439999999</v>
      </c>
      <c r="V668">
        <v>-1260.042352036533</v>
      </c>
      <c r="W668">
        <v>-5.0662106549896023E-2</v>
      </c>
    </row>
    <row r="669" spans="1:23" x14ac:dyDescent="0.25">
      <c r="A669" t="s">
        <v>1757</v>
      </c>
      <c r="B669" t="s">
        <v>24</v>
      </c>
      <c r="C669" t="s">
        <v>73</v>
      </c>
      <c r="D669" t="s">
        <v>31</v>
      </c>
      <c r="E669" t="s">
        <v>74</v>
      </c>
      <c r="F669" s="1">
        <v>46132</v>
      </c>
      <c r="G669">
        <v>46162</v>
      </c>
      <c r="H669" t="s">
        <v>6</v>
      </c>
      <c r="I669">
        <v>39974.49</v>
      </c>
      <c r="J669" t="s">
        <v>75</v>
      </c>
      <c r="K669" t="s">
        <v>1758</v>
      </c>
      <c r="L669">
        <v>30</v>
      </c>
      <c r="M669" t="s">
        <v>24</v>
      </c>
      <c r="N669">
        <v>1.1759999999999999</v>
      </c>
      <c r="O669">
        <v>1.3510253317249699</v>
      </c>
      <c r="P669">
        <v>6.2928082191780824E-3</v>
      </c>
      <c r="Q669">
        <v>1.1759999999999999</v>
      </c>
      <c r="R669">
        <v>47010.000239999994</v>
      </c>
      <c r="S669" t="s">
        <v>19</v>
      </c>
      <c r="T669">
        <v>1.083</v>
      </c>
      <c r="U669">
        <v>43292.372669999997</v>
      </c>
      <c r="V669">
        <v>3717.6275699999969</v>
      </c>
      <c r="W669">
        <v>8.5872576177285248E-2</v>
      </c>
    </row>
    <row r="670" spans="1:23" x14ac:dyDescent="0.25">
      <c r="A670" t="s">
        <v>1755</v>
      </c>
      <c r="B670" t="s">
        <v>37</v>
      </c>
      <c r="C670" t="s">
        <v>91</v>
      </c>
      <c r="D670" t="s">
        <v>31</v>
      </c>
      <c r="E670" t="s">
        <v>74</v>
      </c>
      <c r="F670" s="1">
        <v>46012</v>
      </c>
      <c r="G670">
        <v>46042</v>
      </c>
      <c r="H670" t="s">
        <v>6</v>
      </c>
      <c r="I670">
        <v>14113.96</v>
      </c>
      <c r="J670" t="s">
        <v>75</v>
      </c>
      <c r="K670" t="s">
        <v>1756</v>
      </c>
      <c r="L670">
        <v>30</v>
      </c>
      <c r="M670" t="s">
        <v>37</v>
      </c>
      <c r="N670">
        <v>1.1555</v>
      </c>
      <c r="O670">
        <v>1.3367963164349013</v>
      </c>
      <c r="P670">
        <v>6.2983756677204832E-3</v>
      </c>
      <c r="Q670">
        <v>1.1555</v>
      </c>
      <c r="R670">
        <v>16308.680779999999</v>
      </c>
      <c r="S670" t="s">
        <v>14</v>
      </c>
      <c r="T670">
        <v>1.1060000000000001</v>
      </c>
      <c r="U670">
        <v>15610.03976</v>
      </c>
      <c r="V670">
        <v>698.64101999999912</v>
      </c>
      <c r="W670">
        <v>4.4755877034357988E-2</v>
      </c>
    </row>
    <row r="671" spans="1:23" x14ac:dyDescent="0.25">
      <c r="A671" t="s">
        <v>1753</v>
      </c>
      <c r="B671" t="s">
        <v>44</v>
      </c>
      <c r="C671" t="s">
        <v>138</v>
      </c>
      <c r="D671" t="s">
        <v>33</v>
      </c>
      <c r="E671" t="s">
        <v>88</v>
      </c>
      <c r="F671" s="1">
        <v>46345</v>
      </c>
      <c r="G671">
        <v>46390</v>
      </c>
      <c r="H671" t="s">
        <v>9</v>
      </c>
      <c r="I671">
        <v>779784.21</v>
      </c>
      <c r="J671" t="s">
        <v>84</v>
      </c>
      <c r="K671" t="s">
        <v>1754</v>
      </c>
      <c r="L671">
        <v>45</v>
      </c>
      <c r="M671" t="s">
        <v>44</v>
      </c>
      <c r="N671">
        <v>1.1176999999999999</v>
      </c>
      <c r="O671">
        <v>1.320456022210408</v>
      </c>
      <c r="P671">
        <v>6.3200452360757699E-3</v>
      </c>
      <c r="Q671">
        <v>6.3200452360757699E-3</v>
      </c>
      <c r="R671">
        <v>4928.2714815776071</v>
      </c>
      <c r="S671" t="s">
        <v>23</v>
      </c>
      <c r="T671">
        <v>6.8799999999999998E-3</v>
      </c>
      <c r="U671">
        <v>5364.9153647999992</v>
      </c>
      <c r="V671">
        <v>-436.64388322239211</v>
      </c>
      <c r="W671">
        <v>-8.138877382619622E-2</v>
      </c>
    </row>
    <row r="672" spans="1:23" x14ac:dyDescent="0.25">
      <c r="A672" t="s">
        <v>1751</v>
      </c>
      <c r="B672" t="s">
        <v>37</v>
      </c>
      <c r="C672" t="s">
        <v>91</v>
      </c>
      <c r="D672" t="s">
        <v>31</v>
      </c>
      <c r="E672" t="s">
        <v>74</v>
      </c>
      <c r="F672" s="1">
        <v>45964</v>
      </c>
      <c r="G672">
        <v>45994</v>
      </c>
      <c r="H672" t="s">
        <v>6</v>
      </c>
      <c r="I672">
        <v>3942.94</v>
      </c>
      <c r="J672" t="s">
        <v>75</v>
      </c>
      <c r="K672" t="s">
        <v>1752</v>
      </c>
      <c r="L672">
        <v>30</v>
      </c>
      <c r="M672" t="s">
        <v>37</v>
      </c>
      <c r="N672">
        <v>1.1514</v>
      </c>
      <c r="O672">
        <v>1.3136337706788364</v>
      </c>
      <c r="P672">
        <v>6.4842034127386384E-3</v>
      </c>
      <c r="Q672">
        <v>1.1514</v>
      </c>
      <c r="R672">
        <v>4539.901116</v>
      </c>
      <c r="S672" t="s">
        <v>14</v>
      </c>
      <c r="T672">
        <v>1.1060000000000001</v>
      </c>
      <c r="U672">
        <v>4360.8916400000007</v>
      </c>
      <c r="V672">
        <v>179.00947599999927</v>
      </c>
      <c r="W672">
        <v>4.1048824593128218E-2</v>
      </c>
    </row>
    <row r="673" spans="1:23" x14ac:dyDescent="0.25">
      <c r="A673" t="s">
        <v>1749</v>
      </c>
      <c r="B673" t="s">
        <v>32</v>
      </c>
      <c r="C673" t="s">
        <v>106</v>
      </c>
      <c r="D673" t="s">
        <v>31</v>
      </c>
      <c r="E673" t="s">
        <v>74</v>
      </c>
      <c r="F673" s="1">
        <v>46279</v>
      </c>
      <c r="G673">
        <v>46309</v>
      </c>
      <c r="H673" t="s">
        <v>6</v>
      </c>
      <c r="I673">
        <v>3271.56</v>
      </c>
      <c r="J673" t="s">
        <v>75</v>
      </c>
      <c r="K673" t="s">
        <v>1750</v>
      </c>
      <c r="L673">
        <v>30</v>
      </c>
      <c r="M673" t="s">
        <v>32</v>
      </c>
      <c r="N673">
        <v>1.1551</v>
      </c>
      <c r="O673">
        <v>1.3494474169957242</v>
      </c>
      <c r="P673">
        <v>6.4704234819628051E-3</v>
      </c>
      <c r="Q673">
        <v>1.1551</v>
      </c>
      <c r="R673">
        <v>3778.9789559999999</v>
      </c>
      <c r="S673" t="s">
        <v>21</v>
      </c>
      <c r="T673">
        <v>1.101</v>
      </c>
      <c r="U673">
        <v>3601.98756</v>
      </c>
      <c r="V673">
        <v>176.9913959999999</v>
      </c>
      <c r="W673">
        <v>4.913714804722976E-2</v>
      </c>
    </row>
    <row r="674" spans="1:23" x14ac:dyDescent="0.25">
      <c r="A674" t="s">
        <v>1747</v>
      </c>
      <c r="B674" t="s">
        <v>26</v>
      </c>
      <c r="C674" t="s">
        <v>94</v>
      </c>
      <c r="D674" t="s">
        <v>31</v>
      </c>
      <c r="E674" t="s">
        <v>74</v>
      </c>
      <c r="F674" s="1">
        <v>46069</v>
      </c>
      <c r="G674">
        <v>46099</v>
      </c>
      <c r="H674" t="s">
        <v>8</v>
      </c>
      <c r="I674">
        <v>25992.86</v>
      </c>
      <c r="J674" t="s">
        <v>75</v>
      </c>
      <c r="K674" t="s">
        <v>1748</v>
      </c>
      <c r="L674">
        <v>30</v>
      </c>
      <c r="M674" t="s">
        <v>26</v>
      </c>
      <c r="N674">
        <v>1.1855</v>
      </c>
      <c r="O674">
        <v>1.3642117376294591</v>
      </c>
      <c r="P674">
        <v>6.5212607954232907E-3</v>
      </c>
      <c r="Q674">
        <v>1.3642117376294591</v>
      </c>
      <c r="R674">
        <v>35459.764706559261</v>
      </c>
      <c r="S674" t="s">
        <v>16</v>
      </c>
      <c r="T674">
        <v>1.2490000000000001</v>
      </c>
      <c r="U674">
        <v>32465.082140000002</v>
      </c>
      <c r="V674">
        <v>2994.6825665592587</v>
      </c>
      <c r="W674">
        <v>9.2243184651288196E-2</v>
      </c>
    </row>
    <row r="675" spans="1:23" x14ac:dyDescent="0.25">
      <c r="A675" t="s">
        <v>1745</v>
      </c>
      <c r="B675" t="s">
        <v>30</v>
      </c>
      <c r="C675" t="s">
        <v>103</v>
      </c>
      <c r="D675" t="s">
        <v>31</v>
      </c>
      <c r="E675" t="s">
        <v>74</v>
      </c>
      <c r="F675" s="1">
        <v>46382</v>
      </c>
      <c r="G675">
        <v>46412</v>
      </c>
      <c r="H675" t="s">
        <v>9</v>
      </c>
      <c r="I675">
        <v>817870.4</v>
      </c>
      <c r="J675" t="s">
        <v>84</v>
      </c>
      <c r="K675" t="s">
        <v>1746</v>
      </c>
      <c r="L675">
        <v>30</v>
      </c>
      <c r="M675" t="s">
        <v>30</v>
      </c>
      <c r="N675">
        <v>1.1176999999999999</v>
      </c>
      <c r="O675">
        <v>1.320456022210408</v>
      </c>
      <c r="P675">
        <v>6.3200452360757699E-3</v>
      </c>
      <c r="Q675">
        <v>6.3200452360757699E-3</v>
      </c>
      <c r="R675">
        <v>5168.9779252473845</v>
      </c>
      <c r="S675" t="s">
        <v>23</v>
      </c>
      <c r="T675">
        <v>6.8799999999999998E-3</v>
      </c>
      <c r="U675">
        <v>5626.9483520000003</v>
      </c>
      <c r="V675">
        <v>-457.97042675261582</v>
      </c>
      <c r="W675">
        <v>-8.1388773826196262E-2</v>
      </c>
    </row>
    <row r="676" spans="1:23" x14ac:dyDescent="0.25">
      <c r="A676" t="s">
        <v>1743</v>
      </c>
      <c r="B676" t="s">
        <v>32</v>
      </c>
      <c r="C676" t="s">
        <v>106</v>
      </c>
      <c r="D676" t="s">
        <v>31</v>
      </c>
      <c r="E676" t="s">
        <v>74</v>
      </c>
      <c r="F676" s="1">
        <v>45685</v>
      </c>
      <c r="G676">
        <v>45715</v>
      </c>
      <c r="H676" t="s">
        <v>6</v>
      </c>
      <c r="I676">
        <v>18959.07</v>
      </c>
      <c r="J676" t="s">
        <v>75</v>
      </c>
      <c r="K676" t="s">
        <v>1744</v>
      </c>
      <c r="L676">
        <v>30</v>
      </c>
      <c r="M676" t="s">
        <v>32</v>
      </c>
      <c r="N676">
        <v>1.0421</v>
      </c>
      <c r="O676">
        <v>1.2425478132303143</v>
      </c>
      <c r="P676">
        <v>6.4382799950574564E-3</v>
      </c>
      <c r="Q676">
        <v>1.0421</v>
      </c>
      <c r="R676">
        <v>19757.246846999999</v>
      </c>
      <c r="S676" t="s">
        <v>11</v>
      </c>
      <c r="T676">
        <v>1.052</v>
      </c>
      <c r="U676">
        <v>19944.941640000001</v>
      </c>
      <c r="V676">
        <v>-187.69479300000239</v>
      </c>
      <c r="W676">
        <v>-9.4106463878328196E-3</v>
      </c>
    </row>
    <row r="677" spans="1:23" x14ac:dyDescent="0.25">
      <c r="A677" t="s">
        <v>1741</v>
      </c>
      <c r="B677" t="s">
        <v>28</v>
      </c>
      <c r="C677" t="s">
        <v>111</v>
      </c>
      <c r="D677" t="s">
        <v>31</v>
      </c>
      <c r="E677" t="s">
        <v>74</v>
      </c>
      <c r="F677" s="1">
        <v>45863</v>
      </c>
      <c r="G677">
        <v>45908</v>
      </c>
      <c r="H677" t="s">
        <v>9</v>
      </c>
      <c r="I677">
        <v>976623.31</v>
      </c>
      <c r="J677" t="s">
        <v>75</v>
      </c>
      <c r="K677" t="s">
        <v>1742</v>
      </c>
      <c r="L677">
        <v>45</v>
      </c>
      <c r="M677" t="s">
        <v>28</v>
      </c>
      <c r="N677">
        <v>1.1724000000000001</v>
      </c>
      <c r="O677">
        <v>1.3452667814113597</v>
      </c>
      <c r="P677">
        <v>6.7725723528392354E-3</v>
      </c>
      <c r="Q677">
        <v>6.7725723528392354E-3</v>
      </c>
      <c r="R677">
        <v>6614.2520284443426</v>
      </c>
      <c r="S677" t="s">
        <v>13</v>
      </c>
      <c r="T677">
        <v>6.8399999999999997E-3</v>
      </c>
      <c r="U677">
        <v>6680.1034404000002</v>
      </c>
      <c r="V677">
        <v>-65.851411955657568</v>
      </c>
      <c r="W677">
        <v>-9.8578431521584992E-3</v>
      </c>
    </row>
    <row r="678" spans="1:23" x14ac:dyDescent="0.25">
      <c r="A678" t="s">
        <v>1739</v>
      </c>
      <c r="B678" t="s">
        <v>24</v>
      </c>
      <c r="C678" t="s">
        <v>73</v>
      </c>
      <c r="D678" t="s">
        <v>31</v>
      </c>
      <c r="E678" t="s">
        <v>74</v>
      </c>
      <c r="F678" s="1">
        <v>45849</v>
      </c>
      <c r="G678">
        <v>45879</v>
      </c>
      <c r="H678" t="s">
        <v>6</v>
      </c>
      <c r="I678">
        <v>11027.12</v>
      </c>
      <c r="J678" t="s">
        <v>75</v>
      </c>
      <c r="K678" t="s">
        <v>1740</v>
      </c>
      <c r="L678">
        <v>30</v>
      </c>
      <c r="M678" t="s">
        <v>24</v>
      </c>
      <c r="N678">
        <v>1.1682999999999999</v>
      </c>
      <c r="O678">
        <v>1.3495437218435946</v>
      </c>
      <c r="P678">
        <v>6.7999534369361497E-3</v>
      </c>
      <c r="Q678">
        <v>1.1682999999999999</v>
      </c>
      <c r="R678">
        <v>12882.984296000001</v>
      </c>
      <c r="S678" t="s">
        <v>13</v>
      </c>
      <c r="T678">
        <v>1.0880000000000001</v>
      </c>
      <c r="U678">
        <v>11997.506560000002</v>
      </c>
      <c r="V678">
        <v>885.47773599999891</v>
      </c>
      <c r="W678">
        <v>7.3805147058823434E-2</v>
      </c>
    </row>
    <row r="679" spans="1:23" x14ac:dyDescent="0.25">
      <c r="A679" t="s">
        <v>1737</v>
      </c>
      <c r="B679" t="s">
        <v>24</v>
      </c>
      <c r="C679" t="s">
        <v>73</v>
      </c>
      <c r="D679" t="s">
        <v>31</v>
      </c>
      <c r="E679" t="s">
        <v>74</v>
      </c>
      <c r="F679" s="1">
        <v>46280</v>
      </c>
      <c r="G679">
        <v>46310</v>
      </c>
      <c r="H679" t="s">
        <v>6</v>
      </c>
      <c r="I679">
        <v>16438.37</v>
      </c>
      <c r="J679" t="s">
        <v>75</v>
      </c>
      <c r="K679" t="s">
        <v>1738</v>
      </c>
      <c r="L679">
        <v>30</v>
      </c>
      <c r="M679" t="s">
        <v>24</v>
      </c>
      <c r="N679">
        <v>1.1538999999999999</v>
      </c>
      <c r="O679">
        <v>1.3483290488431876</v>
      </c>
      <c r="P679">
        <v>6.4514145141451405E-3</v>
      </c>
      <c r="Q679">
        <v>1.1538999999999999</v>
      </c>
      <c r="R679">
        <v>18968.235142999998</v>
      </c>
      <c r="S679" t="s">
        <v>21</v>
      </c>
      <c r="T679">
        <v>1.101</v>
      </c>
      <c r="U679">
        <v>18098.645369999998</v>
      </c>
      <c r="V679">
        <v>869.5897729999997</v>
      </c>
      <c r="W679">
        <v>4.8047229791098989E-2</v>
      </c>
    </row>
    <row r="680" spans="1:23" x14ac:dyDescent="0.25">
      <c r="A680" t="s">
        <v>1735</v>
      </c>
      <c r="B680" t="s">
        <v>42</v>
      </c>
      <c r="C680" t="s">
        <v>151</v>
      </c>
      <c r="D680" t="s">
        <v>35</v>
      </c>
      <c r="E680" t="s">
        <v>152</v>
      </c>
      <c r="F680" s="1">
        <v>46332</v>
      </c>
      <c r="G680">
        <v>46362</v>
      </c>
      <c r="H680" t="s">
        <v>8</v>
      </c>
      <c r="I680">
        <v>4384.63</v>
      </c>
      <c r="J680" t="s">
        <v>84</v>
      </c>
      <c r="K680" t="s">
        <v>1736</v>
      </c>
      <c r="L680">
        <v>30</v>
      </c>
      <c r="M680" t="s">
        <v>42</v>
      </c>
      <c r="N680">
        <v>1.1176999999999999</v>
      </c>
      <c r="O680">
        <v>1.320456022210408</v>
      </c>
      <c r="P680">
        <v>6.3200452360757699E-3</v>
      </c>
      <c r="Q680">
        <v>1.320456022210408</v>
      </c>
      <c r="R680">
        <v>5789.7110886644214</v>
      </c>
      <c r="S680" t="s">
        <v>23</v>
      </c>
      <c r="T680">
        <v>1.3149999999999999</v>
      </c>
      <c r="U680">
        <v>5765.78845</v>
      </c>
      <c r="V680">
        <v>23.922638664421356</v>
      </c>
      <c r="W680">
        <v>4.1490663197019228E-3</v>
      </c>
    </row>
    <row r="681" spans="1:23" x14ac:dyDescent="0.25">
      <c r="A681" t="s">
        <v>1733</v>
      </c>
      <c r="B681" t="s">
        <v>26</v>
      </c>
      <c r="C681" t="s">
        <v>94</v>
      </c>
      <c r="D681" t="s">
        <v>31</v>
      </c>
      <c r="E681" t="s">
        <v>74</v>
      </c>
      <c r="F681" s="1">
        <v>45892</v>
      </c>
      <c r="G681">
        <v>45922</v>
      </c>
      <c r="H681" t="s">
        <v>8</v>
      </c>
      <c r="I681">
        <v>21895.96</v>
      </c>
      <c r="J681" t="s">
        <v>75</v>
      </c>
      <c r="K681" t="s">
        <v>1734</v>
      </c>
      <c r="L681">
        <v>30</v>
      </c>
      <c r="M681" t="s">
        <v>26</v>
      </c>
      <c r="N681">
        <v>1.1655</v>
      </c>
      <c r="O681">
        <v>1.3326091927738395</v>
      </c>
      <c r="P681">
        <v>6.4289260301174916E-3</v>
      </c>
      <c r="Q681">
        <v>1.3326091927738395</v>
      </c>
      <c r="R681">
        <v>29178.757580608279</v>
      </c>
      <c r="S681" t="s">
        <v>13</v>
      </c>
      <c r="T681">
        <v>1.282</v>
      </c>
      <c r="U681">
        <v>28070.620719999999</v>
      </c>
      <c r="V681">
        <v>1108.1368606082797</v>
      </c>
      <c r="W681">
        <v>3.9476749433572191E-2</v>
      </c>
    </row>
    <row r="682" spans="1:23" x14ac:dyDescent="0.25">
      <c r="A682" t="s">
        <v>1731</v>
      </c>
      <c r="B682" t="s">
        <v>36</v>
      </c>
      <c r="C682" t="s">
        <v>116</v>
      </c>
      <c r="D682" t="s">
        <v>31</v>
      </c>
      <c r="E682" t="s">
        <v>74</v>
      </c>
      <c r="F682" s="1">
        <v>45773</v>
      </c>
      <c r="G682">
        <v>45818</v>
      </c>
      <c r="H682" t="s">
        <v>6</v>
      </c>
      <c r="I682">
        <v>4925.0600000000004</v>
      </c>
      <c r="J682" t="s">
        <v>75</v>
      </c>
      <c r="K682" t="s">
        <v>1732</v>
      </c>
      <c r="L682">
        <v>45</v>
      </c>
      <c r="M682" t="s">
        <v>36</v>
      </c>
      <c r="N682">
        <v>1.1607000000000001</v>
      </c>
      <c r="O682">
        <v>1.3612055822680897</v>
      </c>
      <c r="P682">
        <v>6.8978427527188451E-3</v>
      </c>
      <c r="Q682">
        <v>1.1607000000000001</v>
      </c>
      <c r="R682">
        <v>5716.5171420000006</v>
      </c>
      <c r="S682" t="s">
        <v>12</v>
      </c>
      <c r="T682">
        <v>1.07</v>
      </c>
      <c r="U682">
        <v>5269.8142000000007</v>
      </c>
      <c r="V682">
        <v>446.70294199999989</v>
      </c>
      <c r="W682">
        <v>8.4766355140186878E-2</v>
      </c>
    </row>
    <row r="683" spans="1:23" x14ac:dyDescent="0.25">
      <c r="A683" t="s">
        <v>1729</v>
      </c>
      <c r="B683" t="s">
        <v>24</v>
      </c>
      <c r="C683" t="s">
        <v>73</v>
      </c>
      <c r="D683" t="s">
        <v>31</v>
      </c>
      <c r="E683" t="s">
        <v>74</v>
      </c>
      <c r="F683" s="1">
        <v>46221</v>
      </c>
      <c r="G683">
        <v>46251</v>
      </c>
      <c r="H683" t="s">
        <v>6</v>
      </c>
      <c r="I683">
        <v>9411.5499999999993</v>
      </c>
      <c r="J683" t="s">
        <v>75</v>
      </c>
      <c r="K683" t="s">
        <v>1730</v>
      </c>
      <c r="L683">
        <v>30</v>
      </c>
      <c r="M683" t="s">
        <v>24</v>
      </c>
      <c r="N683">
        <v>1.1435</v>
      </c>
      <c r="O683">
        <v>1.3437448588685985</v>
      </c>
      <c r="P683">
        <v>6.1594398060867217E-3</v>
      </c>
      <c r="Q683">
        <v>1.1435</v>
      </c>
      <c r="R683">
        <v>10762.107424999998</v>
      </c>
      <c r="S683" t="s">
        <v>21</v>
      </c>
      <c r="T683">
        <v>1.101</v>
      </c>
      <c r="U683">
        <v>10362.116549999999</v>
      </c>
      <c r="V683">
        <v>399.99087499999951</v>
      </c>
      <c r="W683">
        <v>3.8601271571298779E-2</v>
      </c>
    </row>
    <row r="684" spans="1:23" x14ac:dyDescent="0.25">
      <c r="A684" t="s">
        <v>1727</v>
      </c>
      <c r="B684" t="s">
        <v>43</v>
      </c>
      <c r="C684" t="s">
        <v>215</v>
      </c>
      <c r="D684" t="s">
        <v>35</v>
      </c>
      <c r="E684" t="s">
        <v>152</v>
      </c>
      <c r="F684" s="1">
        <v>45984</v>
      </c>
      <c r="G684">
        <v>46014</v>
      </c>
      <c r="H684" t="s">
        <v>6</v>
      </c>
      <c r="I684">
        <v>10085.969999999999</v>
      </c>
      <c r="J684" t="s">
        <v>75</v>
      </c>
      <c r="K684" t="s">
        <v>1728</v>
      </c>
      <c r="L684">
        <v>30</v>
      </c>
      <c r="M684" t="s">
        <v>43</v>
      </c>
      <c r="N684">
        <v>1.1555</v>
      </c>
      <c r="O684">
        <v>1.3367963164349013</v>
      </c>
      <c r="P684">
        <v>6.2983756677204832E-3</v>
      </c>
      <c r="Q684">
        <v>1.1555</v>
      </c>
      <c r="R684">
        <v>11654.338334999999</v>
      </c>
      <c r="S684" t="s">
        <v>14</v>
      </c>
      <c r="T684">
        <v>1.1060000000000001</v>
      </c>
      <c r="U684">
        <v>11155.08282</v>
      </c>
      <c r="V684">
        <v>499.25551499999892</v>
      </c>
      <c r="W684">
        <v>4.4755877034357953E-2</v>
      </c>
    </row>
    <row r="685" spans="1:23" x14ac:dyDescent="0.25">
      <c r="A685" t="s">
        <v>1725</v>
      </c>
      <c r="B685" t="s">
        <v>22</v>
      </c>
      <c r="C685" t="s">
        <v>127</v>
      </c>
      <c r="D685" t="s">
        <v>31</v>
      </c>
      <c r="E685" t="s">
        <v>124</v>
      </c>
      <c r="F685" s="1">
        <v>46005</v>
      </c>
      <c r="G685">
        <v>46065</v>
      </c>
      <c r="H685" t="s">
        <v>9</v>
      </c>
      <c r="I685">
        <v>5716678.8399999999</v>
      </c>
      <c r="J685" t="s">
        <v>75</v>
      </c>
      <c r="K685" t="s">
        <v>1726</v>
      </c>
      <c r="L685">
        <v>60</v>
      </c>
      <c r="M685" t="s">
        <v>22</v>
      </c>
      <c r="N685">
        <v>1.1555</v>
      </c>
      <c r="O685">
        <v>1.3367963164349013</v>
      </c>
      <c r="P685">
        <v>6.2983756677204832E-3</v>
      </c>
      <c r="Q685">
        <v>6.2983756677204832E-3</v>
      </c>
      <c r="R685">
        <v>36005.79090602856</v>
      </c>
      <c r="S685" t="s">
        <v>14</v>
      </c>
      <c r="T685">
        <v>6.9800000000000001E-3</v>
      </c>
      <c r="U685">
        <v>39902.4183032</v>
      </c>
      <c r="V685">
        <v>-3896.62739717144</v>
      </c>
      <c r="W685">
        <v>-9.7653915799357643E-2</v>
      </c>
    </row>
    <row r="686" spans="1:23" x14ac:dyDescent="0.25">
      <c r="A686" t="s">
        <v>1723</v>
      </c>
      <c r="B686" t="s">
        <v>40</v>
      </c>
      <c r="C686" t="s">
        <v>78</v>
      </c>
      <c r="D686" t="s">
        <v>33</v>
      </c>
      <c r="E686" t="s">
        <v>79</v>
      </c>
      <c r="F686" s="1">
        <v>45808</v>
      </c>
      <c r="G686">
        <v>45838</v>
      </c>
      <c r="H686" t="s">
        <v>9</v>
      </c>
      <c r="I686">
        <v>904463.09</v>
      </c>
      <c r="J686" t="s">
        <v>75</v>
      </c>
      <c r="K686" t="s">
        <v>1724</v>
      </c>
      <c r="L686">
        <v>30</v>
      </c>
      <c r="M686" t="s">
        <v>40</v>
      </c>
      <c r="N686">
        <v>1.1606000000000001</v>
      </c>
      <c r="O686">
        <v>1.3462475350887368</v>
      </c>
      <c r="P686">
        <v>6.7359257109692395E-3</v>
      </c>
      <c r="Q686">
        <v>6.7359257109692395E-3</v>
      </c>
      <c r="R686">
        <v>6092.3961825536853</v>
      </c>
      <c r="S686" t="s">
        <v>12</v>
      </c>
      <c r="T686">
        <v>6.7000000000000002E-3</v>
      </c>
      <c r="U686">
        <v>6059.9027029999997</v>
      </c>
      <c r="V686">
        <v>32.493479553685575</v>
      </c>
      <c r="W686">
        <v>5.3620464133193818E-3</v>
      </c>
    </row>
    <row r="687" spans="1:23" x14ac:dyDescent="0.25">
      <c r="A687" t="s">
        <v>1721</v>
      </c>
      <c r="B687" t="s">
        <v>40</v>
      </c>
      <c r="C687" t="s">
        <v>78</v>
      </c>
      <c r="D687" t="s">
        <v>33</v>
      </c>
      <c r="E687" t="s">
        <v>79</v>
      </c>
      <c r="F687" s="1">
        <v>45791</v>
      </c>
      <c r="G687">
        <v>45821</v>
      </c>
      <c r="H687" t="s">
        <v>9</v>
      </c>
      <c r="I687">
        <v>474893.22</v>
      </c>
      <c r="J687" t="s">
        <v>75</v>
      </c>
      <c r="K687" t="s">
        <v>1722</v>
      </c>
      <c r="L687">
        <v>30</v>
      </c>
      <c r="M687" t="s">
        <v>40</v>
      </c>
      <c r="N687">
        <v>1.1214</v>
      </c>
      <c r="O687">
        <v>1.3326203208556149</v>
      </c>
      <c r="P687">
        <v>6.8373879641485278E-3</v>
      </c>
      <c r="Q687">
        <v>6.8373879641485278E-3</v>
      </c>
      <c r="R687">
        <v>3247.0291866837388</v>
      </c>
      <c r="S687" t="s">
        <v>12</v>
      </c>
      <c r="T687">
        <v>6.7000000000000002E-3</v>
      </c>
      <c r="U687">
        <v>3181.7845739999998</v>
      </c>
      <c r="V687">
        <v>65.244612683738978</v>
      </c>
      <c r="W687">
        <v>2.0505666290825064E-2</v>
      </c>
    </row>
    <row r="688" spans="1:23" x14ac:dyDescent="0.25">
      <c r="A688" t="s">
        <v>1719</v>
      </c>
      <c r="B688" t="s">
        <v>40</v>
      </c>
      <c r="C688" t="s">
        <v>78</v>
      </c>
      <c r="D688" t="s">
        <v>33</v>
      </c>
      <c r="E688" t="s">
        <v>79</v>
      </c>
      <c r="F688" s="1">
        <v>46313</v>
      </c>
      <c r="G688">
        <v>46343</v>
      </c>
      <c r="H688" t="s">
        <v>9</v>
      </c>
      <c r="I688">
        <v>1429471.07</v>
      </c>
      <c r="J688" t="s">
        <v>84</v>
      </c>
      <c r="K688" t="s">
        <v>1720</v>
      </c>
      <c r="L688">
        <v>30</v>
      </c>
      <c r="M688" t="s">
        <v>40</v>
      </c>
      <c r="N688">
        <v>1.1176999999999999</v>
      </c>
      <c r="O688">
        <v>1.320456022210408</v>
      </c>
      <c r="P688">
        <v>6.3200452360757699E-3</v>
      </c>
      <c r="Q688">
        <v>6.3200452360757699E-3</v>
      </c>
      <c r="R688">
        <v>9034.3218260616341</v>
      </c>
      <c r="S688" t="s">
        <v>23</v>
      </c>
      <c r="T688">
        <v>6.8799999999999998E-3</v>
      </c>
      <c r="U688">
        <v>9834.7609616000009</v>
      </c>
      <c r="V688">
        <v>-800.43913553836683</v>
      </c>
      <c r="W688">
        <v>-8.1388773826196248E-2</v>
      </c>
    </row>
    <row r="689" spans="1:23" x14ac:dyDescent="0.25">
      <c r="A689" t="s">
        <v>1717</v>
      </c>
      <c r="B689" t="s">
        <v>28</v>
      </c>
      <c r="C689" t="s">
        <v>111</v>
      </c>
      <c r="D689" t="s">
        <v>31</v>
      </c>
      <c r="E689" t="s">
        <v>74</v>
      </c>
      <c r="F689" s="1">
        <v>46314</v>
      </c>
      <c r="G689">
        <v>46359</v>
      </c>
      <c r="H689" t="s">
        <v>9</v>
      </c>
      <c r="I689">
        <v>4046767.01</v>
      </c>
      <c r="J689" t="s">
        <v>84</v>
      </c>
      <c r="K689" t="s">
        <v>1718</v>
      </c>
      <c r="L689">
        <v>45</v>
      </c>
      <c r="M689" t="s">
        <v>28</v>
      </c>
      <c r="N689">
        <v>1.1176999999999999</v>
      </c>
      <c r="O689">
        <v>1.320456022210408</v>
      </c>
      <c r="P689">
        <v>6.3200452360757699E-3</v>
      </c>
      <c r="Q689">
        <v>6.3200452360757699E-3</v>
      </c>
      <c r="R689">
        <v>25575.750563059086</v>
      </c>
      <c r="S689" t="s">
        <v>23</v>
      </c>
      <c r="T689">
        <v>6.8799999999999998E-3</v>
      </c>
      <c r="U689">
        <v>27841.757028799999</v>
      </c>
      <c r="V689">
        <v>-2266.006465740913</v>
      </c>
      <c r="W689">
        <v>-8.1388773826196262E-2</v>
      </c>
    </row>
    <row r="690" spans="1:23" x14ac:dyDescent="0.25">
      <c r="A690" t="s">
        <v>1715</v>
      </c>
      <c r="B690" t="s">
        <v>30</v>
      </c>
      <c r="C690" t="s">
        <v>103</v>
      </c>
      <c r="D690" t="s">
        <v>31</v>
      </c>
      <c r="E690" t="s">
        <v>74</v>
      </c>
      <c r="F690" s="1">
        <v>45884</v>
      </c>
      <c r="G690">
        <v>45914</v>
      </c>
      <c r="H690" t="s">
        <v>9</v>
      </c>
      <c r="I690">
        <v>3516002.13</v>
      </c>
      <c r="J690" t="s">
        <v>75</v>
      </c>
      <c r="K690" t="s">
        <v>1716</v>
      </c>
      <c r="L690">
        <v>30</v>
      </c>
      <c r="M690" t="s">
        <v>30</v>
      </c>
      <c r="N690">
        <v>1.1688000000000001</v>
      </c>
      <c r="O690">
        <v>1.3556019485038275</v>
      </c>
      <c r="P690">
        <v>6.8028636284267509E-3</v>
      </c>
      <c r="Q690">
        <v>6.8028636284267509E-3</v>
      </c>
      <c r="R690">
        <v>23918.883007647983</v>
      </c>
      <c r="S690" t="s">
        <v>13</v>
      </c>
      <c r="T690">
        <v>6.8399999999999997E-3</v>
      </c>
      <c r="U690">
        <v>24049.454569199999</v>
      </c>
      <c r="V690">
        <v>-130.57156155201665</v>
      </c>
      <c r="W690">
        <v>-5.4292940896563582E-3</v>
      </c>
    </row>
    <row r="691" spans="1:23" x14ac:dyDescent="0.25">
      <c r="A691" t="s">
        <v>1713</v>
      </c>
      <c r="B691" t="s">
        <v>26</v>
      </c>
      <c r="C691" t="s">
        <v>94</v>
      </c>
      <c r="D691" t="s">
        <v>31</v>
      </c>
      <c r="E691" t="s">
        <v>74</v>
      </c>
      <c r="F691" s="1">
        <v>45961</v>
      </c>
      <c r="G691">
        <v>45991</v>
      </c>
      <c r="H691" t="s">
        <v>8</v>
      </c>
      <c r="I691">
        <v>25671.84</v>
      </c>
      <c r="J691" t="s">
        <v>75</v>
      </c>
      <c r="K691" t="s">
        <v>1714</v>
      </c>
      <c r="L691">
        <v>30</v>
      </c>
      <c r="M691" t="s">
        <v>26</v>
      </c>
      <c r="N691">
        <v>1.1554</v>
      </c>
      <c r="O691">
        <v>1.3105716878402902</v>
      </c>
      <c r="P691">
        <v>6.4859099584596387E-3</v>
      </c>
      <c r="Q691">
        <v>1.3105716878402902</v>
      </c>
      <c r="R691">
        <v>33644.786678765879</v>
      </c>
      <c r="S691" t="s">
        <v>14</v>
      </c>
      <c r="T691">
        <v>1.304</v>
      </c>
      <c r="U691">
        <v>33476.079360000003</v>
      </c>
      <c r="V691">
        <v>168.70731876587524</v>
      </c>
      <c r="W691">
        <v>5.0396379143329648E-3</v>
      </c>
    </row>
    <row r="692" spans="1:23" x14ac:dyDescent="0.25">
      <c r="A692" t="s">
        <v>1711</v>
      </c>
      <c r="B692" t="s">
        <v>22</v>
      </c>
      <c r="C692" t="s">
        <v>127</v>
      </c>
      <c r="D692" t="s">
        <v>31</v>
      </c>
      <c r="E692" t="s">
        <v>124</v>
      </c>
      <c r="F692" s="1">
        <v>46319</v>
      </c>
      <c r="G692">
        <v>46379</v>
      </c>
      <c r="H692" t="s">
        <v>9</v>
      </c>
      <c r="I692">
        <v>6050803.2800000003</v>
      </c>
      <c r="J692" t="s">
        <v>84</v>
      </c>
      <c r="K692" t="s">
        <v>1712</v>
      </c>
      <c r="L692">
        <v>60</v>
      </c>
      <c r="M692" t="s">
        <v>22</v>
      </c>
      <c r="N692">
        <v>1.1176999999999999</v>
      </c>
      <c r="O692">
        <v>1.320456022210408</v>
      </c>
      <c r="P692">
        <v>6.3200452360757699E-3</v>
      </c>
      <c r="Q692">
        <v>6.3200452360757699E-3</v>
      </c>
      <c r="R692">
        <v>38241.350444195647</v>
      </c>
      <c r="S692" t="s">
        <v>23</v>
      </c>
      <c r="T692">
        <v>6.8799999999999998E-3</v>
      </c>
      <c r="U692">
        <v>41629.526566400004</v>
      </c>
      <c r="V692">
        <v>-3388.1761222043569</v>
      </c>
      <c r="W692">
        <v>-8.138877382619622E-2</v>
      </c>
    </row>
    <row r="693" spans="1:23" x14ac:dyDescent="0.25">
      <c r="A693" t="s">
        <v>1709</v>
      </c>
      <c r="B693" t="s">
        <v>38</v>
      </c>
      <c r="C693" t="s">
        <v>87</v>
      </c>
      <c r="D693" t="s">
        <v>33</v>
      </c>
      <c r="E693" t="s">
        <v>88</v>
      </c>
      <c r="F693" s="1">
        <v>45710</v>
      </c>
      <c r="G693">
        <v>45740</v>
      </c>
      <c r="H693" t="s">
        <v>6</v>
      </c>
      <c r="I693">
        <v>7619.3</v>
      </c>
      <c r="J693" t="s">
        <v>75</v>
      </c>
      <c r="K693" t="s">
        <v>1710</v>
      </c>
      <c r="L693">
        <v>30</v>
      </c>
      <c r="M693" t="s">
        <v>38</v>
      </c>
      <c r="N693">
        <v>1.0824</v>
      </c>
      <c r="O693">
        <v>1.2937618780105902</v>
      </c>
      <c r="P693">
        <v>6.6753006475485663E-3</v>
      </c>
      <c r="Q693">
        <v>1.0824</v>
      </c>
      <c r="R693">
        <v>8247.1303200000002</v>
      </c>
      <c r="S693" t="s">
        <v>11</v>
      </c>
      <c r="T693">
        <v>1.052</v>
      </c>
      <c r="U693">
        <v>8015.5036000000009</v>
      </c>
      <c r="V693">
        <v>231.6267199999993</v>
      </c>
      <c r="W693">
        <v>2.8897338403041734E-2</v>
      </c>
    </row>
    <row r="694" spans="1:23" x14ac:dyDescent="0.25">
      <c r="A694" t="s">
        <v>1707</v>
      </c>
      <c r="B694" t="s">
        <v>24</v>
      </c>
      <c r="C694" t="s">
        <v>73</v>
      </c>
      <c r="D694" t="s">
        <v>31</v>
      </c>
      <c r="E694" t="s">
        <v>74</v>
      </c>
      <c r="F694" s="1">
        <v>45840</v>
      </c>
      <c r="G694">
        <v>45870</v>
      </c>
      <c r="H694" t="s">
        <v>6</v>
      </c>
      <c r="I694">
        <v>22475.98</v>
      </c>
      <c r="J694" t="s">
        <v>75</v>
      </c>
      <c r="K694" t="s">
        <v>1708</v>
      </c>
      <c r="L694">
        <v>30</v>
      </c>
      <c r="M694" t="s">
        <v>24</v>
      </c>
      <c r="N694">
        <v>1.1755</v>
      </c>
      <c r="O694">
        <v>1.3660662405578152</v>
      </c>
      <c r="P694">
        <v>6.9371496016524051E-3</v>
      </c>
      <c r="Q694">
        <v>1.1755</v>
      </c>
      <c r="R694">
        <v>26420.514489999998</v>
      </c>
      <c r="S694" t="s">
        <v>13</v>
      </c>
      <c r="T694">
        <v>1.0880000000000001</v>
      </c>
      <c r="U694">
        <v>24453.866240000003</v>
      </c>
      <c r="V694">
        <v>1966.6482499999947</v>
      </c>
      <c r="W694">
        <v>8.0422794117646829E-2</v>
      </c>
    </row>
    <row r="695" spans="1:23" x14ac:dyDescent="0.25">
      <c r="A695" t="s">
        <v>1705</v>
      </c>
      <c r="B695" t="s">
        <v>24</v>
      </c>
      <c r="C695" t="s">
        <v>73</v>
      </c>
      <c r="D695" t="s">
        <v>31</v>
      </c>
      <c r="E695" t="s">
        <v>74</v>
      </c>
      <c r="F695" s="1">
        <v>45808</v>
      </c>
      <c r="G695">
        <v>45838</v>
      </c>
      <c r="H695" t="s">
        <v>6</v>
      </c>
      <c r="I695">
        <v>10583.43</v>
      </c>
      <c r="J695" t="s">
        <v>75</v>
      </c>
      <c r="K695" t="s">
        <v>1706</v>
      </c>
      <c r="L695">
        <v>30</v>
      </c>
      <c r="M695" t="s">
        <v>24</v>
      </c>
      <c r="N695">
        <v>1.1606000000000001</v>
      </c>
      <c r="O695">
        <v>1.3462475350887368</v>
      </c>
      <c r="P695">
        <v>6.7359257109692395E-3</v>
      </c>
      <c r="Q695">
        <v>1.1606000000000001</v>
      </c>
      <c r="R695">
        <v>12283.128858000002</v>
      </c>
      <c r="S695" t="s">
        <v>12</v>
      </c>
      <c r="T695">
        <v>1.07</v>
      </c>
      <c r="U695">
        <v>11324.270100000002</v>
      </c>
      <c r="V695">
        <v>958.85875800000031</v>
      </c>
      <c r="W695">
        <v>8.4672897196261698E-2</v>
      </c>
    </row>
    <row r="696" spans="1:23" x14ac:dyDescent="0.25">
      <c r="A696" t="s">
        <v>1703</v>
      </c>
      <c r="B696" t="s">
        <v>24</v>
      </c>
      <c r="C696" t="s">
        <v>73</v>
      </c>
      <c r="D696" t="s">
        <v>31</v>
      </c>
      <c r="E696" t="s">
        <v>74</v>
      </c>
      <c r="F696" s="1">
        <v>45966</v>
      </c>
      <c r="G696">
        <v>45996</v>
      </c>
      <c r="H696" t="s">
        <v>6</v>
      </c>
      <c r="I696">
        <v>39283.449999999997</v>
      </c>
      <c r="J696" t="s">
        <v>75</v>
      </c>
      <c r="K696" t="s">
        <v>1704</v>
      </c>
      <c r="L696">
        <v>30</v>
      </c>
      <c r="M696" t="s">
        <v>24</v>
      </c>
      <c r="N696">
        <v>1.1492</v>
      </c>
      <c r="O696">
        <v>1.3044267877412032</v>
      </c>
      <c r="P696">
        <v>6.5047829286239891E-3</v>
      </c>
      <c r="Q696">
        <v>1.1492</v>
      </c>
      <c r="R696">
        <v>45144.540739999997</v>
      </c>
      <c r="S696" t="s">
        <v>14</v>
      </c>
      <c r="T696">
        <v>1.1060000000000001</v>
      </c>
      <c r="U696">
        <v>43447.495699999999</v>
      </c>
      <c r="V696">
        <v>1697.0450399999972</v>
      </c>
      <c r="W696">
        <v>3.9059674502712416E-2</v>
      </c>
    </row>
    <row r="697" spans="1:23" x14ac:dyDescent="0.25">
      <c r="A697" t="s">
        <v>1701</v>
      </c>
      <c r="B697" t="s">
        <v>39</v>
      </c>
      <c r="C697" t="s">
        <v>82</v>
      </c>
      <c r="D697" t="s">
        <v>33</v>
      </c>
      <c r="E697" t="s">
        <v>83</v>
      </c>
      <c r="F697" s="1">
        <v>46177</v>
      </c>
      <c r="G697">
        <v>46222</v>
      </c>
      <c r="H697" t="s">
        <v>8</v>
      </c>
      <c r="I697">
        <v>11972.27</v>
      </c>
      <c r="J697" t="s">
        <v>75</v>
      </c>
      <c r="K697" t="s">
        <v>1702</v>
      </c>
      <c r="L697">
        <v>45</v>
      </c>
      <c r="M697" t="s">
        <v>39</v>
      </c>
      <c r="N697">
        <v>1.1639999999999999</v>
      </c>
      <c r="O697">
        <v>1.3458203260492541</v>
      </c>
      <c r="P697">
        <v>6.2577280791355303E-3</v>
      </c>
      <c r="Q697">
        <v>1.3458203260492541</v>
      </c>
      <c r="R697">
        <v>16112.524314949704</v>
      </c>
      <c r="S697" t="s">
        <v>19</v>
      </c>
      <c r="T697">
        <v>1.2709999999999999</v>
      </c>
      <c r="U697">
        <v>15216.755169999999</v>
      </c>
      <c r="V697">
        <v>895.76914494970515</v>
      </c>
      <c r="W697">
        <v>5.8867290361333008E-2</v>
      </c>
    </row>
    <row r="698" spans="1:23" x14ac:dyDescent="0.25">
      <c r="A698" t="s">
        <v>1699</v>
      </c>
      <c r="B698" t="s">
        <v>25</v>
      </c>
      <c r="C698" t="s">
        <v>169</v>
      </c>
      <c r="D698" t="s">
        <v>31</v>
      </c>
      <c r="E698" t="s">
        <v>124</v>
      </c>
      <c r="F698" s="1">
        <v>46056</v>
      </c>
      <c r="G698">
        <v>46116</v>
      </c>
      <c r="H698" t="s">
        <v>6</v>
      </c>
      <c r="I698">
        <v>63687.3</v>
      </c>
      <c r="J698" t="s">
        <v>75</v>
      </c>
      <c r="K698" t="s">
        <v>1700</v>
      </c>
      <c r="L698">
        <v>60</v>
      </c>
      <c r="M698" t="s">
        <v>25</v>
      </c>
      <c r="N698">
        <v>1.1800999999999999</v>
      </c>
      <c r="O698">
        <v>1.3685492288066798</v>
      </c>
      <c r="P698">
        <v>6.4163766855154418E-3</v>
      </c>
      <c r="Q698">
        <v>1.1800999999999999</v>
      </c>
      <c r="R698">
        <v>75157.382729999998</v>
      </c>
      <c r="S698" t="s">
        <v>16</v>
      </c>
      <c r="T698">
        <v>1.0649999999999999</v>
      </c>
      <c r="U698">
        <v>67826.974499999997</v>
      </c>
      <c r="V698">
        <v>7330.4082300000009</v>
      </c>
      <c r="W698">
        <v>0.10807511737089204</v>
      </c>
    </row>
    <row r="699" spans="1:23" x14ac:dyDescent="0.25">
      <c r="A699" t="s">
        <v>1697</v>
      </c>
      <c r="B699" t="s">
        <v>43</v>
      </c>
      <c r="C699" t="s">
        <v>215</v>
      </c>
      <c r="D699" t="s">
        <v>35</v>
      </c>
      <c r="E699" t="s">
        <v>152</v>
      </c>
      <c r="F699" s="1">
        <v>46189</v>
      </c>
      <c r="G699">
        <v>46219</v>
      </c>
      <c r="H699" t="s">
        <v>6</v>
      </c>
      <c r="I699">
        <v>3577.82</v>
      </c>
      <c r="J699" t="s">
        <v>75</v>
      </c>
      <c r="K699" t="s">
        <v>1698</v>
      </c>
      <c r="L699">
        <v>30</v>
      </c>
      <c r="M699" t="s">
        <v>43</v>
      </c>
      <c r="N699">
        <v>1.1594</v>
      </c>
      <c r="O699">
        <v>1.3407963363439765</v>
      </c>
      <c r="P699">
        <v>6.2353447348607082E-3</v>
      </c>
      <c r="Q699">
        <v>1.1594</v>
      </c>
      <c r="R699">
        <v>4148.1245079999999</v>
      </c>
      <c r="S699" t="s">
        <v>19</v>
      </c>
      <c r="T699">
        <v>1.083</v>
      </c>
      <c r="U699">
        <v>3874.7790599999998</v>
      </c>
      <c r="V699">
        <v>273.34544800000003</v>
      </c>
      <c r="W699">
        <v>7.0544783010156986E-2</v>
      </c>
    </row>
    <row r="700" spans="1:23" x14ac:dyDescent="0.25">
      <c r="A700" t="s">
        <v>1695</v>
      </c>
      <c r="B700" t="s">
        <v>36</v>
      </c>
      <c r="C700" t="s">
        <v>116</v>
      </c>
      <c r="D700" t="s">
        <v>31</v>
      </c>
      <c r="E700" t="s">
        <v>74</v>
      </c>
      <c r="F700" s="1">
        <v>46023</v>
      </c>
      <c r="G700">
        <v>46068</v>
      </c>
      <c r="H700" t="s">
        <v>6</v>
      </c>
      <c r="I700">
        <v>29686.37</v>
      </c>
      <c r="J700" t="s">
        <v>75</v>
      </c>
      <c r="K700" t="s">
        <v>1696</v>
      </c>
      <c r="L700">
        <v>45</v>
      </c>
      <c r="M700" t="s">
        <v>36</v>
      </c>
      <c r="N700">
        <v>1.1555</v>
      </c>
      <c r="O700">
        <v>1.3367963164349013</v>
      </c>
      <c r="P700">
        <v>6.2983756677204832E-3</v>
      </c>
      <c r="Q700">
        <v>1.1555</v>
      </c>
      <c r="R700">
        <v>34302.600534999998</v>
      </c>
      <c r="S700" t="s">
        <v>16</v>
      </c>
      <c r="T700">
        <v>1.0649999999999999</v>
      </c>
      <c r="U700">
        <v>31615.984049999999</v>
      </c>
      <c r="V700">
        <v>2686.6164849999986</v>
      </c>
      <c r="W700">
        <v>8.4976525821596205E-2</v>
      </c>
    </row>
    <row r="701" spans="1:23" x14ac:dyDescent="0.25">
      <c r="A701" t="s">
        <v>1693</v>
      </c>
      <c r="B701" t="s">
        <v>38</v>
      </c>
      <c r="C701" t="s">
        <v>87</v>
      </c>
      <c r="D701" t="s">
        <v>33</v>
      </c>
      <c r="E701" t="s">
        <v>88</v>
      </c>
      <c r="F701" s="1">
        <v>46360</v>
      </c>
      <c r="G701">
        <v>46390</v>
      </c>
      <c r="H701" t="s">
        <v>6</v>
      </c>
      <c r="I701">
        <v>4560.41</v>
      </c>
      <c r="J701" t="s">
        <v>84</v>
      </c>
      <c r="K701" t="s">
        <v>1694</v>
      </c>
      <c r="L701">
        <v>30</v>
      </c>
      <c r="M701" t="s">
        <v>38</v>
      </c>
      <c r="N701">
        <v>1.1176999999999999</v>
      </c>
      <c r="O701">
        <v>1.320456022210408</v>
      </c>
      <c r="P701">
        <v>6.3200452360757699E-3</v>
      </c>
      <c r="Q701">
        <v>1.1176999999999999</v>
      </c>
      <c r="R701">
        <v>5097.1702569999998</v>
      </c>
      <c r="S701" t="s">
        <v>23</v>
      </c>
      <c r="T701">
        <v>1.119</v>
      </c>
      <c r="U701">
        <v>5103.09879</v>
      </c>
      <c r="V701">
        <v>-5.9285330000002432</v>
      </c>
      <c r="W701">
        <v>-1.1617515638963837E-3</v>
      </c>
    </row>
    <row r="702" spans="1:23" x14ac:dyDescent="0.25">
      <c r="A702" t="s">
        <v>1691</v>
      </c>
      <c r="B702" t="s">
        <v>26</v>
      </c>
      <c r="C702" t="s">
        <v>94</v>
      </c>
      <c r="D702" t="s">
        <v>31</v>
      </c>
      <c r="E702" t="s">
        <v>74</v>
      </c>
      <c r="F702" s="1">
        <v>46299</v>
      </c>
      <c r="G702">
        <v>46329</v>
      </c>
      <c r="H702" t="s">
        <v>8</v>
      </c>
      <c r="I702">
        <v>9843.2999999999993</v>
      </c>
      <c r="J702" t="s">
        <v>84</v>
      </c>
      <c r="K702" t="s">
        <v>1692</v>
      </c>
      <c r="L702">
        <v>30</v>
      </c>
      <c r="M702" t="s">
        <v>26</v>
      </c>
      <c r="N702">
        <v>1.1225000000000001</v>
      </c>
      <c r="O702">
        <v>1.3200757353027648</v>
      </c>
      <c r="P702">
        <v>6.3421662240804562E-3</v>
      </c>
      <c r="Q702">
        <v>1.3200757353027648</v>
      </c>
      <c r="R702">
        <v>12993.901485305703</v>
      </c>
      <c r="S702" t="s">
        <v>23</v>
      </c>
      <c r="T702">
        <v>1.3149999999999999</v>
      </c>
      <c r="U702">
        <v>12943.939499999999</v>
      </c>
      <c r="V702">
        <v>49.961985305704729</v>
      </c>
      <c r="W702">
        <v>3.859874754954219E-3</v>
      </c>
    </row>
    <row r="703" spans="1:23" x14ac:dyDescent="0.25">
      <c r="A703" t="s">
        <v>1689</v>
      </c>
      <c r="B703" t="s">
        <v>25</v>
      </c>
      <c r="C703" t="s">
        <v>169</v>
      </c>
      <c r="D703" t="s">
        <v>31</v>
      </c>
      <c r="E703" t="s">
        <v>124</v>
      </c>
      <c r="F703" s="1">
        <v>45820</v>
      </c>
      <c r="G703">
        <v>45880</v>
      </c>
      <c r="H703" t="s">
        <v>6</v>
      </c>
      <c r="I703">
        <v>68081.31</v>
      </c>
      <c r="J703" t="s">
        <v>75</v>
      </c>
      <c r="K703" t="s">
        <v>1690</v>
      </c>
      <c r="L703">
        <v>60</v>
      </c>
      <c r="M703" t="s">
        <v>25</v>
      </c>
      <c r="N703">
        <v>1.1594</v>
      </c>
      <c r="O703">
        <v>1.3579292574373389</v>
      </c>
      <c r="P703">
        <v>6.9575132021123384E-3</v>
      </c>
      <c r="Q703">
        <v>1.1594</v>
      </c>
      <c r="R703">
        <v>78933.470814</v>
      </c>
      <c r="S703" t="s">
        <v>12</v>
      </c>
      <c r="T703">
        <v>1.07</v>
      </c>
      <c r="U703">
        <v>72847.001700000008</v>
      </c>
      <c r="V703">
        <v>6086.4691139999923</v>
      </c>
      <c r="W703">
        <v>8.3551401869158756E-2</v>
      </c>
    </row>
    <row r="704" spans="1:23" x14ac:dyDescent="0.25">
      <c r="A704" t="s">
        <v>1687</v>
      </c>
      <c r="B704" t="s">
        <v>20</v>
      </c>
      <c r="C704" t="s">
        <v>123</v>
      </c>
      <c r="D704" t="s">
        <v>31</v>
      </c>
      <c r="E704" t="s">
        <v>124</v>
      </c>
      <c r="F704" s="1">
        <v>45890</v>
      </c>
      <c r="G704">
        <v>45935</v>
      </c>
      <c r="H704" t="s">
        <v>6</v>
      </c>
      <c r="I704">
        <v>21188.91</v>
      </c>
      <c r="J704" t="s">
        <v>75</v>
      </c>
      <c r="K704" t="s">
        <v>1688</v>
      </c>
      <c r="L704">
        <v>45</v>
      </c>
      <c r="M704" t="s">
        <v>20</v>
      </c>
      <c r="N704">
        <v>1.1638999999999999</v>
      </c>
      <c r="O704">
        <v>1.3449272012941993</v>
      </c>
      <c r="P704">
        <v>6.7633215178104474E-3</v>
      </c>
      <c r="Q704">
        <v>1.1638999999999999</v>
      </c>
      <c r="R704">
        <v>24661.772348999999</v>
      </c>
      <c r="S704" t="s">
        <v>13</v>
      </c>
      <c r="T704">
        <v>1.0880000000000001</v>
      </c>
      <c r="U704">
        <v>23053.534080000001</v>
      </c>
      <c r="V704">
        <v>1608.2382689999977</v>
      </c>
      <c r="W704">
        <v>6.9761029411764597E-2</v>
      </c>
    </row>
    <row r="705" spans="1:23" x14ac:dyDescent="0.25">
      <c r="A705" t="s">
        <v>1685</v>
      </c>
      <c r="B705" t="s">
        <v>20</v>
      </c>
      <c r="C705" t="s">
        <v>123</v>
      </c>
      <c r="D705" t="s">
        <v>31</v>
      </c>
      <c r="E705" t="s">
        <v>124</v>
      </c>
      <c r="F705" s="1">
        <v>46229</v>
      </c>
      <c r="G705">
        <v>46274</v>
      </c>
      <c r="H705" t="s">
        <v>6</v>
      </c>
      <c r="I705">
        <v>32343.040000000001</v>
      </c>
      <c r="J705" t="s">
        <v>75</v>
      </c>
      <c r="K705" t="s">
        <v>1686</v>
      </c>
      <c r="L705">
        <v>45</v>
      </c>
      <c r="M705" t="s">
        <v>20</v>
      </c>
      <c r="N705">
        <v>1.1376999999999999</v>
      </c>
      <c r="O705">
        <v>1.3323886260364455</v>
      </c>
      <c r="P705">
        <v>6.1041957291554884E-3</v>
      </c>
      <c r="Q705">
        <v>1.1376999999999999</v>
      </c>
      <c r="R705">
        <v>36796.676608000002</v>
      </c>
      <c r="S705" t="s">
        <v>21</v>
      </c>
      <c r="T705">
        <v>1.101</v>
      </c>
      <c r="U705">
        <v>35609.687039999997</v>
      </c>
      <c r="V705">
        <v>1186.9895680000045</v>
      </c>
      <c r="W705">
        <v>3.3333333333333465E-2</v>
      </c>
    </row>
    <row r="706" spans="1:23" x14ac:dyDescent="0.25">
      <c r="A706" t="s">
        <v>1683</v>
      </c>
      <c r="B706" t="s">
        <v>41</v>
      </c>
      <c r="C706" t="s">
        <v>172</v>
      </c>
      <c r="D706" t="s">
        <v>33</v>
      </c>
      <c r="E706" t="s">
        <v>83</v>
      </c>
      <c r="F706" s="1">
        <v>45812</v>
      </c>
      <c r="G706">
        <v>45842</v>
      </c>
      <c r="H706" t="s">
        <v>9</v>
      </c>
      <c r="I706">
        <v>831343</v>
      </c>
      <c r="J706" t="s">
        <v>75</v>
      </c>
      <c r="K706" t="s">
        <v>1684</v>
      </c>
      <c r="L706">
        <v>30</v>
      </c>
      <c r="M706" t="s">
        <v>41</v>
      </c>
      <c r="N706">
        <v>1.1384000000000001</v>
      </c>
      <c r="O706">
        <v>1.3518584491153072</v>
      </c>
      <c r="P706">
        <v>6.9351203167834297E-3</v>
      </c>
      <c r="Q706">
        <v>6.9351203167834297E-3</v>
      </c>
      <c r="R706">
        <v>5765.4637295156872</v>
      </c>
      <c r="S706" t="s">
        <v>12</v>
      </c>
      <c r="T706">
        <v>6.7000000000000002E-3</v>
      </c>
      <c r="U706">
        <v>5569.9980999999998</v>
      </c>
      <c r="V706">
        <v>195.4656295156874</v>
      </c>
      <c r="W706">
        <v>3.5092584594541856E-2</v>
      </c>
    </row>
    <row r="707" spans="1:23" x14ac:dyDescent="0.25">
      <c r="A707" t="s">
        <v>1681</v>
      </c>
      <c r="B707" t="s">
        <v>25</v>
      </c>
      <c r="C707" t="s">
        <v>169</v>
      </c>
      <c r="D707" t="s">
        <v>31</v>
      </c>
      <c r="E707" t="s">
        <v>124</v>
      </c>
      <c r="F707" s="1">
        <v>46240</v>
      </c>
      <c r="G707">
        <v>46300</v>
      </c>
      <c r="H707" t="s">
        <v>6</v>
      </c>
      <c r="I707">
        <v>87591.3</v>
      </c>
      <c r="J707" t="s">
        <v>75</v>
      </c>
      <c r="K707" t="s">
        <v>1682</v>
      </c>
      <c r="L707">
        <v>60</v>
      </c>
      <c r="M707" t="s">
        <v>25</v>
      </c>
      <c r="N707">
        <v>1.1541999999999999</v>
      </c>
      <c r="O707">
        <v>1.3467125605273904</v>
      </c>
      <c r="P707">
        <v>6.3358401493110832E-3</v>
      </c>
      <c r="Q707">
        <v>1.1541999999999999</v>
      </c>
      <c r="R707">
        <v>101097.87845999999</v>
      </c>
      <c r="S707" t="s">
        <v>21</v>
      </c>
      <c r="T707">
        <v>1.101</v>
      </c>
      <c r="U707">
        <v>96438.021300000008</v>
      </c>
      <c r="V707">
        <v>4659.857159999985</v>
      </c>
      <c r="W707">
        <v>4.8319709355131538E-2</v>
      </c>
    </row>
    <row r="708" spans="1:23" x14ac:dyDescent="0.25">
      <c r="A708" t="s">
        <v>1679</v>
      </c>
      <c r="B708" t="s">
        <v>25</v>
      </c>
      <c r="C708" t="s">
        <v>169</v>
      </c>
      <c r="D708" t="s">
        <v>31</v>
      </c>
      <c r="E708" t="s">
        <v>124</v>
      </c>
      <c r="F708" s="1">
        <v>46180</v>
      </c>
      <c r="G708">
        <v>46240</v>
      </c>
      <c r="H708" t="s">
        <v>6</v>
      </c>
      <c r="I708">
        <v>60453.63</v>
      </c>
      <c r="J708" t="s">
        <v>75</v>
      </c>
      <c r="K708" t="s">
        <v>1680</v>
      </c>
      <c r="L708">
        <v>60</v>
      </c>
      <c r="M708" t="s">
        <v>25</v>
      </c>
      <c r="N708">
        <v>1.1639999999999999</v>
      </c>
      <c r="O708">
        <v>1.3467078546388531</v>
      </c>
      <c r="P708">
        <v>6.2553740326741179E-3</v>
      </c>
      <c r="Q708">
        <v>1.1639999999999999</v>
      </c>
      <c r="R708">
        <v>70368.025319999986</v>
      </c>
      <c r="S708" t="s">
        <v>19</v>
      </c>
      <c r="T708">
        <v>1.083</v>
      </c>
      <c r="U708">
        <v>65471.281289999992</v>
      </c>
      <c r="V708">
        <v>4896.7440299999944</v>
      </c>
      <c r="W708">
        <v>7.4792243767312944E-2</v>
      </c>
    </row>
    <row r="709" spans="1:23" x14ac:dyDescent="0.25">
      <c r="A709" t="s">
        <v>1677</v>
      </c>
      <c r="B709" t="s">
        <v>42</v>
      </c>
      <c r="C709" t="s">
        <v>151</v>
      </c>
      <c r="D709" t="s">
        <v>35</v>
      </c>
      <c r="E709" t="s">
        <v>152</v>
      </c>
      <c r="F709" s="1">
        <v>46082</v>
      </c>
      <c r="G709">
        <v>46112</v>
      </c>
      <c r="H709" t="s">
        <v>8</v>
      </c>
      <c r="I709">
        <v>7414.7</v>
      </c>
      <c r="J709" t="s">
        <v>75</v>
      </c>
      <c r="K709" t="s">
        <v>1678</v>
      </c>
      <c r="L709">
        <v>30</v>
      </c>
      <c r="M709" t="s">
        <v>42</v>
      </c>
      <c r="N709">
        <v>1.1555</v>
      </c>
      <c r="O709">
        <v>1.3367963164349013</v>
      </c>
      <c r="P709">
        <v>6.2983756677204832E-3</v>
      </c>
      <c r="Q709">
        <v>1.3367963164349013</v>
      </c>
      <c r="R709">
        <v>9911.9436474698614</v>
      </c>
      <c r="S709" t="s">
        <v>16</v>
      </c>
      <c r="T709">
        <v>1.2490000000000001</v>
      </c>
      <c r="U709">
        <v>9260.9603000000006</v>
      </c>
      <c r="V709">
        <v>650.98334746986075</v>
      </c>
      <c r="W709">
        <v>7.0293287778143337E-2</v>
      </c>
    </row>
    <row r="710" spans="1:23" x14ac:dyDescent="0.25">
      <c r="A710" t="s">
        <v>1675</v>
      </c>
      <c r="B710" t="s">
        <v>25</v>
      </c>
      <c r="C710" t="s">
        <v>169</v>
      </c>
      <c r="D710" t="s">
        <v>31</v>
      </c>
      <c r="E710" t="s">
        <v>124</v>
      </c>
      <c r="F710" s="1">
        <v>46322</v>
      </c>
      <c r="G710">
        <v>46382</v>
      </c>
      <c r="H710" t="s">
        <v>6</v>
      </c>
      <c r="I710">
        <v>20144.599999999999</v>
      </c>
      <c r="J710" t="s">
        <v>84</v>
      </c>
      <c r="K710" t="s">
        <v>1676</v>
      </c>
      <c r="L710">
        <v>60</v>
      </c>
      <c r="M710" t="s">
        <v>25</v>
      </c>
      <c r="N710">
        <v>1.1176999999999999</v>
      </c>
      <c r="O710">
        <v>1.320456022210408</v>
      </c>
      <c r="P710">
        <v>6.3200452360757699E-3</v>
      </c>
      <c r="Q710">
        <v>1.1176999999999999</v>
      </c>
      <c r="R710">
        <v>22515.619419999995</v>
      </c>
      <c r="S710" t="s">
        <v>23</v>
      </c>
      <c r="T710">
        <v>1.119</v>
      </c>
      <c r="U710">
        <v>22541.807399999998</v>
      </c>
      <c r="V710">
        <v>-26.187980000002426</v>
      </c>
      <c r="W710">
        <v>-1.1617515638964438E-3</v>
      </c>
    </row>
    <row r="711" spans="1:23" x14ac:dyDescent="0.25">
      <c r="A711" t="s">
        <v>1673</v>
      </c>
      <c r="B711" t="s">
        <v>37</v>
      </c>
      <c r="C711" t="s">
        <v>91</v>
      </c>
      <c r="D711" t="s">
        <v>31</v>
      </c>
      <c r="E711" t="s">
        <v>74</v>
      </c>
      <c r="F711" s="1">
        <v>46218</v>
      </c>
      <c r="G711">
        <v>46248</v>
      </c>
      <c r="H711" t="s">
        <v>6</v>
      </c>
      <c r="I711">
        <v>6369.9</v>
      </c>
      <c r="J711" t="s">
        <v>75</v>
      </c>
      <c r="K711" t="s">
        <v>1674</v>
      </c>
      <c r="L711">
        <v>30</v>
      </c>
      <c r="M711" t="s">
        <v>37</v>
      </c>
      <c r="N711">
        <v>1.1406000000000001</v>
      </c>
      <c r="O711">
        <v>1.3404157803814651</v>
      </c>
      <c r="P711">
        <v>6.1580822805312602E-3</v>
      </c>
      <c r="Q711">
        <v>1.1406000000000001</v>
      </c>
      <c r="R711">
        <v>7265.5079399999995</v>
      </c>
      <c r="S711" t="s">
        <v>21</v>
      </c>
      <c r="T711">
        <v>1.101</v>
      </c>
      <c r="U711">
        <v>7013.2598999999991</v>
      </c>
      <c r="V711">
        <v>252.2480400000004</v>
      </c>
      <c r="W711">
        <v>3.5967302452316136E-2</v>
      </c>
    </row>
    <row r="712" spans="1:23" x14ac:dyDescent="0.25">
      <c r="A712" t="s">
        <v>1671</v>
      </c>
      <c r="B712" t="s">
        <v>22</v>
      </c>
      <c r="C712" t="s">
        <v>127</v>
      </c>
      <c r="D712" t="s">
        <v>31</v>
      </c>
      <c r="E712" t="s">
        <v>124</v>
      </c>
      <c r="F712" s="1">
        <v>46035</v>
      </c>
      <c r="G712">
        <v>46095</v>
      </c>
      <c r="H712" t="s">
        <v>9</v>
      </c>
      <c r="I712">
        <v>13053327.119999999</v>
      </c>
      <c r="J712" t="s">
        <v>75</v>
      </c>
      <c r="K712" t="s">
        <v>1672</v>
      </c>
      <c r="L712">
        <v>60</v>
      </c>
      <c r="M712" t="s">
        <v>22</v>
      </c>
      <c r="N712">
        <v>1.1654</v>
      </c>
      <c r="O712">
        <v>1.3457274826789838</v>
      </c>
      <c r="P712">
        <v>6.2953759723422646E-3</v>
      </c>
      <c r="Q712">
        <v>6.2953759723422646E-3</v>
      </c>
      <c r="R712">
        <v>82175.601910371654</v>
      </c>
      <c r="S712" t="s">
        <v>16</v>
      </c>
      <c r="T712">
        <v>6.4599999999999996E-3</v>
      </c>
      <c r="U712">
        <v>84324.49319519999</v>
      </c>
      <c r="V712">
        <v>-2148.8912848283362</v>
      </c>
      <c r="W712">
        <v>-2.5483595612652406E-2</v>
      </c>
    </row>
    <row r="713" spans="1:23" x14ac:dyDescent="0.25">
      <c r="A713" t="s">
        <v>1669</v>
      </c>
      <c r="B713" t="s">
        <v>43</v>
      </c>
      <c r="C713" t="s">
        <v>215</v>
      </c>
      <c r="D713" t="s">
        <v>35</v>
      </c>
      <c r="E713" t="s">
        <v>152</v>
      </c>
      <c r="F713" s="1">
        <v>45793</v>
      </c>
      <c r="G713">
        <v>45823</v>
      </c>
      <c r="H713" t="s">
        <v>6</v>
      </c>
      <c r="I713">
        <v>9313.9699999999993</v>
      </c>
      <c r="J713" t="s">
        <v>75</v>
      </c>
      <c r="K713" t="s">
        <v>1670</v>
      </c>
      <c r="L713">
        <v>30</v>
      </c>
      <c r="M713" t="s">
        <v>43</v>
      </c>
      <c r="N713">
        <v>1.1194</v>
      </c>
      <c r="O713">
        <v>1.3283493532692536</v>
      </c>
      <c r="P713">
        <v>6.8653787181846048E-3</v>
      </c>
      <c r="Q713">
        <v>1.1194</v>
      </c>
      <c r="R713">
        <v>10426.058017999998</v>
      </c>
      <c r="S713" t="s">
        <v>12</v>
      </c>
      <c r="T713">
        <v>1.07</v>
      </c>
      <c r="U713">
        <v>9965.9478999999992</v>
      </c>
      <c r="V713">
        <v>460.11011799999869</v>
      </c>
      <c r="W713">
        <v>4.6168224299065294E-2</v>
      </c>
    </row>
    <row r="714" spans="1:23" x14ac:dyDescent="0.25">
      <c r="A714" t="s">
        <v>1667</v>
      </c>
      <c r="B714" t="s">
        <v>38</v>
      </c>
      <c r="C714" t="s">
        <v>87</v>
      </c>
      <c r="D714" t="s">
        <v>33</v>
      </c>
      <c r="E714" t="s">
        <v>88</v>
      </c>
      <c r="F714" s="1">
        <v>46132</v>
      </c>
      <c r="G714">
        <v>46162</v>
      </c>
      <c r="H714" t="s">
        <v>6</v>
      </c>
      <c r="I714">
        <v>6369.55</v>
      </c>
      <c r="J714" t="s">
        <v>75</v>
      </c>
      <c r="K714" t="s">
        <v>1668</v>
      </c>
      <c r="L714">
        <v>30</v>
      </c>
      <c r="M714" t="s">
        <v>38</v>
      </c>
      <c r="N714">
        <v>1.1759999999999999</v>
      </c>
      <c r="O714">
        <v>1.3510253317249699</v>
      </c>
      <c r="P714">
        <v>6.2928082191780824E-3</v>
      </c>
      <c r="Q714">
        <v>1.1759999999999999</v>
      </c>
      <c r="R714">
        <v>7490.5907999999999</v>
      </c>
      <c r="S714" t="s">
        <v>19</v>
      </c>
      <c r="T714">
        <v>1.083</v>
      </c>
      <c r="U714">
        <v>6898.2226499999997</v>
      </c>
      <c r="V714">
        <v>592.36815000000024</v>
      </c>
      <c r="W714">
        <v>8.5872576177285359E-2</v>
      </c>
    </row>
    <row r="715" spans="1:23" x14ac:dyDescent="0.25">
      <c r="A715" t="s">
        <v>1665</v>
      </c>
      <c r="B715" t="s">
        <v>42</v>
      </c>
      <c r="C715" t="s">
        <v>151</v>
      </c>
      <c r="D715" t="s">
        <v>35</v>
      </c>
      <c r="E715" t="s">
        <v>152</v>
      </c>
      <c r="F715" s="1">
        <v>45762</v>
      </c>
      <c r="G715">
        <v>45792</v>
      </c>
      <c r="H715" t="s">
        <v>8</v>
      </c>
      <c r="I715">
        <v>8708.32</v>
      </c>
      <c r="J715" t="s">
        <v>75</v>
      </c>
      <c r="K715" t="s">
        <v>1666</v>
      </c>
      <c r="L715">
        <v>30</v>
      </c>
      <c r="M715" t="s">
        <v>42</v>
      </c>
      <c r="N715">
        <v>1.1324000000000001</v>
      </c>
      <c r="O715">
        <v>1.3233609910015194</v>
      </c>
      <c r="P715">
        <v>6.9966017917825153E-3</v>
      </c>
      <c r="Q715">
        <v>1.3233609910015194</v>
      </c>
      <c r="R715">
        <v>11524.250985158351</v>
      </c>
      <c r="S715" t="s">
        <v>12</v>
      </c>
      <c r="T715">
        <v>1.26</v>
      </c>
      <c r="U715">
        <v>10972.483200000001</v>
      </c>
      <c r="V715">
        <v>551.76778515835031</v>
      </c>
      <c r="W715">
        <v>5.028650079485656E-2</v>
      </c>
    </row>
    <row r="716" spans="1:23" x14ac:dyDescent="0.25">
      <c r="A716" t="s">
        <v>1663</v>
      </c>
      <c r="B716" t="s">
        <v>26</v>
      </c>
      <c r="C716" t="s">
        <v>94</v>
      </c>
      <c r="D716" t="s">
        <v>31</v>
      </c>
      <c r="E716" t="s">
        <v>74</v>
      </c>
      <c r="F716" s="1">
        <v>46175</v>
      </c>
      <c r="G716">
        <v>46205</v>
      </c>
      <c r="H716" t="s">
        <v>8</v>
      </c>
      <c r="I716">
        <v>32332.6</v>
      </c>
      <c r="J716" t="s">
        <v>75</v>
      </c>
      <c r="K716" t="s">
        <v>1664</v>
      </c>
      <c r="L716">
        <v>30</v>
      </c>
      <c r="M716" t="s">
        <v>26</v>
      </c>
      <c r="N716">
        <v>1.1649</v>
      </c>
      <c r="O716">
        <v>1.3472503325044816</v>
      </c>
      <c r="P716">
        <v>6.2598742543930356E-3</v>
      </c>
      <c r="Q716">
        <v>1.3472503325044816</v>
      </c>
      <c r="R716">
        <v>43560.106100734396</v>
      </c>
      <c r="S716" t="s">
        <v>19</v>
      </c>
      <c r="T716">
        <v>1.2709999999999999</v>
      </c>
      <c r="U716">
        <v>41094.734599999996</v>
      </c>
      <c r="V716">
        <v>2465.3715007343999</v>
      </c>
      <c r="W716">
        <v>5.9992393787947719E-2</v>
      </c>
    </row>
    <row r="717" spans="1:23" x14ac:dyDescent="0.25">
      <c r="A717" t="s">
        <v>1661</v>
      </c>
      <c r="B717" t="s">
        <v>34</v>
      </c>
      <c r="C717" t="s">
        <v>177</v>
      </c>
      <c r="D717" t="s">
        <v>31</v>
      </c>
      <c r="E717" t="s">
        <v>74</v>
      </c>
      <c r="F717" s="1">
        <v>46356</v>
      </c>
      <c r="G717">
        <v>46416</v>
      </c>
      <c r="H717" t="s">
        <v>8</v>
      </c>
      <c r="I717">
        <v>3981.24</v>
      </c>
      <c r="J717" t="s">
        <v>84</v>
      </c>
      <c r="K717" t="s">
        <v>1662</v>
      </c>
      <c r="L717">
        <v>60</v>
      </c>
      <c r="M717" t="s">
        <v>34</v>
      </c>
      <c r="N717">
        <v>1.1176999999999999</v>
      </c>
      <c r="O717">
        <v>1.320456022210408</v>
      </c>
      <c r="P717">
        <v>6.3200452360757699E-3</v>
      </c>
      <c r="Q717">
        <v>1.320456022210408</v>
      </c>
      <c r="R717">
        <v>5257.0523338649646</v>
      </c>
      <c r="S717" t="s">
        <v>23</v>
      </c>
      <c r="T717">
        <v>1.3149999999999999</v>
      </c>
      <c r="U717">
        <v>5235.3305999999993</v>
      </c>
      <c r="V717">
        <v>21.721733864965245</v>
      </c>
      <c r="W717">
        <v>4.1490663197019974E-3</v>
      </c>
    </row>
    <row r="718" spans="1:23" x14ac:dyDescent="0.25">
      <c r="A718" t="s">
        <v>1659</v>
      </c>
      <c r="B718" t="s">
        <v>26</v>
      </c>
      <c r="C718" t="s">
        <v>94</v>
      </c>
      <c r="D718" t="s">
        <v>31</v>
      </c>
      <c r="E718" t="s">
        <v>74</v>
      </c>
      <c r="F718" s="1">
        <v>46295</v>
      </c>
      <c r="G718">
        <v>46325</v>
      </c>
      <c r="H718" t="s">
        <v>8</v>
      </c>
      <c r="I718">
        <v>31218.26</v>
      </c>
      <c r="J718" t="s">
        <v>75</v>
      </c>
      <c r="K718" t="s">
        <v>1660</v>
      </c>
      <c r="L718">
        <v>30</v>
      </c>
      <c r="M718" t="s">
        <v>26</v>
      </c>
      <c r="N718">
        <v>1.1355</v>
      </c>
      <c r="O718">
        <v>1.3286451446824941</v>
      </c>
      <c r="P718">
        <v>6.3695518034442133E-3</v>
      </c>
      <c r="Q718">
        <v>1.3286451446824941</v>
      </c>
      <c r="R718">
        <v>41477.989574435713</v>
      </c>
      <c r="S718" t="s">
        <v>21</v>
      </c>
      <c r="T718">
        <v>1.2929999999999999</v>
      </c>
      <c r="U718">
        <v>40365.210179999995</v>
      </c>
      <c r="V718">
        <v>1112.7793944357181</v>
      </c>
      <c r="W718">
        <v>2.756778397718028E-2</v>
      </c>
    </row>
    <row r="719" spans="1:23" x14ac:dyDescent="0.25">
      <c r="A719" t="s">
        <v>1657</v>
      </c>
      <c r="B719" t="s">
        <v>30</v>
      </c>
      <c r="C719" t="s">
        <v>103</v>
      </c>
      <c r="D719" t="s">
        <v>31</v>
      </c>
      <c r="E719" t="s">
        <v>74</v>
      </c>
      <c r="F719" s="1">
        <v>46165</v>
      </c>
      <c r="G719">
        <v>46195</v>
      </c>
      <c r="H719" t="s">
        <v>9</v>
      </c>
      <c r="I719">
        <v>1280473.04</v>
      </c>
      <c r="J719" t="s">
        <v>75</v>
      </c>
      <c r="K719" t="s">
        <v>1658</v>
      </c>
      <c r="L719">
        <v>30</v>
      </c>
      <c r="M719" t="s">
        <v>30</v>
      </c>
      <c r="N719">
        <v>1.1595</v>
      </c>
      <c r="O719">
        <v>1.3417343608970353</v>
      </c>
      <c r="P719">
        <v>6.2835311331490814E-3</v>
      </c>
      <c r="Q719">
        <v>6.2835311331490814E-3</v>
      </c>
      <c r="R719">
        <v>8045.8922119980489</v>
      </c>
      <c r="S719" t="s">
        <v>19</v>
      </c>
      <c r="T719">
        <v>6.6E-3</v>
      </c>
      <c r="U719">
        <v>8451.122064000001</v>
      </c>
      <c r="V719">
        <v>-405.22985200195217</v>
      </c>
      <c r="W719">
        <v>-4.7949828310745381E-2</v>
      </c>
    </row>
    <row r="720" spans="1:23" x14ac:dyDescent="0.25">
      <c r="A720" t="s">
        <v>1655</v>
      </c>
      <c r="B720" t="s">
        <v>44</v>
      </c>
      <c r="C720" t="s">
        <v>138</v>
      </c>
      <c r="D720" t="s">
        <v>33</v>
      </c>
      <c r="E720" t="s">
        <v>88</v>
      </c>
      <c r="F720" s="1">
        <v>45678</v>
      </c>
      <c r="G720">
        <v>45723</v>
      </c>
      <c r="H720" t="s">
        <v>9</v>
      </c>
      <c r="I720">
        <v>1301448.3899999999</v>
      </c>
      <c r="J720" t="s">
        <v>75</v>
      </c>
      <c r="K720" t="s">
        <v>1656</v>
      </c>
      <c r="L720">
        <v>45</v>
      </c>
      <c r="M720" t="s">
        <v>44</v>
      </c>
      <c r="N720">
        <v>1.0357000000000001</v>
      </c>
      <c r="O720">
        <v>1.2249121852565847</v>
      </c>
      <c r="P720">
        <v>6.4225474389185177E-3</v>
      </c>
      <c r="Q720">
        <v>6.4225474389185177E-3</v>
      </c>
      <c r="R720">
        <v>8358.6140240791283</v>
      </c>
      <c r="S720" t="s">
        <v>11</v>
      </c>
      <c r="T720">
        <v>6.5599999999999999E-3</v>
      </c>
      <c r="U720">
        <v>8537.5014383999987</v>
      </c>
      <c r="V720">
        <v>-178.88741432087045</v>
      </c>
      <c r="W720">
        <v>-2.0953134311201414E-2</v>
      </c>
    </row>
    <row r="721" spans="1:23" x14ac:dyDescent="0.25">
      <c r="A721" t="s">
        <v>1653</v>
      </c>
      <c r="B721" t="s">
        <v>38</v>
      </c>
      <c r="C721" t="s">
        <v>87</v>
      </c>
      <c r="D721" t="s">
        <v>33</v>
      </c>
      <c r="E721" t="s">
        <v>88</v>
      </c>
      <c r="F721" s="1">
        <v>45691</v>
      </c>
      <c r="G721">
        <v>45721</v>
      </c>
      <c r="H721" t="s">
        <v>6</v>
      </c>
      <c r="I721">
        <v>2521.27</v>
      </c>
      <c r="J721" t="s">
        <v>75</v>
      </c>
      <c r="K721" t="s">
        <v>1654</v>
      </c>
      <c r="L721">
        <v>30</v>
      </c>
      <c r="M721" t="s">
        <v>38</v>
      </c>
      <c r="N721">
        <v>1.0274000000000001</v>
      </c>
      <c r="O721">
        <v>1.2358063895304081</v>
      </c>
      <c r="P721">
        <v>6.4669226411531444E-3</v>
      </c>
      <c r="Q721">
        <v>1.0274000000000001</v>
      </c>
      <c r="R721">
        <v>2590.3527980000003</v>
      </c>
      <c r="S721" t="s">
        <v>11</v>
      </c>
      <c r="T721">
        <v>1.052</v>
      </c>
      <c r="U721">
        <v>2652.3760400000001</v>
      </c>
      <c r="V721">
        <v>-62.023241999999755</v>
      </c>
      <c r="W721">
        <v>-2.3384030418250858E-2</v>
      </c>
    </row>
    <row r="722" spans="1:23" x14ac:dyDescent="0.25">
      <c r="A722" t="s">
        <v>1651</v>
      </c>
      <c r="B722" t="s">
        <v>37</v>
      </c>
      <c r="C722" t="s">
        <v>91</v>
      </c>
      <c r="D722" t="s">
        <v>31</v>
      </c>
      <c r="E722" t="s">
        <v>74</v>
      </c>
      <c r="F722" s="1">
        <v>46088</v>
      </c>
      <c r="G722">
        <v>46118</v>
      </c>
      <c r="H722" t="s">
        <v>6</v>
      </c>
      <c r="I722">
        <v>19502.689999999999</v>
      </c>
      <c r="J722" t="s">
        <v>75</v>
      </c>
      <c r="K722" t="s">
        <v>1652</v>
      </c>
      <c r="L722">
        <v>30</v>
      </c>
      <c r="M722" t="s">
        <v>37</v>
      </c>
      <c r="N722">
        <v>1.1555</v>
      </c>
      <c r="O722">
        <v>1.3367963164349013</v>
      </c>
      <c r="P722">
        <v>6.2983756677204832E-3</v>
      </c>
      <c r="Q722">
        <v>1.1555</v>
      </c>
      <c r="R722">
        <v>22535.358294999998</v>
      </c>
      <c r="S722" t="s">
        <v>16</v>
      </c>
      <c r="T722">
        <v>1.0649999999999999</v>
      </c>
      <c r="U722">
        <v>20770.364849999998</v>
      </c>
      <c r="V722">
        <v>1764.9934450000001</v>
      </c>
      <c r="W722">
        <v>8.497652582159626E-2</v>
      </c>
    </row>
    <row r="723" spans="1:23" x14ac:dyDescent="0.25">
      <c r="A723" t="s">
        <v>1649</v>
      </c>
      <c r="B723" t="s">
        <v>30</v>
      </c>
      <c r="C723" t="s">
        <v>103</v>
      </c>
      <c r="D723" t="s">
        <v>31</v>
      </c>
      <c r="E723" t="s">
        <v>74</v>
      </c>
      <c r="F723" s="1">
        <v>45932</v>
      </c>
      <c r="G723">
        <v>45962</v>
      </c>
      <c r="H723" t="s">
        <v>9</v>
      </c>
      <c r="I723">
        <v>593123.69999999995</v>
      </c>
      <c r="J723" t="s">
        <v>75</v>
      </c>
      <c r="K723" t="s">
        <v>1650</v>
      </c>
      <c r="L723">
        <v>30</v>
      </c>
      <c r="M723" t="s">
        <v>30</v>
      </c>
      <c r="N723">
        <v>1.1754</v>
      </c>
      <c r="O723">
        <v>1.3477812177502579</v>
      </c>
      <c r="P723">
        <v>6.8127282211789255E-3</v>
      </c>
      <c r="Q723">
        <v>6.8127282211789255E-3</v>
      </c>
      <c r="R723">
        <v>4040.7905696400621</v>
      </c>
      <c r="S723" t="s">
        <v>14</v>
      </c>
      <c r="T723">
        <v>6.9800000000000001E-3</v>
      </c>
      <c r="U723">
        <v>4140.0034259999993</v>
      </c>
      <c r="V723">
        <v>-99.212856359937177</v>
      </c>
      <c r="W723">
        <v>-2.3964438226514936E-2</v>
      </c>
    </row>
    <row r="724" spans="1:23" x14ac:dyDescent="0.25">
      <c r="A724" t="s">
        <v>1647</v>
      </c>
      <c r="B724" t="s">
        <v>25</v>
      </c>
      <c r="C724" t="s">
        <v>169</v>
      </c>
      <c r="D724" t="s">
        <v>31</v>
      </c>
      <c r="E724" t="s">
        <v>124</v>
      </c>
      <c r="F724" s="1">
        <v>45902</v>
      </c>
      <c r="G724">
        <v>45962</v>
      </c>
      <c r="H724" t="s">
        <v>6</v>
      </c>
      <c r="I724">
        <v>46310.85</v>
      </c>
      <c r="J724" t="s">
        <v>75</v>
      </c>
      <c r="K724" t="s">
        <v>1648</v>
      </c>
      <c r="L724">
        <v>60</v>
      </c>
      <c r="M724" t="s">
        <v>25</v>
      </c>
      <c r="N724">
        <v>1.1646000000000001</v>
      </c>
      <c r="O724">
        <v>1.3383130314870146</v>
      </c>
      <c r="P724">
        <v>6.727902946273831E-3</v>
      </c>
      <c r="Q724">
        <v>1.1646000000000001</v>
      </c>
      <c r="R724">
        <v>53933.61591</v>
      </c>
      <c r="S724" t="s">
        <v>13</v>
      </c>
      <c r="T724">
        <v>1.0880000000000001</v>
      </c>
      <c r="U724">
        <v>50386.2048</v>
      </c>
      <c r="V724">
        <v>3547.4111100000009</v>
      </c>
      <c r="W724">
        <v>7.0404411764705896E-2</v>
      </c>
    </row>
    <row r="725" spans="1:23" x14ac:dyDescent="0.25">
      <c r="A725" t="s">
        <v>1645</v>
      </c>
      <c r="B725" t="s">
        <v>42</v>
      </c>
      <c r="C725" t="s">
        <v>151</v>
      </c>
      <c r="D725" t="s">
        <v>35</v>
      </c>
      <c r="E725" t="s">
        <v>152</v>
      </c>
      <c r="F725" s="1">
        <v>45765</v>
      </c>
      <c r="G725">
        <v>45795</v>
      </c>
      <c r="H725" t="s">
        <v>8</v>
      </c>
      <c r="I725">
        <v>8382.6200000000008</v>
      </c>
      <c r="J725" t="s">
        <v>75</v>
      </c>
      <c r="K725" t="s">
        <v>1646</v>
      </c>
      <c r="L725">
        <v>30</v>
      </c>
      <c r="M725" t="s">
        <v>42</v>
      </c>
      <c r="N725">
        <v>1.1594</v>
      </c>
      <c r="O725">
        <v>1.3579292574373389</v>
      </c>
      <c r="P725">
        <v>6.9575132021123384E-3</v>
      </c>
      <c r="Q725">
        <v>1.3579292574373389</v>
      </c>
      <c r="R725">
        <v>11383.004951979387</v>
      </c>
      <c r="S725" t="s">
        <v>12</v>
      </c>
      <c r="T725">
        <v>1.26</v>
      </c>
      <c r="U725">
        <v>10562.101200000001</v>
      </c>
      <c r="V725">
        <v>820.90375197938556</v>
      </c>
      <c r="W725">
        <v>7.7721632886776873E-2</v>
      </c>
    </row>
    <row r="726" spans="1:23" x14ac:dyDescent="0.25">
      <c r="A726" t="s">
        <v>1643</v>
      </c>
      <c r="B726" t="s">
        <v>26</v>
      </c>
      <c r="C726" t="s">
        <v>94</v>
      </c>
      <c r="D726" t="s">
        <v>31</v>
      </c>
      <c r="E726" t="s">
        <v>74</v>
      </c>
      <c r="F726" s="1">
        <v>45725</v>
      </c>
      <c r="G726">
        <v>45755</v>
      </c>
      <c r="H726" t="s">
        <v>8</v>
      </c>
      <c r="I726">
        <v>4251.75</v>
      </c>
      <c r="J726" t="s">
        <v>75</v>
      </c>
      <c r="K726" t="s">
        <v>1644</v>
      </c>
      <c r="L726">
        <v>30</v>
      </c>
      <c r="M726" t="s">
        <v>26</v>
      </c>
      <c r="N726">
        <v>1.1376999999999999</v>
      </c>
      <c r="O726">
        <v>1.3170415475267123</v>
      </c>
      <c r="P726">
        <v>6.981039455114438E-3</v>
      </c>
      <c r="Q726">
        <v>1.3170415475267123</v>
      </c>
      <c r="R726">
        <v>5599.7313996966996</v>
      </c>
      <c r="S726" t="s">
        <v>11</v>
      </c>
      <c r="T726">
        <v>1.238</v>
      </c>
      <c r="U726">
        <v>5263.6665000000003</v>
      </c>
      <c r="V726">
        <v>336.06489969669929</v>
      </c>
      <c r="W726">
        <v>6.3846161168588336E-2</v>
      </c>
    </row>
    <row r="727" spans="1:23" x14ac:dyDescent="0.25">
      <c r="A727" t="s">
        <v>1641</v>
      </c>
      <c r="B727" t="s">
        <v>37</v>
      </c>
      <c r="C727" t="s">
        <v>91</v>
      </c>
      <c r="D727" t="s">
        <v>31</v>
      </c>
      <c r="E727" t="s">
        <v>74</v>
      </c>
      <c r="F727" s="1">
        <v>46294</v>
      </c>
      <c r="G727">
        <v>46324</v>
      </c>
      <c r="H727" t="s">
        <v>6</v>
      </c>
      <c r="I727">
        <v>19756.95</v>
      </c>
      <c r="J727" t="s">
        <v>75</v>
      </c>
      <c r="K727" t="s">
        <v>1642</v>
      </c>
      <c r="L727">
        <v>30</v>
      </c>
      <c r="M727" t="s">
        <v>37</v>
      </c>
      <c r="N727">
        <v>1.1355</v>
      </c>
      <c r="O727">
        <v>1.324692596654145</v>
      </c>
      <c r="P727">
        <v>6.3645535564149994E-3</v>
      </c>
      <c r="Q727">
        <v>1.1355</v>
      </c>
      <c r="R727">
        <v>22434.016725000001</v>
      </c>
      <c r="S727" t="s">
        <v>21</v>
      </c>
      <c r="T727">
        <v>1.101</v>
      </c>
      <c r="U727">
        <v>21752.401949999999</v>
      </c>
      <c r="V727">
        <v>681.61477500000183</v>
      </c>
      <c r="W727">
        <v>3.1335149863760306E-2</v>
      </c>
    </row>
    <row r="728" spans="1:23" x14ac:dyDescent="0.25">
      <c r="A728" t="s">
        <v>1639</v>
      </c>
      <c r="B728" t="s">
        <v>24</v>
      </c>
      <c r="C728" t="s">
        <v>73</v>
      </c>
      <c r="D728" t="s">
        <v>31</v>
      </c>
      <c r="E728" t="s">
        <v>74</v>
      </c>
      <c r="F728" s="1">
        <v>46228</v>
      </c>
      <c r="G728">
        <v>46258</v>
      </c>
      <c r="H728" t="s">
        <v>6</v>
      </c>
      <c r="I728">
        <v>9035.11</v>
      </c>
      <c r="J728" t="s">
        <v>75</v>
      </c>
      <c r="K728" t="s">
        <v>1640</v>
      </c>
      <c r="L728">
        <v>30</v>
      </c>
      <c r="M728" t="s">
        <v>24</v>
      </c>
      <c r="N728">
        <v>1.1376999999999999</v>
      </c>
      <c r="O728">
        <v>1.3323886260364455</v>
      </c>
      <c r="P728">
        <v>6.1041957291554884E-3</v>
      </c>
      <c r="Q728">
        <v>1.1376999999999999</v>
      </c>
      <c r="R728">
        <v>10279.244647</v>
      </c>
      <c r="S728" t="s">
        <v>21</v>
      </c>
      <c r="T728">
        <v>1.101</v>
      </c>
      <c r="U728">
        <v>9947.6561099999999</v>
      </c>
      <c r="V728">
        <v>331.58853699999963</v>
      </c>
      <c r="W728">
        <v>3.3333333333333298E-2</v>
      </c>
    </row>
    <row r="729" spans="1:23" x14ac:dyDescent="0.25">
      <c r="A729" t="s">
        <v>1637</v>
      </c>
      <c r="B729" t="s">
        <v>26</v>
      </c>
      <c r="C729" t="s">
        <v>94</v>
      </c>
      <c r="D729" t="s">
        <v>31</v>
      </c>
      <c r="E729" t="s">
        <v>74</v>
      </c>
      <c r="F729" s="1">
        <v>45852</v>
      </c>
      <c r="G729">
        <v>45882</v>
      </c>
      <c r="H729" t="s">
        <v>8</v>
      </c>
      <c r="I729">
        <v>16494.97</v>
      </c>
      <c r="J729" t="s">
        <v>75</v>
      </c>
      <c r="K729" t="s">
        <v>1638</v>
      </c>
      <c r="L729">
        <v>30</v>
      </c>
      <c r="M729" t="s">
        <v>26</v>
      </c>
      <c r="N729">
        <v>1.169</v>
      </c>
      <c r="O729">
        <v>1.3487942771431869</v>
      </c>
      <c r="P729">
        <v>6.7858594067452252E-3</v>
      </c>
      <c r="Q729">
        <v>1.3487942771431869</v>
      </c>
      <c r="R729">
        <v>22248.321137648556</v>
      </c>
      <c r="S729" t="s">
        <v>13</v>
      </c>
      <c r="T729">
        <v>1.282</v>
      </c>
      <c r="U729">
        <v>21146.55154</v>
      </c>
      <c r="V729">
        <v>1101.7695976485556</v>
      </c>
      <c r="W729">
        <v>5.2101620236495338E-2</v>
      </c>
    </row>
    <row r="730" spans="1:23" x14ac:dyDescent="0.25">
      <c r="A730" t="s">
        <v>1635</v>
      </c>
      <c r="B730" t="s">
        <v>38</v>
      </c>
      <c r="C730" t="s">
        <v>87</v>
      </c>
      <c r="D730" t="s">
        <v>33</v>
      </c>
      <c r="E730" t="s">
        <v>88</v>
      </c>
      <c r="F730" s="1">
        <v>46009</v>
      </c>
      <c r="G730">
        <v>46039</v>
      </c>
      <c r="H730" t="s">
        <v>6</v>
      </c>
      <c r="I730">
        <v>9192.86</v>
      </c>
      <c r="J730" t="s">
        <v>75</v>
      </c>
      <c r="K730" t="s">
        <v>1636</v>
      </c>
      <c r="L730">
        <v>30</v>
      </c>
      <c r="M730" t="s">
        <v>38</v>
      </c>
      <c r="N730">
        <v>1.1718999999999999</v>
      </c>
      <c r="O730">
        <v>1.3399268236908299</v>
      </c>
      <c r="P730">
        <v>6.4196110654615168E-3</v>
      </c>
      <c r="Q730">
        <v>1.1718999999999999</v>
      </c>
      <c r="R730">
        <v>10773.112634000001</v>
      </c>
      <c r="S730" t="s">
        <v>14</v>
      </c>
      <c r="T730">
        <v>1.1060000000000001</v>
      </c>
      <c r="U730">
        <v>10167.303160000001</v>
      </c>
      <c r="V730">
        <v>605.80947399999968</v>
      </c>
      <c r="W730">
        <v>5.9584086799276632E-2</v>
      </c>
    </row>
    <row r="731" spans="1:23" x14ac:dyDescent="0.25">
      <c r="A731" t="s">
        <v>1633</v>
      </c>
      <c r="B731" t="s">
        <v>22</v>
      </c>
      <c r="C731" t="s">
        <v>127</v>
      </c>
      <c r="D731" t="s">
        <v>31</v>
      </c>
      <c r="E731" t="s">
        <v>124</v>
      </c>
      <c r="F731" s="1">
        <v>46285</v>
      </c>
      <c r="G731">
        <v>46345</v>
      </c>
      <c r="H731" t="s">
        <v>9</v>
      </c>
      <c r="I731">
        <v>14275212.539999999</v>
      </c>
      <c r="J731" t="s">
        <v>75</v>
      </c>
      <c r="K731" t="s">
        <v>1634</v>
      </c>
      <c r="L731">
        <v>60</v>
      </c>
      <c r="M731" t="s">
        <v>22</v>
      </c>
      <c r="N731">
        <v>1.1459999999999999</v>
      </c>
      <c r="O731">
        <v>1.3344201210992082</v>
      </c>
      <c r="P731">
        <v>6.3335912457168119E-3</v>
      </c>
      <c r="Q731">
        <v>6.3335912457168119E-3</v>
      </c>
      <c r="R731">
        <v>90413.361174090853</v>
      </c>
      <c r="S731" t="s">
        <v>21</v>
      </c>
      <c r="T731">
        <v>6.7400000000000003E-3</v>
      </c>
      <c r="U731">
        <v>96214.932519599999</v>
      </c>
      <c r="V731">
        <v>-5801.5713455091463</v>
      </c>
      <c r="W731">
        <v>-6.0298034760116935E-2</v>
      </c>
    </row>
    <row r="732" spans="1:23" x14ac:dyDescent="0.25">
      <c r="A732" t="s">
        <v>1631</v>
      </c>
      <c r="B732" t="s">
        <v>37</v>
      </c>
      <c r="C732" t="s">
        <v>91</v>
      </c>
      <c r="D732" t="s">
        <v>31</v>
      </c>
      <c r="E732" t="s">
        <v>74</v>
      </c>
      <c r="F732" s="1">
        <v>46251</v>
      </c>
      <c r="G732">
        <v>46281</v>
      </c>
      <c r="H732" t="s">
        <v>6</v>
      </c>
      <c r="I732">
        <v>17922.72</v>
      </c>
      <c r="J732" t="s">
        <v>75</v>
      </c>
      <c r="K732" t="s">
        <v>1632</v>
      </c>
      <c r="L732">
        <v>30</v>
      </c>
      <c r="M732" t="s">
        <v>37</v>
      </c>
      <c r="N732">
        <v>1.1593</v>
      </c>
      <c r="O732">
        <v>1.3559064327485379</v>
      </c>
      <c r="P732">
        <v>6.2804052223847445E-3</v>
      </c>
      <c r="Q732">
        <v>1.1593</v>
      </c>
      <c r="R732">
        <v>20777.809296000003</v>
      </c>
      <c r="S732" t="s">
        <v>21</v>
      </c>
      <c r="T732">
        <v>1.101</v>
      </c>
      <c r="U732">
        <v>19732.914720000001</v>
      </c>
      <c r="V732">
        <v>1044.8945760000024</v>
      </c>
      <c r="W732">
        <v>5.2951861943687679E-2</v>
      </c>
    </row>
    <row r="733" spans="1:23" x14ac:dyDescent="0.25">
      <c r="A733" t="s">
        <v>1629</v>
      </c>
      <c r="B733" t="s">
        <v>22</v>
      </c>
      <c r="C733" t="s">
        <v>127</v>
      </c>
      <c r="D733" t="s">
        <v>31</v>
      </c>
      <c r="E733" t="s">
        <v>124</v>
      </c>
      <c r="F733" s="1">
        <v>45921</v>
      </c>
      <c r="G733">
        <v>45981</v>
      </c>
      <c r="H733" t="s">
        <v>9</v>
      </c>
      <c r="I733">
        <v>8220534.7400000002</v>
      </c>
      <c r="J733" t="s">
        <v>75</v>
      </c>
      <c r="K733" t="s">
        <v>1630</v>
      </c>
      <c r="L733">
        <v>60</v>
      </c>
      <c r="M733" t="s">
        <v>22</v>
      </c>
      <c r="N733">
        <v>1.1738999999999999</v>
      </c>
      <c r="O733">
        <v>1.3425205855443734</v>
      </c>
      <c r="P733">
        <v>6.3375263186308912E-3</v>
      </c>
      <c r="Q733">
        <v>6.3375263186308912E-3</v>
      </c>
      <c r="R733">
        <v>52097.855267969549</v>
      </c>
      <c r="S733" t="s">
        <v>13</v>
      </c>
      <c r="T733">
        <v>6.8399999999999997E-3</v>
      </c>
      <c r="U733">
        <v>56228.457621599999</v>
      </c>
      <c r="V733">
        <v>-4130.6023536304492</v>
      </c>
      <c r="W733">
        <v>-7.3461064527647474E-2</v>
      </c>
    </row>
    <row r="734" spans="1:23" x14ac:dyDescent="0.25">
      <c r="A734" t="s">
        <v>1627</v>
      </c>
      <c r="B734" t="s">
        <v>36</v>
      </c>
      <c r="C734" t="s">
        <v>116</v>
      </c>
      <c r="D734" t="s">
        <v>31</v>
      </c>
      <c r="E734" t="s">
        <v>74</v>
      </c>
      <c r="F734" s="1">
        <v>45948</v>
      </c>
      <c r="G734">
        <v>45993</v>
      </c>
      <c r="H734" t="s">
        <v>6</v>
      </c>
      <c r="I734">
        <v>27911.11</v>
      </c>
      <c r="J734" t="s">
        <v>75</v>
      </c>
      <c r="K734" t="s">
        <v>1628</v>
      </c>
      <c r="L734">
        <v>45</v>
      </c>
      <c r="M734" t="s">
        <v>36</v>
      </c>
      <c r="N734">
        <v>1.1805000000000001</v>
      </c>
      <c r="O734">
        <v>1.347141389934954</v>
      </c>
      <c r="P734">
        <v>6.411231195351111E-3</v>
      </c>
      <c r="Q734">
        <v>1.1805000000000001</v>
      </c>
      <c r="R734">
        <v>32949.065355000006</v>
      </c>
      <c r="S734" t="s">
        <v>14</v>
      </c>
      <c r="T734">
        <v>1.1060000000000001</v>
      </c>
      <c r="U734">
        <v>30869.687660000003</v>
      </c>
      <c r="V734">
        <v>2079.3776950000029</v>
      </c>
      <c r="W734">
        <v>6.7359855334538962E-2</v>
      </c>
    </row>
    <row r="735" spans="1:23" x14ac:dyDescent="0.25">
      <c r="A735" t="s">
        <v>1625</v>
      </c>
      <c r="B735" t="s">
        <v>42</v>
      </c>
      <c r="C735" t="s">
        <v>151</v>
      </c>
      <c r="D735" t="s">
        <v>35</v>
      </c>
      <c r="E735" t="s">
        <v>152</v>
      </c>
      <c r="F735" s="1">
        <v>46321</v>
      </c>
      <c r="G735">
        <v>46351</v>
      </c>
      <c r="H735" t="s">
        <v>8</v>
      </c>
      <c r="I735">
        <v>5042.67</v>
      </c>
      <c r="J735" t="s">
        <v>84</v>
      </c>
      <c r="K735" t="s">
        <v>1626</v>
      </c>
      <c r="L735">
        <v>30</v>
      </c>
      <c r="M735" t="s">
        <v>42</v>
      </c>
      <c r="N735">
        <v>1.1176999999999999</v>
      </c>
      <c r="O735">
        <v>1.320456022210408</v>
      </c>
      <c r="P735">
        <v>6.3200452360757699E-3</v>
      </c>
      <c r="Q735">
        <v>1.320456022210408</v>
      </c>
      <c r="R735">
        <v>6658.6239695197582</v>
      </c>
      <c r="S735" t="s">
        <v>23</v>
      </c>
      <c r="T735">
        <v>1.3149999999999999</v>
      </c>
      <c r="U735">
        <v>6631.1110499999995</v>
      </c>
      <c r="V735">
        <v>27.512919519758725</v>
      </c>
      <c r="W735">
        <v>4.1490663197019939E-3</v>
      </c>
    </row>
    <row r="736" spans="1:23" x14ac:dyDescent="0.25">
      <c r="A736" t="s">
        <v>1623</v>
      </c>
      <c r="B736" t="s">
        <v>28</v>
      </c>
      <c r="C736" t="s">
        <v>111</v>
      </c>
      <c r="D736" t="s">
        <v>31</v>
      </c>
      <c r="E736" t="s">
        <v>74</v>
      </c>
      <c r="F736" s="1">
        <v>46187</v>
      </c>
      <c r="G736">
        <v>46232</v>
      </c>
      <c r="H736" t="s">
        <v>9</v>
      </c>
      <c r="I736">
        <v>6764078.0800000001</v>
      </c>
      <c r="J736" t="s">
        <v>75</v>
      </c>
      <c r="K736" t="s">
        <v>1624</v>
      </c>
      <c r="L736">
        <v>45</v>
      </c>
      <c r="M736" t="s">
        <v>28</v>
      </c>
      <c r="N736">
        <v>1.1567000000000001</v>
      </c>
      <c r="O736">
        <v>1.3402467991425759</v>
      </c>
      <c r="P736">
        <v>6.2423097679438749E-3</v>
      </c>
      <c r="Q736">
        <v>6.2423097679438749E-3</v>
      </c>
      <c r="R736">
        <v>42223.47066991905</v>
      </c>
      <c r="S736" t="s">
        <v>19</v>
      </c>
      <c r="T736">
        <v>6.6E-3</v>
      </c>
      <c r="U736">
        <v>44642.915328000003</v>
      </c>
      <c r="V736">
        <v>-2419.4446580809526</v>
      </c>
      <c r="W736">
        <v>-5.4195489705473575E-2</v>
      </c>
    </row>
    <row r="737" spans="1:23" x14ac:dyDescent="0.25">
      <c r="A737" t="s">
        <v>1621</v>
      </c>
      <c r="B737" t="s">
        <v>39</v>
      </c>
      <c r="C737" t="s">
        <v>82</v>
      </c>
      <c r="D737" t="s">
        <v>33</v>
      </c>
      <c r="E737" t="s">
        <v>83</v>
      </c>
      <c r="F737" s="1">
        <v>45790</v>
      </c>
      <c r="G737">
        <v>45835</v>
      </c>
      <c r="H737" t="s">
        <v>8</v>
      </c>
      <c r="I737">
        <v>14034.04</v>
      </c>
      <c r="J737" t="s">
        <v>75</v>
      </c>
      <c r="K737" t="s">
        <v>1622</v>
      </c>
      <c r="L737">
        <v>45</v>
      </c>
      <c r="M737" t="s">
        <v>39</v>
      </c>
      <c r="N737">
        <v>1.1112</v>
      </c>
      <c r="O737">
        <v>1.3219129193433261</v>
      </c>
      <c r="P737">
        <v>6.7505011846181878E-3</v>
      </c>
      <c r="Q737">
        <v>1.3219129193433261</v>
      </c>
      <c r="R737">
        <v>18551.778786581013</v>
      </c>
      <c r="S737" t="s">
        <v>12</v>
      </c>
      <c r="T737">
        <v>1.26</v>
      </c>
      <c r="U737">
        <v>17682.8904</v>
      </c>
      <c r="V737">
        <v>868.88838658101304</v>
      </c>
      <c r="W737">
        <v>4.9137237574068376E-2</v>
      </c>
    </row>
    <row r="738" spans="1:23" x14ac:dyDescent="0.25">
      <c r="A738" t="s">
        <v>1619</v>
      </c>
      <c r="B738" t="s">
        <v>41</v>
      </c>
      <c r="C738" t="s">
        <v>172</v>
      </c>
      <c r="D738" t="s">
        <v>33</v>
      </c>
      <c r="E738" t="s">
        <v>83</v>
      </c>
      <c r="F738" s="1">
        <v>45958</v>
      </c>
      <c r="G738">
        <v>45988</v>
      </c>
      <c r="H738" t="s">
        <v>9</v>
      </c>
      <c r="I738">
        <v>1881756</v>
      </c>
      <c r="J738" t="s">
        <v>75</v>
      </c>
      <c r="K738" t="s">
        <v>1620</v>
      </c>
      <c r="L738">
        <v>30</v>
      </c>
      <c r="M738" t="s">
        <v>41</v>
      </c>
      <c r="N738">
        <v>1.163</v>
      </c>
      <c r="O738">
        <v>1.3276255707762556</v>
      </c>
      <c r="P738">
        <v>6.5665405680085821E-3</v>
      </c>
      <c r="Q738">
        <v>6.5665405680085821E-3</v>
      </c>
      <c r="R738">
        <v>12356.627113093557</v>
      </c>
      <c r="S738" t="s">
        <v>14</v>
      </c>
      <c r="T738">
        <v>6.9800000000000001E-3</v>
      </c>
      <c r="U738">
        <v>13134.65688</v>
      </c>
      <c r="V738">
        <v>-778.02976690644391</v>
      </c>
      <c r="W738">
        <v>-5.9234875643469714E-2</v>
      </c>
    </row>
    <row r="739" spans="1:23" x14ac:dyDescent="0.25">
      <c r="A739" t="s">
        <v>1617</v>
      </c>
      <c r="B739" t="s">
        <v>24</v>
      </c>
      <c r="C739" t="s">
        <v>73</v>
      </c>
      <c r="D739" t="s">
        <v>31</v>
      </c>
      <c r="E739" t="s">
        <v>74</v>
      </c>
      <c r="F739" s="1">
        <v>46245</v>
      </c>
      <c r="G739">
        <v>46275</v>
      </c>
      <c r="H739" t="s">
        <v>6</v>
      </c>
      <c r="I739">
        <v>31680.99</v>
      </c>
      <c r="J739" t="s">
        <v>75</v>
      </c>
      <c r="K739" t="s">
        <v>1618</v>
      </c>
      <c r="L739">
        <v>30</v>
      </c>
      <c r="M739" t="s">
        <v>24</v>
      </c>
      <c r="N739">
        <v>1.1539999999999999</v>
      </c>
      <c r="O739">
        <v>1.3499760186235858</v>
      </c>
      <c r="P739">
        <v>6.2812976268234264E-3</v>
      </c>
      <c r="Q739">
        <v>1.1539999999999999</v>
      </c>
      <c r="R739">
        <v>36559.862459999997</v>
      </c>
      <c r="S739" t="s">
        <v>21</v>
      </c>
      <c r="T739">
        <v>1.101</v>
      </c>
      <c r="U739">
        <v>34880.769990000001</v>
      </c>
      <c r="V739">
        <v>1679.092469999996</v>
      </c>
      <c r="W739">
        <v>4.8138056312443119E-2</v>
      </c>
    </row>
    <row r="740" spans="1:23" x14ac:dyDescent="0.25">
      <c r="A740" t="s">
        <v>1615</v>
      </c>
      <c r="B740" t="s">
        <v>20</v>
      </c>
      <c r="C740" t="s">
        <v>123</v>
      </c>
      <c r="D740" t="s">
        <v>31</v>
      </c>
      <c r="E740" t="s">
        <v>124</v>
      </c>
      <c r="F740" s="1">
        <v>46097</v>
      </c>
      <c r="G740">
        <v>46142</v>
      </c>
      <c r="H740" t="s">
        <v>6</v>
      </c>
      <c r="I740">
        <v>26318.06</v>
      </c>
      <c r="J740" t="s">
        <v>75</v>
      </c>
      <c r="K740" t="s">
        <v>1616</v>
      </c>
      <c r="L740">
        <v>45</v>
      </c>
      <c r="M740" t="s">
        <v>20</v>
      </c>
      <c r="N740">
        <v>1.1477999999999999</v>
      </c>
      <c r="O740">
        <v>1.3283492269234329</v>
      </c>
      <c r="P740">
        <v>6.283805978320376E-3</v>
      </c>
      <c r="Q740">
        <v>1.1477999999999999</v>
      </c>
      <c r="R740">
        <v>30207.869267999999</v>
      </c>
      <c r="S740" t="s">
        <v>16</v>
      </c>
      <c r="T740">
        <v>1.0649999999999999</v>
      </c>
      <c r="U740">
        <v>28028.733899999999</v>
      </c>
      <c r="V740">
        <v>2179.1353679999993</v>
      </c>
      <c r="W740">
        <v>7.7746478873239419E-2</v>
      </c>
    </row>
    <row r="741" spans="1:23" x14ac:dyDescent="0.25">
      <c r="A741" t="s">
        <v>1613</v>
      </c>
      <c r="B741" t="s">
        <v>36</v>
      </c>
      <c r="C741" t="s">
        <v>116</v>
      </c>
      <c r="D741" t="s">
        <v>31</v>
      </c>
      <c r="E741" t="s">
        <v>74</v>
      </c>
      <c r="F741" s="1">
        <v>46274</v>
      </c>
      <c r="G741">
        <v>46319</v>
      </c>
      <c r="H741" t="s">
        <v>6</v>
      </c>
      <c r="I741">
        <v>4797.1400000000003</v>
      </c>
      <c r="J741" t="s">
        <v>75</v>
      </c>
      <c r="K741" t="s">
        <v>1614</v>
      </c>
      <c r="L741">
        <v>45</v>
      </c>
      <c r="M741" t="s">
        <v>36</v>
      </c>
      <c r="N741">
        <v>1.1652</v>
      </c>
      <c r="O741">
        <v>1.3564925842278051</v>
      </c>
      <c r="P741">
        <v>6.5244414580883587E-3</v>
      </c>
      <c r="Q741">
        <v>1.1652</v>
      </c>
      <c r="R741">
        <v>5589.6275280000009</v>
      </c>
      <c r="S741" t="s">
        <v>21</v>
      </c>
      <c r="T741">
        <v>1.101</v>
      </c>
      <c r="U741">
        <v>5281.6511399999999</v>
      </c>
      <c r="V741">
        <v>307.97638800000095</v>
      </c>
      <c r="W741">
        <v>5.8310626702997456E-2</v>
      </c>
    </row>
    <row r="742" spans="1:23" x14ac:dyDescent="0.25">
      <c r="A742" t="s">
        <v>1611</v>
      </c>
      <c r="B742" t="s">
        <v>20</v>
      </c>
      <c r="C742" t="s">
        <v>123</v>
      </c>
      <c r="D742" t="s">
        <v>31</v>
      </c>
      <c r="E742" t="s">
        <v>124</v>
      </c>
      <c r="F742" s="1">
        <v>46189</v>
      </c>
      <c r="G742">
        <v>46234</v>
      </c>
      <c r="H742" t="s">
        <v>6</v>
      </c>
      <c r="I742">
        <v>46928.05</v>
      </c>
      <c r="J742" t="s">
        <v>75</v>
      </c>
      <c r="K742" t="s">
        <v>1612</v>
      </c>
      <c r="L742">
        <v>45</v>
      </c>
      <c r="M742" t="s">
        <v>20</v>
      </c>
      <c r="N742">
        <v>1.1594</v>
      </c>
      <c r="O742">
        <v>1.3407963363439765</v>
      </c>
      <c r="P742">
        <v>6.2353447348607082E-3</v>
      </c>
      <c r="Q742">
        <v>1.1594</v>
      </c>
      <c r="R742">
        <v>54408.381170000001</v>
      </c>
      <c r="S742" t="s">
        <v>19</v>
      </c>
      <c r="T742">
        <v>1.083</v>
      </c>
      <c r="U742">
        <v>50823.078150000001</v>
      </c>
      <c r="V742">
        <v>3585.3030199999994</v>
      </c>
      <c r="W742">
        <v>7.0544783010156958E-2</v>
      </c>
    </row>
    <row r="743" spans="1:23" x14ac:dyDescent="0.25">
      <c r="A743" t="s">
        <v>1609</v>
      </c>
      <c r="B743" t="s">
        <v>44</v>
      </c>
      <c r="C743" t="s">
        <v>138</v>
      </c>
      <c r="D743" t="s">
        <v>33</v>
      </c>
      <c r="E743" t="s">
        <v>88</v>
      </c>
      <c r="F743" s="1">
        <v>45810</v>
      </c>
      <c r="G743">
        <v>45855</v>
      </c>
      <c r="H743" t="s">
        <v>9</v>
      </c>
      <c r="I743">
        <v>448046.8</v>
      </c>
      <c r="J743" t="s">
        <v>75</v>
      </c>
      <c r="K743" t="s">
        <v>1610</v>
      </c>
      <c r="L743">
        <v>45</v>
      </c>
      <c r="M743" t="s">
        <v>44</v>
      </c>
      <c r="N743">
        <v>1.1418999999999999</v>
      </c>
      <c r="O743">
        <v>1.3539245909414275</v>
      </c>
      <c r="P743">
        <v>7.0063811510614801E-3</v>
      </c>
      <c r="Q743">
        <v>7.0063811510614801E-3</v>
      </c>
      <c r="R743">
        <v>3139.1866543134129</v>
      </c>
      <c r="S743" t="s">
        <v>12</v>
      </c>
      <c r="T743">
        <v>6.7000000000000002E-3</v>
      </c>
      <c r="U743">
        <v>3001.91356</v>
      </c>
      <c r="V743">
        <v>137.27309431341291</v>
      </c>
      <c r="W743">
        <v>4.5728530009176184E-2</v>
      </c>
    </row>
    <row r="744" spans="1:23" x14ac:dyDescent="0.25">
      <c r="A744" t="s">
        <v>1607</v>
      </c>
      <c r="B744" t="s">
        <v>26</v>
      </c>
      <c r="C744" t="s">
        <v>94</v>
      </c>
      <c r="D744" t="s">
        <v>31</v>
      </c>
      <c r="E744" t="s">
        <v>74</v>
      </c>
      <c r="F744" s="1">
        <v>45740</v>
      </c>
      <c r="G744">
        <v>45770</v>
      </c>
      <c r="H744" t="s">
        <v>8</v>
      </c>
      <c r="I744">
        <v>25053.13</v>
      </c>
      <c r="J744" t="s">
        <v>75</v>
      </c>
      <c r="K744" t="s">
        <v>1608</v>
      </c>
      <c r="L744">
        <v>30</v>
      </c>
      <c r="M744" t="s">
        <v>26</v>
      </c>
      <c r="N744">
        <v>1.0824</v>
      </c>
      <c r="O744">
        <v>1.2937618780105902</v>
      </c>
      <c r="P744">
        <v>6.6753006475485663E-3</v>
      </c>
      <c r="Q744">
        <v>1.2937618780105902</v>
      </c>
      <c r="R744">
        <v>32412.784518843458</v>
      </c>
      <c r="S744" t="s">
        <v>11</v>
      </c>
      <c r="T744">
        <v>1.238</v>
      </c>
      <c r="U744">
        <v>31015.774939999999</v>
      </c>
      <c r="V744">
        <v>1397.0095788434592</v>
      </c>
      <c r="W744">
        <v>4.5041904693530095E-2</v>
      </c>
    </row>
    <row r="745" spans="1:23" x14ac:dyDescent="0.25">
      <c r="A745" t="s">
        <v>1604</v>
      </c>
      <c r="B745" t="s">
        <v>34</v>
      </c>
      <c r="C745" t="s">
        <v>177</v>
      </c>
      <c r="D745" t="s">
        <v>31</v>
      </c>
      <c r="E745" t="s">
        <v>74</v>
      </c>
      <c r="F745" s="1">
        <v>46159</v>
      </c>
      <c r="G745">
        <v>46219</v>
      </c>
      <c r="H745" t="s">
        <v>8</v>
      </c>
      <c r="I745">
        <v>29757.11</v>
      </c>
      <c r="J745" t="s">
        <v>75</v>
      </c>
      <c r="K745" t="s">
        <v>1605</v>
      </c>
      <c r="L745">
        <v>60</v>
      </c>
      <c r="M745" t="s">
        <v>34</v>
      </c>
      <c r="N745">
        <v>1.1628000000000001</v>
      </c>
      <c r="O745">
        <v>1.3357840321654222</v>
      </c>
      <c r="P745">
        <v>6.3072249945758298E-3</v>
      </c>
      <c r="Q745">
        <v>1.3357840321654222</v>
      </c>
      <c r="R745">
        <v>39749.072381390004</v>
      </c>
      <c r="S745" t="s">
        <v>19</v>
      </c>
      <c r="T745">
        <v>1.2709999999999999</v>
      </c>
      <c r="U745">
        <v>37821.286809999998</v>
      </c>
      <c r="V745">
        <v>1927.7855713900062</v>
      </c>
      <c r="W745">
        <v>5.097091437090652E-2</v>
      </c>
    </row>
    <row r="746" spans="1:23" x14ac:dyDescent="0.25">
      <c r="A746" t="s">
        <v>1604</v>
      </c>
      <c r="B746" t="s">
        <v>25</v>
      </c>
      <c r="C746" t="s">
        <v>169</v>
      </c>
      <c r="D746" t="s">
        <v>31</v>
      </c>
      <c r="E746" t="s">
        <v>124</v>
      </c>
      <c r="F746" s="1">
        <v>46183</v>
      </c>
      <c r="G746">
        <v>46243</v>
      </c>
      <c r="H746" t="s">
        <v>6</v>
      </c>
      <c r="I746">
        <v>76459.789999999994</v>
      </c>
      <c r="J746" t="s">
        <v>75</v>
      </c>
      <c r="K746" t="s">
        <v>1606</v>
      </c>
      <c r="L746">
        <v>60</v>
      </c>
      <c r="M746" t="s">
        <v>25</v>
      </c>
      <c r="N746">
        <v>1.1538999999999999</v>
      </c>
      <c r="O746">
        <v>1.3381964095189496</v>
      </c>
      <c r="P746">
        <v>6.2308979966520864E-3</v>
      </c>
      <c r="Q746">
        <v>1.1538999999999999</v>
      </c>
      <c r="R746">
        <v>88226.951680999991</v>
      </c>
      <c r="S746" t="s">
        <v>19</v>
      </c>
      <c r="T746">
        <v>1.083</v>
      </c>
      <c r="U746">
        <v>82805.952569999994</v>
      </c>
      <c r="V746">
        <v>5420.9991109999974</v>
      </c>
      <c r="W746">
        <v>6.5466297322252967E-2</v>
      </c>
    </row>
    <row r="747" spans="1:23" x14ac:dyDescent="0.25">
      <c r="A747" t="s">
        <v>1602</v>
      </c>
      <c r="B747" t="s">
        <v>36</v>
      </c>
      <c r="C747" t="s">
        <v>116</v>
      </c>
      <c r="D747" t="s">
        <v>31</v>
      </c>
      <c r="E747" t="s">
        <v>74</v>
      </c>
      <c r="F747" s="1">
        <v>46338</v>
      </c>
      <c r="G747">
        <v>46383</v>
      </c>
      <c r="H747" t="s">
        <v>6</v>
      </c>
      <c r="I747">
        <v>11202.01</v>
      </c>
      <c r="J747" t="s">
        <v>84</v>
      </c>
      <c r="K747" t="s">
        <v>1603</v>
      </c>
      <c r="L747">
        <v>45</v>
      </c>
      <c r="M747" t="s">
        <v>36</v>
      </c>
      <c r="N747">
        <v>1.1176999999999999</v>
      </c>
      <c r="O747">
        <v>1.320456022210408</v>
      </c>
      <c r="P747">
        <v>6.3200452360757699E-3</v>
      </c>
      <c r="Q747">
        <v>1.1176999999999999</v>
      </c>
      <c r="R747">
        <v>12520.486577</v>
      </c>
      <c r="S747" t="s">
        <v>23</v>
      </c>
      <c r="T747">
        <v>1.119</v>
      </c>
      <c r="U747">
        <v>12535.04919</v>
      </c>
      <c r="V747">
        <v>-14.562613000000056</v>
      </c>
      <c r="W747">
        <v>-1.1617515638963406E-3</v>
      </c>
    </row>
    <row r="748" spans="1:23" x14ac:dyDescent="0.25">
      <c r="A748" t="s">
        <v>1600</v>
      </c>
      <c r="B748" t="s">
        <v>24</v>
      </c>
      <c r="C748" t="s">
        <v>73</v>
      </c>
      <c r="D748" t="s">
        <v>31</v>
      </c>
      <c r="E748" t="s">
        <v>74</v>
      </c>
      <c r="F748" s="1">
        <v>46374</v>
      </c>
      <c r="G748">
        <v>46404</v>
      </c>
      <c r="H748" t="s">
        <v>6</v>
      </c>
      <c r="I748">
        <v>26298.92</v>
      </c>
      <c r="J748" t="s">
        <v>84</v>
      </c>
      <c r="K748" t="s">
        <v>1601</v>
      </c>
      <c r="L748">
        <v>30</v>
      </c>
      <c r="M748" t="s">
        <v>24</v>
      </c>
      <c r="N748">
        <v>1.1176999999999999</v>
      </c>
      <c r="O748">
        <v>1.320456022210408</v>
      </c>
      <c r="P748">
        <v>6.3200452360757699E-3</v>
      </c>
      <c r="Q748">
        <v>1.1176999999999999</v>
      </c>
      <c r="R748">
        <v>29394.302883999997</v>
      </c>
      <c r="S748" t="s">
        <v>23</v>
      </c>
      <c r="T748">
        <v>1.119</v>
      </c>
      <c r="U748">
        <v>29428.491479999997</v>
      </c>
      <c r="V748">
        <v>-34.188595999999961</v>
      </c>
      <c r="W748">
        <v>-1.1617515638963347E-3</v>
      </c>
    </row>
    <row r="749" spans="1:23" x14ac:dyDescent="0.25">
      <c r="A749" t="s">
        <v>1598</v>
      </c>
      <c r="B749" t="s">
        <v>39</v>
      </c>
      <c r="C749" t="s">
        <v>82</v>
      </c>
      <c r="D749" t="s">
        <v>33</v>
      </c>
      <c r="E749" t="s">
        <v>83</v>
      </c>
      <c r="F749" s="1">
        <v>46152</v>
      </c>
      <c r="G749">
        <v>46197</v>
      </c>
      <c r="H749" t="s">
        <v>8</v>
      </c>
      <c r="I749">
        <v>6612.68</v>
      </c>
      <c r="J749" t="s">
        <v>75</v>
      </c>
      <c r="K749" t="s">
        <v>1599</v>
      </c>
      <c r="L749">
        <v>45</v>
      </c>
      <c r="M749" t="s">
        <v>39</v>
      </c>
      <c r="N749">
        <v>1.1760999999999999</v>
      </c>
      <c r="O749">
        <v>1.3610693206804767</v>
      </c>
      <c r="P749">
        <v>6.3790204480121491E-3</v>
      </c>
      <c r="Q749">
        <v>1.3610693206804767</v>
      </c>
      <c r="R749">
        <v>9000.3158754773758</v>
      </c>
      <c r="S749" t="s">
        <v>19</v>
      </c>
      <c r="T749">
        <v>1.2709999999999999</v>
      </c>
      <c r="U749">
        <v>8404.7162800000006</v>
      </c>
      <c r="V749">
        <v>595.59959547737526</v>
      </c>
      <c r="W749">
        <v>7.0864925791091091E-2</v>
      </c>
    </row>
    <row r="750" spans="1:23" x14ac:dyDescent="0.25">
      <c r="A750" t="s">
        <v>1596</v>
      </c>
      <c r="B750" t="s">
        <v>24</v>
      </c>
      <c r="C750" t="s">
        <v>73</v>
      </c>
      <c r="D750" t="s">
        <v>31</v>
      </c>
      <c r="E750" t="s">
        <v>74</v>
      </c>
      <c r="F750" s="1">
        <v>46140</v>
      </c>
      <c r="G750">
        <v>46170</v>
      </c>
      <c r="H750" t="s">
        <v>6</v>
      </c>
      <c r="I750">
        <v>41823.93</v>
      </c>
      <c r="J750" t="s">
        <v>75</v>
      </c>
      <c r="K750" t="s">
        <v>1597</v>
      </c>
      <c r="L750">
        <v>30</v>
      </c>
      <c r="M750" t="s">
        <v>24</v>
      </c>
      <c r="N750">
        <v>1.1679999999999999</v>
      </c>
      <c r="O750">
        <v>1.3469411289857578</v>
      </c>
      <c r="P750">
        <v>6.2600493086075668E-3</v>
      </c>
      <c r="Q750">
        <v>1.1679999999999999</v>
      </c>
      <c r="R750">
        <v>48850.35024</v>
      </c>
      <c r="S750" t="s">
        <v>19</v>
      </c>
      <c r="T750">
        <v>1.083</v>
      </c>
      <c r="U750">
        <v>45295.316189999998</v>
      </c>
      <c r="V750">
        <v>3555.034050000002</v>
      </c>
      <c r="W750">
        <v>7.8485687903970508E-2</v>
      </c>
    </row>
    <row r="751" spans="1:23" x14ac:dyDescent="0.25">
      <c r="A751" t="s">
        <v>1594</v>
      </c>
      <c r="B751" t="s">
        <v>28</v>
      </c>
      <c r="C751" t="s">
        <v>111</v>
      </c>
      <c r="D751" t="s">
        <v>31</v>
      </c>
      <c r="E751" t="s">
        <v>74</v>
      </c>
      <c r="F751" s="1">
        <v>46249</v>
      </c>
      <c r="G751">
        <v>46294</v>
      </c>
      <c r="H751" t="s">
        <v>9</v>
      </c>
      <c r="I751">
        <v>2102025.02</v>
      </c>
      <c r="J751" t="s">
        <v>75</v>
      </c>
      <c r="K751" t="s">
        <v>1595</v>
      </c>
      <c r="L751">
        <v>45</v>
      </c>
      <c r="M751" t="s">
        <v>28</v>
      </c>
      <c r="N751">
        <v>1.1567000000000001</v>
      </c>
      <c r="O751">
        <v>1.3536571094207139</v>
      </c>
      <c r="P751">
        <v>6.2888055238405913E-3</v>
      </c>
      <c r="Q751">
        <v>6.2888055238405913E-3</v>
      </c>
      <c r="R751">
        <v>13219.22655702713</v>
      </c>
      <c r="S751" t="s">
        <v>21</v>
      </c>
      <c r="T751">
        <v>6.7400000000000003E-3</v>
      </c>
      <c r="U751">
        <v>14167.648634800002</v>
      </c>
      <c r="V751">
        <v>-948.42207777287149</v>
      </c>
      <c r="W751">
        <v>-6.6942800617123002E-2</v>
      </c>
    </row>
    <row r="752" spans="1:23" x14ac:dyDescent="0.25">
      <c r="A752" t="s">
        <v>1592</v>
      </c>
      <c r="B752" t="s">
        <v>30</v>
      </c>
      <c r="C752" t="s">
        <v>103</v>
      </c>
      <c r="D752" t="s">
        <v>31</v>
      </c>
      <c r="E752" t="s">
        <v>74</v>
      </c>
      <c r="F752" s="1">
        <v>45839</v>
      </c>
      <c r="G752">
        <v>45869</v>
      </c>
      <c r="H752" t="s">
        <v>9</v>
      </c>
      <c r="I752">
        <v>2099939.0499999998</v>
      </c>
      <c r="J752" t="s">
        <v>75</v>
      </c>
      <c r="K752" t="s">
        <v>1593</v>
      </c>
      <c r="L752">
        <v>30</v>
      </c>
      <c r="M752" t="s">
        <v>30</v>
      </c>
      <c r="N752">
        <v>1.181</v>
      </c>
      <c r="O752">
        <v>1.3751746623195156</v>
      </c>
      <c r="P752">
        <v>7.0005927682276238E-3</v>
      </c>
      <c r="Q752">
        <v>7.0005927682276238E-3</v>
      </c>
      <c r="R752">
        <v>14700.818127148785</v>
      </c>
      <c r="S752" t="s">
        <v>13</v>
      </c>
      <c r="T752">
        <v>6.8399999999999997E-3</v>
      </c>
      <c r="U752">
        <v>14363.583101999999</v>
      </c>
      <c r="V752">
        <v>337.23502514878601</v>
      </c>
      <c r="W752">
        <v>2.3478474887079472E-2</v>
      </c>
    </row>
    <row r="753" spans="1:23" x14ac:dyDescent="0.25">
      <c r="A753" t="s">
        <v>1590</v>
      </c>
      <c r="B753" t="s">
        <v>28</v>
      </c>
      <c r="C753" t="s">
        <v>111</v>
      </c>
      <c r="D753" t="s">
        <v>31</v>
      </c>
      <c r="E753" t="s">
        <v>74</v>
      </c>
      <c r="F753" s="1">
        <v>46345</v>
      </c>
      <c r="G753">
        <v>46390</v>
      </c>
      <c r="H753" t="s">
        <v>9</v>
      </c>
      <c r="I753">
        <v>776172.43</v>
      </c>
      <c r="J753" t="s">
        <v>84</v>
      </c>
      <c r="K753" t="s">
        <v>1591</v>
      </c>
      <c r="L753">
        <v>45</v>
      </c>
      <c r="M753" t="s">
        <v>28</v>
      </c>
      <c r="N753">
        <v>1.1176999999999999</v>
      </c>
      <c r="O753">
        <v>1.320456022210408</v>
      </c>
      <c r="P753">
        <v>6.3200452360757699E-3</v>
      </c>
      <c r="Q753">
        <v>6.3200452360757699E-3</v>
      </c>
      <c r="R753">
        <v>4905.4448685948546</v>
      </c>
      <c r="S753" t="s">
        <v>23</v>
      </c>
      <c r="T753">
        <v>6.8799999999999998E-3</v>
      </c>
      <c r="U753">
        <v>5340.0663184000005</v>
      </c>
      <c r="V753">
        <v>-434.62144980514586</v>
      </c>
      <c r="W753">
        <v>-8.1388773826196206E-2</v>
      </c>
    </row>
    <row r="754" spans="1:23" x14ac:dyDescent="0.25">
      <c r="A754" t="s">
        <v>1588</v>
      </c>
      <c r="B754" t="s">
        <v>37</v>
      </c>
      <c r="C754" t="s">
        <v>91</v>
      </c>
      <c r="D754" t="s">
        <v>31</v>
      </c>
      <c r="E754" t="s">
        <v>74</v>
      </c>
      <c r="F754" s="1">
        <v>46368</v>
      </c>
      <c r="G754">
        <v>46398</v>
      </c>
      <c r="H754" t="s">
        <v>6</v>
      </c>
      <c r="I754">
        <v>18776.93</v>
      </c>
      <c r="J754" t="s">
        <v>84</v>
      </c>
      <c r="K754" t="s">
        <v>1589</v>
      </c>
      <c r="L754">
        <v>30</v>
      </c>
      <c r="M754" t="s">
        <v>37</v>
      </c>
      <c r="N754">
        <v>1.1176999999999999</v>
      </c>
      <c r="O754">
        <v>1.320456022210408</v>
      </c>
      <c r="P754">
        <v>6.3200452360757699E-3</v>
      </c>
      <c r="Q754">
        <v>1.1176999999999999</v>
      </c>
      <c r="R754">
        <v>20986.974661</v>
      </c>
      <c r="S754" t="s">
        <v>23</v>
      </c>
      <c r="T754">
        <v>1.119</v>
      </c>
      <c r="U754">
        <v>21011.384669999999</v>
      </c>
      <c r="V754">
        <v>-24.410008999999263</v>
      </c>
      <c r="W754">
        <v>-1.1617515638963009E-3</v>
      </c>
    </row>
    <row r="755" spans="1:23" x14ac:dyDescent="0.25">
      <c r="A755" t="s">
        <v>1586</v>
      </c>
      <c r="B755" t="s">
        <v>36</v>
      </c>
      <c r="C755" t="s">
        <v>116</v>
      </c>
      <c r="D755" t="s">
        <v>31</v>
      </c>
      <c r="E755" t="s">
        <v>74</v>
      </c>
      <c r="F755" s="1">
        <v>46048</v>
      </c>
      <c r="G755">
        <v>46093</v>
      </c>
      <c r="H755" t="s">
        <v>6</v>
      </c>
      <c r="I755">
        <v>10578.3</v>
      </c>
      <c r="J755" t="s">
        <v>75</v>
      </c>
      <c r="K755" t="s">
        <v>1587</v>
      </c>
      <c r="L755">
        <v>45</v>
      </c>
      <c r="M755" t="s">
        <v>36</v>
      </c>
      <c r="N755">
        <v>1.1836</v>
      </c>
      <c r="O755">
        <v>1.3643804034582132</v>
      </c>
      <c r="P755">
        <v>6.4847687924610995E-3</v>
      </c>
      <c r="Q755">
        <v>1.1836</v>
      </c>
      <c r="R755">
        <v>12520.475879999998</v>
      </c>
      <c r="S755" t="s">
        <v>16</v>
      </c>
      <c r="T755">
        <v>1.0649999999999999</v>
      </c>
      <c r="U755">
        <v>11265.889499999999</v>
      </c>
      <c r="V755">
        <v>1254.5863799999988</v>
      </c>
      <c r="W755">
        <v>0.11136150234741775</v>
      </c>
    </row>
    <row r="756" spans="1:23" x14ac:dyDescent="0.25">
      <c r="A756" t="s">
        <v>1584</v>
      </c>
      <c r="B756" t="s">
        <v>20</v>
      </c>
      <c r="C756" t="s">
        <v>123</v>
      </c>
      <c r="D756" t="s">
        <v>31</v>
      </c>
      <c r="E756" t="s">
        <v>124</v>
      </c>
      <c r="F756" s="1">
        <v>45817</v>
      </c>
      <c r="G756">
        <v>45862</v>
      </c>
      <c r="H756" t="s">
        <v>6</v>
      </c>
      <c r="I756">
        <v>46385.51</v>
      </c>
      <c r="J756" t="s">
        <v>75</v>
      </c>
      <c r="K756" t="s">
        <v>1585</v>
      </c>
      <c r="L756">
        <v>45</v>
      </c>
      <c r="M756" t="s">
        <v>20</v>
      </c>
      <c r="N756">
        <v>1.141</v>
      </c>
      <c r="O756">
        <v>1.354463437796771</v>
      </c>
      <c r="P756">
        <v>6.9201843765162542E-3</v>
      </c>
      <c r="Q756">
        <v>1.141</v>
      </c>
      <c r="R756">
        <v>52925.866910000004</v>
      </c>
      <c r="S756" t="s">
        <v>12</v>
      </c>
      <c r="T756">
        <v>1.07</v>
      </c>
      <c r="U756">
        <v>49632.495700000007</v>
      </c>
      <c r="V756">
        <v>3293.3712099999975</v>
      </c>
      <c r="W756">
        <v>6.6355140186915823E-2</v>
      </c>
    </row>
    <row r="757" spans="1:23" x14ac:dyDescent="0.25">
      <c r="A757" t="s">
        <v>1582</v>
      </c>
      <c r="B757" t="s">
        <v>38</v>
      </c>
      <c r="C757" t="s">
        <v>87</v>
      </c>
      <c r="D757" t="s">
        <v>33</v>
      </c>
      <c r="E757" t="s">
        <v>88</v>
      </c>
      <c r="F757" s="1">
        <v>46320</v>
      </c>
      <c r="G757">
        <v>46350</v>
      </c>
      <c r="H757" t="s">
        <v>6</v>
      </c>
      <c r="I757">
        <v>6424.95</v>
      </c>
      <c r="J757" t="s">
        <v>84</v>
      </c>
      <c r="K757" t="s">
        <v>1583</v>
      </c>
      <c r="L757">
        <v>30</v>
      </c>
      <c r="M757" t="s">
        <v>38</v>
      </c>
      <c r="N757">
        <v>1.1176999999999999</v>
      </c>
      <c r="O757">
        <v>1.320456022210408</v>
      </c>
      <c r="P757">
        <v>6.3200452360757699E-3</v>
      </c>
      <c r="Q757">
        <v>1.1176999999999999</v>
      </c>
      <c r="R757">
        <v>7181.1666149999992</v>
      </c>
      <c r="S757" t="s">
        <v>23</v>
      </c>
      <c r="T757">
        <v>1.119</v>
      </c>
      <c r="U757">
        <v>7189.5190499999999</v>
      </c>
      <c r="V757">
        <v>-8.3524350000006962</v>
      </c>
      <c r="W757">
        <v>-1.1617515638964329E-3</v>
      </c>
    </row>
    <row r="758" spans="1:23" x14ac:dyDescent="0.25">
      <c r="A758" t="s">
        <v>1580</v>
      </c>
      <c r="B758" t="s">
        <v>22</v>
      </c>
      <c r="C758" t="s">
        <v>127</v>
      </c>
      <c r="D758" t="s">
        <v>31</v>
      </c>
      <c r="E758" t="s">
        <v>124</v>
      </c>
      <c r="F758" s="1">
        <v>46314</v>
      </c>
      <c r="G758">
        <v>46374</v>
      </c>
      <c r="H758" t="s">
        <v>9</v>
      </c>
      <c r="I758">
        <v>6574219.2300000004</v>
      </c>
      <c r="J758" t="s">
        <v>84</v>
      </c>
      <c r="K758" t="s">
        <v>1581</v>
      </c>
      <c r="L758">
        <v>60</v>
      </c>
      <c r="M758" t="s">
        <v>22</v>
      </c>
      <c r="N758">
        <v>1.1176999999999999</v>
      </c>
      <c r="O758">
        <v>1.320456022210408</v>
      </c>
      <c r="P758">
        <v>6.3200452360757699E-3</v>
      </c>
      <c r="Q758">
        <v>6.3200452360757699E-3</v>
      </c>
      <c r="R758">
        <v>41549.362925479218</v>
      </c>
      <c r="S758" t="s">
        <v>23</v>
      </c>
      <c r="T758">
        <v>6.8799999999999998E-3</v>
      </c>
      <c r="U758">
        <v>45230.6283024</v>
      </c>
      <c r="V758">
        <v>-3681.2653769207827</v>
      </c>
      <c r="W758">
        <v>-8.1388773826196206E-2</v>
      </c>
    </row>
    <row r="759" spans="1:23" x14ac:dyDescent="0.25">
      <c r="A759" t="s">
        <v>1578</v>
      </c>
      <c r="B759" t="s">
        <v>38</v>
      </c>
      <c r="C759" t="s">
        <v>87</v>
      </c>
      <c r="D759" t="s">
        <v>33</v>
      </c>
      <c r="E759" t="s">
        <v>88</v>
      </c>
      <c r="F759" s="1">
        <v>46159</v>
      </c>
      <c r="G759">
        <v>46189</v>
      </c>
      <c r="H759" t="s">
        <v>6</v>
      </c>
      <c r="I759">
        <v>1794.62</v>
      </c>
      <c r="J759" t="s">
        <v>75</v>
      </c>
      <c r="K759" t="s">
        <v>1579</v>
      </c>
      <c r="L759">
        <v>30</v>
      </c>
      <c r="M759" t="s">
        <v>38</v>
      </c>
      <c r="N759">
        <v>1.1628000000000001</v>
      </c>
      <c r="O759">
        <v>1.3357840321654222</v>
      </c>
      <c r="P759">
        <v>6.3072249945758298E-3</v>
      </c>
      <c r="Q759">
        <v>1.1628000000000001</v>
      </c>
      <c r="R759">
        <v>2086.7841359999998</v>
      </c>
      <c r="S759" t="s">
        <v>19</v>
      </c>
      <c r="T759">
        <v>1.083</v>
      </c>
      <c r="U759">
        <v>1943.5734599999998</v>
      </c>
      <c r="V759">
        <v>143.21067599999992</v>
      </c>
      <c r="W759">
        <v>7.3684210526315755E-2</v>
      </c>
    </row>
    <row r="760" spans="1:23" x14ac:dyDescent="0.25">
      <c r="A760" t="s">
        <v>1576</v>
      </c>
      <c r="B760" t="s">
        <v>38</v>
      </c>
      <c r="C760" t="s">
        <v>87</v>
      </c>
      <c r="D760" t="s">
        <v>33</v>
      </c>
      <c r="E760" t="s">
        <v>88</v>
      </c>
      <c r="F760" s="1">
        <v>46008</v>
      </c>
      <c r="G760">
        <v>46038</v>
      </c>
      <c r="H760" t="s">
        <v>6</v>
      </c>
      <c r="I760">
        <v>5019.05</v>
      </c>
      <c r="J760" t="s">
        <v>75</v>
      </c>
      <c r="K760" t="s">
        <v>1577</v>
      </c>
      <c r="L760">
        <v>30</v>
      </c>
      <c r="M760" t="s">
        <v>38</v>
      </c>
      <c r="N760">
        <v>1.1721999999999999</v>
      </c>
      <c r="O760">
        <v>1.3343198634035287</v>
      </c>
      <c r="P760">
        <v>6.4272398289286102E-3</v>
      </c>
      <c r="Q760">
        <v>1.1721999999999999</v>
      </c>
      <c r="R760">
        <v>5883.3304099999996</v>
      </c>
      <c r="S760" t="s">
        <v>14</v>
      </c>
      <c r="T760">
        <v>1.1060000000000001</v>
      </c>
      <c r="U760">
        <v>5551.069300000001</v>
      </c>
      <c r="V760">
        <v>332.26110999999855</v>
      </c>
      <c r="W760">
        <v>5.985533453887857E-2</v>
      </c>
    </row>
    <row r="761" spans="1:23" x14ac:dyDescent="0.25">
      <c r="A761" t="s">
        <v>1574</v>
      </c>
      <c r="B761" t="s">
        <v>43</v>
      </c>
      <c r="C761" t="s">
        <v>215</v>
      </c>
      <c r="D761" t="s">
        <v>35</v>
      </c>
      <c r="E761" t="s">
        <v>152</v>
      </c>
      <c r="F761" s="1">
        <v>45712</v>
      </c>
      <c r="G761">
        <v>45742</v>
      </c>
      <c r="H761" t="s">
        <v>6</v>
      </c>
      <c r="I761">
        <v>2498.3000000000002</v>
      </c>
      <c r="J761" t="s">
        <v>75</v>
      </c>
      <c r="K761" t="s">
        <v>1575</v>
      </c>
      <c r="L761">
        <v>30</v>
      </c>
      <c r="M761" t="s">
        <v>43</v>
      </c>
      <c r="N761">
        <v>1.0466</v>
      </c>
      <c r="O761">
        <v>1.2635518531932874</v>
      </c>
      <c r="P761">
        <v>6.6743192398443976E-3</v>
      </c>
      <c r="Q761">
        <v>1.0466</v>
      </c>
      <c r="R761">
        <v>2614.7207800000001</v>
      </c>
      <c r="S761" t="s">
        <v>11</v>
      </c>
      <c r="T761">
        <v>1.052</v>
      </c>
      <c r="U761">
        <v>2628.2116000000001</v>
      </c>
      <c r="V761">
        <v>-13.490819999999985</v>
      </c>
      <c r="W761">
        <v>-5.1330798479087393E-3</v>
      </c>
    </row>
    <row r="762" spans="1:23" x14ac:dyDescent="0.25">
      <c r="A762" t="s">
        <v>1572</v>
      </c>
      <c r="B762" t="s">
        <v>38</v>
      </c>
      <c r="C762" t="s">
        <v>87</v>
      </c>
      <c r="D762" t="s">
        <v>33</v>
      </c>
      <c r="E762" t="s">
        <v>88</v>
      </c>
      <c r="F762" s="1">
        <v>45700</v>
      </c>
      <c r="G762">
        <v>45730</v>
      </c>
      <c r="H762" t="s">
        <v>6</v>
      </c>
      <c r="I762">
        <v>5282.64</v>
      </c>
      <c r="J762" t="s">
        <v>75</v>
      </c>
      <c r="K762" t="s">
        <v>1573</v>
      </c>
      <c r="L762">
        <v>30</v>
      </c>
      <c r="M762" t="s">
        <v>38</v>
      </c>
      <c r="N762">
        <v>1.0369999999999999</v>
      </c>
      <c r="O762">
        <v>1.2443303175022198</v>
      </c>
      <c r="P762">
        <v>6.5130008792865218E-3</v>
      </c>
      <c r="Q762">
        <v>1.0369999999999999</v>
      </c>
      <c r="R762">
        <v>5478.0976799999999</v>
      </c>
      <c r="S762" t="s">
        <v>11</v>
      </c>
      <c r="T762">
        <v>1.052</v>
      </c>
      <c r="U762">
        <v>5557.3372800000006</v>
      </c>
      <c r="V762">
        <v>-79.239600000000792</v>
      </c>
      <c r="W762">
        <v>-1.4258555133079989E-2</v>
      </c>
    </row>
    <row r="763" spans="1:23" x14ac:dyDescent="0.25">
      <c r="A763" t="s">
        <v>1570</v>
      </c>
      <c r="B763" t="s">
        <v>22</v>
      </c>
      <c r="C763" t="s">
        <v>127</v>
      </c>
      <c r="D763" t="s">
        <v>31</v>
      </c>
      <c r="E763" t="s">
        <v>124</v>
      </c>
      <c r="F763" s="1">
        <v>45688</v>
      </c>
      <c r="G763">
        <v>45748</v>
      </c>
      <c r="H763" t="s">
        <v>9</v>
      </c>
      <c r="I763">
        <v>4693929.29</v>
      </c>
      <c r="J763" t="s">
        <v>75</v>
      </c>
      <c r="K763" t="s">
        <v>1571</v>
      </c>
      <c r="L763">
        <v>60</v>
      </c>
      <c r="M763" t="s">
        <v>22</v>
      </c>
      <c r="N763">
        <v>1.0392999999999999</v>
      </c>
      <c r="O763">
        <v>1.2430628647976267</v>
      </c>
      <c r="P763">
        <v>6.455680477048263E-3</v>
      </c>
      <c r="Q763">
        <v>6.455680477048263E-3</v>
      </c>
      <c r="R763">
        <v>30302.507678098016</v>
      </c>
      <c r="S763" t="s">
        <v>11</v>
      </c>
      <c r="T763">
        <v>6.5599999999999999E-3</v>
      </c>
      <c r="U763">
        <v>30792.1761424</v>
      </c>
      <c r="V763">
        <v>-489.66846430198348</v>
      </c>
      <c r="W763">
        <v>-1.5902366303618378E-2</v>
      </c>
    </row>
    <row r="764" spans="1:23" x14ac:dyDescent="0.25">
      <c r="A764" t="s">
        <v>1568</v>
      </c>
      <c r="B764" t="s">
        <v>26</v>
      </c>
      <c r="C764" t="s">
        <v>94</v>
      </c>
      <c r="D764" t="s">
        <v>31</v>
      </c>
      <c r="E764" t="s">
        <v>74</v>
      </c>
      <c r="F764" s="1">
        <v>45932</v>
      </c>
      <c r="G764">
        <v>45962</v>
      </c>
      <c r="H764" t="s">
        <v>8</v>
      </c>
      <c r="I764">
        <v>14466.94</v>
      </c>
      <c r="J764" t="s">
        <v>75</v>
      </c>
      <c r="K764" t="s">
        <v>1569</v>
      </c>
      <c r="L764">
        <v>30</v>
      </c>
      <c r="M764" t="s">
        <v>26</v>
      </c>
      <c r="N764">
        <v>1.1754</v>
      </c>
      <c r="O764">
        <v>1.3477812177502579</v>
      </c>
      <c r="P764">
        <v>6.8127282211789255E-3</v>
      </c>
      <c r="Q764">
        <v>1.3477812177502579</v>
      </c>
      <c r="R764">
        <v>19498.270010319917</v>
      </c>
      <c r="S764" t="s">
        <v>14</v>
      </c>
      <c r="T764">
        <v>1.304</v>
      </c>
      <c r="U764">
        <v>18864.889760000002</v>
      </c>
      <c r="V764">
        <v>633.38025031991492</v>
      </c>
      <c r="W764">
        <v>3.357455348946152E-2</v>
      </c>
    </row>
    <row r="765" spans="1:23" x14ac:dyDescent="0.25">
      <c r="A765" t="s">
        <v>1566</v>
      </c>
      <c r="B765" t="s">
        <v>38</v>
      </c>
      <c r="C765" t="s">
        <v>87</v>
      </c>
      <c r="D765" t="s">
        <v>33</v>
      </c>
      <c r="E765" t="s">
        <v>88</v>
      </c>
      <c r="F765" s="1">
        <v>46200</v>
      </c>
      <c r="G765">
        <v>46230</v>
      </c>
      <c r="H765" t="s">
        <v>6</v>
      </c>
      <c r="I765">
        <v>2976.85</v>
      </c>
      <c r="J765" t="s">
        <v>75</v>
      </c>
      <c r="K765" t="s">
        <v>1567</v>
      </c>
      <c r="L765">
        <v>30</v>
      </c>
      <c r="M765" t="s">
        <v>38</v>
      </c>
      <c r="N765">
        <v>1.1400999999999999</v>
      </c>
      <c r="O765">
        <v>1.3218090964951943</v>
      </c>
      <c r="P765">
        <v>6.1861096039066733E-3</v>
      </c>
      <c r="Q765">
        <v>1.1400999999999999</v>
      </c>
      <c r="R765">
        <v>3393.9066849999995</v>
      </c>
      <c r="S765" t="s">
        <v>19</v>
      </c>
      <c r="T765">
        <v>1.083</v>
      </c>
      <c r="U765">
        <v>3223.9285499999996</v>
      </c>
      <c r="V765">
        <v>169.97813499999984</v>
      </c>
      <c r="W765">
        <v>5.272391505078481E-2</v>
      </c>
    </row>
    <row r="766" spans="1:23" x14ac:dyDescent="0.25">
      <c r="A766" t="s">
        <v>1564</v>
      </c>
      <c r="B766" t="s">
        <v>26</v>
      </c>
      <c r="C766" t="s">
        <v>94</v>
      </c>
      <c r="D766" t="s">
        <v>31</v>
      </c>
      <c r="E766" t="s">
        <v>74</v>
      </c>
      <c r="F766" s="1">
        <v>46288</v>
      </c>
      <c r="G766">
        <v>46318</v>
      </c>
      <c r="H766" t="s">
        <v>8</v>
      </c>
      <c r="I766">
        <v>14290.98</v>
      </c>
      <c r="J766" t="s">
        <v>75</v>
      </c>
      <c r="K766" t="s">
        <v>1565</v>
      </c>
      <c r="L766">
        <v>30</v>
      </c>
      <c r="M766" t="s">
        <v>26</v>
      </c>
      <c r="N766">
        <v>1.1411</v>
      </c>
      <c r="O766">
        <v>1.327632344386271</v>
      </c>
      <c r="P766">
        <v>6.3324084350721427E-3</v>
      </c>
      <c r="Q766">
        <v>1.327632344386271</v>
      </c>
      <c r="R766">
        <v>18973.167280977312</v>
      </c>
      <c r="S766" t="s">
        <v>21</v>
      </c>
      <c r="T766">
        <v>1.2929999999999999</v>
      </c>
      <c r="U766">
        <v>18478.237139999997</v>
      </c>
      <c r="V766">
        <v>494.9301409773143</v>
      </c>
      <c r="W766">
        <v>2.6784489084509842E-2</v>
      </c>
    </row>
    <row r="767" spans="1:23" x14ac:dyDescent="0.25">
      <c r="A767" t="s">
        <v>1562</v>
      </c>
      <c r="B767" t="s">
        <v>26</v>
      </c>
      <c r="C767" t="s">
        <v>94</v>
      </c>
      <c r="D767" t="s">
        <v>31</v>
      </c>
      <c r="E767" t="s">
        <v>74</v>
      </c>
      <c r="F767" s="1">
        <v>46094</v>
      </c>
      <c r="G767">
        <v>46124</v>
      </c>
      <c r="H767" t="s">
        <v>8</v>
      </c>
      <c r="I767">
        <v>29501.97</v>
      </c>
      <c r="J767" t="s">
        <v>75</v>
      </c>
      <c r="K767" t="s">
        <v>1563</v>
      </c>
      <c r="L767">
        <v>30</v>
      </c>
      <c r="M767" t="s">
        <v>26</v>
      </c>
      <c r="N767">
        <v>1.1476</v>
      </c>
      <c r="O767">
        <v>1.3266591910107164</v>
      </c>
      <c r="P767">
        <v>6.2761826633852885E-3</v>
      </c>
      <c r="Q767">
        <v>1.3266591910107164</v>
      </c>
      <c r="R767">
        <v>39139.059653422424</v>
      </c>
      <c r="S767" t="s">
        <v>16</v>
      </c>
      <c r="T767">
        <v>1.2490000000000001</v>
      </c>
      <c r="U767">
        <v>36847.960530000004</v>
      </c>
      <c r="V767">
        <v>2291.0991234224202</v>
      </c>
      <c r="W767">
        <v>6.2177094484160318E-2</v>
      </c>
    </row>
    <row r="768" spans="1:23" x14ac:dyDescent="0.25">
      <c r="A768" t="s">
        <v>1560</v>
      </c>
      <c r="B768" t="s">
        <v>32</v>
      </c>
      <c r="C768" t="s">
        <v>106</v>
      </c>
      <c r="D768" t="s">
        <v>31</v>
      </c>
      <c r="E768" t="s">
        <v>74</v>
      </c>
      <c r="F768" s="1">
        <v>46015</v>
      </c>
      <c r="G768">
        <v>46045</v>
      </c>
      <c r="H768" t="s">
        <v>6</v>
      </c>
      <c r="I768">
        <v>14822.4</v>
      </c>
      <c r="J768" t="s">
        <v>75</v>
      </c>
      <c r="K768" t="s">
        <v>1561</v>
      </c>
      <c r="L768">
        <v>30</v>
      </c>
      <c r="M768" t="s">
        <v>32</v>
      </c>
      <c r="N768">
        <v>1.1787000000000001</v>
      </c>
      <c r="O768">
        <v>1.350326497880628</v>
      </c>
      <c r="P768">
        <v>6.4119023010390033E-3</v>
      </c>
      <c r="Q768">
        <v>1.1787000000000001</v>
      </c>
      <c r="R768">
        <v>17471.16288</v>
      </c>
      <c r="S768" t="s">
        <v>14</v>
      </c>
      <c r="T768">
        <v>1.1060000000000001</v>
      </c>
      <c r="U768">
        <v>16393.574400000001</v>
      </c>
      <c r="V768">
        <v>1077.5884799999985</v>
      </c>
      <c r="W768">
        <v>6.5732368896925769E-2</v>
      </c>
    </row>
    <row r="769" spans="1:23" x14ac:dyDescent="0.25">
      <c r="A769" t="s">
        <v>1558</v>
      </c>
      <c r="B769" t="s">
        <v>30</v>
      </c>
      <c r="C769" t="s">
        <v>103</v>
      </c>
      <c r="D769" t="s">
        <v>31</v>
      </c>
      <c r="E769" t="s">
        <v>74</v>
      </c>
      <c r="F769" s="1">
        <v>45706</v>
      </c>
      <c r="G769">
        <v>45736</v>
      </c>
      <c r="H769" t="s">
        <v>9</v>
      </c>
      <c r="I769">
        <v>4849643.96</v>
      </c>
      <c r="J769" t="s">
        <v>75</v>
      </c>
      <c r="K769" t="s">
        <v>1559</v>
      </c>
      <c r="L769">
        <v>30</v>
      </c>
      <c r="M769" t="s">
        <v>30</v>
      </c>
      <c r="N769">
        <v>1.0447</v>
      </c>
      <c r="O769">
        <v>1.2582956940680516</v>
      </c>
      <c r="P769">
        <v>6.5890886155786808E-3</v>
      </c>
      <c r="Q769">
        <v>6.5890886155786808E-3</v>
      </c>
      <c r="R769">
        <v>31954.733806445911</v>
      </c>
      <c r="S769" t="s">
        <v>11</v>
      </c>
      <c r="T769">
        <v>6.5599999999999999E-3</v>
      </c>
      <c r="U769">
        <v>31813.664377599998</v>
      </c>
      <c r="V769">
        <v>141.06942884591263</v>
      </c>
      <c r="W769">
        <v>4.4342401796769945E-3</v>
      </c>
    </row>
    <row r="770" spans="1:23" x14ac:dyDescent="0.25">
      <c r="A770" t="s">
        <v>1556</v>
      </c>
      <c r="B770" t="s">
        <v>38</v>
      </c>
      <c r="C770" t="s">
        <v>87</v>
      </c>
      <c r="D770" t="s">
        <v>33</v>
      </c>
      <c r="E770" t="s">
        <v>88</v>
      </c>
      <c r="F770" s="1">
        <v>46032</v>
      </c>
      <c r="G770">
        <v>46062</v>
      </c>
      <c r="H770" t="s">
        <v>6</v>
      </c>
      <c r="I770">
        <v>5797.25</v>
      </c>
      <c r="J770" t="s">
        <v>75</v>
      </c>
      <c r="K770" t="s">
        <v>1557</v>
      </c>
      <c r="L770">
        <v>30</v>
      </c>
      <c r="M770" t="s">
        <v>38</v>
      </c>
      <c r="N770">
        <v>1.1555</v>
      </c>
      <c r="O770">
        <v>1.3367963164349013</v>
      </c>
      <c r="P770">
        <v>6.2983756677204832E-3</v>
      </c>
      <c r="Q770">
        <v>1.1555</v>
      </c>
      <c r="R770">
        <v>6698.7223750000003</v>
      </c>
      <c r="S770" t="s">
        <v>16</v>
      </c>
      <c r="T770">
        <v>1.0649999999999999</v>
      </c>
      <c r="U770">
        <v>6174.07125</v>
      </c>
      <c r="V770">
        <v>524.65112500000032</v>
      </c>
      <c r="W770">
        <v>8.4976525821596302E-2</v>
      </c>
    </row>
    <row r="771" spans="1:23" x14ac:dyDescent="0.25">
      <c r="A771" t="s">
        <v>1554</v>
      </c>
      <c r="B771" t="s">
        <v>30</v>
      </c>
      <c r="C771" t="s">
        <v>103</v>
      </c>
      <c r="D771" t="s">
        <v>31</v>
      </c>
      <c r="E771" t="s">
        <v>74</v>
      </c>
      <c r="F771" s="1">
        <v>46303</v>
      </c>
      <c r="G771">
        <v>46333</v>
      </c>
      <c r="H771" t="s">
        <v>9</v>
      </c>
      <c r="I771">
        <v>2027961.78</v>
      </c>
      <c r="J771" t="s">
        <v>84</v>
      </c>
      <c r="K771" t="s">
        <v>1555</v>
      </c>
      <c r="L771">
        <v>30</v>
      </c>
      <c r="M771" t="s">
        <v>30</v>
      </c>
      <c r="N771">
        <v>1.1176999999999999</v>
      </c>
      <c r="O771">
        <v>1.320456022210408</v>
      </c>
      <c r="P771">
        <v>6.3200452360757699E-3</v>
      </c>
      <c r="Q771">
        <v>6.3200452360757699E-3</v>
      </c>
      <c r="R771">
        <v>12816.810186632738</v>
      </c>
      <c r="S771" t="s">
        <v>23</v>
      </c>
      <c r="T771">
        <v>6.8799999999999998E-3</v>
      </c>
      <c r="U771">
        <v>13952.377046399999</v>
      </c>
      <c r="V771">
        <v>-1135.5668597672611</v>
      </c>
      <c r="W771">
        <v>-8.138877382619622E-2</v>
      </c>
    </row>
    <row r="772" spans="1:23" x14ac:dyDescent="0.25">
      <c r="A772" t="s">
        <v>1552</v>
      </c>
      <c r="B772" t="s">
        <v>30</v>
      </c>
      <c r="C772" t="s">
        <v>103</v>
      </c>
      <c r="D772" t="s">
        <v>31</v>
      </c>
      <c r="E772" t="s">
        <v>74</v>
      </c>
      <c r="F772" s="1">
        <v>45870</v>
      </c>
      <c r="G772">
        <v>45900</v>
      </c>
      <c r="H772" t="s">
        <v>9</v>
      </c>
      <c r="I772">
        <v>3571762.86</v>
      </c>
      <c r="J772" t="s">
        <v>75</v>
      </c>
      <c r="K772" t="s">
        <v>1553</v>
      </c>
      <c r="L772">
        <v>30</v>
      </c>
      <c r="M772" t="s">
        <v>30</v>
      </c>
      <c r="N772">
        <v>1.1404000000000001</v>
      </c>
      <c r="O772">
        <v>1.3160992498557416</v>
      </c>
      <c r="P772">
        <v>6.6453003904201387E-3</v>
      </c>
      <c r="Q772">
        <v>6.6453003904201387E-3</v>
      </c>
      <c r="R772">
        <v>23735.437128046149</v>
      </c>
      <c r="S772" t="s">
        <v>13</v>
      </c>
      <c r="T772">
        <v>6.8399999999999997E-3</v>
      </c>
      <c r="U772">
        <v>24430.857962399998</v>
      </c>
      <c r="V772">
        <v>-695.42083435384848</v>
      </c>
      <c r="W772">
        <v>-2.8464855201734099E-2</v>
      </c>
    </row>
    <row r="773" spans="1:23" x14ac:dyDescent="0.25">
      <c r="A773" t="s">
        <v>1550</v>
      </c>
      <c r="B773" t="s">
        <v>30</v>
      </c>
      <c r="C773" t="s">
        <v>103</v>
      </c>
      <c r="D773" t="s">
        <v>31</v>
      </c>
      <c r="E773" t="s">
        <v>74</v>
      </c>
      <c r="F773" s="1">
        <v>45705</v>
      </c>
      <c r="G773">
        <v>45735</v>
      </c>
      <c r="H773" t="s">
        <v>9</v>
      </c>
      <c r="I773">
        <v>919707.99</v>
      </c>
      <c r="J773" t="s">
        <v>75</v>
      </c>
      <c r="K773" t="s">
        <v>1551</v>
      </c>
      <c r="L773">
        <v>30</v>
      </c>
      <c r="M773" t="s">
        <v>30</v>
      </c>
      <c r="N773">
        <v>1.0472999999999999</v>
      </c>
      <c r="O773">
        <v>1.2597885316300386</v>
      </c>
      <c r="P773">
        <v>6.6004915863112123E-3</v>
      </c>
      <c r="Q773">
        <v>6.6004915863112123E-3</v>
      </c>
      <c r="R773">
        <v>6070.5248498581968</v>
      </c>
      <c r="S773" t="s">
        <v>11</v>
      </c>
      <c r="T773">
        <v>6.5599999999999999E-3</v>
      </c>
      <c r="U773">
        <v>6033.2844144000001</v>
      </c>
      <c r="V773">
        <v>37.240435458196771</v>
      </c>
      <c r="W773">
        <v>6.17249791329459E-3</v>
      </c>
    </row>
    <row r="774" spans="1:23" x14ac:dyDescent="0.25">
      <c r="A774" t="s">
        <v>1548</v>
      </c>
      <c r="B774" t="s">
        <v>30</v>
      </c>
      <c r="C774" t="s">
        <v>103</v>
      </c>
      <c r="D774" t="s">
        <v>31</v>
      </c>
      <c r="E774" t="s">
        <v>74</v>
      </c>
      <c r="F774" s="1">
        <v>45799</v>
      </c>
      <c r="G774">
        <v>45829</v>
      </c>
      <c r="H774" t="s">
        <v>9</v>
      </c>
      <c r="I774">
        <v>2506139.79</v>
      </c>
      <c r="J774" t="s">
        <v>75</v>
      </c>
      <c r="K774" t="s">
        <v>1549</v>
      </c>
      <c r="L774">
        <v>30</v>
      </c>
      <c r="M774" t="s">
        <v>30</v>
      </c>
      <c r="N774">
        <v>1.1309</v>
      </c>
      <c r="O774">
        <v>1.341995965349472</v>
      </c>
      <c r="P774">
        <v>6.9726863555089709E-3</v>
      </c>
      <c r="Q774">
        <v>6.9726863555089709E-3</v>
      </c>
      <c r="R774">
        <v>17474.526718731118</v>
      </c>
      <c r="S774" t="s">
        <v>12</v>
      </c>
      <c r="T774">
        <v>6.7000000000000002E-3</v>
      </c>
      <c r="U774">
        <v>16791.136592999999</v>
      </c>
      <c r="V774">
        <v>683.39012573111904</v>
      </c>
      <c r="W774">
        <v>4.0699456046115141E-2</v>
      </c>
    </row>
    <row r="775" spans="1:23" x14ac:dyDescent="0.25">
      <c r="A775" t="s">
        <v>1546</v>
      </c>
      <c r="B775" t="s">
        <v>26</v>
      </c>
      <c r="C775" t="s">
        <v>94</v>
      </c>
      <c r="D775" t="s">
        <v>31</v>
      </c>
      <c r="E775" t="s">
        <v>74</v>
      </c>
      <c r="F775" s="1">
        <v>45674</v>
      </c>
      <c r="G775">
        <v>45704</v>
      </c>
      <c r="H775" t="s">
        <v>8</v>
      </c>
      <c r="I775">
        <v>29946.34</v>
      </c>
      <c r="J775" t="s">
        <v>75</v>
      </c>
      <c r="K775" t="s">
        <v>1547</v>
      </c>
      <c r="L775">
        <v>30</v>
      </c>
      <c r="M775" t="s">
        <v>26</v>
      </c>
      <c r="N775">
        <v>1.0298</v>
      </c>
      <c r="O775">
        <v>1.2193764579115012</v>
      </c>
      <c r="P775">
        <v>6.4270111714410539E-3</v>
      </c>
      <c r="Q775">
        <v>1.2193764579115012</v>
      </c>
      <c r="R775">
        <v>36515.861996613501</v>
      </c>
      <c r="S775" t="s">
        <v>11</v>
      </c>
      <c r="T775">
        <v>1.238</v>
      </c>
      <c r="U775">
        <v>37073.568919999998</v>
      </c>
      <c r="V775">
        <v>-557.70692338649678</v>
      </c>
      <c r="W775">
        <v>-1.504324885985368E-2</v>
      </c>
    </row>
    <row r="776" spans="1:23" x14ac:dyDescent="0.25">
      <c r="A776" t="s">
        <v>1544</v>
      </c>
      <c r="B776" t="s">
        <v>39</v>
      </c>
      <c r="C776" t="s">
        <v>82</v>
      </c>
      <c r="D776" t="s">
        <v>33</v>
      </c>
      <c r="E776" t="s">
        <v>83</v>
      </c>
      <c r="F776" s="1">
        <v>46335</v>
      </c>
      <c r="G776">
        <v>46380</v>
      </c>
      <c r="H776" t="s">
        <v>8</v>
      </c>
      <c r="I776">
        <v>11658.58</v>
      </c>
      <c r="J776" t="s">
        <v>84</v>
      </c>
      <c r="K776" t="s">
        <v>1545</v>
      </c>
      <c r="L776">
        <v>45</v>
      </c>
      <c r="M776" t="s">
        <v>39</v>
      </c>
      <c r="N776">
        <v>1.1176999999999999</v>
      </c>
      <c r="O776">
        <v>1.320456022210408</v>
      </c>
      <c r="P776">
        <v>6.3200452360757699E-3</v>
      </c>
      <c r="Q776">
        <v>1.320456022210408</v>
      </c>
      <c r="R776">
        <v>15394.64217142182</v>
      </c>
      <c r="S776" t="s">
        <v>23</v>
      </c>
      <c r="T776">
        <v>1.3149999999999999</v>
      </c>
      <c r="U776">
        <v>15331.0327</v>
      </c>
      <c r="V776">
        <v>63.609471421819762</v>
      </c>
      <c r="W776">
        <v>4.1490663197019835E-3</v>
      </c>
    </row>
    <row r="777" spans="1:23" x14ac:dyDescent="0.25">
      <c r="A777" t="s">
        <v>1542</v>
      </c>
      <c r="B777" t="s">
        <v>26</v>
      </c>
      <c r="C777" t="s">
        <v>94</v>
      </c>
      <c r="D777" t="s">
        <v>31</v>
      </c>
      <c r="E777" t="s">
        <v>74</v>
      </c>
      <c r="F777" s="1">
        <v>45935</v>
      </c>
      <c r="G777">
        <v>45965</v>
      </c>
      <c r="H777" t="s">
        <v>8</v>
      </c>
      <c r="I777">
        <v>24962.97</v>
      </c>
      <c r="J777" t="s">
        <v>75</v>
      </c>
      <c r="K777" t="s">
        <v>1543</v>
      </c>
      <c r="L777">
        <v>30</v>
      </c>
      <c r="M777" t="s">
        <v>26</v>
      </c>
      <c r="N777">
        <v>1.1894</v>
      </c>
      <c r="O777">
        <v>1.3679125934445082</v>
      </c>
      <c r="P777">
        <v>6.4462630751720776E-3</v>
      </c>
      <c r="Q777">
        <v>1.3679125934445082</v>
      </c>
      <c r="R777">
        <v>34147.161032777454</v>
      </c>
      <c r="S777" t="s">
        <v>14</v>
      </c>
      <c r="T777">
        <v>1.304</v>
      </c>
      <c r="U777">
        <v>32551.712880000003</v>
      </c>
      <c r="V777">
        <v>1595.4481527774515</v>
      </c>
      <c r="W777">
        <v>4.9012725034131947E-2</v>
      </c>
    </row>
    <row r="778" spans="1:23" x14ac:dyDescent="0.25">
      <c r="A778" t="s">
        <v>1540</v>
      </c>
      <c r="B778" t="s">
        <v>38</v>
      </c>
      <c r="C778" t="s">
        <v>87</v>
      </c>
      <c r="D778" t="s">
        <v>33</v>
      </c>
      <c r="E778" t="s">
        <v>88</v>
      </c>
      <c r="F778" s="1">
        <v>45746</v>
      </c>
      <c r="G778">
        <v>45776</v>
      </c>
      <c r="H778" t="s">
        <v>6</v>
      </c>
      <c r="I778">
        <v>10758.59</v>
      </c>
      <c r="J778" t="s">
        <v>75</v>
      </c>
      <c r="K778" t="s">
        <v>1541</v>
      </c>
      <c r="L778">
        <v>30</v>
      </c>
      <c r="M778" t="s">
        <v>38</v>
      </c>
      <c r="N778">
        <v>1.1194</v>
      </c>
      <c r="O778">
        <v>1.3283493532692536</v>
      </c>
      <c r="P778">
        <v>6.8653787181846048E-3</v>
      </c>
      <c r="Q778">
        <v>1.1194</v>
      </c>
      <c r="R778">
        <v>12043.165645999999</v>
      </c>
      <c r="S778" t="s">
        <v>11</v>
      </c>
      <c r="T778">
        <v>1.052</v>
      </c>
      <c r="U778">
        <v>11318.036680000001</v>
      </c>
      <c r="V778">
        <v>725.1289659999984</v>
      </c>
      <c r="W778">
        <v>6.4068441064638632E-2</v>
      </c>
    </row>
    <row r="779" spans="1:23" x14ac:dyDescent="0.25">
      <c r="A779" t="s">
        <v>1538</v>
      </c>
      <c r="B779" t="s">
        <v>20</v>
      </c>
      <c r="C779" t="s">
        <v>123</v>
      </c>
      <c r="D779" t="s">
        <v>31</v>
      </c>
      <c r="E779" t="s">
        <v>124</v>
      </c>
      <c r="F779" s="1">
        <v>45918</v>
      </c>
      <c r="G779">
        <v>45963</v>
      </c>
      <c r="H779" t="s">
        <v>6</v>
      </c>
      <c r="I779">
        <v>53464.639999999999</v>
      </c>
      <c r="J779" t="s">
        <v>75</v>
      </c>
      <c r="K779" t="s">
        <v>1539</v>
      </c>
      <c r="L779">
        <v>45</v>
      </c>
      <c r="M779" t="s">
        <v>20</v>
      </c>
      <c r="N779">
        <v>1.1818</v>
      </c>
      <c r="O779">
        <v>1.3615207373271889</v>
      </c>
      <c r="P779">
        <v>6.7825987144168954E-3</v>
      </c>
      <c r="Q779">
        <v>1.1818</v>
      </c>
      <c r="R779">
        <v>63184.511551999996</v>
      </c>
      <c r="S779" t="s">
        <v>13</v>
      </c>
      <c r="T779">
        <v>1.0880000000000001</v>
      </c>
      <c r="U779">
        <v>58169.528320000005</v>
      </c>
      <c r="V779">
        <v>5014.9832319999914</v>
      </c>
      <c r="W779">
        <v>8.6213235294117493E-2</v>
      </c>
    </row>
    <row r="780" spans="1:23" x14ac:dyDescent="0.25">
      <c r="A780" t="s">
        <v>1536</v>
      </c>
      <c r="B780" t="s">
        <v>39</v>
      </c>
      <c r="C780" t="s">
        <v>82</v>
      </c>
      <c r="D780" t="s">
        <v>33</v>
      </c>
      <c r="E780" t="s">
        <v>83</v>
      </c>
      <c r="F780" s="1">
        <v>46023</v>
      </c>
      <c r="G780">
        <v>46068</v>
      </c>
      <c r="H780" t="s">
        <v>8</v>
      </c>
      <c r="I780">
        <v>6435.1</v>
      </c>
      <c r="J780" t="s">
        <v>75</v>
      </c>
      <c r="K780" t="s">
        <v>1537</v>
      </c>
      <c r="L780">
        <v>45</v>
      </c>
      <c r="M780" t="s">
        <v>39</v>
      </c>
      <c r="N780">
        <v>1.1555</v>
      </c>
      <c r="O780">
        <v>1.3367963164349013</v>
      </c>
      <c r="P780">
        <v>6.2983756677204832E-3</v>
      </c>
      <c r="Q780">
        <v>1.3367963164349013</v>
      </c>
      <c r="R780">
        <v>8602.4179758902337</v>
      </c>
      <c r="S780" t="s">
        <v>16</v>
      </c>
      <c r="T780">
        <v>1.2490000000000001</v>
      </c>
      <c r="U780">
        <v>8037.4399000000012</v>
      </c>
      <c r="V780">
        <v>564.9780758902325</v>
      </c>
      <c r="W780">
        <v>7.0293287778143435E-2</v>
      </c>
    </row>
    <row r="781" spans="1:23" x14ac:dyDescent="0.25">
      <c r="A781" t="s">
        <v>1534</v>
      </c>
      <c r="B781" t="s">
        <v>37</v>
      </c>
      <c r="C781" t="s">
        <v>91</v>
      </c>
      <c r="D781" t="s">
        <v>31</v>
      </c>
      <c r="E781" t="s">
        <v>74</v>
      </c>
      <c r="F781" s="1">
        <v>46243</v>
      </c>
      <c r="G781">
        <v>46273</v>
      </c>
      <c r="H781" t="s">
        <v>6</v>
      </c>
      <c r="I781">
        <v>24897.59</v>
      </c>
      <c r="J781" t="s">
        <v>75</v>
      </c>
      <c r="K781" t="s">
        <v>1535</v>
      </c>
      <c r="L781">
        <v>30</v>
      </c>
      <c r="M781" t="s">
        <v>37</v>
      </c>
      <c r="N781">
        <v>1.1535</v>
      </c>
      <c r="O781">
        <v>1.3449542354107153</v>
      </c>
      <c r="P781">
        <v>6.315703022339028E-3</v>
      </c>
      <c r="Q781">
        <v>1.1535</v>
      </c>
      <c r="R781">
        <v>28719.370064999999</v>
      </c>
      <c r="S781" t="s">
        <v>21</v>
      </c>
      <c r="T781">
        <v>1.101</v>
      </c>
      <c r="U781">
        <v>27412.246589999999</v>
      </c>
      <c r="V781">
        <v>1307.1234750000003</v>
      </c>
      <c r="W781">
        <v>4.7683923705722088E-2</v>
      </c>
    </row>
    <row r="782" spans="1:23" x14ac:dyDescent="0.25">
      <c r="A782" t="s">
        <v>1532</v>
      </c>
      <c r="B782" t="s">
        <v>41</v>
      </c>
      <c r="C782" t="s">
        <v>172</v>
      </c>
      <c r="D782" t="s">
        <v>33</v>
      </c>
      <c r="E782" t="s">
        <v>83</v>
      </c>
      <c r="F782" s="1">
        <v>45800</v>
      </c>
      <c r="G782">
        <v>45830</v>
      </c>
      <c r="H782" t="s">
        <v>9</v>
      </c>
      <c r="I782">
        <v>993169.39</v>
      </c>
      <c r="J782" t="s">
        <v>75</v>
      </c>
      <c r="K782" t="s">
        <v>1533</v>
      </c>
      <c r="L782">
        <v>30</v>
      </c>
      <c r="M782" t="s">
        <v>41</v>
      </c>
      <c r="N782">
        <v>1.1301000000000001</v>
      </c>
      <c r="O782">
        <v>1.3482462419470296</v>
      </c>
      <c r="P782">
        <v>7.0135915099609021E-3</v>
      </c>
      <c r="Q782">
        <v>7.0135915099609021E-3</v>
      </c>
      <c r="R782">
        <v>6965.6844016570485</v>
      </c>
      <c r="S782" t="s">
        <v>12</v>
      </c>
      <c r="T782">
        <v>6.7000000000000002E-3</v>
      </c>
      <c r="U782">
        <v>6654.2349130000002</v>
      </c>
      <c r="V782">
        <v>311.44948865704828</v>
      </c>
      <c r="W782">
        <v>4.6804702979239152E-2</v>
      </c>
    </row>
    <row r="783" spans="1:23" x14ac:dyDescent="0.25">
      <c r="A783" t="s">
        <v>1530</v>
      </c>
      <c r="B783" t="s">
        <v>24</v>
      </c>
      <c r="C783" t="s">
        <v>73</v>
      </c>
      <c r="D783" t="s">
        <v>31</v>
      </c>
      <c r="E783" t="s">
        <v>74</v>
      </c>
      <c r="F783" s="1">
        <v>46236</v>
      </c>
      <c r="G783">
        <v>46266</v>
      </c>
      <c r="H783" t="s">
        <v>6</v>
      </c>
      <c r="I783">
        <v>30048.05</v>
      </c>
      <c r="J783" t="s">
        <v>75</v>
      </c>
      <c r="K783" t="s">
        <v>1531</v>
      </c>
      <c r="L783">
        <v>30</v>
      </c>
      <c r="M783" t="s">
        <v>24</v>
      </c>
      <c r="N783">
        <v>1.1485000000000001</v>
      </c>
      <c r="O783">
        <v>1.3421289425402874</v>
      </c>
      <c r="P783">
        <v>6.2408302994077054E-3</v>
      </c>
      <c r="Q783">
        <v>1.1485000000000001</v>
      </c>
      <c r="R783">
        <v>34510.185425000003</v>
      </c>
      <c r="S783" t="s">
        <v>21</v>
      </c>
      <c r="T783">
        <v>1.101</v>
      </c>
      <c r="U783">
        <v>33082.903050000001</v>
      </c>
      <c r="V783">
        <v>1427.2823750000025</v>
      </c>
      <c r="W783">
        <v>4.314259763851052E-2</v>
      </c>
    </row>
    <row r="784" spans="1:23" x14ac:dyDescent="0.25">
      <c r="A784" t="s">
        <v>1528</v>
      </c>
      <c r="B784" t="s">
        <v>24</v>
      </c>
      <c r="C784" t="s">
        <v>73</v>
      </c>
      <c r="D784" t="s">
        <v>31</v>
      </c>
      <c r="E784" t="s">
        <v>74</v>
      </c>
      <c r="F784" s="1">
        <v>46209</v>
      </c>
      <c r="G784">
        <v>46239</v>
      </c>
      <c r="H784" t="s">
        <v>6</v>
      </c>
      <c r="I784">
        <v>11325.11</v>
      </c>
      <c r="J784" t="s">
        <v>75</v>
      </c>
      <c r="K784" t="s">
        <v>1529</v>
      </c>
      <c r="L784">
        <v>30</v>
      </c>
      <c r="M784" t="s">
        <v>24</v>
      </c>
      <c r="N784">
        <v>1.1415</v>
      </c>
      <c r="O784">
        <v>1.3344946105824311</v>
      </c>
      <c r="P784">
        <v>6.1599481949166255E-3</v>
      </c>
      <c r="Q784">
        <v>1.1415</v>
      </c>
      <c r="R784">
        <v>12927.613065</v>
      </c>
      <c r="S784" t="s">
        <v>21</v>
      </c>
      <c r="T784">
        <v>1.101</v>
      </c>
      <c r="U784">
        <v>12468.946110000001</v>
      </c>
      <c r="V784">
        <v>458.66695499999878</v>
      </c>
      <c r="W784">
        <v>3.6784741144414067E-2</v>
      </c>
    </row>
    <row r="785" spans="1:23" x14ac:dyDescent="0.25">
      <c r="A785" t="s">
        <v>1526</v>
      </c>
      <c r="B785" t="s">
        <v>20</v>
      </c>
      <c r="C785" t="s">
        <v>123</v>
      </c>
      <c r="D785" t="s">
        <v>31</v>
      </c>
      <c r="E785" t="s">
        <v>124</v>
      </c>
      <c r="F785" s="1">
        <v>46060</v>
      </c>
      <c r="G785">
        <v>46105</v>
      </c>
      <c r="H785" t="s">
        <v>6</v>
      </c>
      <c r="I785">
        <v>53572.94</v>
      </c>
      <c r="J785" t="s">
        <v>75</v>
      </c>
      <c r="K785" t="s">
        <v>1527</v>
      </c>
      <c r="L785">
        <v>45</v>
      </c>
      <c r="M785" t="s">
        <v>20</v>
      </c>
      <c r="N785">
        <v>1.1555</v>
      </c>
      <c r="O785">
        <v>1.3367963164349013</v>
      </c>
      <c r="P785">
        <v>6.2983756677204832E-3</v>
      </c>
      <c r="Q785">
        <v>1.1555</v>
      </c>
      <c r="R785">
        <v>61903.532169999999</v>
      </c>
      <c r="S785" t="s">
        <v>16</v>
      </c>
      <c r="T785">
        <v>1.0649999999999999</v>
      </c>
      <c r="U785">
        <v>57055.181100000002</v>
      </c>
      <c r="V785">
        <v>4848.351069999997</v>
      </c>
      <c r="W785">
        <v>8.4976525821596191E-2</v>
      </c>
    </row>
    <row r="786" spans="1:23" x14ac:dyDescent="0.25">
      <c r="A786" t="s">
        <v>1524</v>
      </c>
      <c r="B786" t="s">
        <v>28</v>
      </c>
      <c r="C786" t="s">
        <v>111</v>
      </c>
      <c r="D786" t="s">
        <v>31</v>
      </c>
      <c r="E786" t="s">
        <v>74</v>
      </c>
      <c r="F786" s="1">
        <v>45736</v>
      </c>
      <c r="G786">
        <v>45781</v>
      </c>
      <c r="H786" t="s">
        <v>9</v>
      </c>
      <c r="I786">
        <v>3909796.61</v>
      </c>
      <c r="J786" t="s">
        <v>75</v>
      </c>
      <c r="K786" t="s">
        <v>1525</v>
      </c>
      <c r="L786">
        <v>45</v>
      </c>
      <c r="M786" t="s">
        <v>28</v>
      </c>
      <c r="N786">
        <v>1.0832999999999999</v>
      </c>
      <c r="O786">
        <v>1.2944198829011828</v>
      </c>
      <c r="P786">
        <v>6.7348461299347219E-3</v>
      </c>
      <c r="Q786">
        <v>6.7348461299347219E-3</v>
      </c>
      <c r="R786">
        <v>26331.878567690394</v>
      </c>
      <c r="S786" t="s">
        <v>11</v>
      </c>
      <c r="T786">
        <v>6.5599999999999999E-3</v>
      </c>
      <c r="U786">
        <v>25648.2657616</v>
      </c>
      <c r="V786">
        <v>683.61280609039386</v>
      </c>
      <c r="W786">
        <v>2.6653373465658773E-2</v>
      </c>
    </row>
    <row r="787" spans="1:23" x14ac:dyDescent="0.25">
      <c r="A787" t="s">
        <v>1522</v>
      </c>
      <c r="B787" t="s">
        <v>40</v>
      </c>
      <c r="C787" t="s">
        <v>78</v>
      </c>
      <c r="D787" t="s">
        <v>33</v>
      </c>
      <c r="E787" t="s">
        <v>79</v>
      </c>
      <c r="F787" s="1">
        <v>46109</v>
      </c>
      <c r="G787">
        <v>46139</v>
      </c>
      <c r="H787" t="s">
        <v>9</v>
      </c>
      <c r="I787">
        <v>2386514.89</v>
      </c>
      <c r="J787" t="s">
        <v>75</v>
      </c>
      <c r="K787" t="s">
        <v>1523</v>
      </c>
      <c r="L787">
        <v>30</v>
      </c>
      <c r="M787" t="s">
        <v>40</v>
      </c>
      <c r="N787">
        <v>1.1516999999999999</v>
      </c>
      <c r="O787">
        <v>1.3280673431734318</v>
      </c>
      <c r="P787">
        <v>6.2538010425716769E-3</v>
      </c>
      <c r="Q787">
        <v>6.2538010425716769E-3</v>
      </c>
      <c r="R787">
        <v>14924.789307194831</v>
      </c>
      <c r="S787" t="s">
        <v>16</v>
      </c>
      <c r="T787">
        <v>6.4599999999999996E-3</v>
      </c>
      <c r="U787">
        <v>15416.8861894</v>
      </c>
      <c r="V787">
        <v>-492.09688220516909</v>
      </c>
      <c r="W787">
        <v>-3.1919343255158369E-2</v>
      </c>
    </row>
    <row r="788" spans="1:23" x14ac:dyDescent="0.25">
      <c r="A788" t="s">
        <v>1520</v>
      </c>
      <c r="B788" t="s">
        <v>20</v>
      </c>
      <c r="C788" t="s">
        <v>123</v>
      </c>
      <c r="D788" t="s">
        <v>31</v>
      </c>
      <c r="E788" t="s">
        <v>124</v>
      </c>
      <c r="F788" s="1">
        <v>45941</v>
      </c>
      <c r="G788">
        <v>45986</v>
      </c>
      <c r="H788" t="s">
        <v>6</v>
      </c>
      <c r="I788">
        <v>22324.36</v>
      </c>
      <c r="J788" t="s">
        <v>75</v>
      </c>
      <c r="K788" t="s">
        <v>1521</v>
      </c>
      <c r="L788">
        <v>45</v>
      </c>
      <c r="M788" t="s">
        <v>20</v>
      </c>
      <c r="N788">
        <v>1.1845000000000001</v>
      </c>
      <c r="O788">
        <v>1.3577487391104999</v>
      </c>
      <c r="P788">
        <v>6.5085993735919554E-3</v>
      </c>
      <c r="Q788">
        <v>1.1845000000000001</v>
      </c>
      <c r="R788">
        <v>26443.204420000002</v>
      </c>
      <c r="S788" t="s">
        <v>14</v>
      </c>
      <c r="T788">
        <v>1.1060000000000001</v>
      </c>
      <c r="U788">
        <v>24690.742160000002</v>
      </c>
      <c r="V788">
        <v>1752.4622600000002</v>
      </c>
      <c r="W788">
        <v>7.0976491862567812E-2</v>
      </c>
    </row>
    <row r="789" spans="1:23" x14ac:dyDescent="0.25">
      <c r="A789" t="s">
        <v>1518</v>
      </c>
      <c r="B789" t="s">
        <v>40</v>
      </c>
      <c r="C789" t="s">
        <v>78</v>
      </c>
      <c r="D789" t="s">
        <v>33</v>
      </c>
      <c r="E789" t="s">
        <v>79</v>
      </c>
      <c r="F789" s="1">
        <v>45846</v>
      </c>
      <c r="G789">
        <v>45876</v>
      </c>
      <c r="H789" t="s">
        <v>9</v>
      </c>
      <c r="I789">
        <v>1700282.35</v>
      </c>
      <c r="J789" t="s">
        <v>75</v>
      </c>
      <c r="K789" t="s">
        <v>1519</v>
      </c>
      <c r="L789">
        <v>30</v>
      </c>
      <c r="M789" t="s">
        <v>40</v>
      </c>
      <c r="N789">
        <v>1.1718</v>
      </c>
      <c r="O789">
        <v>1.3575069508804449</v>
      </c>
      <c r="P789">
        <v>6.8246942341292959E-3</v>
      </c>
      <c r="Q789">
        <v>6.8246942341292959E-3</v>
      </c>
      <c r="R789">
        <v>11603.907150436809</v>
      </c>
      <c r="S789" t="s">
        <v>13</v>
      </c>
      <c r="T789">
        <v>6.8399999999999997E-3</v>
      </c>
      <c r="U789">
        <v>11629.931274</v>
      </c>
      <c r="V789">
        <v>-26.024123563191097</v>
      </c>
      <c r="W789">
        <v>-2.2376850688164349E-3</v>
      </c>
    </row>
    <row r="790" spans="1:23" x14ac:dyDescent="0.25">
      <c r="A790" t="s">
        <v>1516</v>
      </c>
      <c r="B790" t="s">
        <v>38</v>
      </c>
      <c r="C790" t="s">
        <v>87</v>
      </c>
      <c r="D790" t="s">
        <v>33</v>
      </c>
      <c r="E790" t="s">
        <v>88</v>
      </c>
      <c r="F790" s="1">
        <v>46210</v>
      </c>
      <c r="G790">
        <v>46240</v>
      </c>
      <c r="H790" t="s">
        <v>6</v>
      </c>
      <c r="I790">
        <v>11397.19</v>
      </c>
      <c r="J790" t="s">
        <v>75</v>
      </c>
      <c r="K790" t="s">
        <v>1517</v>
      </c>
      <c r="L790">
        <v>30</v>
      </c>
      <c r="M790" t="s">
        <v>38</v>
      </c>
      <c r="N790">
        <v>1.1433</v>
      </c>
      <c r="O790">
        <v>1.3385863647539544</v>
      </c>
      <c r="P790">
        <v>6.176994975417364E-3</v>
      </c>
      <c r="Q790">
        <v>1.1433</v>
      </c>
      <c r="R790">
        <v>13030.407327000001</v>
      </c>
      <c r="S790" t="s">
        <v>21</v>
      </c>
      <c r="T790">
        <v>1.101</v>
      </c>
      <c r="U790">
        <v>12548.306190000001</v>
      </c>
      <c r="V790">
        <v>482.10113699999965</v>
      </c>
      <c r="W790">
        <v>3.8419618528610325E-2</v>
      </c>
    </row>
    <row r="791" spans="1:23" x14ac:dyDescent="0.25">
      <c r="A791" t="s">
        <v>1514</v>
      </c>
      <c r="B791" t="s">
        <v>20</v>
      </c>
      <c r="C791" t="s">
        <v>123</v>
      </c>
      <c r="D791" t="s">
        <v>31</v>
      </c>
      <c r="E791" t="s">
        <v>124</v>
      </c>
      <c r="F791" s="1">
        <v>45962</v>
      </c>
      <c r="G791">
        <v>46007</v>
      </c>
      <c r="H791" t="s">
        <v>6</v>
      </c>
      <c r="I791">
        <v>62891.69</v>
      </c>
      <c r="J791" t="s">
        <v>75</v>
      </c>
      <c r="K791" t="s">
        <v>1515</v>
      </c>
      <c r="L791">
        <v>45</v>
      </c>
      <c r="M791" t="s">
        <v>20</v>
      </c>
      <c r="N791">
        <v>1.1489</v>
      </c>
      <c r="O791">
        <v>1.3299300828818819</v>
      </c>
      <c r="P791">
        <v>6.2967225693302637E-3</v>
      </c>
      <c r="Q791">
        <v>1.1489</v>
      </c>
      <c r="R791">
        <v>72256.262641000008</v>
      </c>
      <c r="S791" t="s">
        <v>14</v>
      </c>
      <c r="T791">
        <v>1.1060000000000001</v>
      </c>
      <c r="U791">
        <v>69558.209140000006</v>
      </c>
      <c r="V791">
        <v>2698.0535010000021</v>
      </c>
      <c r="W791">
        <v>3.8788426763110333E-2</v>
      </c>
    </row>
    <row r="792" spans="1:23" x14ac:dyDescent="0.25">
      <c r="A792" t="s">
        <v>1512</v>
      </c>
      <c r="B792" t="s">
        <v>20</v>
      </c>
      <c r="C792" t="s">
        <v>123</v>
      </c>
      <c r="D792" t="s">
        <v>31</v>
      </c>
      <c r="E792" t="s">
        <v>124</v>
      </c>
      <c r="F792" s="1">
        <v>45664</v>
      </c>
      <c r="G792">
        <v>45709</v>
      </c>
      <c r="H792" t="s">
        <v>6</v>
      </c>
      <c r="I792">
        <v>41964.800000000003</v>
      </c>
      <c r="J792" t="s">
        <v>75</v>
      </c>
      <c r="K792" t="s">
        <v>1513</v>
      </c>
      <c r="L792">
        <v>45</v>
      </c>
      <c r="M792" t="s">
        <v>20</v>
      </c>
      <c r="N792">
        <v>1.0392999999999999</v>
      </c>
      <c r="O792">
        <v>1.2534523307001144</v>
      </c>
      <c r="P792">
        <v>6.3426095447333079E-3</v>
      </c>
      <c r="Q792">
        <v>1.0392999999999999</v>
      </c>
      <c r="R792">
        <v>43614.016640000002</v>
      </c>
      <c r="S792" t="s">
        <v>11</v>
      </c>
      <c r="T792">
        <v>1.052</v>
      </c>
      <c r="U792">
        <v>44146.969600000004</v>
      </c>
      <c r="V792">
        <v>-532.95296000000235</v>
      </c>
      <c r="W792">
        <v>-1.2072243346007656E-2</v>
      </c>
    </row>
    <row r="793" spans="1:23" x14ac:dyDescent="0.25">
      <c r="A793" t="s">
        <v>1510</v>
      </c>
      <c r="B793" t="s">
        <v>25</v>
      </c>
      <c r="C793" t="s">
        <v>169</v>
      </c>
      <c r="D793" t="s">
        <v>31</v>
      </c>
      <c r="E793" t="s">
        <v>124</v>
      </c>
      <c r="F793" s="1">
        <v>46131</v>
      </c>
      <c r="G793">
        <v>46191</v>
      </c>
      <c r="H793" t="s">
        <v>6</v>
      </c>
      <c r="I793">
        <v>24587.23</v>
      </c>
      <c r="J793" t="s">
        <v>75</v>
      </c>
      <c r="K793" t="s">
        <v>1511</v>
      </c>
      <c r="L793">
        <v>60</v>
      </c>
      <c r="M793" t="s">
        <v>25</v>
      </c>
      <c r="N793">
        <v>1.1797</v>
      </c>
      <c r="O793">
        <v>1.3533636196769456</v>
      </c>
      <c r="P793">
        <v>6.2843596846366926E-3</v>
      </c>
      <c r="Q793">
        <v>1.1797</v>
      </c>
      <c r="R793">
        <v>29005.555230999998</v>
      </c>
      <c r="S793" t="s">
        <v>19</v>
      </c>
      <c r="T793">
        <v>1.083</v>
      </c>
      <c r="U793">
        <v>26627.970089999999</v>
      </c>
      <c r="V793">
        <v>2377.5851409999996</v>
      </c>
      <c r="W793">
        <v>8.9289012003693435E-2</v>
      </c>
    </row>
    <row r="794" spans="1:23" x14ac:dyDescent="0.25">
      <c r="A794" t="s">
        <v>1508</v>
      </c>
      <c r="B794" t="s">
        <v>40</v>
      </c>
      <c r="C794" t="s">
        <v>78</v>
      </c>
      <c r="D794" t="s">
        <v>33</v>
      </c>
      <c r="E794" t="s">
        <v>79</v>
      </c>
      <c r="F794" s="1">
        <v>45672</v>
      </c>
      <c r="G794">
        <v>45702</v>
      </c>
      <c r="H794" t="s">
        <v>9</v>
      </c>
      <c r="I794">
        <v>1470058.04</v>
      </c>
      <c r="J794" t="s">
        <v>75</v>
      </c>
      <c r="K794" t="s">
        <v>1509</v>
      </c>
      <c r="L794">
        <v>30</v>
      </c>
      <c r="M794" t="s">
        <v>40</v>
      </c>
      <c r="N794">
        <v>1.03</v>
      </c>
      <c r="O794">
        <v>1.2216384187491844</v>
      </c>
      <c r="P794">
        <v>6.3678516228748072E-3</v>
      </c>
      <c r="Q794">
        <v>6.3678516228748072E-3</v>
      </c>
      <c r="R794">
        <v>9361.1114757341584</v>
      </c>
      <c r="S794" t="s">
        <v>11</v>
      </c>
      <c r="T794">
        <v>6.5599999999999999E-3</v>
      </c>
      <c r="U794">
        <v>9643.5807423999995</v>
      </c>
      <c r="V794">
        <v>-282.46926666584113</v>
      </c>
      <c r="W794">
        <v>-2.9290911147132986E-2</v>
      </c>
    </row>
    <row r="795" spans="1:23" x14ac:dyDescent="0.25">
      <c r="A795" t="s">
        <v>1506</v>
      </c>
      <c r="B795" t="s">
        <v>26</v>
      </c>
      <c r="C795" t="s">
        <v>94</v>
      </c>
      <c r="D795" t="s">
        <v>31</v>
      </c>
      <c r="E795" t="s">
        <v>74</v>
      </c>
      <c r="F795" s="1">
        <v>46243</v>
      </c>
      <c r="G795">
        <v>46273</v>
      </c>
      <c r="H795" t="s">
        <v>8</v>
      </c>
      <c r="I795">
        <v>27242.53</v>
      </c>
      <c r="J795" t="s">
        <v>75</v>
      </c>
      <c r="K795" t="s">
        <v>1507</v>
      </c>
      <c r="L795">
        <v>30</v>
      </c>
      <c r="M795" t="s">
        <v>26</v>
      </c>
      <c r="N795">
        <v>1.1535</v>
      </c>
      <c r="O795">
        <v>1.3449542354107153</v>
      </c>
      <c r="P795">
        <v>6.315703022339028E-3</v>
      </c>
      <c r="Q795">
        <v>1.3449542354107153</v>
      </c>
      <c r="R795">
        <v>36639.956106803475</v>
      </c>
      <c r="S795" t="s">
        <v>21</v>
      </c>
      <c r="T795">
        <v>1.2929999999999999</v>
      </c>
      <c r="U795">
        <v>35224.591289999997</v>
      </c>
      <c r="V795">
        <v>1415.3648168034779</v>
      </c>
      <c r="W795">
        <v>4.0181156543476759E-2</v>
      </c>
    </row>
    <row r="796" spans="1:23" x14ac:dyDescent="0.25">
      <c r="A796" t="s">
        <v>1504</v>
      </c>
      <c r="B796" t="s">
        <v>37</v>
      </c>
      <c r="C796" t="s">
        <v>91</v>
      </c>
      <c r="D796" t="s">
        <v>31</v>
      </c>
      <c r="E796" t="s">
        <v>74</v>
      </c>
      <c r="F796" s="1">
        <v>46168</v>
      </c>
      <c r="G796">
        <v>46198</v>
      </c>
      <c r="H796" t="s">
        <v>6</v>
      </c>
      <c r="I796">
        <v>30577.15</v>
      </c>
      <c r="J796" t="s">
        <v>75</v>
      </c>
      <c r="K796" t="s">
        <v>1505</v>
      </c>
      <c r="L796">
        <v>30</v>
      </c>
      <c r="M796" t="s">
        <v>37</v>
      </c>
      <c r="N796">
        <v>1.1634</v>
      </c>
      <c r="O796">
        <v>1.3469175108538349</v>
      </c>
      <c r="P796">
        <v>6.2811791383219958E-3</v>
      </c>
      <c r="Q796">
        <v>1.1634</v>
      </c>
      <c r="R796">
        <v>35573.456310000001</v>
      </c>
      <c r="S796" t="s">
        <v>19</v>
      </c>
      <c r="T796">
        <v>1.083</v>
      </c>
      <c r="U796">
        <v>33115.053449999999</v>
      </c>
      <c r="V796">
        <v>2458.402860000002</v>
      </c>
      <c r="W796">
        <v>7.4238227146814467E-2</v>
      </c>
    </row>
    <row r="797" spans="1:23" x14ac:dyDescent="0.25">
      <c r="A797" t="s">
        <v>1502</v>
      </c>
      <c r="B797" t="s">
        <v>28</v>
      </c>
      <c r="C797" t="s">
        <v>111</v>
      </c>
      <c r="D797" t="s">
        <v>31</v>
      </c>
      <c r="E797" t="s">
        <v>74</v>
      </c>
      <c r="F797" s="1">
        <v>46280</v>
      </c>
      <c r="G797">
        <v>46325</v>
      </c>
      <c r="H797" t="s">
        <v>9</v>
      </c>
      <c r="I797">
        <v>1918261.26</v>
      </c>
      <c r="J797" t="s">
        <v>75</v>
      </c>
      <c r="K797" t="s">
        <v>1503</v>
      </c>
      <c r="L797">
        <v>45</v>
      </c>
      <c r="M797" t="s">
        <v>28</v>
      </c>
      <c r="N797">
        <v>1.1538999999999999</v>
      </c>
      <c r="O797">
        <v>1.3483290488431876</v>
      </c>
      <c r="P797">
        <v>6.4514145141451405E-3</v>
      </c>
      <c r="Q797">
        <v>6.4514145141451405E-3</v>
      </c>
      <c r="R797">
        <v>12375.498534686345</v>
      </c>
      <c r="S797" t="s">
        <v>21</v>
      </c>
      <c r="T797">
        <v>6.7400000000000003E-3</v>
      </c>
      <c r="U797">
        <v>12929.080892400001</v>
      </c>
      <c r="V797">
        <v>-553.58235771365617</v>
      </c>
      <c r="W797">
        <v>-4.2816837663925834E-2</v>
      </c>
    </row>
    <row r="798" spans="1:23" x14ac:dyDescent="0.25">
      <c r="A798" t="s">
        <v>1500</v>
      </c>
      <c r="B798" t="s">
        <v>28</v>
      </c>
      <c r="C798" t="s">
        <v>111</v>
      </c>
      <c r="D798" t="s">
        <v>31</v>
      </c>
      <c r="E798" t="s">
        <v>74</v>
      </c>
      <c r="F798" s="1">
        <v>46025</v>
      </c>
      <c r="G798">
        <v>46070</v>
      </c>
      <c r="H798" t="s">
        <v>9</v>
      </c>
      <c r="I798">
        <v>2342069.21</v>
      </c>
      <c r="J798" t="s">
        <v>75</v>
      </c>
      <c r="K798" t="s">
        <v>1501</v>
      </c>
      <c r="L798">
        <v>45</v>
      </c>
      <c r="M798" t="s">
        <v>28</v>
      </c>
      <c r="N798">
        <v>1.1555</v>
      </c>
      <c r="O798">
        <v>1.3367963164349013</v>
      </c>
      <c r="P798">
        <v>6.2983756677204832E-3</v>
      </c>
      <c r="Q798">
        <v>6.2983756677204832E-3</v>
      </c>
      <c r="R798">
        <v>14751.231724381334</v>
      </c>
      <c r="S798" t="s">
        <v>16</v>
      </c>
      <c r="T798">
        <v>6.4599999999999996E-3</v>
      </c>
      <c r="U798">
        <v>15129.767096599999</v>
      </c>
      <c r="V798">
        <v>-378.53537221866463</v>
      </c>
      <c r="W798">
        <v>-2.5019246482897287E-2</v>
      </c>
    </row>
    <row r="799" spans="1:23" x14ac:dyDescent="0.25">
      <c r="A799" t="s">
        <v>1498</v>
      </c>
      <c r="B799" t="s">
        <v>37</v>
      </c>
      <c r="C799" t="s">
        <v>91</v>
      </c>
      <c r="D799" t="s">
        <v>31</v>
      </c>
      <c r="E799" t="s">
        <v>74</v>
      </c>
      <c r="F799" s="1">
        <v>45712</v>
      </c>
      <c r="G799">
        <v>45742</v>
      </c>
      <c r="H799" t="s">
        <v>6</v>
      </c>
      <c r="I799">
        <v>4750.88</v>
      </c>
      <c r="J799" t="s">
        <v>75</v>
      </c>
      <c r="K799" t="s">
        <v>1499</v>
      </c>
      <c r="L799">
        <v>30</v>
      </c>
      <c r="M799" t="s">
        <v>37</v>
      </c>
      <c r="N799">
        <v>1.0466</v>
      </c>
      <c r="O799">
        <v>1.2635518531932874</v>
      </c>
      <c r="P799">
        <v>6.6743192398443976E-3</v>
      </c>
      <c r="Q799">
        <v>1.0466</v>
      </c>
      <c r="R799">
        <v>4972.2710079999997</v>
      </c>
      <c r="S799" t="s">
        <v>11</v>
      </c>
      <c r="T799">
        <v>1.052</v>
      </c>
      <c r="U799">
        <v>4997.9257600000001</v>
      </c>
      <c r="V799">
        <v>-25.654752000000371</v>
      </c>
      <c r="W799">
        <v>-5.1330798479088191E-3</v>
      </c>
    </row>
    <row r="800" spans="1:23" x14ac:dyDescent="0.25">
      <c r="A800" t="s">
        <v>1496</v>
      </c>
      <c r="B800" t="s">
        <v>37</v>
      </c>
      <c r="C800" t="s">
        <v>91</v>
      </c>
      <c r="D800" t="s">
        <v>31</v>
      </c>
      <c r="E800" t="s">
        <v>74</v>
      </c>
      <c r="F800" s="1">
        <v>46188</v>
      </c>
      <c r="G800">
        <v>46218</v>
      </c>
      <c r="H800" t="s">
        <v>6</v>
      </c>
      <c r="I800">
        <v>13510.82</v>
      </c>
      <c r="J800" t="s">
        <v>75</v>
      </c>
      <c r="K800" t="s">
        <v>1497</v>
      </c>
      <c r="L800">
        <v>30</v>
      </c>
      <c r="M800" t="s">
        <v>37</v>
      </c>
      <c r="N800">
        <v>1.1607000000000001</v>
      </c>
      <c r="O800">
        <v>1.3421134789496203</v>
      </c>
      <c r="P800">
        <v>6.2426719733232935E-3</v>
      </c>
      <c r="Q800">
        <v>1.1607000000000001</v>
      </c>
      <c r="R800">
        <v>15682.008774</v>
      </c>
      <c r="S800" t="s">
        <v>19</v>
      </c>
      <c r="T800">
        <v>1.083</v>
      </c>
      <c r="U800">
        <v>14632.218059999999</v>
      </c>
      <c r="V800">
        <v>1049.7907140000007</v>
      </c>
      <c r="W800">
        <v>7.1745152354570685E-2</v>
      </c>
    </row>
    <row r="801" spans="1:23" x14ac:dyDescent="0.25">
      <c r="A801" t="s">
        <v>1494</v>
      </c>
      <c r="B801" t="s">
        <v>44</v>
      </c>
      <c r="C801" t="s">
        <v>138</v>
      </c>
      <c r="D801" t="s">
        <v>33</v>
      </c>
      <c r="E801" t="s">
        <v>88</v>
      </c>
      <c r="F801" s="1">
        <v>46074</v>
      </c>
      <c r="G801">
        <v>46119</v>
      </c>
      <c r="H801" t="s">
        <v>9</v>
      </c>
      <c r="I801">
        <v>974629.46</v>
      </c>
      <c r="J801" t="s">
        <v>75</v>
      </c>
      <c r="K801" t="s">
        <v>1495</v>
      </c>
      <c r="L801">
        <v>45</v>
      </c>
      <c r="M801" t="s">
        <v>44</v>
      </c>
      <c r="N801">
        <v>1.1555</v>
      </c>
      <c r="O801">
        <v>1.3367963164349013</v>
      </c>
      <c r="P801">
        <v>6.2983756677204832E-3</v>
      </c>
      <c r="Q801">
        <v>6.2983756677204832E-3</v>
      </c>
      <c r="R801">
        <v>6138.582475907554</v>
      </c>
      <c r="S801" t="s">
        <v>16</v>
      </c>
      <c r="T801">
        <v>6.4599999999999996E-3</v>
      </c>
      <c r="U801">
        <v>6296.1063115999996</v>
      </c>
      <c r="V801">
        <v>-157.52383569244557</v>
      </c>
      <c r="W801">
        <v>-2.5019246482897266E-2</v>
      </c>
    </row>
    <row r="802" spans="1:23" x14ac:dyDescent="0.25">
      <c r="A802" t="s">
        <v>1492</v>
      </c>
      <c r="B802" t="s">
        <v>34</v>
      </c>
      <c r="C802" t="s">
        <v>177</v>
      </c>
      <c r="D802" t="s">
        <v>31</v>
      </c>
      <c r="E802" t="s">
        <v>74</v>
      </c>
      <c r="F802" s="1">
        <v>46111</v>
      </c>
      <c r="G802">
        <v>46171</v>
      </c>
      <c r="H802" t="s">
        <v>8</v>
      </c>
      <c r="I802">
        <v>23195.52</v>
      </c>
      <c r="J802" t="s">
        <v>75</v>
      </c>
      <c r="K802" t="s">
        <v>1493</v>
      </c>
      <c r="L802">
        <v>60</v>
      </c>
      <c r="M802" t="s">
        <v>34</v>
      </c>
      <c r="N802">
        <v>1.1484000000000001</v>
      </c>
      <c r="O802">
        <v>1.3229957489948505</v>
      </c>
      <c r="P802">
        <v>6.2712975098296198E-3</v>
      </c>
      <c r="Q802">
        <v>1.3229957489948505</v>
      </c>
      <c r="R802">
        <v>30687.574355725035</v>
      </c>
      <c r="S802" t="s">
        <v>16</v>
      </c>
      <c r="T802">
        <v>1.2490000000000001</v>
      </c>
      <c r="U802">
        <v>28971.204480000004</v>
      </c>
      <c r="V802">
        <v>1716.3698757250313</v>
      </c>
      <c r="W802">
        <v>5.9243994391393391E-2</v>
      </c>
    </row>
    <row r="803" spans="1:23" x14ac:dyDescent="0.25">
      <c r="A803" t="s">
        <v>1490</v>
      </c>
      <c r="B803" t="s">
        <v>43</v>
      </c>
      <c r="C803" t="s">
        <v>215</v>
      </c>
      <c r="D803" t="s">
        <v>35</v>
      </c>
      <c r="E803" t="s">
        <v>152</v>
      </c>
      <c r="F803" s="1">
        <v>46220</v>
      </c>
      <c r="G803">
        <v>46250</v>
      </c>
      <c r="H803" t="s">
        <v>6</v>
      </c>
      <c r="I803">
        <v>3547.87</v>
      </c>
      <c r="J803" t="s">
        <v>75</v>
      </c>
      <c r="K803" t="s">
        <v>1491</v>
      </c>
      <c r="L803">
        <v>30</v>
      </c>
      <c r="M803" t="s">
        <v>43</v>
      </c>
      <c r="N803">
        <v>1.1435</v>
      </c>
      <c r="O803">
        <v>1.3437448588685985</v>
      </c>
      <c r="P803">
        <v>6.1594398060867217E-3</v>
      </c>
      <c r="Q803">
        <v>1.1435</v>
      </c>
      <c r="R803">
        <v>4056.989345</v>
      </c>
      <c r="S803" t="s">
        <v>21</v>
      </c>
      <c r="T803">
        <v>1.101</v>
      </c>
      <c r="U803">
        <v>3906.20487</v>
      </c>
      <c r="V803">
        <v>150.78447499999993</v>
      </c>
      <c r="W803">
        <v>3.8601271571298799E-2</v>
      </c>
    </row>
    <row r="804" spans="1:23" x14ac:dyDescent="0.25">
      <c r="A804" t="s">
        <v>1488</v>
      </c>
      <c r="B804" t="s">
        <v>40</v>
      </c>
      <c r="C804" t="s">
        <v>78</v>
      </c>
      <c r="D804" t="s">
        <v>33</v>
      </c>
      <c r="E804" t="s">
        <v>79</v>
      </c>
      <c r="F804" s="1">
        <v>45844</v>
      </c>
      <c r="G804">
        <v>45874</v>
      </c>
      <c r="H804" t="s">
        <v>9</v>
      </c>
      <c r="I804">
        <v>1326438.1599999999</v>
      </c>
      <c r="J804" t="s">
        <v>75</v>
      </c>
      <c r="K804" t="s">
        <v>1489</v>
      </c>
      <c r="L804">
        <v>30</v>
      </c>
      <c r="M804" t="s">
        <v>40</v>
      </c>
      <c r="N804">
        <v>1.1724000000000001</v>
      </c>
      <c r="O804">
        <v>1.3469669117647061</v>
      </c>
      <c r="P804">
        <v>6.7977039485127852E-3</v>
      </c>
      <c r="Q804">
        <v>6.7977039485127852E-3</v>
      </c>
      <c r="R804">
        <v>9016.7339176900332</v>
      </c>
      <c r="S804" t="s">
        <v>13</v>
      </c>
      <c r="T804">
        <v>6.8399999999999997E-3</v>
      </c>
      <c r="U804">
        <v>9072.8370143999982</v>
      </c>
      <c r="V804">
        <v>-56.10309670996503</v>
      </c>
      <c r="W804">
        <v>-6.1836332583645797E-3</v>
      </c>
    </row>
    <row r="805" spans="1:23" x14ac:dyDescent="0.25">
      <c r="A805" t="s">
        <v>1486</v>
      </c>
      <c r="B805" t="s">
        <v>39</v>
      </c>
      <c r="C805" t="s">
        <v>82</v>
      </c>
      <c r="D805" t="s">
        <v>33</v>
      </c>
      <c r="E805" t="s">
        <v>83</v>
      </c>
      <c r="F805" s="1">
        <v>45793</v>
      </c>
      <c r="G805">
        <v>45838</v>
      </c>
      <c r="H805" t="s">
        <v>8</v>
      </c>
      <c r="I805">
        <v>14162.4</v>
      </c>
      <c r="J805" t="s">
        <v>75</v>
      </c>
      <c r="K805" t="s">
        <v>1487</v>
      </c>
      <c r="L805">
        <v>45</v>
      </c>
      <c r="M805" t="s">
        <v>39</v>
      </c>
      <c r="N805">
        <v>1.1194</v>
      </c>
      <c r="O805">
        <v>1.3283493532692536</v>
      </c>
      <c r="P805">
        <v>6.8653787181846048E-3</v>
      </c>
      <c r="Q805">
        <v>1.3283493532692536</v>
      </c>
      <c r="R805">
        <v>18812.614880740479</v>
      </c>
      <c r="S805" t="s">
        <v>12</v>
      </c>
      <c r="T805">
        <v>1.26</v>
      </c>
      <c r="U805">
        <v>17844.624</v>
      </c>
      <c r="V805">
        <v>967.99088074047904</v>
      </c>
      <c r="W805">
        <v>5.4245518467661694E-2</v>
      </c>
    </row>
    <row r="806" spans="1:23" x14ac:dyDescent="0.25">
      <c r="A806" t="s">
        <v>1484</v>
      </c>
      <c r="B806" t="s">
        <v>38</v>
      </c>
      <c r="C806" t="s">
        <v>87</v>
      </c>
      <c r="D806" t="s">
        <v>33</v>
      </c>
      <c r="E806" t="s">
        <v>88</v>
      </c>
      <c r="F806" s="1">
        <v>45919</v>
      </c>
      <c r="G806">
        <v>45949</v>
      </c>
      <c r="H806" t="s">
        <v>6</v>
      </c>
      <c r="I806">
        <v>4979.87</v>
      </c>
      <c r="J806" t="s">
        <v>75</v>
      </c>
      <c r="K806" t="s">
        <v>1485</v>
      </c>
      <c r="L806">
        <v>30</v>
      </c>
      <c r="M806" t="s">
        <v>38</v>
      </c>
      <c r="N806">
        <v>1.1736</v>
      </c>
      <c r="O806">
        <v>1.3477262287551677</v>
      </c>
      <c r="P806">
        <v>6.7529777317452098E-3</v>
      </c>
      <c r="Q806">
        <v>1.1736</v>
      </c>
      <c r="R806">
        <v>5844.3754319999998</v>
      </c>
      <c r="S806" t="s">
        <v>13</v>
      </c>
      <c r="T806">
        <v>1.0880000000000001</v>
      </c>
      <c r="U806">
        <v>5418.0985600000004</v>
      </c>
      <c r="V806">
        <v>426.27687199999946</v>
      </c>
      <c r="W806">
        <v>7.8676470588235195E-2</v>
      </c>
    </row>
    <row r="807" spans="1:23" x14ac:dyDescent="0.25">
      <c r="A807" t="s">
        <v>1482</v>
      </c>
      <c r="B807" t="s">
        <v>36</v>
      </c>
      <c r="C807" t="s">
        <v>116</v>
      </c>
      <c r="D807" t="s">
        <v>31</v>
      </c>
      <c r="E807" t="s">
        <v>74</v>
      </c>
      <c r="F807" s="1">
        <v>46078</v>
      </c>
      <c r="G807">
        <v>46123</v>
      </c>
      <c r="H807" t="s">
        <v>6</v>
      </c>
      <c r="I807">
        <v>21330.82</v>
      </c>
      <c r="J807" t="s">
        <v>75</v>
      </c>
      <c r="K807" t="s">
        <v>1483</v>
      </c>
      <c r="L807">
        <v>45</v>
      </c>
      <c r="M807" t="s">
        <v>36</v>
      </c>
      <c r="N807">
        <v>1.1783999999999999</v>
      </c>
      <c r="O807">
        <v>1.3523066330043607</v>
      </c>
      <c r="P807">
        <v>6.3800757985923119E-3</v>
      </c>
      <c r="Q807">
        <v>1.1783999999999999</v>
      </c>
      <c r="R807">
        <v>25136.238287999997</v>
      </c>
      <c r="S807" t="s">
        <v>16</v>
      </c>
      <c r="T807">
        <v>1.0649999999999999</v>
      </c>
      <c r="U807">
        <v>22717.3233</v>
      </c>
      <c r="V807">
        <v>2418.9149879999968</v>
      </c>
      <c r="W807">
        <v>0.10647887323943647</v>
      </c>
    </row>
    <row r="808" spans="1:23" x14ac:dyDescent="0.25">
      <c r="A808" t="s">
        <v>1480</v>
      </c>
      <c r="B808" t="s">
        <v>44</v>
      </c>
      <c r="C808" t="s">
        <v>138</v>
      </c>
      <c r="D808" t="s">
        <v>33</v>
      </c>
      <c r="E808" t="s">
        <v>88</v>
      </c>
      <c r="F808" s="1">
        <v>46196</v>
      </c>
      <c r="G808">
        <v>46241</v>
      </c>
      <c r="H808" t="s">
        <v>9</v>
      </c>
      <c r="I808">
        <v>1607641.5</v>
      </c>
      <c r="J808" t="s">
        <v>75</v>
      </c>
      <c r="K808" t="s">
        <v>1481</v>
      </c>
      <c r="L808">
        <v>45</v>
      </c>
      <c r="M808" t="s">
        <v>44</v>
      </c>
      <c r="N808">
        <v>1.1392</v>
      </c>
      <c r="O808">
        <v>1.3215777262180974</v>
      </c>
      <c r="P808">
        <v>6.1906314531029235E-3</v>
      </c>
      <c r="Q808">
        <v>6.1906314531029235E-3</v>
      </c>
      <c r="R808">
        <v>9952.3160352135637</v>
      </c>
      <c r="S808" t="s">
        <v>19</v>
      </c>
      <c r="T808">
        <v>6.6E-3</v>
      </c>
      <c r="U808">
        <v>10610.4339</v>
      </c>
      <c r="V808">
        <v>-658.11786478643626</v>
      </c>
      <c r="W808">
        <v>-6.2025537408647941E-2</v>
      </c>
    </row>
    <row r="809" spans="1:23" x14ac:dyDescent="0.25">
      <c r="A809" t="s">
        <v>1478</v>
      </c>
      <c r="B809" t="s">
        <v>40</v>
      </c>
      <c r="C809" t="s">
        <v>78</v>
      </c>
      <c r="D809" t="s">
        <v>33</v>
      </c>
      <c r="E809" t="s">
        <v>79</v>
      </c>
      <c r="F809" s="1">
        <v>45674</v>
      </c>
      <c r="G809">
        <v>45704</v>
      </c>
      <c r="H809" t="s">
        <v>9</v>
      </c>
      <c r="I809">
        <v>2323829.5499999998</v>
      </c>
      <c r="J809" t="s">
        <v>75</v>
      </c>
      <c r="K809" t="s">
        <v>1479</v>
      </c>
      <c r="L809">
        <v>30</v>
      </c>
      <c r="M809" t="s">
        <v>40</v>
      </c>
      <c r="N809">
        <v>1.0298</v>
      </c>
      <c r="O809">
        <v>1.2193764579115012</v>
      </c>
      <c r="P809">
        <v>6.4270111714410539E-3</v>
      </c>
      <c r="Q809">
        <v>6.4270111714410539E-3</v>
      </c>
      <c r="R809">
        <v>14935.278478374836</v>
      </c>
      <c r="S809" t="s">
        <v>11</v>
      </c>
      <c r="T809">
        <v>6.5599999999999999E-3</v>
      </c>
      <c r="U809">
        <v>15244.321847999998</v>
      </c>
      <c r="V809">
        <v>-309.04336962516209</v>
      </c>
      <c r="W809">
        <v>-2.0272687280327103E-2</v>
      </c>
    </row>
    <row r="810" spans="1:23" x14ac:dyDescent="0.25">
      <c r="A810" t="s">
        <v>1476</v>
      </c>
      <c r="B810" t="s">
        <v>43</v>
      </c>
      <c r="C810" t="s">
        <v>215</v>
      </c>
      <c r="D810" t="s">
        <v>35</v>
      </c>
      <c r="E810" t="s">
        <v>152</v>
      </c>
      <c r="F810" s="1">
        <v>46149</v>
      </c>
      <c r="G810">
        <v>46179</v>
      </c>
      <c r="H810" t="s">
        <v>6</v>
      </c>
      <c r="I810">
        <v>4591.03</v>
      </c>
      <c r="J810" t="s">
        <v>75</v>
      </c>
      <c r="K810" t="s">
        <v>1477</v>
      </c>
      <c r="L810">
        <v>30</v>
      </c>
      <c r="M810" t="s">
        <v>43</v>
      </c>
      <c r="N810">
        <v>1.177</v>
      </c>
      <c r="O810">
        <v>1.3621108667978243</v>
      </c>
      <c r="P810">
        <v>6.3943065138262626E-3</v>
      </c>
      <c r="Q810">
        <v>1.177</v>
      </c>
      <c r="R810">
        <v>5403.6423100000002</v>
      </c>
      <c r="S810" t="s">
        <v>19</v>
      </c>
      <c r="T810">
        <v>1.083</v>
      </c>
      <c r="U810">
        <v>4972.0854899999995</v>
      </c>
      <c r="V810">
        <v>431.5568200000007</v>
      </c>
      <c r="W810">
        <v>8.679593721144982E-2</v>
      </c>
    </row>
    <row r="811" spans="1:23" x14ac:dyDescent="0.25">
      <c r="A811" t="s">
        <v>1474</v>
      </c>
      <c r="B811" t="s">
        <v>32</v>
      </c>
      <c r="C811" t="s">
        <v>106</v>
      </c>
      <c r="D811" t="s">
        <v>31</v>
      </c>
      <c r="E811" t="s">
        <v>74</v>
      </c>
      <c r="F811" s="1">
        <v>45806</v>
      </c>
      <c r="G811">
        <v>45836</v>
      </c>
      <c r="H811" t="s">
        <v>6</v>
      </c>
      <c r="I811">
        <v>20321.939999999999</v>
      </c>
      <c r="J811" t="s">
        <v>75</v>
      </c>
      <c r="K811" t="s">
        <v>1475</v>
      </c>
      <c r="L811">
        <v>30</v>
      </c>
      <c r="M811" t="s">
        <v>32</v>
      </c>
      <c r="N811">
        <v>1.1281000000000001</v>
      </c>
      <c r="O811">
        <v>1.3466634833472604</v>
      </c>
      <c r="P811">
        <v>6.900960420872332E-3</v>
      </c>
      <c r="Q811">
        <v>1.1281000000000001</v>
      </c>
      <c r="R811">
        <v>22925.180514</v>
      </c>
      <c r="S811" t="s">
        <v>12</v>
      </c>
      <c r="T811">
        <v>1.07</v>
      </c>
      <c r="U811">
        <v>21744.4758</v>
      </c>
      <c r="V811">
        <v>1180.7047139999995</v>
      </c>
      <c r="W811">
        <v>5.4299065420560726E-2</v>
      </c>
    </row>
    <row r="812" spans="1:23" x14ac:dyDescent="0.25">
      <c r="A812" t="s">
        <v>1472</v>
      </c>
      <c r="B812" t="s">
        <v>40</v>
      </c>
      <c r="C812" t="s">
        <v>78</v>
      </c>
      <c r="D812" t="s">
        <v>33</v>
      </c>
      <c r="E812" t="s">
        <v>79</v>
      </c>
      <c r="F812" s="1">
        <v>45984</v>
      </c>
      <c r="G812">
        <v>46014</v>
      </c>
      <c r="H812" t="s">
        <v>9</v>
      </c>
      <c r="I812">
        <v>3124083.45</v>
      </c>
      <c r="J812" t="s">
        <v>75</v>
      </c>
      <c r="K812" t="s">
        <v>1473</v>
      </c>
      <c r="L812">
        <v>30</v>
      </c>
      <c r="M812" t="s">
        <v>40</v>
      </c>
      <c r="N812">
        <v>1.1555</v>
      </c>
      <c r="O812">
        <v>1.3367963164349013</v>
      </c>
      <c r="P812">
        <v>6.2983756677204832E-3</v>
      </c>
      <c r="Q812">
        <v>6.2983756677204832E-3</v>
      </c>
      <c r="R812">
        <v>19676.651185408264</v>
      </c>
      <c r="S812" t="s">
        <v>14</v>
      </c>
      <c r="T812">
        <v>6.9800000000000001E-3</v>
      </c>
      <c r="U812">
        <v>21806.102481000002</v>
      </c>
      <c r="V812">
        <v>-2129.451295591738</v>
      </c>
      <c r="W812">
        <v>-9.7653915799357643E-2</v>
      </c>
    </row>
    <row r="813" spans="1:23" x14ac:dyDescent="0.25">
      <c r="A813" t="s">
        <v>1470</v>
      </c>
      <c r="B813" t="s">
        <v>34</v>
      </c>
      <c r="C813" t="s">
        <v>177</v>
      </c>
      <c r="D813" t="s">
        <v>31</v>
      </c>
      <c r="E813" t="s">
        <v>74</v>
      </c>
      <c r="F813" s="1">
        <v>45871</v>
      </c>
      <c r="G813">
        <v>45931</v>
      </c>
      <c r="H813" t="s">
        <v>8</v>
      </c>
      <c r="I813">
        <v>20067</v>
      </c>
      <c r="J813" t="s">
        <v>75</v>
      </c>
      <c r="K813" t="s">
        <v>1471</v>
      </c>
      <c r="L813">
        <v>60</v>
      </c>
      <c r="M813" t="s">
        <v>34</v>
      </c>
      <c r="N813">
        <v>1.1560999999999999</v>
      </c>
      <c r="O813">
        <v>1.3121098626716603</v>
      </c>
      <c r="P813">
        <v>6.5320074580484761E-3</v>
      </c>
      <c r="Q813">
        <v>1.3121098626716603</v>
      </c>
      <c r="R813">
        <v>26330.108614232206</v>
      </c>
      <c r="S813" t="s">
        <v>13</v>
      </c>
      <c r="T813">
        <v>1.282</v>
      </c>
      <c r="U813">
        <v>25725.894</v>
      </c>
      <c r="V813">
        <v>604.21461423220535</v>
      </c>
      <c r="W813">
        <v>2.3486632349188928E-2</v>
      </c>
    </row>
    <row r="814" spans="1:23" x14ac:dyDescent="0.25">
      <c r="A814" t="s">
        <v>1468</v>
      </c>
      <c r="B814" t="s">
        <v>40</v>
      </c>
      <c r="C814" t="s">
        <v>78</v>
      </c>
      <c r="D814" t="s">
        <v>33</v>
      </c>
      <c r="E814" t="s">
        <v>79</v>
      </c>
      <c r="F814" s="1">
        <v>46202</v>
      </c>
      <c r="G814">
        <v>46232</v>
      </c>
      <c r="H814" t="s">
        <v>9</v>
      </c>
      <c r="I814">
        <v>1580944.94</v>
      </c>
      <c r="J814" t="s">
        <v>75</v>
      </c>
      <c r="K814" t="s">
        <v>1469</v>
      </c>
      <c r="L814">
        <v>30</v>
      </c>
      <c r="M814" t="s">
        <v>40</v>
      </c>
      <c r="N814">
        <v>1.1406000000000001</v>
      </c>
      <c r="O814">
        <v>1.3229716406657774</v>
      </c>
      <c r="P814">
        <v>6.1780955476113102E-3</v>
      </c>
      <c r="Q814">
        <v>6.1780955476113102E-3</v>
      </c>
      <c r="R814">
        <v>9767.2288948326295</v>
      </c>
      <c r="S814" t="s">
        <v>19</v>
      </c>
      <c r="T814">
        <v>6.6E-3</v>
      </c>
      <c r="U814">
        <v>10434.236604</v>
      </c>
      <c r="V814">
        <v>-667.00770916737019</v>
      </c>
      <c r="W814">
        <v>-6.3924917028589379E-2</v>
      </c>
    </row>
    <row r="815" spans="1:23" x14ac:dyDescent="0.25">
      <c r="A815" t="s">
        <v>1466</v>
      </c>
      <c r="B815" t="s">
        <v>30</v>
      </c>
      <c r="C815" t="s">
        <v>103</v>
      </c>
      <c r="D815" t="s">
        <v>31</v>
      </c>
      <c r="E815" t="s">
        <v>74</v>
      </c>
      <c r="F815" s="1">
        <v>45698</v>
      </c>
      <c r="G815">
        <v>45728</v>
      </c>
      <c r="H815" t="s">
        <v>9</v>
      </c>
      <c r="I815">
        <v>436028.96</v>
      </c>
      <c r="J815" t="s">
        <v>75</v>
      </c>
      <c r="K815" t="s">
        <v>1467</v>
      </c>
      <c r="L815">
        <v>30</v>
      </c>
      <c r="M815" t="s">
        <v>30</v>
      </c>
      <c r="N815">
        <v>1.032</v>
      </c>
      <c r="O815">
        <v>1.2391484456611794</v>
      </c>
      <c r="P815">
        <v>6.5765995411674744E-3</v>
      </c>
      <c r="Q815">
        <v>6.5765995411674744E-3</v>
      </c>
      <c r="R815">
        <v>2867.587858271731</v>
      </c>
      <c r="S815" t="s">
        <v>11</v>
      </c>
      <c r="T815">
        <v>6.5599999999999999E-3</v>
      </c>
      <c r="U815">
        <v>2860.3499775999999</v>
      </c>
      <c r="V815">
        <v>7.2378806717310908</v>
      </c>
      <c r="W815">
        <v>2.5304178608955025E-3</v>
      </c>
    </row>
    <row r="816" spans="1:23" x14ac:dyDescent="0.25">
      <c r="A816" t="s">
        <v>1464</v>
      </c>
      <c r="B816" t="s">
        <v>44</v>
      </c>
      <c r="C816" t="s">
        <v>138</v>
      </c>
      <c r="D816" t="s">
        <v>33</v>
      </c>
      <c r="E816" t="s">
        <v>88</v>
      </c>
      <c r="F816" s="1">
        <v>45851</v>
      </c>
      <c r="G816">
        <v>45896</v>
      </c>
      <c r="H816" t="s">
        <v>9</v>
      </c>
      <c r="I816">
        <v>1337860.54</v>
      </c>
      <c r="J816" t="s">
        <v>75</v>
      </c>
      <c r="K816" t="s">
        <v>1465</v>
      </c>
      <c r="L816">
        <v>45</v>
      </c>
      <c r="M816" t="s">
        <v>44</v>
      </c>
      <c r="N816">
        <v>1.1568000000000001</v>
      </c>
      <c r="O816">
        <v>1.3282810885291079</v>
      </c>
      <c r="P816">
        <v>6.5555933356001364E-3</v>
      </c>
      <c r="Q816">
        <v>6.5555933356001364E-3</v>
      </c>
      <c r="R816">
        <v>8770.4696399864006</v>
      </c>
      <c r="S816" t="s">
        <v>13</v>
      </c>
      <c r="T816">
        <v>6.8399999999999997E-3</v>
      </c>
      <c r="U816">
        <v>9150.9660936</v>
      </c>
      <c r="V816">
        <v>-380.49645361359944</v>
      </c>
      <c r="W816">
        <v>-4.1579921695886396E-2</v>
      </c>
    </row>
    <row r="817" spans="1:23" x14ac:dyDescent="0.25">
      <c r="A817" t="s">
        <v>1462</v>
      </c>
      <c r="B817" t="s">
        <v>43</v>
      </c>
      <c r="C817" t="s">
        <v>215</v>
      </c>
      <c r="D817" t="s">
        <v>35</v>
      </c>
      <c r="E817" t="s">
        <v>152</v>
      </c>
      <c r="F817" s="1">
        <v>46014</v>
      </c>
      <c r="G817">
        <v>46044</v>
      </c>
      <c r="H817" t="s">
        <v>6</v>
      </c>
      <c r="I817">
        <v>6316.31</v>
      </c>
      <c r="J817" t="s">
        <v>75</v>
      </c>
      <c r="K817" t="s">
        <v>1463</v>
      </c>
      <c r="L817">
        <v>30</v>
      </c>
      <c r="M817" t="s">
        <v>43</v>
      </c>
      <c r="N817">
        <v>1.1786000000000001</v>
      </c>
      <c r="O817">
        <v>1.3502119372207584</v>
      </c>
      <c r="P817">
        <v>6.4092664092664101E-3</v>
      </c>
      <c r="Q817">
        <v>1.1786000000000001</v>
      </c>
      <c r="R817">
        <v>7444.4029660000015</v>
      </c>
      <c r="S817" t="s">
        <v>14</v>
      </c>
      <c r="T817">
        <v>1.1060000000000001</v>
      </c>
      <c r="U817">
        <v>6985.8388600000008</v>
      </c>
      <c r="V817">
        <v>458.56410600000072</v>
      </c>
      <c r="W817">
        <v>6.564195298372523E-2</v>
      </c>
    </row>
    <row r="818" spans="1:23" x14ac:dyDescent="0.25">
      <c r="A818" t="s">
        <v>1460</v>
      </c>
      <c r="B818" t="s">
        <v>26</v>
      </c>
      <c r="C818" t="s">
        <v>94</v>
      </c>
      <c r="D818" t="s">
        <v>31</v>
      </c>
      <c r="E818" t="s">
        <v>74</v>
      </c>
      <c r="F818" s="1">
        <v>45787</v>
      </c>
      <c r="G818">
        <v>45817</v>
      </c>
      <c r="H818" t="s">
        <v>8</v>
      </c>
      <c r="I818">
        <v>18134.89</v>
      </c>
      <c r="J818" t="s">
        <v>75</v>
      </c>
      <c r="K818" t="s">
        <v>1461</v>
      </c>
      <c r="L818">
        <v>30</v>
      </c>
      <c r="M818" t="s">
        <v>26</v>
      </c>
      <c r="N818">
        <v>1.169</v>
      </c>
      <c r="O818">
        <v>1.3487942771431869</v>
      </c>
      <c r="P818">
        <v>6.7858594067452252E-3</v>
      </c>
      <c r="Q818">
        <v>1.3487942771431869</v>
      </c>
      <c r="R818">
        <v>24460.235848621207</v>
      </c>
      <c r="S818" t="s">
        <v>12</v>
      </c>
      <c r="T818">
        <v>1.26</v>
      </c>
      <c r="U818">
        <v>22849.9614</v>
      </c>
      <c r="V818">
        <v>1610.2744486212068</v>
      </c>
      <c r="W818">
        <v>7.0471648526338734E-2</v>
      </c>
    </row>
    <row r="819" spans="1:23" x14ac:dyDescent="0.25">
      <c r="A819" t="s">
        <v>1458</v>
      </c>
      <c r="B819" t="s">
        <v>30</v>
      </c>
      <c r="C819" t="s">
        <v>103</v>
      </c>
      <c r="D819" t="s">
        <v>31</v>
      </c>
      <c r="E819" t="s">
        <v>74</v>
      </c>
      <c r="F819" s="1">
        <v>46240</v>
      </c>
      <c r="G819">
        <v>46270</v>
      </c>
      <c r="H819" t="s">
        <v>9</v>
      </c>
      <c r="I819">
        <v>4191121.9</v>
      </c>
      <c r="J819" t="s">
        <v>75</v>
      </c>
      <c r="K819" t="s">
        <v>1459</v>
      </c>
      <c r="L819">
        <v>30</v>
      </c>
      <c r="M819" t="s">
        <v>30</v>
      </c>
      <c r="N819">
        <v>1.1541999999999999</v>
      </c>
      <c r="O819">
        <v>1.3467125605273904</v>
      </c>
      <c r="P819">
        <v>6.3358401493110832E-3</v>
      </c>
      <c r="Q819">
        <v>6.3358401493110832E-3</v>
      </c>
      <c r="R819">
        <v>26554.278404676948</v>
      </c>
      <c r="S819" t="s">
        <v>21</v>
      </c>
      <c r="T819">
        <v>6.7400000000000003E-3</v>
      </c>
      <c r="U819">
        <v>28248.161606000001</v>
      </c>
      <c r="V819">
        <v>-1693.8832013230531</v>
      </c>
      <c r="W819">
        <v>-5.9964369538415087E-2</v>
      </c>
    </row>
    <row r="820" spans="1:23" x14ac:dyDescent="0.25">
      <c r="A820" t="s">
        <v>1456</v>
      </c>
      <c r="B820" t="s">
        <v>24</v>
      </c>
      <c r="C820" t="s">
        <v>73</v>
      </c>
      <c r="D820" t="s">
        <v>31</v>
      </c>
      <c r="E820" t="s">
        <v>74</v>
      </c>
      <c r="F820" s="1">
        <v>46175</v>
      </c>
      <c r="G820">
        <v>46205</v>
      </c>
      <c r="H820" t="s">
        <v>6</v>
      </c>
      <c r="I820">
        <v>15652.39</v>
      </c>
      <c r="J820" t="s">
        <v>75</v>
      </c>
      <c r="K820" t="s">
        <v>1457</v>
      </c>
      <c r="L820">
        <v>30</v>
      </c>
      <c r="M820" t="s">
        <v>24</v>
      </c>
      <c r="N820">
        <v>1.1649</v>
      </c>
      <c r="O820">
        <v>1.3472503325044816</v>
      </c>
      <c r="P820">
        <v>6.2598742543930356E-3</v>
      </c>
      <c r="Q820">
        <v>1.1649</v>
      </c>
      <c r="R820">
        <v>18233.469110999999</v>
      </c>
      <c r="S820" t="s">
        <v>19</v>
      </c>
      <c r="T820">
        <v>1.083</v>
      </c>
      <c r="U820">
        <v>16951.538369999998</v>
      </c>
      <c r="V820">
        <v>1281.9307410000001</v>
      </c>
      <c r="W820">
        <v>7.562326869806095E-2</v>
      </c>
    </row>
    <row r="821" spans="1:23" x14ac:dyDescent="0.25">
      <c r="A821" t="s">
        <v>1454</v>
      </c>
      <c r="B821" t="s">
        <v>37</v>
      </c>
      <c r="C821" t="s">
        <v>91</v>
      </c>
      <c r="D821" t="s">
        <v>31</v>
      </c>
      <c r="E821" t="s">
        <v>74</v>
      </c>
      <c r="F821" s="1">
        <v>45701</v>
      </c>
      <c r="G821">
        <v>45731</v>
      </c>
      <c r="H821" t="s">
        <v>6</v>
      </c>
      <c r="I821">
        <v>11895.43</v>
      </c>
      <c r="J821" t="s">
        <v>75</v>
      </c>
      <c r="K821" t="s">
        <v>1455</v>
      </c>
      <c r="L821">
        <v>30</v>
      </c>
      <c r="M821" t="s">
        <v>37</v>
      </c>
      <c r="N821">
        <v>1.0389999999999999</v>
      </c>
      <c r="O821">
        <v>1.2471042934476011</v>
      </c>
      <c r="P821">
        <v>6.5022842480755988E-3</v>
      </c>
      <c r="Q821">
        <v>1.0389999999999999</v>
      </c>
      <c r="R821">
        <v>12359.351769999999</v>
      </c>
      <c r="S821" t="s">
        <v>11</v>
      </c>
      <c r="T821">
        <v>1.052</v>
      </c>
      <c r="U821">
        <v>12513.99236</v>
      </c>
      <c r="V821">
        <v>-154.64059000000088</v>
      </c>
      <c r="W821">
        <v>-1.2357414448669272E-2</v>
      </c>
    </row>
    <row r="822" spans="1:23" x14ac:dyDescent="0.25">
      <c r="A822" t="s">
        <v>1452</v>
      </c>
      <c r="B822" t="s">
        <v>26</v>
      </c>
      <c r="C822" t="s">
        <v>94</v>
      </c>
      <c r="D822" t="s">
        <v>31</v>
      </c>
      <c r="E822" t="s">
        <v>74</v>
      </c>
      <c r="F822" s="1">
        <v>46341</v>
      </c>
      <c r="G822">
        <v>46371</v>
      </c>
      <c r="H822" t="s">
        <v>8</v>
      </c>
      <c r="I822">
        <v>4484.38</v>
      </c>
      <c r="J822" t="s">
        <v>84</v>
      </c>
      <c r="K822" t="s">
        <v>1453</v>
      </c>
      <c r="L822">
        <v>30</v>
      </c>
      <c r="M822" t="s">
        <v>26</v>
      </c>
      <c r="N822">
        <v>1.1176999999999999</v>
      </c>
      <c r="O822">
        <v>1.320456022210408</v>
      </c>
      <c r="P822">
        <v>6.3200452360757699E-3</v>
      </c>
      <c r="Q822">
        <v>1.320456022210408</v>
      </c>
      <c r="R822">
        <v>5921.4265768799096</v>
      </c>
      <c r="S822" t="s">
        <v>23</v>
      </c>
      <c r="T822">
        <v>1.3149999999999999</v>
      </c>
      <c r="U822">
        <v>5896.9597000000003</v>
      </c>
      <c r="V822">
        <v>24.46687687990925</v>
      </c>
      <c r="W822">
        <v>4.1490663197018707E-3</v>
      </c>
    </row>
    <row r="823" spans="1:23" x14ac:dyDescent="0.25">
      <c r="A823" t="s">
        <v>1450</v>
      </c>
      <c r="B823" t="s">
        <v>38</v>
      </c>
      <c r="C823" t="s">
        <v>87</v>
      </c>
      <c r="D823" t="s">
        <v>33</v>
      </c>
      <c r="E823" t="s">
        <v>88</v>
      </c>
      <c r="F823" s="1">
        <v>46112</v>
      </c>
      <c r="G823">
        <v>46142</v>
      </c>
      <c r="H823" t="s">
        <v>6</v>
      </c>
      <c r="I823">
        <v>3417.17</v>
      </c>
      <c r="J823" t="s">
        <v>75</v>
      </c>
      <c r="K823" t="s">
        <v>1451</v>
      </c>
      <c r="L823">
        <v>30</v>
      </c>
      <c r="M823" t="s">
        <v>38</v>
      </c>
      <c r="N823">
        <v>1.1497999999999999</v>
      </c>
      <c r="O823">
        <v>1.3241509564336138</v>
      </c>
      <c r="P823">
        <v>6.2696984568406128E-3</v>
      </c>
      <c r="Q823">
        <v>1.1497999999999999</v>
      </c>
      <c r="R823">
        <v>3929.062066</v>
      </c>
      <c r="S823" t="s">
        <v>16</v>
      </c>
      <c r="T823">
        <v>1.0649999999999999</v>
      </c>
      <c r="U823">
        <v>3639.2860499999997</v>
      </c>
      <c r="V823">
        <v>289.77601600000025</v>
      </c>
      <c r="W823">
        <v>7.9624413145539988E-2</v>
      </c>
    </row>
    <row r="824" spans="1:23" x14ac:dyDescent="0.25">
      <c r="A824" t="s">
        <v>1448</v>
      </c>
      <c r="B824" t="s">
        <v>39</v>
      </c>
      <c r="C824" t="s">
        <v>82</v>
      </c>
      <c r="D824" t="s">
        <v>33</v>
      </c>
      <c r="E824" t="s">
        <v>83</v>
      </c>
      <c r="F824" s="1">
        <v>46137</v>
      </c>
      <c r="G824">
        <v>46182</v>
      </c>
      <c r="H824" t="s">
        <v>8</v>
      </c>
      <c r="I824">
        <v>5169.3900000000003</v>
      </c>
      <c r="J824" t="s">
        <v>75</v>
      </c>
      <c r="K824" t="s">
        <v>1449</v>
      </c>
      <c r="L824">
        <v>45</v>
      </c>
      <c r="M824" t="s">
        <v>39</v>
      </c>
      <c r="N824">
        <v>1.1712</v>
      </c>
      <c r="O824">
        <v>1.3492621222768799</v>
      </c>
      <c r="P824">
        <v>6.2728295217181727E-3</v>
      </c>
      <c r="Q824">
        <v>1.3492621222768799</v>
      </c>
      <c r="R824">
        <v>6974.8621222768807</v>
      </c>
      <c r="S824" t="s">
        <v>19</v>
      </c>
      <c r="T824">
        <v>1.2709999999999999</v>
      </c>
      <c r="U824">
        <v>6570.2946899999997</v>
      </c>
      <c r="V824">
        <v>404.56743227688094</v>
      </c>
      <c r="W824">
        <v>6.1575233892116485E-2</v>
      </c>
    </row>
    <row r="825" spans="1:23" x14ac:dyDescent="0.25">
      <c r="A825" t="s">
        <v>1446</v>
      </c>
      <c r="B825" t="s">
        <v>40</v>
      </c>
      <c r="C825" t="s">
        <v>78</v>
      </c>
      <c r="D825" t="s">
        <v>33</v>
      </c>
      <c r="E825" t="s">
        <v>79</v>
      </c>
      <c r="F825" s="1">
        <v>45791</v>
      </c>
      <c r="G825">
        <v>45821</v>
      </c>
      <c r="H825" t="s">
        <v>9</v>
      </c>
      <c r="I825">
        <v>1070394.94</v>
      </c>
      <c r="J825" t="s">
        <v>75</v>
      </c>
      <c r="K825" t="s">
        <v>1447</v>
      </c>
      <c r="L825">
        <v>30</v>
      </c>
      <c r="M825" t="s">
        <v>40</v>
      </c>
      <c r="N825">
        <v>1.1214</v>
      </c>
      <c r="O825">
        <v>1.3326203208556149</v>
      </c>
      <c r="P825">
        <v>6.8373879641485278E-3</v>
      </c>
      <c r="Q825">
        <v>6.8373879641485278E-3</v>
      </c>
      <c r="R825">
        <v>7318.705479641485</v>
      </c>
      <c r="S825" t="s">
        <v>12</v>
      </c>
      <c r="T825">
        <v>6.7000000000000002E-3</v>
      </c>
      <c r="U825">
        <v>7171.6460980000002</v>
      </c>
      <c r="V825">
        <v>147.05938164148483</v>
      </c>
      <c r="W825">
        <v>2.0505666290824943E-2</v>
      </c>
    </row>
    <row r="826" spans="1:23" x14ac:dyDescent="0.25">
      <c r="A826" t="s">
        <v>1444</v>
      </c>
      <c r="B826" t="s">
        <v>26</v>
      </c>
      <c r="C826" t="s">
        <v>94</v>
      </c>
      <c r="D826" t="s">
        <v>31</v>
      </c>
      <c r="E826" t="s">
        <v>74</v>
      </c>
      <c r="F826" s="1">
        <v>45960</v>
      </c>
      <c r="G826">
        <v>45990</v>
      </c>
      <c r="H826" t="s">
        <v>8</v>
      </c>
      <c r="I826">
        <v>13016.8</v>
      </c>
      <c r="J826" t="s">
        <v>75</v>
      </c>
      <c r="K826" t="s">
        <v>1445</v>
      </c>
      <c r="L826">
        <v>30</v>
      </c>
      <c r="M826" t="s">
        <v>26</v>
      </c>
      <c r="N826">
        <v>1.155</v>
      </c>
      <c r="O826">
        <v>1.312350869219407</v>
      </c>
      <c r="P826">
        <v>6.4753041430733868E-3</v>
      </c>
      <c r="Q826">
        <v>1.312350869219407</v>
      </c>
      <c r="R826">
        <v>17082.608794455176</v>
      </c>
      <c r="S826" t="s">
        <v>14</v>
      </c>
      <c r="T826">
        <v>1.304</v>
      </c>
      <c r="U826">
        <v>16973.907200000001</v>
      </c>
      <c r="V826">
        <v>108.70159445517493</v>
      </c>
      <c r="W826">
        <v>6.4040408124285565E-3</v>
      </c>
    </row>
    <row r="827" spans="1:23" x14ac:dyDescent="0.25">
      <c r="A827" t="s">
        <v>1442</v>
      </c>
      <c r="B827" t="s">
        <v>30</v>
      </c>
      <c r="C827" t="s">
        <v>103</v>
      </c>
      <c r="D827" t="s">
        <v>31</v>
      </c>
      <c r="E827" t="s">
        <v>74</v>
      </c>
      <c r="F827" s="1">
        <v>45746</v>
      </c>
      <c r="G827">
        <v>45776</v>
      </c>
      <c r="H827" t="s">
        <v>9</v>
      </c>
      <c r="I827">
        <v>2346794.84</v>
      </c>
      <c r="J827" t="s">
        <v>75</v>
      </c>
      <c r="K827" t="s">
        <v>1443</v>
      </c>
      <c r="L827">
        <v>30</v>
      </c>
      <c r="M827" t="s">
        <v>30</v>
      </c>
      <c r="N827">
        <v>1.1194</v>
      </c>
      <c r="O827">
        <v>1.3283493532692536</v>
      </c>
      <c r="P827">
        <v>6.8653787181846048E-3</v>
      </c>
      <c r="Q827">
        <v>6.8653787181846048E-3</v>
      </c>
      <c r="R827">
        <v>16111.635350481443</v>
      </c>
      <c r="S827" t="s">
        <v>11</v>
      </c>
      <c r="T827">
        <v>6.5599999999999999E-3</v>
      </c>
      <c r="U827">
        <v>15394.974150399999</v>
      </c>
      <c r="V827">
        <v>716.66120008144389</v>
      </c>
      <c r="W827">
        <v>4.6551633869604342E-2</v>
      </c>
    </row>
    <row r="828" spans="1:23" x14ac:dyDescent="0.25">
      <c r="A828" t="s">
        <v>1440</v>
      </c>
      <c r="B828" t="s">
        <v>44</v>
      </c>
      <c r="C828" t="s">
        <v>138</v>
      </c>
      <c r="D828" t="s">
        <v>33</v>
      </c>
      <c r="E828" t="s">
        <v>88</v>
      </c>
      <c r="F828" s="1">
        <v>46383</v>
      </c>
      <c r="G828">
        <v>46428</v>
      </c>
      <c r="H828" t="s">
        <v>9</v>
      </c>
      <c r="I828">
        <v>245207.67999999999</v>
      </c>
      <c r="J828" t="s">
        <v>84</v>
      </c>
      <c r="K828" t="s">
        <v>1441</v>
      </c>
      <c r="L828">
        <v>45</v>
      </c>
      <c r="M828" t="s">
        <v>44</v>
      </c>
      <c r="N828">
        <v>1.1176999999999999</v>
      </c>
      <c r="O828">
        <v>1.320456022210408</v>
      </c>
      <c r="P828">
        <v>6.3200452360757699E-3</v>
      </c>
      <c r="Q828">
        <v>6.3200452360757699E-3</v>
      </c>
      <c r="R828">
        <v>1549.7236298331918</v>
      </c>
      <c r="S828" t="s">
        <v>23</v>
      </c>
      <c r="T828">
        <v>6.8799999999999998E-3</v>
      </c>
      <c r="U828">
        <v>1687.0288383999998</v>
      </c>
      <c r="V828">
        <v>-137.30520856680801</v>
      </c>
      <c r="W828">
        <v>-8.1388773826196151E-2</v>
      </c>
    </row>
    <row r="829" spans="1:23" x14ac:dyDescent="0.25">
      <c r="A829" t="s">
        <v>1438</v>
      </c>
      <c r="B829" t="s">
        <v>40</v>
      </c>
      <c r="C829" t="s">
        <v>78</v>
      </c>
      <c r="D829" t="s">
        <v>33</v>
      </c>
      <c r="E829" t="s">
        <v>79</v>
      </c>
      <c r="F829" s="1">
        <v>45999</v>
      </c>
      <c r="G829">
        <v>46029</v>
      </c>
      <c r="H829" t="s">
        <v>9</v>
      </c>
      <c r="I829">
        <v>1440765.45</v>
      </c>
      <c r="J829" t="s">
        <v>75</v>
      </c>
      <c r="K829" t="s">
        <v>1439</v>
      </c>
      <c r="L829">
        <v>30</v>
      </c>
      <c r="M829" t="s">
        <v>40</v>
      </c>
      <c r="N829">
        <v>1.1655</v>
      </c>
      <c r="O829">
        <v>1.3326091927738395</v>
      </c>
      <c r="P829">
        <v>6.4289260301174916E-3</v>
      </c>
      <c r="Q829">
        <v>6.4289260301174916E-3</v>
      </c>
      <c r="R829">
        <v>9262.5745047989403</v>
      </c>
      <c r="S829" t="s">
        <v>14</v>
      </c>
      <c r="T829">
        <v>6.9800000000000001E-3</v>
      </c>
      <c r="U829">
        <v>10056.542841</v>
      </c>
      <c r="V829">
        <v>-793.96833620106008</v>
      </c>
      <c r="W829">
        <v>-7.8950425484600198E-2</v>
      </c>
    </row>
    <row r="830" spans="1:23" x14ac:dyDescent="0.25">
      <c r="A830" t="s">
        <v>1436</v>
      </c>
      <c r="B830" t="s">
        <v>38</v>
      </c>
      <c r="C830" t="s">
        <v>87</v>
      </c>
      <c r="D830" t="s">
        <v>33</v>
      </c>
      <c r="E830" t="s">
        <v>88</v>
      </c>
      <c r="F830" s="1">
        <v>46043</v>
      </c>
      <c r="G830">
        <v>46073</v>
      </c>
      <c r="H830" t="s">
        <v>6</v>
      </c>
      <c r="I830">
        <v>7988.83</v>
      </c>
      <c r="J830" t="s">
        <v>75</v>
      </c>
      <c r="K830" t="s">
        <v>1437</v>
      </c>
      <c r="L830">
        <v>30</v>
      </c>
      <c r="M830" t="s">
        <v>38</v>
      </c>
      <c r="N830">
        <v>1.1738999999999999</v>
      </c>
      <c r="O830">
        <v>1.3425205855443734</v>
      </c>
      <c r="P830">
        <v>6.3375263186308912E-3</v>
      </c>
      <c r="Q830">
        <v>1.1738999999999999</v>
      </c>
      <c r="R830">
        <v>9378.0875369999994</v>
      </c>
      <c r="S830" t="s">
        <v>16</v>
      </c>
      <c r="T830">
        <v>1.0649999999999999</v>
      </c>
      <c r="U830">
        <v>8508.1039499999988</v>
      </c>
      <c r="V830">
        <v>869.98358700000063</v>
      </c>
      <c r="W830">
        <v>0.10225352112676066</v>
      </c>
    </row>
    <row r="831" spans="1:23" x14ac:dyDescent="0.25">
      <c r="A831" t="s">
        <v>1434</v>
      </c>
      <c r="B831" t="s">
        <v>30</v>
      </c>
      <c r="C831" t="s">
        <v>103</v>
      </c>
      <c r="D831" t="s">
        <v>31</v>
      </c>
      <c r="E831" t="s">
        <v>74</v>
      </c>
      <c r="F831" s="1">
        <v>45906</v>
      </c>
      <c r="G831">
        <v>45936</v>
      </c>
      <c r="H831" t="s">
        <v>9</v>
      </c>
      <c r="I831">
        <v>2880585.9</v>
      </c>
      <c r="J831" t="s">
        <v>75</v>
      </c>
      <c r="K831" t="s">
        <v>1435</v>
      </c>
      <c r="L831">
        <v>30</v>
      </c>
      <c r="M831" t="s">
        <v>30</v>
      </c>
      <c r="N831">
        <v>1.1757</v>
      </c>
      <c r="O831">
        <v>1.3495179063360883</v>
      </c>
      <c r="P831">
        <v>6.4077828646173975E-3</v>
      </c>
      <c r="Q831">
        <v>6.4077828646173975E-3</v>
      </c>
      <c r="R831">
        <v>18458.168970078485</v>
      </c>
      <c r="S831" t="s">
        <v>13</v>
      </c>
      <c r="T831">
        <v>6.8399999999999997E-3</v>
      </c>
      <c r="U831">
        <v>19703.207555999998</v>
      </c>
      <c r="V831">
        <v>-1245.038585921513</v>
      </c>
      <c r="W831">
        <v>-6.3189639675818948E-2</v>
      </c>
    </row>
    <row r="832" spans="1:23" x14ac:dyDescent="0.25">
      <c r="A832" t="s">
        <v>1432</v>
      </c>
      <c r="B832" t="s">
        <v>39</v>
      </c>
      <c r="C832" t="s">
        <v>82</v>
      </c>
      <c r="D832" t="s">
        <v>33</v>
      </c>
      <c r="E832" t="s">
        <v>83</v>
      </c>
      <c r="F832" s="1">
        <v>45839</v>
      </c>
      <c r="G832">
        <v>45884</v>
      </c>
      <c r="H832" t="s">
        <v>8</v>
      </c>
      <c r="I832">
        <v>1814.77</v>
      </c>
      <c r="J832" t="s">
        <v>75</v>
      </c>
      <c r="K832" t="s">
        <v>1433</v>
      </c>
      <c r="L832">
        <v>45</v>
      </c>
      <c r="M832" t="s">
        <v>39</v>
      </c>
      <c r="N832">
        <v>1.181</v>
      </c>
      <c r="O832">
        <v>1.3751746623195156</v>
      </c>
      <c r="P832">
        <v>7.0005927682276238E-3</v>
      </c>
      <c r="Q832">
        <v>1.3751746623195156</v>
      </c>
      <c r="R832">
        <v>2495.6257219375871</v>
      </c>
      <c r="S832" t="s">
        <v>13</v>
      </c>
      <c r="T832">
        <v>1.282</v>
      </c>
      <c r="U832">
        <v>2326.53514</v>
      </c>
      <c r="V832">
        <v>169.0905819375871</v>
      </c>
      <c r="W832">
        <v>7.2679143774973073E-2</v>
      </c>
    </row>
    <row r="833" spans="1:23" x14ac:dyDescent="0.25">
      <c r="A833" t="s">
        <v>1430</v>
      </c>
      <c r="B833" t="s">
        <v>22</v>
      </c>
      <c r="C833" t="s">
        <v>127</v>
      </c>
      <c r="D833" t="s">
        <v>31</v>
      </c>
      <c r="E833" t="s">
        <v>124</v>
      </c>
      <c r="F833" s="1">
        <v>46189</v>
      </c>
      <c r="G833">
        <v>46249</v>
      </c>
      <c r="H833" t="s">
        <v>9</v>
      </c>
      <c r="I833">
        <v>7262437.5599999996</v>
      </c>
      <c r="J833" t="s">
        <v>75</v>
      </c>
      <c r="K833" t="s">
        <v>1431</v>
      </c>
      <c r="L833">
        <v>60</v>
      </c>
      <c r="M833" t="s">
        <v>22</v>
      </c>
      <c r="N833">
        <v>1.1594</v>
      </c>
      <c r="O833">
        <v>1.3407963363439765</v>
      </c>
      <c r="P833">
        <v>6.2353447348607082E-3</v>
      </c>
      <c r="Q833">
        <v>6.2353447348607082E-3</v>
      </c>
      <c r="R833">
        <v>45283.801802000649</v>
      </c>
      <c r="S833" t="s">
        <v>19</v>
      </c>
      <c r="T833">
        <v>6.6E-3</v>
      </c>
      <c r="U833">
        <v>47932.087895999997</v>
      </c>
      <c r="V833">
        <v>-2648.2860939993479</v>
      </c>
      <c r="W833">
        <v>-5.5250797748377475E-2</v>
      </c>
    </row>
    <row r="834" spans="1:23" x14ac:dyDescent="0.25">
      <c r="A834" t="s">
        <v>1428</v>
      </c>
      <c r="B834" t="s">
        <v>26</v>
      </c>
      <c r="C834" t="s">
        <v>94</v>
      </c>
      <c r="D834" t="s">
        <v>31</v>
      </c>
      <c r="E834" t="s">
        <v>74</v>
      </c>
      <c r="F834" s="1">
        <v>45834</v>
      </c>
      <c r="G834">
        <v>45864</v>
      </c>
      <c r="H834" t="s">
        <v>8</v>
      </c>
      <c r="I834">
        <v>4623.2</v>
      </c>
      <c r="J834" t="s">
        <v>75</v>
      </c>
      <c r="K834" t="s">
        <v>1429</v>
      </c>
      <c r="L834">
        <v>30</v>
      </c>
      <c r="M834" t="s">
        <v>26</v>
      </c>
      <c r="N834">
        <v>1.1695</v>
      </c>
      <c r="O834">
        <v>1.3702401874633861</v>
      </c>
      <c r="P834">
        <v>6.9233956902675824E-3</v>
      </c>
      <c r="Q834">
        <v>1.3702401874633861</v>
      </c>
      <c r="R834">
        <v>6334.8944346807266</v>
      </c>
      <c r="S834" t="s">
        <v>12</v>
      </c>
      <c r="T834">
        <v>1.26</v>
      </c>
      <c r="U834">
        <v>5825.232</v>
      </c>
      <c r="V834">
        <v>509.66243468072662</v>
      </c>
      <c r="W834">
        <v>8.7492212272528652E-2</v>
      </c>
    </row>
    <row r="835" spans="1:23" x14ac:dyDescent="0.25">
      <c r="A835" t="s">
        <v>1426</v>
      </c>
      <c r="B835" t="s">
        <v>24</v>
      </c>
      <c r="C835" t="s">
        <v>73</v>
      </c>
      <c r="D835" t="s">
        <v>31</v>
      </c>
      <c r="E835" t="s">
        <v>74</v>
      </c>
      <c r="F835" s="1">
        <v>46265</v>
      </c>
      <c r="G835">
        <v>46295</v>
      </c>
      <c r="H835" t="s">
        <v>6</v>
      </c>
      <c r="I835">
        <v>34131.279999999999</v>
      </c>
      <c r="J835" t="s">
        <v>75</v>
      </c>
      <c r="K835" t="s">
        <v>1427</v>
      </c>
      <c r="L835">
        <v>30</v>
      </c>
      <c r="M835" t="s">
        <v>24</v>
      </c>
      <c r="N835">
        <v>1.1596</v>
      </c>
      <c r="O835">
        <v>1.353913693256118</v>
      </c>
      <c r="P835">
        <v>6.2606629953568726E-3</v>
      </c>
      <c r="Q835">
        <v>1.1596</v>
      </c>
      <c r="R835">
        <v>39578.632288000001</v>
      </c>
      <c r="S835" t="s">
        <v>21</v>
      </c>
      <c r="T835">
        <v>1.101</v>
      </c>
      <c r="U835">
        <v>37578.539279999997</v>
      </c>
      <c r="V835">
        <v>2000.0930080000035</v>
      </c>
      <c r="W835">
        <v>5.3224341507720353E-2</v>
      </c>
    </row>
    <row r="836" spans="1:23" x14ac:dyDescent="0.25">
      <c r="A836" t="s">
        <v>1424</v>
      </c>
      <c r="B836" t="s">
        <v>26</v>
      </c>
      <c r="C836" t="s">
        <v>94</v>
      </c>
      <c r="D836" t="s">
        <v>31</v>
      </c>
      <c r="E836" t="s">
        <v>74</v>
      </c>
      <c r="F836" s="1">
        <v>45842</v>
      </c>
      <c r="G836">
        <v>45872</v>
      </c>
      <c r="H836" t="s">
        <v>8</v>
      </c>
      <c r="I836">
        <v>19547.45</v>
      </c>
      <c r="J836" t="s">
        <v>75</v>
      </c>
      <c r="K836" t="s">
        <v>1425</v>
      </c>
      <c r="L836">
        <v>30</v>
      </c>
      <c r="M836" t="s">
        <v>26</v>
      </c>
      <c r="N836">
        <v>1.1767000000000001</v>
      </c>
      <c r="O836">
        <v>1.3642898550724638</v>
      </c>
      <c r="P836">
        <v>6.9250235404896433E-3</v>
      </c>
      <c r="Q836">
        <v>1.3642898550724638</v>
      </c>
      <c r="R836">
        <v>26668.387727536232</v>
      </c>
      <c r="S836" t="s">
        <v>13</v>
      </c>
      <c r="T836">
        <v>1.282</v>
      </c>
      <c r="U836">
        <v>25059.830900000001</v>
      </c>
      <c r="V836">
        <v>1608.5568275362311</v>
      </c>
      <c r="W836">
        <v>6.4188654502701809E-2</v>
      </c>
    </row>
    <row r="837" spans="1:23" x14ac:dyDescent="0.25">
      <c r="A837" t="s">
        <v>1422</v>
      </c>
      <c r="B837" t="s">
        <v>36</v>
      </c>
      <c r="C837" t="s">
        <v>116</v>
      </c>
      <c r="D837" t="s">
        <v>31</v>
      </c>
      <c r="E837" t="s">
        <v>74</v>
      </c>
      <c r="F837" s="1">
        <v>46131</v>
      </c>
      <c r="G837">
        <v>46176</v>
      </c>
      <c r="H837" t="s">
        <v>6</v>
      </c>
      <c r="I837">
        <v>9094.76</v>
      </c>
      <c r="J837" t="s">
        <v>75</v>
      </c>
      <c r="K837" t="s">
        <v>1423</v>
      </c>
      <c r="L837">
        <v>45</v>
      </c>
      <c r="M837" t="s">
        <v>36</v>
      </c>
      <c r="N837">
        <v>1.1797</v>
      </c>
      <c r="O837">
        <v>1.3533636196769456</v>
      </c>
      <c r="P837">
        <v>6.2843596846366926E-3</v>
      </c>
      <c r="Q837">
        <v>1.1797</v>
      </c>
      <c r="R837">
        <v>10729.088372</v>
      </c>
      <c r="S837" t="s">
        <v>19</v>
      </c>
      <c r="T837">
        <v>1.083</v>
      </c>
      <c r="U837">
        <v>9849.6250799999998</v>
      </c>
      <c r="V837">
        <v>879.46329200000037</v>
      </c>
      <c r="W837">
        <v>8.9289012003693477E-2</v>
      </c>
    </row>
    <row r="838" spans="1:23" x14ac:dyDescent="0.25">
      <c r="A838" t="s">
        <v>1420</v>
      </c>
      <c r="B838" t="s">
        <v>43</v>
      </c>
      <c r="C838" t="s">
        <v>215</v>
      </c>
      <c r="D838" t="s">
        <v>35</v>
      </c>
      <c r="E838" t="s">
        <v>152</v>
      </c>
      <c r="F838" s="1">
        <v>46061</v>
      </c>
      <c r="G838">
        <v>46091</v>
      </c>
      <c r="H838" t="s">
        <v>6</v>
      </c>
      <c r="I838">
        <v>9831.92</v>
      </c>
      <c r="J838" t="s">
        <v>75</v>
      </c>
      <c r="K838" t="s">
        <v>1421</v>
      </c>
      <c r="L838">
        <v>30</v>
      </c>
      <c r="M838" t="s">
        <v>43</v>
      </c>
      <c r="N838">
        <v>1.1555</v>
      </c>
      <c r="O838">
        <v>1.3367963164349013</v>
      </c>
      <c r="P838">
        <v>6.2983756677204832E-3</v>
      </c>
      <c r="Q838">
        <v>1.1555</v>
      </c>
      <c r="R838">
        <v>11360.78356</v>
      </c>
      <c r="S838" t="s">
        <v>16</v>
      </c>
      <c r="T838">
        <v>1.0649999999999999</v>
      </c>
      <c r="U838">
        <v>10470.9948</v>
      </c>
      <c r="V838">
        <v>889.78875999999946</v>
      </c>
      <c r="W838">
        <v>8.4976525821596191E-2</v>
      </c>
    </row>
    <row r="839" spans="1:23" x14ac:dyDescent="0.25">
      <c r="A839" t="s">
        <v>1418</v>
      </c>
      <c r="B839" t="s">
        <v>30</v>
      </c>
      <c r="C839" t="s">
        <v>103</v>
      </c>
      <c r="D839" t="s">
        <v>31</v>
      </c>
      <c r="E839" t="s">
        <v>74</v>
      </c>
      <c r="F839" s="1">
        <v>46047</v>
      </c>
      <c r="G839">
        <v>46077</v>
      </c>
      <c r="H839" t="s">
        <v>9</v>
      </c>
      <c r="I839">
        <v>1036122.98</v>
      </c>
      <c r="J839" t="s">
        <v>75</v>
      </c>
      <c r="K839" t="s">
        <v>1419</v>
      </c>
      <c r="L839">
        <v>30</v>
      </c>
      <c r="M839" t="s">
        <v>30</v>
      </c>
      <c r="N839">
        <v>1.1555</v>
      </c>
      <c r="O839">
        <v>1.3367963164349013</v>
      </c>
      <c r="P839">
        <v>6.2983756677204832E-3</v>
      </c>
      <c r="Q839">
        <v>6.2983756677204832E-3</v>
      </c>
      <c r="R839">
        <v>6525.891765998037</v>
      </c>
      <c r="S839" t="s">
        <v>16</v>
      </c>
      <c r="T839">
        <v>6.4599999999999996E-3</v>
      </c>
      <c r="U839">
        <v>6693.3544507999995</v>
      </c>
      <c r="V839">
        <v>-167.4626848019625</v>
      </c>
      <c r="W839">
        <v>-2.5019246482897241E-2</v>
      </c>
    </row>
    <row r="840" spans="1:23" x14ac:dyDescent="0.25">
      <c r="A840" t="s">
        <v>1416</v>
      </c>
      <c r="B840" t="s">
        <v>24</v>
      </c>
      <c r="C840" t="s">
        <v>73</v>
      </c>
      <c r="D840" t="s">
        <v>31</v>
      </c>
      <c r="E840" t="s">
        <v>74</v>
      </c>
      <c r="F840" s="1">
        <v>45714</v>
      </c>
      <c r="G840">
        <v>45744</v>
      </c>
      <c r="H840" t="s">
        <v>6</v>
      </c>
      <c r="I840">
        <v>28951.5</v>
      </c>
      <c r="J840" t="s">
        <v>75</v>
      </c>
      <c r="K840" t="s">
        <v>1417</v>
      </c>
      <c r="L840">
        <v>30</v>
      </c>
      <c r="M840" t="s">
        <v>24</v>
      </c>
      <c r="N840">
        <v>1.0487</v>
      </c>
      <c r="O840">
        <v>1.2655065887918135</v>
      </c>
      <c r="P840">
        <v>6.6924058710912575E-3</v>
      </c>
      <c r="Q840">
        <v>1.0487</v>
      </c>
      <c r="R840">
        <v>30361.438050000001</v>
      </c>
      <c r="S840" t="s">
        <v>11</v>
      </c>
      <c r="T840">
        <v>1.052</v>
      </c>
      <c r="U840">
        <v>30456.978000000003</v>
      </c>
      <c r="V840">
        <v>-95.539950000002136</v>
      </c>
      <c r="W840">
        <v>-3.1368821292776365E-3</v>
      </c>
    </row>
    <row r="841" spans="1:23" x14ac:dyDescent="0.25">
      <c r="A841" t="s">
        <v>1414</v>
      </c>
      <c r="B841" t="s">
        <v>42</v>
      </c>
      <c r="C841" t="s">
        <v>151</v>
      </c>
      <c r="D841" t="s">
        <v>35</v>
      </c>
      <c r="E841" t="s">
        <v>152</v>
      </c>
      <c r="F841" s="1">
        <v>46054</v>
      </c>
      <c r="G841">
        <v>46084</v>
      </c>
      <c r="H841" t="s">
        <v>8</v>
      </c>
      <c r="I841">
        <v>2752.9</v>
      </c>
      <c r="J841" t="s">
        <v>75</v>
      </c>
      <c r="K841" t="s">
        <v>1415</v>
      </c>
      <c r="L841">
        <v>30</v>
      </c>
      <c r="M841" t="s">
        <v>42</v>
      </c>
      <c r="N841">
        <v>1.1555</v>
      </c>
      <c r="O841">
        <v>1.3367963164349013</v>
      </c>
      <c r="P841">
        <v>6.2983756677204832E-3</v>
      </c>
      <c r="Q841">
        <v>1.3367963164349013</v>
      </c>
      <c r="R841">
        <v>3680.0665795136397</v>
      </c>
      <c r="S841" t="s">
        <v>16</v>
      </c>
      <c r="T841">
        <v>1.2490000000000001</v>
      </c>
      <c r="U841">
        <v>3438.3721000000005</v>
      </c>
      <c r="V841">
        <v>241.69447951363918</v>
      </c>
      <c r="W841">
        <v>7.0293287778143365E-2</v>
      </c>
    </row>
    <row r="842" spans="1:23" x14ac:dyDescent="0.25">
      <c r="A842" t="s">
        <v>1412</v>
      </c>
      <c r="B842" t="s">
        <v>28</v>
      </c>
      <c r="C842" t="s">
        <v>111</v>
      </c>
      <c r="D842" t="s">
        <v>31</v>
      </c>
      <c r="E842" t="s">
        <v>74</v>
      </c>
      <c r="F842" s="1">
        <v>46380</v>
      </c>
      <c r="G842">
        <v>46425</v>
      </c>
      <c r="H842" t="s">
        <v>9</v>
      </c>
      <c r="I842">
        <v>4874806.08</v>
      </c>
      <c r="J842" t="s">
        <v>84</v>
      </c>
      <c r="K842" t="s">
        <v>1413</v>
      </c>
      <c r="L842">
        <v>45</v>
      </c>
      <c r="M842" t="s">
        <v>28</v>
      </c>
      <c r="N842">
        <v>1.1176999999999999</v>
      </c>
      <c r="O842">
        <v>1.320456022210408</v>
      </c>
      <c r="P842">
        <v>6.3200452360757699E-3</v>
      </c>
      <c r="Q842">
        <v>6.3200452360757699E-3</v>
      </c>
      <c r="R842">
        <v>30808.994942697198</v>
      </c>
      <c r="S842" t="s">
        <v>23</v>
      </c>
      <c r="T842">
        <v>6.8799999999999998E-3</v>
      </c>
      <c r="U842">
        <v>33538.665830400001</v>
      </c>
      <c r="V842">
        <v>-2729.6708877028032</v>
      </c>
      <c r="W842">
        <v>-8.1388773826196276E-2</v>
      </c>
    </row>
    <row r="843" spans="1:23" x14ac:dyDescent="0.25">
      <c r="A843" t="s">
        <v>1410</v>
      </c>
      <c r="B843" t="s">
        <v>32</v>
      </c>
      <c r="C843" t="s">
        <v>106</v>
      </c>
      <c r="D843" t="s">
        <v>31</v>
      </c>
      <c r="E843" t="s">
        <v>74</v>
      </c>
      <c r="F843" s="1">
        <v>46233</v>
      </c>
      <c r="G843">
        <v>46263</v>
      </c>
      <c r="H843" t="s">
        <v>6</v>
      </c>
      <c r="I843">
        <v>26019.67</v>
      </c>
      <c r="J843" t="s">
        <v>75</v>
      </c>
      <c r="K843" t="s">
        <v>1411</v>
      </c>
      <c r="L843">
        <v>30</v>
      </c>
      <c r="M843" t="s">
        <v>32</v>
      </c>
      <c r="N843">
        <v>1.1476</v>
      </c>
      <c r="O843">
        <v>1.3388555095374206</v>
      </c>
      <c r="P843">
        <v>6.1372265896572006E-3</v>
      </c>
      <c r="Q843">
        <v>1.1476</v>
      </c>
      <c r="R843">
        <v>29860.173291999996</v>
      </c>
      <c r="S843" t="s">
        <v>21</v>
      </c>
      <c r="T843">
        <v>1.101</v>
      </c>
      <c r="U843">
        <v>28647.656669999997</v>
      </c>
      <c r="V843">
        <v>1212.5166219999992</v>
      </c>
      <c r="W843">
        <v>4.2325158946412332E-2</v>
      </c>
    </row>
    <row r="844" spans="1:23" x14ac:dyDescent="0.25">
      <c r="A844" t="s">
        <v>1408</v>
      </c>
      <c r="B844" t="s">
        <v>44</v>
      </c>
      <c r="C844" t="s">
        <v>138</v>
      </c>
      <c r="D844" t="s">
        <v>33</v>
      </c>
      <c r="E844" t="s">
        <v>88</v>
      </c>
      <c r="F844" s="1">
        <v>46269</v>
      </c>
      <c r="G844">
        <v>46314</v>
      </c>
      <c r="H844" t="s">
        <v>9</v>
      </c>
      <c r="I844">
        <v>465992.4</v>
      </c>
      <c r="J844" t="s">
        <v>75</v>
      </c>
      <c r="K844" t="s">
        <v>1409</v>
      </c>
      <c r="L844">
        <v>45</v>
      </c>
      <c r="M844" t="s">
        <v>44</v>
      </c>
      <c r="N844">
        <v>1.1621999999999999</v>
      </c>
      <c r="O844">
        <v>1.3530000698502875</v>
      </c>
      <c r="P844">
        <v>6.400132165868164E-3</v>
      </c>
      <c r="Q844">
        <v>6.400132165868164E-3</v>
      </c>
      <c r="R844">
        <v>2982.4129482901039</v>
      </c>
      <c r="S844" t="s">
        <v>21</v>
      </c>
      <c r="T844">
        <v>6.7400000000000003E-3</v>
      </c>
      <c r="U844">
        <v>3140.7887760000003</v>
      </c>
      <c r="V844">
        <v>-158.37582770989638</v>
      </c>
      <c r="W844">
        <v>-5.042549467831401E-2</v>
      </c>
    </row>
    <row r="845" spans="1:23" x14ac:dyDescent="0.25">
      <c r="A845" t="s">
        <v>1406</v>
      </c>
      <c r="B845" t="s">
        <v>24</v>
      </c>
      <c r="C845" t="s">
        <v>73</v>
      </c>
      <c r="D845" t="s">
        <v>31</v>
      </c>
      <c r="E845" t="s">
        <v>74</v>
      </c>
      <c r="F845" s="1">
        <v>45850</v>
      </c>
      <c r="G845">
        <v>45880</v>
      </c>
      <c r="H845" t="s">
        <v>6</v>
      </c>
      <c r="I845">
        <v>21908.09</v>
      </c>
      <c r="J845" t="s">
        <v>75</v>
      </c>
      <c r="K845" t="s">
        <v>1407</v>
      </c>
      <c r="L845">
        <v>30</v>
      </c>
      <c r="M845" t="s">
        <v>24</v>
      </c>
      <c r="N845">
        <v>1.1611</v>
      </c>
      <c r="O845">
        <v>1.3372106414833584</v>
      </c>
      <c r="P845">
        <v>6.5450958286358508E-3</v>
      </c>
      <c r="Q845">
        <v>1.1611</v>
      </c>
      <c r="R845">
        <v>25437.483299</v>
      </c>
      <c r="S845" t="s">
        <v>13</v>
      </c>
      <c r="T845">
        <v>1.0880000000000001</v>
      </c>
      <c r="U845">
        <v>23836.001920000002</v>
      </c>
      <c r="V845">
        <v>1601.4813789999971</v>
      </c>
      <c r="W845">
        <v>6.7187499999999872E-2</v>
      </c>
    </row>
    <row r="846" spans="1:23" x14ac:dyDescent="0.25">
      <c r="A846" t="s">
        <v>1404</v>
      </c>
      <c r="B846" t="s">
        <v>30</v>
      </c>
      <c r="C846" t="s">
        <v>103</v>
      </c>
      <c r="D846" t="s">
        <v>31</v>
      </c>
      <c r="E846" t="s">
        <v>74</v>
      </c>
      <c r="F846" s="1">
        <v>45755</v>
      </c>
      <c r="G846">
        <v>45785</v>
      </c>
      <c r="H846" t="s">
        <v>9</v>
      </c>
      <c r="I846">
        <v>1612808.81</v>
      </c>
      <c r="J846" t="s">
        <v>75</v>
      </c>
      <c r="K846" t="s">
        <v>1405</v>
      </c>
      <c r="L846">
        <v>30</v>
      </c>
      <c r="M846" t="s">
        <v>30</v>
      </c>
      <c r="N846">
        <v>1.095</v>
      </c>
      <c r="O846">
        <v>1.2785484096959507</v>
      </c>
      <c r="P846">
        <v>6.816059757236227E-3</v>
      </c>
      <c r="Q846">
        <v>6.816059757236227E-3</v>
      </c>
      <c r="R846">
        <v>10993.001225957049</v>
      </c>
      <c r="S846" t="s">
        <v>12</v>
      </c>
      <c r="T846">
        <v>6.7000000000000002E-3</v>
      </c>
      <c r="U846">
        <v>10805.819027000001</v>
      </c>
      <c r="V846">
        <v>187.18219895704715</v>
      </c>
      <c r="W846">
        <v>1.7322351826302443E-2</v>
      </c>
    </row>
    <row r="847" spans="1:23" x14ac:dyDescent="0.25">
      <c r="A847" t="s">
        <v>1402</v>
      </c>
      <c r="B847" t="s">
        <v>20</v>
      </c>
      <c r="C847" t="s">
        <v>123</v>
      </c>
      <c r="D847" t="s">
        <v>31</v>
      </c>
      <c r="E847" t="s">
        <v>124</v>
      </c>
      <c r="F847" s="1">
        <v>45846</v>
      </c>
      <c r="G847">
        <v>45891</v>
      </c>
      <c r="H847" t="s">
        <v>6</v>
      </c>
      <c r="I847">
        <v>68848.45</v>
      </c>
      <c r="J847" t="s">
        <v>75</v>
      </c>
      <c r="K847" t="s">
        <v>1403</v>
      </c>
      <c r="L847">
        <v>45</v>
      </c>
      <c r="M847" t="s">
        <v>20</v>
      </c>
      <c r="N847">
        <v>1.1718</v>
      </c>
      <c r="O847">
        <v>1.3575069508804449</v>
      </c>
      <c r="P847">
        <v>6.8246942341292959E-3</v>
      </c>
      <c r="Q847">
        <v>1.1718</v>
      </c>
      <c r="R847">
        <v>80676.613709999991</v>
      </c>
      <c r="S847" t="s">
        <v>13</v>
      </c>
      <c r="T847">
        <v>1.0880000000000001</v>
      </c>
      <c r="U847">
        <v>74907.113599999997</v>
      </c>
      <c r="V847">
        <v>5769.5001099999936</v>
      </c>
      <c r="W847">
        <v>7.7022058823529332E-2</v>
      </c>
    </row>
    <row r="848" spans="1:23" x14ac:dyDescent="0.25">
      <c r="A848" t="s">
        <v>1400</v>
      </c>
      <c r="B848" t="s">
        <v>42</v>
      </c>
      <c r="C848" t="s">
        <v>151</v>
      </c>
      <c r="D848" t="s">
        <v>35</v>
      </c>
      <c r="E848" t="s">
        <v>152</v>
      </c>
      <c r="F848" s="1">
        <v>46141</v>
      </c>
      <c r="G848">
        <v>46171</v>
      </c>
      <c r="H848" t="s">
        <v>8</v>
      </c>
      <c r="I848">
        <v>6721.44</v>
      </c>
      <c r="J848" t="s">
        <v>75</v>
      </c>
      <c r="K848" t="s">
        <v>1401</v>
      </c>
      <c r="L848">
        <v>30</v>
      </c>
      <c r="M848" t="s">
        <v>42</v>
      </c>
      <c r="N848">
        <v>1.1706000000000001</v>
      </c>
      <c r="O848">
        <v>1.3510612513417126</v>
      </c>
      <c r="P848">
        <v>6.2582197273456297E-3</v>
      </c>
      <c r="Q848">
        <v>1.3510612513417126</v>
      </c>
      <c r="R848">
        <v>9081.0771372182408</v>
      </c>
      <c r="S848" t="s">
        <v>19</v>
      </c>
      <c r="T848">
        <v>1.2709999999999999</v>
      </c>
      <c r="U848">
        <v>8542.9502399999983</v>
      </c>
      <c r="V848">
        <v>538.12689721824245</v>
      </c>
      <c r="W848">
        <v>6.2990756366414533E-2</v>
      </c>
    </row>
    <row r="849" spans="1:23" x14ac:dyDescent="0.25">
      <c r="A849" t="s">
        <v>1398</v>
      </c>
      <c r="B849" t="s">
        <v>26</v>
      </c>
      <c r="C849" t="s">
        <v>94</v>
      </c>
      <c r="D849" t="s">
        <v>31</v>
      </c>
      <c r="E849" t="s">
        <v>74</v>
      </c>
      <c r="F849" s="1">
        <v>46220</v>
      </c>
      <c r="G849">
        <v>46250</v>
      </c>
      <c r="H849" t="s">
        <v>8</v>
      </c>
      <c r="I849">
        <v>11048.23</v>
      </c>
      <c r="J849" t="s">
        <v>75</v>
      </c>
      <c r="K849" t="s">
        <v>1399</v>
      </c>
      <c r="L849">
        <v>30</v>
      </c>
      <c r="M849" t="s">
        <v>26</v>
      </c>
      <c r="N849">
        <v>1.1435</v>
      </c>
      <c r="O849">
        <v>1.3437448588685985</v>
      </c>
      <c r="P849">
        <v>6.1594398060867217E-3</v>
      </c>
      <c r="Q849">
        <v>1.3437448588685985</v>
      </c>
      <c r="R849">
        <v>14846.002262097816</v>
      </c>
      <c r="S849" t="s">
        <v>21</v>
      </c>
      <c r="T849">
        <v>1.2929999999999999</v>
      </c>
      <c r="U849">
        <v>14285.361389999998</v>
      </c>
      <c r="V849">
        <v>560.64087209781792</v>
      </c>
      <c r="W849">
        <v>3.9245830524824964E-2</v>
      </c>
    </row>
    <row r="850" spans="1:23" x14ac:dyDescent="0.25">
      <c r="A850" t="s">
        <v>1396</v>
      </c>
      <c r="B850" t="s">
        <v>40</v>
      </c>
      <c r="C850" t="s">
        <v>78</v>
      </c>
      <c r="D850" t="s">
        <v>33</v>
      </c>
      <c r="E850" t="s">
        <v>79</v>
      </c>
      <c r="F850" s="1">
        <v>46120</v>
      </c>
      <c r="G850">
        <v>46150</v>
      </c>
      <c r="H850" t="s">
        <v>9</v>
      </c>
      <c r="I850">
        <v>1896013.7</v>
      </c>
      <c r="J850" t="s">
        <v>75</v>
      </c>
      <c r="K850" t="s">
        <v>1397</v>
      </c>
      <c r="L850">
        <v>30</v>
      </c>
      <c r="M850" t="s">
        <v>40</v>
      </c>
      <c r="N850">
        <v>1.1706000000000001</v>
      </c>
      <c r="O850">
        <v>1.3471741106878576</v>
      </c>
      <c r="P850">
        <v>6.3231242910387299E-3</v>
      </c>
      <c r="Q850">
        <v>6.3231242910387299E-3</v>
      </c>
      <c r="R850">
        <v>11988.73028261222</v>
      </c>
      <c r="S850" t="s">
        <v>19</v>
      </c>
      <c r="T850">
        <v>6.6E-3</v>
      </c>
      <c r="U850">
        <v>12513.690419999999</v>
      </c>
      <c r="V850">
        <v>-524.96013738777947</v>
      </c>
      <c r="W850">
        <v>-4.1950864994131726E-2</v>
      </c>
    </row>
    <row r="851" spans="1:23" x14ac:dyDescent="0.25">
      <c r="A851" t="s">
        <v>1394</v>
      </c>
      <c r="B851" t="s">
        <v>22</v>
      </c>
      <c r="C851" t="s">
        <v>127</v>
      </c>
      <c r="D851" t="s">
        <v>31</v>
      </c>
      <c r="E851" t="s">
        <v>124</v>
      </c>
      <c r="F851" s="1">
        <v>45950</v>
      </c>
      <c r="G851">
        <v>46010</v>
      </c>
      <c r="H851" t="s">
        <v>9</v>
      </c>
      <c r="I851">
        <v>6362431.0199999996</v>
      </c>
      <c r="J851" t="s">
        <v>75</v>
      </c>
      <c r="K851" t="s">
        <v>1395</v>
      </c>
      <c r="L851">
        <v>60</v>
      </c>
      <c r="M851" t="s">
        <v>22</v>
      </c>
      <c r="N851">
        <v>1.1655</v>
      </c>
      <c r="O851">
        <v>1.3410424577148774</v>
      </c>
      <c r="P851">
        <v>6.6330886119173637E-3</v>
      </c>
      <c r="Q851">
        <v>6.6330886119173637E-3</v>
      </c>
      <c r="R851">
        <v>42202.568742871772</v>
      </c>
      <c r="S851" t="s">
        <v>14</v>
      </c>
      <c r="T851">
        <v>6.9800000000000001E-3</v>
      </c>
      <c r="U851">
        <v>44409.768519599995</v>
      </c>
      <c r="V851">
        <v>-2207.1997767282228</v>
      </c>
      <c r="W851">
        <v>-4.9700771931609773E-2</v>
      </c>
    </row>
    <row r="852" spans="1:23" x14ac:dyDescent="0.25">
      <c r="A852" t="s">
        <v>1392</v>
      </c>
      <c r="B852" t="s">
        <v>38</v>
      </c>
      <c r="C852" t="s">
        <v>87</v>
      </c>
      <c r="D852" t="s">
        <v>33</v>
      </c>
      <c r="E852" t="s">
        <v>88</v>
      </c>
      <c r="F852" s="1">
        <v>46336</v>
      </c>
      <c r="G852">
        <v>46366</v>
      </c>
      <c r="H852" t="s">
        <v>6</v>
      </c>
      <c r="I852">
        <v>10308.31</v>
      </c>
      <c r="J852" t="s">
        <v>84</v>
      </c>
      <c r="K852" t="s">
        <v>1393</v>
      </c>
      <c r="L852">
        <v>30</v>
      </c>
      <c r="M852" t="s">
        <v>38</v>
      </c>
      <c r="N852">
        <v>1.1176999999999999</v>
      </c>
      <c r="O852">
        <v>1.320456022210408</v>
      </c>
      <c r="P852">
        <v>6.3200452360757699E-3</v>
      </c>
      <c r="Q852">
        <v>1.1176999999999999</v>
      </c>
      <c r="R852">
        <v>11521.598086999998</v>
      </c>
      <c r="S852" t="s">
        <v>23</v>
      </c>
      <c r="T852">
        <v>1.119</v>
      </c>
      <c r="U852">
        <v>11534.998889999999</v>
      </c>
      <c r="V852">
        <v>-13.400803000000451</v>
      </c>
      <c r="W852">
        <v>-1.1617515638963753E-3</v>
      </c>
    </row>
    <row r="853" spans="1:23" x14ac:dyDescent="0.25">
      <c r="A853" t="s">
        <v>1390</v>
      </c>
      <c r="B853" t="s">
        <v>28</v>
      </c>
      <c r="C853" t="s">
        <v>111</v>
      </c>
      <c r="D853" t="s">
        <v>31</v>
      </c>
      <c r="E853" t="s">
        <v>74</v>
      </c>
      <c r="F853" s="1">
        <v>46057</v>
      </c>
      <c r="G853">
        <v>46102</v>
      </c>
      <c r="H853" t="s">
        <v>9</v>
      </c>
      <c r="I853">
        <v>3305496.65</v>
      </c>
      <c r="J853" t="s">
        <v>75</v>
      </c>
      <c r="K853" t="s">
        <v>1391</v>
      </c>
      <c r="L853">
        <v>45</v>
      </c>
      <c r="M853" t="s">
        <v>28</v>
      </c>
      <c r="N853">
        <v>1.1819999999999999</v>
      </c>
      <c r="O853">
        <v>1.3718662952646239</v>
      </c>
      <c r="P853">
        <v>6.3840129624628678E-3</v>
      </c>
      <c r="Q853">
        <v>6.3840129624628678E-3</v>
      </c>
      <c r="R853">
        <v>21102.333460977585</v>
      </c>
      <c r="S853" t="s">
        <v>16</v>
      </c>
      <c r="T853">
        <v>6.4599999999999996E-3</v>
      </c>
      <c r="U853">
        <v>21353.508358999999</v>
      </c>
      <c r="V853">
        <v>-251.17489802241471</v>
      </c>
      <c r="W853">
        <v>-1.176269930915359E-2</v>
      </c>
    </row>
    <row r="854" spans="1:23" x14ac:dyDescent="0.25">
      <c r="A854" t="s">
        <v>1388</v>
      </c>
      <c r="B854" t="s">
        <v>39</v>
      </c>
      <c r="C854" t="s">
        <v>82</v>
      </c>
      <c r="D854" t="s">
        <v>33</v>
      </c>
      <c r="E854" t="s">
        <v>83</v>
      </c>
      <c r="F854" s="1">
        <v>45820</v>
      </c>
      <c r="G854">
        <v>45865</v>
      </c>
      <c r="H854" t="s">
        <v>8</v>
      </c>
      <c r="I854">
        <v>2171.0300000000002</v>
      </c>
      <c r="J854" t="s">
        <v>75</v>
      </c>
      <c r="K854" t="s">
        <v>1389</v>
      </c>
      <c r="L854">
        <v>45</v>
      </c>
      <c r="M854" t="s">
        <v>39</v>
      </c>
      <c r="N854">
        <v>1.1594</v>
      </c>
      <c r="O854">
        <v>1.3579292574373389</v>
      </c>
      <c r="P854">
        <v>6.9575132021123384E-3</v>
      </c>
      <c r="Q854">
        <v>1.3579292574373389</v>
      </c>
      <c r="R854">
        <v>2948.1051557741862</v>
      </c>
      <c r="S854" t="s">
        <v>12</v>
      </c>
      <c r="T854">
        <v>1.26</v>
      </c>
      <c r="U854">
        <v>2735.4978000000001</v>
      </c>
      <c r="V854">
        <v>212.60735577418609</v>
      </c>
      <c r="W854">
        <v>7.7721632886776984E-2</v>
      </c>
    </row>
    <row r="855" spans="1:23" x14ac:dyDescent="0.25">
      <c r="A855" t="s">
        <v>1386</v>
      </c>
      <c r="B855" t="s">
        <v>32</v>
      </c>
      <c r="C855" t="s">
        <v>106</v>
      </c>
      <c r="D855" t="s">
        <v>31</v>
      </c>
      <c r="E855" t="s">
        <v>74</v>
      </c>
      <c r="F855" s="1">
        <v>45783</v>
      </c>
      <c r="G855">
        <v>45813</v>
      </c>
      <c r="H855" t="s">
        <v>6</v>
      </c>
      <c r="I855">
        <v>13293.76</v>
      </c>
      <c r="J855" t="s">
        <v>75</v>
      </c>
      <c r="K855" t="s">
        <v>1387</v>
      </c>
      <c r="L855">
        <v>30</v>
      </c>
      <c r="M855" t="s">
        <v>32</v>
      </c>
      <c r="N855">
        <v>1.1325000000000001</v>
      </c>
      <c r="O855">
        <v>1.3372298972724053</v>
      </c>
      <c r="P855">
        <v>7.0063103192279149E-3</v>
      </c>
      <c r="Q855">
        <v>1.1325000000000001</v>
      </c>
      <c r="R855">
        <v>15055.183200000001</v>
      </c>
      <c r="S855" t="s">
        <v>12</v>
      </c>
      <c r="T855">
        <v>1.07</v>
      </c>
      <c r="U855">
        <v>14224.323200000001</v>
      </c>
      <c r="V855">
        <v>830.86000000000058</v>
      </c>
      <c r="W855">
        <v>5.8411214953271069E-2</v>
      </c>
    </row>
    <row r="856" spans="1:23" x14ac:dyDescent="0.25">
      <c r="A856" t="s">
        <v>1384</v>
      </c>
      <c r="B856" t="s">
        <v>28</v>
      </c>
      <c r="C856" t="s">
        <v>111</v>
      </c>
      <c r="D856" t="s">
        <v>31</v>
      </c>
      <c r="E856" t="s">
        <v>74</v>
      </c>
      <c r="F856" s="1">
        <v>46088</v>
      </c>
      <c r="G856">
        <v>46133</v>
      </c>
      <c r="H856" t="s">
        <v>9</v>
      </c>
      <c r="I856">
        <v>2660750.6800000002</v>
      </c>
      <c r="J856" t="s">
        <v>75</v>
      </c>
      <c r="K856" t="s">
        <v>1385</v>
      </c>
      <c r="L856">
        <v>45</v>
      </c>
      <c r="M856" t="s">
        <v>28</v>
      </c>
      <c r="N856">
        <v>1.1555</v>
      </c>
      <c r="O856">
        <v>1.3367963164349013</v>
      </c>
      <c r="P856">
        <v>6.2983756677204832E-3</v>
      </c>
      <c r="Q856">
        <v>6.2983756677204832E-3</v>
      </c>
      <c r="R856">
        <v>16758.407340782731</v>
      </c>
      <c r="S856" t="s">
        <v>16</v>
      </c>
      <c r="T856">
        <v>6.4599999999999996E-3</v>
      </c>
      <c r="U856">
        <v>17188.449392800001</v>
      </c>
      <c r="V856">
        <v>-430.04205201727018</v>
      </c>
      <c r="W856">
        <v>-2.5019246482897332E-2</v>
      </c>
    </row>
    <row r="857" spans="1:23" x14ac:dyDescent="0.25">
      <c r="A857" t="s">
        <v>1382</v>
      </c>
      <c r="B857" t="s">
        <v>22</v>
      </c>
      <c r="C857" t="s">
        <v>127</v>
      </c>
      <c r="D857" t="s">
        <v>31</v>
      </c>
      <c r="E857" t="s">
        <v>124</v>
      </c>
      <c r="F857" s="1">
        <v>46105</v>
      </c>
      <c r="G857">
        <v>46165</v>
      </c>
      <c r="H857" t="s">
        <v>9</v>
      </c>
      <c r="I857">
        <v>8365560.79</v>
      </c>
      <c r="J857" t="s">
        <v>75</v>
      </c>
      <c r="K857" t="s">
        <v>1383</v>
      </c>
      <c r="L857">
        <v>60</v>
      </c>
      <c r="M857" t="s">
        <v>22</v>
      </c>
      <c r="N857">
        <v>1.1572</v>
      </c>
      <c r="O857">
        <v>1.3371696652453751</v>
      </c>
      <c r="P857">
        <v>6.2922081452884563E-3</v>
      </c>
      <c r="Q857">
        <v>6.2922081452884563E-3</v>
      </c>
      <c r="R857">
        <v>52637.849742743732</v>
      </c>
      <c r="S857" t="s">
        <v>16</v>
      </c>
      <c r="T857">
        <v>6.4599999999999996E-3</v>
      </c>
      <c r="U857">
        <v>54041.522703399998</v>
      </c>
      <c r="V857">
        <v>-1403.6729606562658</v>
      </c>
      <c r="W857">
        <v>-2.5973971317576408E-2</v>
      </c>
    </row>
    <row r="858" spans="1:23" x14ac:dyDescent="0.25">
      <c r="A858" t="s">
        <v>1380</v>
      </c>
      <c r="B858" t="s">
        <v>25</v>
      </c>
      <c r="C858" t="s">
        <v>169</v>
      </c>
      <c r="D858" t="s">
        <v>31</v>
      </c>
      <c r="E858" t="s">
        <v>124</v>
      </c>
      <c r="F858" s="1">
        <v>45701</v>
      </c>
      <c r="G858">
        <v>45761</v>
      </c>
      <c r="H858" t="s">
        <v>6</v>
      </c>
      <c r="I858">
        <v>65473.27</v>
      </c>
      <c r="J858" t="s">
        <v>75</v>
      </c>
      <c r="K858" t="s">
        <v>1381</v>
      </c>
      <c r="L858">
        <v>60</v>
      </c>
      <c r="M858" t="s">
        <v>25</v>
      </c>
      <c r="N858">
        <v>1.0389999999999999</v>
      </c>
      <c r="O858">
        <v>1.2471042934476011</v>
      </c>
      <c r="P858">
        <v>6.5022842480755988E-3</v>
      </c>
      <c r="Q858">
        <v>1.0389999999999999</v>
      </c>
      <c r="R858">
        <v>68026.727529999989</v>
      </c>
      <c r="S858" t="s">
        <v>11</v>
      </c>
      <c r="T858">
        <v>1.052</v>
      </c>
      <c r="U858">
        <v>68877.880040000004</v>
      </c>
      <c r="V858">
        <v>-851.15251000001444</v>
      </c>
      <c r="W858">
        <v>-1.2357414448669411E-2</v>
      </c>
    </row>
    <row r="859" spans="1:23" x14ac:dyDescent="0.25">
      <c r="A859" t="s">
        <v>1378</v>
      </c>
      <c r="B859" t="s">
        <v>32</v>
      </c>
      <c r="C859" t="s">
        <v>106</v>
      </c>
      <c r="D859" t="s">
        <v>31</v>
      </c>
      <c r="E859" t="s">
        <v>74</v>
      </c>
      <c r="F859" s="1">
        <v>45701</v>
      </c>
      <c r="G859">
        <v>45731</v>
      </c>
      <c r="H859" t="s">
        <v>6</v>
      </c>
      <c r="I859">
        <v>7899.16</v>
      </c>
      <c r="J859" t="s">
        <v>75</v>
      </c>
      <c r="K859" t="s">
        <v>1379</v>
      </c>
      <c r="L859">
        <v>30</v>
      </c>
      <c r="M859" t="s">
        <v>32</v>
      </c>
      <c r="N859">
        <v>1.0389999999999999</v>
      </c>
      <c r="O859">
        <v>1.2471042934476011</v>
      </c>
      <c r="P859">
        <v>6.5022842480755988E-3</v>
      </c>
      <c r="Q859">
        <v>1.0389999999999999</v>
      </c>
      <c r="R859">
        <v>8207.2272399999983</v>
      </c>
      <c r="S859" t="s">
        <v>11</v>
      </c>
      <c r="T859">
        <v>1.052</v>
      </c>
      <c r="U859">
        <v>8309.9163200000003</v>
      </c>
      <c r="V859">
        <v>-102.68908000000192</v>
      </c>
      <c r="W859">
        <v>-1.2357414448669432E-2</v>
      </c>
    </row>
    <row r="860" spans="1:23" x14ac:dyDescent="0.25">
      <c r="A860" t="s">
        <v>1376</v>
      </c>
      <c r="B860" t="s">
        <v>22</v>
      </c>
      <c r="C860" t="s">
        <v>127</v>
      </c>
      <c r="D860" t="s">
        <v>31</v>
      </c>
      <c r="E860" t="s">
        <v>124</v>
      </c>
      <c r="F860" s="1">
        <v>46095</v>
      </c>
      <c r="G860">
        <v>46155</v>
      </c>
      <c r="H860" t="s">
        <v>9</v>
      </c>
      <c r="I860">
        <v>4683592.18</v>
      </c>
      <c r="J860" t="s">
        <v>75</v>
      </c>
      <c r="K860" t="s">
        <v>1377</v>
      </c>
      <c r="L860">
        <v>60</v>
      </c>
      <c r="M860" t="s">
        <v>22</v>
      </c>
      <c r="N860">
        <v>1.1555</v>
      </c>
      <c r="O860">
        <v>1.3367963164349013</v>
      </c>
      <c r="P860">
        <v>6.2983756677204832E-3</v>
      </c>
      <c r="Q860">
        <v>6.2983756677204832E-3</v>
      </c>
      <c r="R860">
        <v>29499.023024037931</v>
      </c>
      <c r="S860" t="s">
        <v>16</v>
      </c>
      <c r="T860">
        <v>6.4599999999999996E-3</v>
      </c>
      <c r="U860">
        <v>30256.005482799996</v>
      </c>
      <c r="V860">
        <v>-756.9824587620642</v>
      </c>
      <c r="W860">
        <v>-2.5019246482897266E-2</v>
      </c>
    </row>
    <row r="861" spans="1:23" x14ac:dyDescent="0.25">
      <c r="A861" t="s">
        <v>1374</v>
      </c>
      <c r="B861" t="s">
        <v>20</v>
      </c>
      <c r="C861" t="s">
        <v>123</v>
      </c>
      <c r="D861" t="s">
        <v>31</v>
      </c>
      <c r="E861" t="s">
        <v>124</v>
      </c>
      <c r="F861" s="1">
        <v>46063</v>
      </c>
      <c r="G861">
        <v>46108</v>
      </c>
      <c r="H861" t="s">
        <v>6</v>
      </c>
      <c r="I861">
        <v>37254.01</v>
      </c>
      <c r="J861" t="s">
        <v>75</v>
      </c>
      <c r="K861" t="s">
        <v>1375</v>
      </c>
      <c r="L861">
        <v>45</v>
      </c>
      <c r="M861" t="s">
        <v>20</v>
      </c>
      <c r="N861">
        <v>1.1894</v>
      </c>
      <c r="O861">
        <v>1.3679125934445082</v>
      </c>
      <c r="P861">
        <v>6.4462630751720776E-3</v>
      </c>
      <c r="Q861">
        <v>1.1894</v>
      </c>
      <c r="R861">
        <v>44309.919494000002</v>
      </c>
      <c r="S861" t="s">
        <v>16</v>
      </c>
      <c r="T861">
        <v>1.0649999999999999</v>
      </c>
      <c r="U861">
        <v>39675.520649999999</v>
      </c>
      <c r="V861">
        <v>4634.398844000003</v>
      </c>
      <c r="W861">
        <v>0.11680751173708928</v>
      </c>
    </row>
    <row r="862" spans="1:23" x14ac:dyDescent="0.25">
      <c r="A862" t="s">
        <v>1372</v>
      </c>
      <c r="B862" t="s">
        <v>42</v>
      </c>
      <c r="C862" t="s">
        <v>151</v>
      </c>
      <c r="D862" t="s">
        <v>35</v>
      </c>
      <c r="E862" t="s">
        <v>152</v>
      </c>
      <c r="F862" s="1">
        <v>46232</v>
      </c>
      <c r="G862">
        <v>46262</v>
      </c>
      <c r="H862" t="s">
        <v>8</v>
      </c>
      <c r="I862">
        <v>6074.53</v>
      </c>
      <c r="J862" t="s">
        <v>75</v>
      </c>
      <c r="K862" t="s">
        <v>1373</v>
      </c>
      <c r="L862">
        <v>30</v>
      </c>
      <c r="M862" t="s">
        <v>42</v>
      </c>
      <c r="N862">
        <v>1.1379999999999999</v>
      </c>
      <c r="O862">
        <v>1.3288958953698837</v>
      </c>
      <c r="P862">
        <v>6.1094110699522189E-3</v>
      </c>
      <c r="Q862">
        <v>1.3288958953698837</v>
      </c>
      <c r="R862">
        <v>8072.4179833012195</v>
      </c>
      <c r="S862" t="s">
        <v>21</v>
      </c>
      <c r="T862">
        <v>1.2929999999999999</v>
      </c>
      <c r="U862">
        <v>7854.3672899999992</v>
      </c>
      <c r="V862">
        <v>218.05069330122024</v>
      </c>
      <c r="W862">
        <v>2.7761713356445322E-2</v>
      </c>
    </row>
    <row r="863" spans="1:23" x14ac:dyDescent="0.25">
      <c r="A863" t="s">
        <v>1370</v>
      </c>
      <c r="B863" t="s">
        <v>28</v>
      </c>
      <c r="C863" t="s">
        <v>111</v>
      </c>
      <c r="D863" t="s">
        <v>31</v>
      </c>
      <c r="E863" t="s">
        <v>74</v>
      </c>
      <c r="F863" s="1">
        <v>46291</v>
      </c>
      <c r="G863">
        <v>46336</v>
      </c>
      <c r="H863" t="s">
        <v>9</v>
      </c>
      <c r="I863">
        <v>1429782.05</v>
      </c>
      <c r="J863" t="s">
        <v>75</v>
      </c>
      <c r="K863" t="s">
        <v>1371</v>
      </c>
      <c r="L863">
        <v>45</v>
      </c>
      <c r="M863" t="s">
        <v>28</v>
      </c>
      <c r="N863">
        <v>1.1403000000000001</v>
      </c>
      <c r="O863">
        <v>1.3252367947004475</v>
      </c>
      <c r="P863">
        <v>6.3455759599332232E-3</v>
      </c>
      <c r="Q863">
        <v>6.3455759599332232E-3</v>
      </c>
      <c r="R863">
        <v>9072.7906044240426</v>
      </c>
      <c r="S863" t="s">
        <v>21</v>
      </c>
      <c r="T863">
        <v>6.7400000000000003E-3</v>
      </c>
      <c r="U863">
        <v>9636.7310170000001</v>
      </c>
      <c r="V863">
        <v>-563.94041257595745</v>
      </c>
      <c r="W863">
        <v>-5.8519887250263532E-2</v>
      </c>
    </row>
    <row r="864" spans="1:23" x14ac:dyDescent="0.25">
      <c r="A864" t="s">
        <v>1368</v>
      </c>
      <c r="B864" t="s">
        <v>24</v>
      </c>
      <c r="C864" t="s">
        <v>73</v>
      </c>
      <c r="D864" t="s">
        <v>31</v>
      </c>
      <c r="E864" t="s">
        <v>74</v>
      </c>
      <c r="F864" s="1">
        <v>46097</v>
      </c>
      <c r="G864">
        <v>46127</v>
      </c>
      <c r="H864" t="s">
        <v>6</v>
      </c>
      <c r="I864">
        <v>40500.22</v>
      </c>
      <c r="J864" t="s">
        <v>75</v>
      </c>
      <c r="K864" t="s">
        <v>1369</v>
      </c>
      <c r="L864">
        <v>30</v>
      </c>
      <c r="M864" t="s">
        <v>24</v>
      </c>
      <c r="N864">
        <v>1.1477999999999999</v>
      </c>
      <c r="O864">
        <v>1.3283492269234329</v>
      </c>
      <c r="P864">
        <v>6.283805978320376E-3</v>
      </c>
      <c r="Q864">
        <v>1.1477999999999999</v>
      </c>
      <c r="R864">
        <v>46486.152516000002</v>
      </c>
      <c r="S864" t="s">
        <v>16</v>
      </c>
      <c r="T864">
        <v>1.0649999999999999</v>
      </c>
      <c r="U864">
        <v>43132.734299999996</v>
      </c>
      <c r="V864">
        <v>3353.4182160000055</v>
      </c>
      <c r="W864">
        <v>7.7746478873239572E-2</v>
      </c>
    </row>
    <row r="865" spans="1:23" x14ac:dyDescent="0.25">
      <c r="A865" t="s">
        <v>1366</v>
      </c>
      <c r="B865" t="s">
        <v>40</v>
      </c>
      <c r="C865" t="s">
        <v>78</v>
      </c>
      <c r="D865" t="s">
        <v>33</v>
      </c>
      <c r="E865" t="s">
        <v>79</v>
      </c>
      <c r="F865" s="1">
        <v>45785</v>
      </c>
      <c r="G865">
        <v>45815</v>
      </c>
      <c r="H865" t="s">
        <v>9</v>
      </c>
      <c r="I865">
        <v>732360.93</v>
      </c>
      <c r="J865" t="s">
        <v>75</v>
      </c>
      <c r="K865" t="s">
        <v>1367</v>
      </c>
      <c r="L865">
        <v>30</v>
      </c>
      <c r="M865" t="s">
        <v>40</v>
      </c>
      <c r="N865">
        <v>1.1296999999999999</v>
      </c>
      <c r="O865">
        <v>1.3328220858895705</v>
      </c>
      <c r="P865">
        <v>6.9115937595594984E-3</v>
      </c>
      <c r="Q865">
        <v>6.9115937595594984E-3</v>
      </c>
      <c r="R865">
        <v>5061.781233533191</v>
      </c>
      <c r="S865" t="s">
        <v>12</v>
      </c>
      <c r="T865">
        <v>6.7000000000000002E-3</v>
      </c>
      <c r="U865">
        <v>4906.8182310000002</v>
      </c>
      <c r="V865">
        <v>154.96300253319077</v>
      </c>
      <c r="W865">
        <v>3.1581158143208742E-2</v>
      </c>
    </row>
    <row r="866" spans="1:23" x14ac:dyDescent="0.25">
      <c r="A866" t="s">
        <v>1364</v>
      </c>
      <c r="B866" t="s">
        <v>22</v>
      </c>
      <c r="C866" t="s">
        <v>127</v>
      </c>
      <c r="D866" t="s">
        <v>31</v>
      </c>
      <c r="E866" t="s">
        <v>124</v>
      </c>
      <c r="F866" s="1">
        <v>46181</v>
      </c>
      <c r="G866">
        <v>46241</v>
      </c>
      <c r="H866" t="s">
        <v>9</v>
      </c>
      <c r="I866">
        <v>13970318.65</v>
      </c>
      <c r="J866" t="s">
        <v>75</v>
      </c>
      <c r="K866" t="s">
        <v>1365</v>
      </c>
      <c r="L866">
        <v>60</v>
      </c>
      <c r="M866" t="s">
        <v>22</v>
      </c>
      <c r="N866">
        <v>1.1539999999999999</v>
      </c>
      <c r="O866">
        <v>1.3362667901806391</v>
      </c>
      <c r="P866">
        <v>6.2513542795232932E-3</v>
      </c>
      <c r="Q866">
        <v>6.2513542795232932E-3</v>
      </c>
      <c r="R866">
        <v>87333.411278981584</v>
      </c>
      <c r="S866" t="s">
        <v>19</v>
      </c>
      <c r="T866">
        <v>6.6E-3</v>
      </c>
      <c r="U866">
        <v>92204.103090000004</v>
      </c>
      <c r="V866">
        <v>-4870.6918110184197</v>
      </c>
      <c r="W866">
        <v>-5.2825109163137346E-2</v>
      </c>
    </row>
    <row r="867" spans="1:23" x14ac:dyDescent="0.25">
      <c r="A867" t="s">
        <v>1362</v>
      </c>
      <c r="B867" t="s">
        <v>20</v>
      </c>
      <c r="C867" t="s">
        <v>123</v>
      </c>
      <c r="D867" t="s">
        <v>31</v>
      </c>
      <c r="E867" t="s">
        <v>124</v>
      </c>
      <c r="F867" s="1">
        <v>46217</v>
      </c>
      <c r="G867">
        <v>46262</v>
      </c>
      <c r="H867" t="s">
        <v>6</v>
      </c>
      <c r="I867">
        <v>24235.19</v>
      </c>
      <c r="J867" t="s">
        <v>75</v>
      </c>
      <c r="K867" t="s">
        <v>1363</v>
      </c>
      <c r="L867">
        <v>45</v>
      </c>
      <c r="M867" t="s">
        <v>20</v>
      </c>
      <c r="N867">
        <v>1.1405000000000001</v>
      </c>
      <c r="O867">
        <v>1.338379393299302</v>
      </c>
      <c r="P867">
        <v>6.164531646938004E-3</v>
      </c>
      <c r="Q867">
        <v>1.1405000000000001</v>
      </c>
      <c r="R867">
        <v>27640.234195000001</v>
      </c>
      <c r="S867" t="s">
        <v>21</v>
      </c>
      <c r="T867">
        <v>1.101</v>
      </c>
      <c r="U867">
        <v>26682.944189999998</v>
      </c>
      <c r="V867">
        <v>957.29000500000257</v>
      </c>
      <c r="W867">
        <v>3.5876475930971943E-2</v>
      </c>
    </row>
    <row r="868" spans="1:23" x14ac:dyDescent="0.25">
      <c r="A868" t="s">
        <v>1360</v>
      </c>
      <c r="B868" t="s">
        <v>43</v>
      </c>
      <c r="C868" t="s">
        <v>215</v>
      </c>
      <c r="D868" t="s">
        <v>35</v>
      </c>
      <c r="E868" t="s">
        <v>152</v>
      </c>
      <c r="F868" s="1">
        <v>46235</v>
      </c>
      <c r="G868">
        <v>46265</v>
      </c>
      <c r="H868" t="s">
        <v>6</v>
      </c>
      <c r="I868">
        <v>14826.95</v>
      </c>
      <c r="J868" t="s">
        <v>75</v>
      </c>
      <c r="K868" t="s">
        <v>1361</v>
      </c>
      <c r="L868">
        <v>30</v>
      </c>
      <c r="M868" t="s">
        <v>43</v>
      </c>
      <c r="N868">
        <v>1.1485000000000001</v>
      </c>
      <c r="O868">
        <v>1.3421289425402874</v>
      </c>
      <c r="P868">
        <v>6.2408302994077054E-3</v>
      </c>
      <c r="Q868">
        <v>1.1485000000000001</v>
      </c>
      <c r="R868">
        <v>17028.752075</v>
      </c>
      <c r="S868" t="s">
        <v>21</v>
      </c>
      <c r="T868">
        <v>1.101</v>
      </c>
      <c r="U868">
        <v>16324.471950000001</v>
      </c>
      <c r="V868">
        <v>704.28012499999932</v>
      </c>
      <c r="W868">
        <v>4.3142597638510402E-2</v>
      </c>
    </row>
    <row r="869" spans="1:23" x14ac:dyDescent="0.25">
      <c r="A869" t="s">
        <v>1358</v>
      </c>
      <c r="B869" t="s">
        <v>36</v>
      </c>
      <c r="C869" t="s">
        <v>116</v>
      </c>
      <c r="D869" t="s">
        <v>31</v>
      </c>
      <c r="E869" t="s">
        <v>74</v>
      </c>
      <c r="F869" s="1">
        <v>46042</v>
      </c>
      <c r="G869">
        <v>46087</v>
      </c>
      <c r="H869" t="s">
        <v>6</v>
      </c>
      <c r="I869">
        <v>8040.23</v>
      </c>
      <c r="J869" t="s">
        <v>75</v>
      </c>
      <c r="K869" t="s">
        <v>1359</v>
      </c>
      <c r="L869">
        <v>45</v>
      </c>
      <c r="M869" t="s">
        <v>36</v>
      </c>
      <c r="N869">
        <v>1.1728000000000001</v>
      </c>
      <c r="O869">
        <v>1.3446457234579225</v>
      </c>
      <c r="P869">
        <v>6.3332973323253052E-3</v>
      </c>
      <c r="Q869">
        <v>1.1728000000000001</v>
      </c>
      <c r="R869">
        <v>9429.5817439999992</v>
      </c>
      <c r="S869" t="s">
        <v>16</v>
      </c>
      <c r="T869">
        <v>1.0649999999999999</v>
      </c>
      <c r="U869">
        <v>8562.8449499999988</v>
      </c>
      <c r="V869">
        <v>866.73679400000037</v>
      </c>
      <c r="W869">
        <v>0.10122065727699536</v>
      </c>
    </row>
    <row r="870" spans="1:23" x14ac:dyDescent="0.25">
      <c r="A870" t="s">
        <v>1356</v>
      </c>
      <c r="B870" t="s">
        <v>37</v>
      </c>
      <c r="C870" t="s">
        <v>91</v>
      </c>
      <c r="D870" t="s">
        <v>31</v>
      </c>
      <c r="E870" t="s">
        <v>74</v>
      </c>
      <c r="F870" s="1">
        <v>46128</v>
      </c>
      <c r="G870">
        <v>46158</v>
      </c>
      <c r="H870" t="s">
        <v>6</v>
      </c>
      <c r="I870">
        <v>15898.94</v>
      </c>
      <c r="J870" t="s">
        <v>75</v>
      </c>
      <c r="K870" t="s">
        <v>1357</v>
      </c>
      <c r="L870">
        <v>30</v>
      </c>
      <c r="M870" t="s">
        <v>37</v>
      </c>
      <c r="N870">
        <v>1.1781999999999999</v>
      </c>
      <c r="O870">
        <v>1.3543618452059361</v>
      </c>
      <c r="P870">
        <v>6.2901073087395223E-3</v>
      </c>
      <c r="Q870">
        <v>1.1781999999999999</v>
      </c>
      <c r="R870">
        <v>18732.131107999998</v>
      </c>
      <c r="S870" t="s">
        <v>19</v>
      </c>
      <c r="T870">
        <v>1.083</v>
      </c>
      <c r="U870">
        <v>17218.552019999999</v>
      </c>
      <c r="V870">
        <v>1513.5790879999986</v>
      </c>
      <c r="W870">
        <v>8.7903970452446828E-2</v>
      </c>
    </row>
    <row r="871" spans="1:23" x14ac:dyDescent="0.25">
      <c r="A871" t="s">
        <v>1354</v>
      </c>
      <c r="B871" t="s">
        <v>32</v>
      </c>
      <c r="C871" t="s">
        <v>106</v>
      </c>
      <c r="D871" t="s">
        <v>31</v>
      </c>
      <c r="E871" t="s">
        <v>74</v>
      </c>
      <c r="F871" s="1">
        <v>45804</v>
      </c>
      <c r="G871">
        <v>45834</v>
      </c>
      <c r="H871" t="s">
        <v>6</v>
      </c>
      <c r="I871">
        <v>9439.82</v>
      </c>
      <c r="J871" t="s">
        <v>75</v>
      </c>
      <c r="K871" t="s">
        <v>1355</v>
      </c>
      <c r="L871">
        <v>30</v>
      </c>
      <c r="M871" t="s">
        <v>32</v>
      </c>
      <c r="N871">
        <v>1.1355999999999999</v>
      </c>
      <c r="O871">
        <v>1.3549695740365111</v>
      </c>
      <c r="P871">
        <v>6.9362325922306374E-3</v>
      </c>
      <c r="Q871">
        <v>1.1355999999999999</v>
      </c>
      <c r="R871">
        <v>10719.859591999999</v>
      </c>
      <c r="S871" t="s">
        <v>12</v>
      </c>
      <c r="T871">
        <v>1.07</v>
      </c>
      <c r="U871">
        <v>10100.607400000001</v>
      </c>
      <c r="V871">
        <v>619.2521919999981</v>
      </c>
      <c r="W871">
        <v>6.1308411214953076E-2</v>
      </c>
    </row>
    <row r="872" spans="1:23" x14ac:dyDescent="0.25">
      <c r="A872" t="s">
        <v>1352</v>
      </c>
      <c r="B872" t="s">
        <v>36</v>
      </c>
      <c r="C872" t="s">
        <v>116</v>
      </c>
      <c r="D872" t="s">
        <v>31</v>
      </c>
      <c r="E872" t="s">
        <v>74</v>
      </c>
      <c r="F872" s="1">
        <v>45972</v>
      </c>
      <c r="G872">
        <v>46017</v>
      </c>
      <c r="H872" t="s">
        <v>6</v>
      </c>
      <c r="I872">
        <v>14037.25</v>
      </c>
      <c r="J872" t="s">
        <v>75</v>
      </c>
      <c r="K872" t="s">
        <v>1353</v>
      </c>
      <c r="L872">
        <v>45</v>
      </c>
      <c r="M872" t="s">
        <v>36</v>
      </c>
      <c r="N872">
        <v>1.1575</v>
      </c>
      <c r="O872">
        <v>1.3147432985006815</v>
      </c>
      <c r="P872">
        <v>6.4860472935111503E-3</v>
      </c>
      <c r="Q872">
        <v>1.1575</v>
      </c>
      <c r="R872">
        <v>16248.116875</v>
      </c>
      <c r="S872" t="s">
        <v>14</v>
      </c>
      <c r="T872">
        <v>1.1060000000000001</v>
      </c>
      <c r="U872">
        <v>15525.1985</v>
      </c>
      <c r="V872">
        <v>722.91837499999929</v>
      </c>
      <c r="W872">
        <v>4.6564195298372468E-2</v>
      </c>
    </row>
    <row r="873" spans="1:23" x14ac:dyDescent="0.25">
      <c r="A873" t="s">
        <v>1350</v>
      </c>
      <c r="B873" t="s">
        <v>41</v>
      </c>
      <c r="C873" t="s">
        <v>172</v>
      </c>
      <c r="D873" t="s">
        <v>33</v>
      </c>
      <c r="E873" t="s">
        <v>83</v>
      </c>
      <c r="F873" s="1">
        <v>45820</v>
      </c>
      <c r="G873">
        <v>45850</v>
      </c>
      <c r="H873" t="s">
        <v>9</v>
      </c>
      <c r="I873">
        <v>1702519.12</v>
      </c>
      <c r="J873" t="s">
        <v>75</v>
      </c>
      <c r="K873" t="s">
        <v>1351</v>
      </c>
      <c r="L873">
        <v>30</v>
      </c>
      <c r="M873" t="s">
        <v>41</v>
      </c>
      <c r="N873">
        <v>1.1594</v>
      </c>
      <c r="O873">
        <v>1.3579292574373389</v>
      </c>
      <c r="P873">
        <v>6.9575132021123384E-3</v>
      </c>
      <c r="Q873">
        <v>6.9575132021123384E-3</v>
      </c>
      <c r="R873">
        <v>11845.299254248681</v>
      </c>
      <c r="S873" t="s">
        <v>12</v>
      </c>
      <c r="T873">
        <v>6.7000000000000002E-3</v>
      </c>
      <c r="U873">
        <v>11406.878104000001</v>
      </c>
      <c r="V873">
        <v>438.42115024867962</v>
      </c>
      <c r="W873">
        <v>3.8434806285423562E-2</v>
      </c>
    </row>
    <row r="874" spans="1:23" x14ac:dyDescent="0.25">
      <c r="A874" t="s">
        <v>1348</v>
      </c>
      <c r="B874" t="s">
        <v>24</v>
      </c>
      <c r="C874" t="s">
        <v>73</v>
      </c>
      <c r="D874" t="s">
        <v>31</v>
      </c>
      <c r="E874" t="s">
        <v>74</v>
      </c>
      <c r="F874" s="1">
        <v>45989</v>
      </c>
      <c r="G874">
        <v>46019</v>
      </c>
      <c r="H874" t="s">
        <v>6</v>
      </c>
      <c r="I874">
        <v>53956.800000000003</v>
      </c>
      <c r="J874" t="s">
        <v>75</v>
      </c>
      <c r="K874" t="s">
        <v>1349</v>
      </c>
      <c r="L874">
        <v>30</v>
      </c>
      <c r="M874" t="s">
        <v>24</v>
      </c>
      <c r="N874">
        <v>1.1566000000000001</v>
      </c>
      <c r="O874">
        <v>1.3215265082266912</v>
      </c>
      <c r="P874">
        <v>6.405272193609127E-3</v>
      </c>
      <c r="Q874">
        <v>1.1566000000000001</v>
      </c>
      <c r="R874">
        <v>62406.434880000008</v>
      </c>
      <c r="S874" t="s">
        <v>14</v>
      </c>
      <c r="T874">
        <v>1.1060000000000001</v>
      </c>
      <c r="U874">
        <v>59676.22080000001</v>
      </c>
      <c r="V874">
        <v>2730.2140799999979</v>
      </c>
      <c r="W874">
        <v>4.5750452079565962E-2</v>
      </c>
    </row>
    <row r="875" spans="1:23" x14ac:dyDescent="0.25">
      <c r="A875" t="s">
        <v>1346</v>
      </c>
      <c r="B875" t="s">
        <v>38</v>
      </c>
      <c r="C875" t="s">
        <v>87</v>
      </c>
      <c r="D875" t="s">
        <v>33</v>
      </c>
      <c r="E875" t="s">
        <v>88</v>
      </c>
      <c r="F875" s="1">
        <v>46373</v>
      </c>
      <c r="G875">
        <v>46403</v>
      </c>
      <c r="H875" t="s">
        <v>6</v>
      </c>
      <c r="I875">
        <v>9183.48</v>
      </c>
      <c r="J875" t="s">
        <v>84</v>
      </c>
      <c r="K875" t="s">
        <v>1347</v>
      </c>
      <c r="L875">
        <v>30</v>
      </c>
      <c r="M875" t="s">
        <v>38</v>
      </c>
      <c r="N875">
        <v>1.1176999999999999</v>
      </c>
      <c r="O875">
        <v>1.320456022210408</v>
      </c>
      <c r="P875">
        <v>6.3200452360757699E-3</v>
      </c>
      <c r="Q875">
        <v>1.1176999999999999</v>
      </c>
      <c r="R875">
        <v>10264.375595999998</v>
      </c>
      <c r="S875" t="s">
        <v>23</v>
      </c>
      <c r="T875">
        <v>1.119</v>
      </c>
      <c r="U875">
        <v>10276.314119999999</v>
      </c>
      <c r="V875">
        <v>-11.938524000001053</v>
      </c>
      <c r="W875">
        <v>-1.1617515638964386E-3</v>
      </c>
    </row>
    <row r="876" spans="1:23" x14ac:dyDescent="0.25">
      <c r="A876" t="s">
        <v>1344</v>
      </c>
      <c r="B876" t="s">
        <v>41</v>
      </c>
      <c r="C876" t="s">
        <v>172</v>
      </c>
      <c r="D876" t="s">
        <v>33</v>
      </c>
      <c r="E876" t="s">
        <v>83</v>
      </c>
      <c r="F876" s="1">
        <v>46186</v>
      </c>
      <c r="G876">
        <v>46216</v>
      </c>
      <c r="H876" t="s">
        <v>9</v>
      </c>
      <c r="I876">
        <v>1227951.78</v>
      </c>
      <c r="J876" t="s">
        <v>75</v>
      </c>
      <c r="K876" t="s">
        <v>1345</v>
      </c>
      <c r="L876">
        <v>30</v>
      </c>
      <c r="M876" t="s">
        <v>41</v>
      </c>
      <c r="N876">
        <v>1.1567000000000001</v>
      </c>
      <c r="O876">
        <v>1.3402467991425759</v>
      </c>
      <c r="P876">
        <v>6.2423097679438749E-3</v>
      </c>
      <c r="Q876">
        <v>6.2423097679438749E-3</v>
      </c>
      <c r="R876">
        <v>7665.2553908580685</v>
      </c>
      <c r="S876" t="s">
        <v>19</v>
      </c>
      <c r="T876">
        <v>6.6E-3</v>
      </c>
      <c r="U876">
        <v>8104.4817480000002</v>
      </c>
      <c r="V876">
        <v>-439.22635714193166</v>
      </c>
      <c r="W876">
        <v>-5.4195489705473471E-2</v>
      </c>
    </row>
    <row r="877" spans="1:23" x14ac:dyDescent="0.25">
      <c r="A877" t="s">
        <v>1342</v>
      </c>
      <c r="B877" t="s">
        <v>43</v>
      </c>
      <c r="C877" t="s">
        <v>215</v>
      </c>
      <c r="D877" t="s">
        <v>35</v>
      </c>
      <c r="E877" t="s">
        <v>152</v>
      </c>
      <c r="F877" s="1">
        <v>46163</v>
      </c>
      <c r="G877">
        <v>46193</v>
      </c>
      <c r="H877" t="s">
        <v>6</v>
      </c>
      <c r="I877">
        <v>5418.55</v>
      </c>
      <c r="J877" t="s">
        <v>75</v>
      </c>
      <c r="K877" t="s">
        <v>1343</v>
      </c>
      <c r="L877">
        <v>30</v>
      </c>
      <c r="M877" t="s">
        <v>43</v>
      </c>
      <c r="N877">
        <v>1.1598999999999999</v>
      </c>
      <c r="O877">
        <v>1.3419642960443348</v>
      </c>
      <c r="P877">
        <v>6.2836556693211983E-3</v>
      </c>
      <c r="Q877">
        <v>1.1598999999999999</v>
      </c>
      <c r="R877">
        <v>6284.9761449999996</v>
      </c>
      <c r="S877" t="s">
        <v>19</v>
      </c>
      <c r="T877">
        <v>1.083</v>
      </c>
      <c r="U877">
        <v>5868.2896499999997</v>
      </c>
      <c r="V877">
        <v>416.68649499999992</v>
      </c>
      <c r="W877">
        <v>7.1006463527239147E-2</v>
      </c>
    </row>
    <row r="878" spans="1:23" x14ac:dyDescent="0.25">
      <c r="A878" t="s">
        <v>1340</v>
      </c>
      <c r="B878" t="s">
        <v>42</v>
      </c>
      <c r="C878" t="s">
        <v>151</v>
      </c>
      <c r="D878" t="s">
        <v>35</v>
      </c>
      <c r="E878" t="s">
        <v>152</v>
      </c>
      <c r="F878" s="1">
        <v>45825</v>
      </c>
      <c r="G878">
        <v>45855</v>
      </c>
      <c r="H878" t="s">
        <v>8</v>
      </c>
      <c r="I878">
        <v>7841.18</v>
      </c>
      <c r="J878" t="s">
        <v>75</v>
      </c>
      <c r="K878" t="s">
        <v>1341</v>
      </c>
      <c r="L878">
        <v>30</v>
      </c>
      <c r="M878" t="s">
        <v>42</v>
      </c>
      <c r="N878">
        <v>1.1568000000000001</v>
      </c>
      <c r="O878">
        <v>1.356950146627566</v>
      </c>
      <c r="P878">
        <v>6.9124589184344195E-3</v>
      </c>
      <c r="Q878">
        <v>1.356950146627566</v>
      </c>
      <c r="R878">
        <v>10640.090350733139</v>
      </c>
      <c r="S878" t="s">
        <v>12</v>
      </c>
      <c r="T878">
        <v>1.26</v>
      </c>
      <c r="U878">
        <v>9879.8868000000002</v>
      </c>
      <c r="V878">
        <v>760.2035507331384</v>
      </c>
      <c r="W878">
        <v>7.6944560815528612E-2</v>
      </c>
    </row>
    <row r="879" spans="1:23" x14ac:dyDescent="0.25">
      <c r="A879" t="s">
        <v>1338</v>
      </c>
      <c r="B879" t="s">
        <v>22</v>
      </c>
      <c r="C879" t="s">
        <v>127</v>
      </c>
      <c r="D879" t="s">
        <v>31</v>
      </c>
      <c r="E879" t="s">
        <v>124</v>
      </c>
      <c r="F879" s="1">
        <v>45792</v>
      </c>
      <c r="G879">
        <v>45852</v>
      </c>
      <c r="H879" t="s">
        <v>9</v>
      </c>
      <c r="I879">
        <v>5439377.9900000002</v>
      </c>
      <c r="J879" t="s">
        <v>75</v>
      </c>
      <c r="K879" t="s">
        <v>1339</v>
      </c>
      <c r="L879">
        <v>60</v>
      </c>
      <c r="M879" t="s">
        <v>22</v>
      </c>
      <c r="N879">
        <v>1.1185</v>
      </c>
      <c r="O879">
        <v>1.3277540360873694</v>
      </c>
      <c r="P879">
        <v>6.8493570116350275E-3</v>
      </c>
      <c r="Q879">
        <v>6.8493570116350275E-3</v>
      </c>
      <c r="R879">
        <v>37256.241774739741</v>
      </c>
      <c r="S879" t="s">
        <v>12</v>
      </c>
      <c r="T879">
        <v>6.7000000000000002E-3</v>
      </c>
      <c r="U879">
        <v>36443.832533000001</v>
      </c>
      <c r="V879">
        <v>812.40924173974054</v>
      </c>
      <c r="W879">
        <v>2.2292091288810021E-2</v>
      </c>
    </row>
    <row r="880" spans="1:23" x14ac:dyDescent="0.25">
      <c r="A880" t="s">
        <v>1336</v>
      </c>
      <c r="B880" t="s">
        <v>24</v>
      </c>
      <c r="C880" t="s">
        <v>73</v>
      </c>
      <c r="D880" t="s">
        <v>31</v>
      </c>
      <c r="E880" t="s">
        <v>74</v>
      </c>
      <c r="F880" s="1">
        <v>46219</v>
      </c>
      <c r="G880">
        <v>46249</v>
      </c>
      <c r="H880" t="s">
        <v>6</v>
      </c>
      <c r="I880">
        <v>18072.04</v>
      </c>
      <c r="J880" t="s">
        <v>75</v>
      </c>
      <c r="K880" t="s">
        <v>1337</v>
      </c>
      <c r="L880">
        <v>30</v>
      </c>
      <c r="M880" t="s">
        <v>24</v>
      </c>
      <c r="N880">
        <v>1.1467000000000001</v>
      </c>
      <c r="O880">
        <v>1.3510774922531312</v>
      </c>
      <c r="P880">
        <v>6.1653852357653636E-3</v>
      </c>
      <c r="Q880">
        <v>1.1467000000000001</v>
      </c>
      <c r="R880">
        <v>20723.208268000002</v>
      </c>
      <c r="S880" t="s">
        <v>21</v>
      </c>
      <c r="T880">
        <v>1.101</v>
      </c>
      <c r="U880">
        <v>19897.316040000002</v>
      </c>
      <c r="V880">
        <v>825.89222800000061</v>
      </c>
      <c r="W880">
        <v>4.150772025431429E-2</v>
      </c>
    </row>
    <row r="881" spans="1:23" x14ac:dyDescent="0.25">
      <c r="A881" t="s">
        <v>1334</v>
      </c>
      <c r="B881" t="s">
        <v>30</v>
      </c>
      <c r="C881" t="s">
        <v>103</v>
      </c>
      <c r="D881" t="s">
        <v>31</v>
      </c>
      <c r="E881" t="s">
        <v>74</v>
      </c>
      <c r="F881" s="1">
        <v>46279</v>
      </c>
      <c r="G881">
        <v>46309</v>
      </c>
      <c r="H881" t="s">
        <v>9</v>
      </c>
      <c r="I881">
        <v>4039838.9</v>
      </c>
      <c r="J881" t="s">
        <v>75</v>
      </c>
      <c r="K881" t="s">
        <v>1335</v>
      </c>
      <c r="L881">
        <v>30</v>
      </c>
      <c r="M881" t="s">
        <v>30</v>
      </c>
      <c r="N881">
        <v>1.1551</v>
      </c>
      <c r="O881">
        <v>1.3494474169957242</v>
      </c>
      <c r="P881">
        <v>6.4704234819628051E-3</v>
      </c>
      <c r="Q881">
        <v>6.4704234819628051E-3</v>
      </c>
      <c r="R881">
        <v>26139.468481906788</v>
      </c>
      <c r="S881" t="s">
        <v>21</v>
      </c>
      <c r="T881">
        <v>6.7400000000000003E-3</v>
      </c>
      <c r="U881">
        <v>27228.514186</v>
      </c>
      <c r="V881">
        <v>-1089.0457040932124</v>
      </c>
      <c r="W881">
        <v>-3.9996516029257433E-2</v>
      </c>
    </row>
    <row r="882" spans="1:23" x14ac:dyDescent="0.25">
      <c r="A882" t="s">
        <v>1332</v>
      </c>
      <c r="B882" t="s">
        <v>34</v>
      </c>
      <c r="C882" t="s">
        <v>177</v>
      </c>
      <c r="D882" t="s">
        <v>31</v>
      </c>
      <c r="E882" t="s">
        <v>74</v>
      </c>
      <c r="F882" s="1">
        <v>46241</v>
      </c>
      <c r="G882">
        <v>46301</v>
      </c>
      <c r="H882" t="s">
        <v>8</v>
      </c>
      <c r="I882">
        <v>9570.76</v>
      </c>
      <c r="J882" t="s">
        <v>75</v>
      </c>
      <c r="K882" t="s">
        <v>1333</v>
      </c>
      <c r="L882">
        <v>60</v>
      </c>
      <c r="M882" t="s">
        <v>34</v>
      </c>
      <c r="N882">
        <v>1.1535</v>
      </c>
      <c r="O882">
        <v>1.3449542354107153</v>
      </c>
      <c r="P882">
        <v>6.315703022339028E-3</v>
      </c>
      <c r="Q882">
        <v>1.3449542354107153</v>
      </c>
      <c r="R882">
        <v>12872.234198099459</v>
      </c>
      <c r="S882" t="s">
        <v>21</v>
      </c>
      <c r="T882">
        <v>1.2929999999999999</v>
      </c>
      <c r="U882">
        <v>12374.992679999999</v>
      </c>
      <c r="V882">
        <v>497.24151809945943</v>
      </c>
      <c r="W882">
        <v>4.0181156543476794E-2</v>
      </c>
    </row>
    <row r="883" spans="1:23" x14ac:dyDescent="0.25">
      <c r="A883" t="s">
        <v>1330</v>
      </c>
      <c r="B883" t="s">
        <v>36</v>
      </c>
      <c r="C883" t="s">
        <v>116</v>
      </c>
      <c r="D883" t="s">
        <v>31</v>
      </c>
      <c r="E883" t="s">
        <v>74</v>
      </c>
      <c r="F883" s="1">
        <v>45785</v>
      </c>
      <c r="G883">
        <v>45830</v>
      </c>
      <c r="H883" t="s">
        <v>6</v>
      </c>
      <c r="I883">
        <v>25846.84</v>
      </c>
      <c r="J883" t="s">
        <v>75</v>
      </c>
      <c r="K883" t="s">
        <v>1331</v>
      </c>
      <c r="L883">
        <v>45</v>
      </c>
      <c r="M883" t="s">
        <v>36</v>
      </c>
      <c r="N883">
        <v>1.1296999999999999</v>
      </c>
      <c r="O883">
        <v>1.3328220858895705</v>
      </c>
      <c r="P883">
        <v>6.9115937595594984E-3</v>
      </c>
      <c r="Q883">
        <v>1.1296999999999999</v>
      </c>
      <c r="R883">
        <v>29199.175147999998</v>
      </c>
      <c r="S883" t="s">
        <v>12</v>
      </c>
      <c r="T883">
        <v>1.07</v>
      </c>
      <c r="U883">
        <v>27656.1188</v>
      </c>
      <c r="V883">
        <v>1543.0563479999983</v>
      </c>
      <c r="W883">
        <v>5.5794392523364419E-2</v>
      </c>
    </row>
    <row r="884" spans="1:23" x14ac:dyDescent="0.25">
      <c r="A884" t="s">
        <v>1328</v>
      </c>
      <c r="B884" t="s">
        <v>28</v>
      </c>
      <c r="C884" t="s">
        <v>111</v>
      </c>
      <c r="D884" t="s">
        <v>31</v>
      </c>
      <c r="E884" t="s">
        <v>74</v>
      </c>
      <c r="F884" s="1">
        <v>45738</v>
      </c>
      <c r="G884">
        <v>45783</v>
      </c>
      <c r="H884" t="s">
        <v>9</v>
      </c>
      <c r="I884">
        <v>1508788.03</v>
      </c>
      <c r="J884" t="s">
        <v>75</v>
      </c>
      <c r="K884" t="s">
        <v>1329</v>
      </c>
      <c r="L884">
        <v>45</v>
      </c>
      <c r="M884" t="s">
        <v>28</v>
      </c>
      <c r="N884">
        <v>1.1325000000000001</v>
      </c>
      <c r="O884">
        <v>1.3372298972724053</v>
      </c>
      <c r="P884">
        <v>7.0063103192279149E-3</v>
      </c>
      <c r="Q884">
        <v>7.0063103192279149E-3</v>
      </c>
      <c r="R884">
        <v>10571.037144116557</v>
      </c>
      <c r="S884" t="s">
        <v>11</v>
      </c>
      <c r="T884">
        <v>6.5599999999999999E-3</v>
      </c>
      <c r="U884">
        <v>9897.6494767999993</v>
      </c>
      <c r="V884">
        <v>673.38766731655778</v>
      </c>
      <c r="W884">
        <v>6.8035109638401758E-2</v>
      </c>
    </row>
    <row r="885" spans="1:23" x14ac:dyDescent="0.25">
      <c r="A885" t="s">
        <v>1326</v>
      </c>
      <c r="B885" t="s">
        <v>37</v>
      </c>
      <c r="C885" t="s">
        <v>91</v>
      </c>
      <c r="D885" t="s">
        <v>31</v>
      </c>
      <c r="E885" t="s">
        <v>74</v>
      </c>
      <c r="F885" s="1">
        <v>45964</v>
      </c>
      <c r="G885">
        <v>45994</v>
      </c>
      <c r="H885" t="s">
        <v>6</v>
      </c>
      <c r="I885">
        <v>26163.27</v>
      </c>
      <c r="J885" t="s">
        <v>75</v>
      </c>
      <c r="K885" t="s">
        <v>1327</v>
      </c>
      <c r="L885">
        <v>30</v>
      </c>
      <c r="M885" t="s">
        <v>37</v>
      </c>
      <c r="N885">
        <v>1.1514</v>
      </c>
      <c r="O885">
        <v>1.3136337706788364</v>
      </c>
      <c r="P885">
        <v>6.4842034127386384E-3</v>
      </c>
      <c r="Q885">
        <v>1.1514</v>
      </c>
      <c r="R885">
        <v>30124.389078</v>
      </c>
      <c r="S885" t="s">
        <v>14</v>
      </c>
      <c r="T885">
        <v>1.1060000000000001</v>
      </c>
      <c r="U885">
        <v>28936.576620000003</v>
      </c>
      <c r="V885">
        <v>1187.8124579999967</v>
      </c>
      <c r="W885">
        <v>4.1048824593128273E-2</v>
      </c>
    </row>
    <row r="886" spans="1:23" x14ac:dyDescent="0.25">
      <c r="A886" t="s">
        <v>1324</v>
      </c>
      <c r="B886" t="s">
        <v>36</v>
      </c>
      <c r="C886" t="s">
        <v>116</v>
      </c>
      <c r="D886" t="s">
        <v>31</v>
      </c>
      <c r="E886" t="s">
        <v>74</v>
      </c>
      <c r="F886" s="1">
        <v>46367</v>
      </c>
      <c r="G886">
        <v>46412</v>
      </c>
      <c r="H886" t="s">
        <v>6</v>
      </c>
      <c r="I886">
        <v>14038.22</v>
      </c>
      <c r="J886" t="s">
        <v>84</v>
      </c>
      <c r="K886" t="s">
        <v>1325</v>
      </c>
      <c r="L886">
        <v>45</v>
      </c>
      <c r="M886" t="s">
        <v>36</v>
      </c>
      <c r="N886">
        <v>1.1176999999999999</v>
      </c>
      <c r="O886">
        <v>1.320456022210408</v>
      </c>
      <c r="P886">
        <v>6.3200452360757699E-3</v>
      </c>
      <c r="Q886">
        <v>1.1176999999999999</v>
      </c>
      <c r="R886">
        <v>15690.518493999998</v>
      </c>
      <c r="S886" t="s">
        <v>23</v>
      </c>
      <c r="T886">
        <v>1.119</v>
      </c>
      <c r="U886">
        <v>15708.768179999999</v>
      </c>
      <c r="V886">
        <v>-18.24968600000102</v>
      </c>
      <c r="W886">
        <v>-1.1617515638964011E-3</v>
      </c>
    </row>
    <row r="887" spans="1:23" x14ac:dyDescent="0.25">
      <c r="A887" t="s">
        <v>1322</v>
      </c>
      <c r="B887" t="s">
        <v>30</v>
      </c>
      <c r="C887" t="s">
        <v>103</v>
      </c>
      <c r="D887" t="s">
        <v>31</v>
      </c>
      <c r="E887" t="s">
        <v>74</v>
      </c>
      <c r="F887" s="1">
        <v>45721</v>
      </c>
      <c r="G887">
        <v>45751</v>
      </c>
      <c r="H887" t="s">
        <v>9</v>
      </c>
      <c r="I887">
        <v>580936.06000000006</v>
      </c>
      <c r="J887" t="s">
        <v>75</v>
      </c>
      <c r="K887" t="s">
        <v>1323</v>
      </c>
      <c r="L887">
        <v>30</v>
      </c>
      <c r="M887" t="s">
        <v>30</v>
      </c>
      <c r="N887">
        <v>1.0693999999999999</v>
      </c>
      <c r="O887">
        <v>1.2807185628742515</v>
      </c>
      <c r="P887">
        <v>6.6799925042163779E-3</v>
      </c>
      <c r="Q887">
        <v>6.6799925042163779E-3</v>
      </c>
      <c r="R887">
        <v>3880.6485262289962</v>
      </c>
      <c r="S887" t="s">
        <v>11</v>
      </c>
      <c r="T887">
        <v>6.5599999999999999E-3</v>
      </c>
      <c r="U887">
        <v>3810.9405536000004</v>
      </c>
      <c r="V887">
        <v>69.707972628995776</v>
      </c>
      <c r="W887">
        <v>1.8291540276886824E-2</v>
      </c>
    </row>
    <row r="888" spans="1:23" x14ac:dyDescent="0.25">
      <c r="A888" t="s">
        <v>1320</v>
      </c>
      <c r="B888" t="s">
        <v>43</v>
      </c>
      <c r="C888" t="s">
        <v>215</v>
      </c>
      <c r="D888" t="s">
        <v>35</v>
      </c>
      <c r="E888" t="s">
        <v>152</v>
      </c>
      <c r="F888" s="1">
        <v>45964</v>
      </c>
      <c r="G888">
        <v>45994</v>
      </c>
      <c r="H888" t="s">
        <v>6</v>
      </c>
      <c r="I888">
        <v>8695.7099999999991</v>
      </c>
      <c r="J888" t="s">
        <v>75</v>
      </c>
      <c r="K888" t="s">
        <v>1321</v>
      </c>
      <c r="L888">
        <v>30</v>
      </c>
      <c r="M888" t="s">
        <v>43</v>
      </c>
      <c r="N888">
        <v>1.1514</v>
      </c>
      <c r="O888">
        <v>1.3136337706788364</v>
      </c>
      <c r="P888">
        <v>6.4842034127386384E-3</v>
      </c>
      <c r="Q888">
        <v>1.1514</v>
      </c>
      <c r="R888">
        <v>10012.240494</v>
      </c>
      <c r="S888" t="s">
        <v>14</v>
      </c>
      <c r="T888">
        <v>1.1060000000000001</v>
      </c>
      <c r="U888">
        <v>9617.4552600000006</v>
      </c>
      <c r="V888">
        <v>394.78523399999904</v>
      </c>
      <c r="W888">
        <v>4.1048824593128287E-2</v>
      </c>
    </row>
    <row r="889" spans="1:23" x14ac:dyDescent="0.25">
      <c r="A889" t="s">
        <v>1318</v>
      </c>
      <c r="B889" t="s">
        <v>41</v>
      </c>
      <c r="C889" t="s">
        <v>172</v>
      </c>
      <c r="D889" t="s">
        <v>33</v>
      </c>
      <c r="E889" t="s">
        <v>83</v>
      </c>
      <c r="F889" s="1">
        <v>46144</v>
      </c>
      <c r="G889">
        <v>46174</v>
      </c>
      <c r="H889" t="s">
        <v>9</v>
      </c>
      <c r="I889">
        <v>827694.31</v>
      </c>
      <c r="J889" t="s">
        <v>75</v>
      </c>
      <c r="K889" t="s">
        <v>1319</v>
      </c>
      <c r="L889">
        <v>30</v>
      </c>
      <c r="M889" t="s">
        <v>41</v>
      </c>
      <c r="N889">
        <v>1.1701999999999999</v>
      </c>
      <c r="O889">
        <v>1.3508802308802308</v>
      </c>
      <c r="P889">
        <v>6.3872059385404719E-3</v>
      </c>
      <c r="Q889">
        <v>6.3872059385404719E-3</v>
      </c>
      <c r="R889">
        <v>5286.6540121281587</v>
      </c>
      <c r="S889" t="s">
        <v>19</v>
      </c>
      <c r="T889">
        <v>6.6E-3</v>
      </c>
      <c r="U889">
        <v>5462.7824460000002</v>
      </c>
      <c r="V889">
        <v>-176.12843387184148</v>
      </c>
      <c r="W889">
        <v>-3.2241524463564819E-2</v>
      </c>
    </row>
    <row r="890" spans="1:23" x14ac:dyDescent="0.25">
      <c r="A890" t="s">
        <v>1315</v>
      </c>
      <c r="B890" t="s">
        <v>30</v>
      </c>
      <c r="C890" t="s">
        <v>103</v>
      </c>
      <c r="D890" t="s">
        <v>31</v>
      </c>
      <c r="E890" t="s">
        <v>74</v>
      </c>
      <c r="F890" s="1">
        <v>45712</v>
      </c>
      <c r="G890">
        <v>45742</v>
      </c>
      <c r="H890" t="s">
        <v>9</v>
      </c>
      <c r="I890">
        <v>4350994.54</v>
      </c>
      <c r="J890" t="s">
        <v>75</v>
      </c>
      <c r="K890" t="s">
        <v>1316</v>
      </c>
      <c r="L890">
        <v>30</v>
      </c>
      <c r="M890" t="s">
        <v>30</v>
      </c>
      <c r="N890">
        <v>1.0466</v>
      </c>
      <c r="O890">
        <v>1.2635518531932874</v>
      </c>
      <c r="P890">
        <v>6.6743192398443976E-3</v>
      </c>
      <c r="Q890">
        <v>6.6743192398443976E-3</v>
      </c>
      <c r="R890">
        <v>29039.926570779924</v>
      </c>
      <c r="S890" t="s">
        <v>11</v>
      </c>
      <c r="T890">
        <v>6.5599999999999999E-3</v>
      </c>
      <c r="U890">
        <v>28542.5241824</v>
      </c>
      <c r="V890">
        <v>497.40238837992365</v>
      </c>
      <c r="W890">
        <v>1.7426713390914242E-2</v>
      </c>
    </row>
    <row r="891" spans="1:23" x14ac:dyDescent="0.25">
      <c r="A891" t="s">
        <v>1315</v>
      </c>
      <c r="B891" t="s">
        <v>40</v>
      </c>
      <c r="C891" t="s">
        <v>78</v>
      </c>
      <c r="D891" t="s">
        <v>33</v>
      </c>
      <c r="E891" t="s">
        <v>79</v>
      </c>
      <c r="F891" s="1">
        <v>45894</v>
      </c>
      <c r="G891">
        <v>45924</v>
      </c>
      <c r="H891" t="s">
        <v>9</v>
      </c>
      <c r="I891">
        <v>281405.31</v>
      </c>
      <c r="J891" t="s">
        <v>75</v>
      </c>
      <c r="K891" t="s">
        <v>1317</v>
      </c>
      <c r="L891">
        <v>30</v>
      </c>
      <c r="M891" t="s">
        <v>40</v>
      </c>
      <c r="N891">
        <v>1.1697</v>
      </c>
      <c r="O891">
        <v>1.3508488278092159</v>
      </c>
      <c r="P891">
        <v>6.7863773497331163E-3</v>
      </c>
      <c r="Q891">
        <v>6.7863773497331163E-3</v>
      </c>
      <c r="R891">
        <v>1909.7226218786259</v>
      </c>
      <c r="S891" t="s">
        <v>13</v>
      </c>
      <c r="T891">
        <v>6.8399999999999997E-3</v>
      </c>
      <c r="U891">
        <v>1924.8123203999999</v>
      </c>
      <c r="V891">
        <v>-15.089698521373975</v>
      </c>
      <c r="W891">
        <v>-7.8395687524683705E-3</v>
      </c>
    </row>
    <row r="892" spans="1:23" x14ac:dyDescent="0.25">
      <c r="A892" t="s">
        <v>1313</v>
      </c>
      <c r="B892" t="s">
        <v>40</v>
      </c>
      <c r="C892" t="s">
        <v>78</v>
      </c>
      <c r="D892" t="s">
        <v>33</v>
      </c>
      <c r="E892" t="s">
        <v>79</v>
      </c>
      <c r="F892" s="1">
        <v>45672</v>
      </c>
      <c r="G892">
        <v>45702</v>
      </c>
      <c r="H892" t="s">
        <v>9</v>
      </c>
      <c r="I892">
        <v>1351242.63</v>
      </c>
      <c r="J892" t="s">
        <v>75</v>
      </c>
      <c r="K892" t="s">
        <v>1314</v>
      </c>
      <c r="L892">
        <v>30</v>
      </c>
      <c r="M892" t="s">
        <v>40</v>
      </c>
      <c r="N892">
        <v>1.03</v>
      </c>
      <c r="O892">
        <v>1.2216384187491844</v>
      </c>
      <c r="P892">
        <v>6.3678516228748072E-3</v>
      </c>
      <c r="Q892">
        <v>6.3678516228748072E-3</v>
      </c>
      <c r="R892">
        <v>8604.5125743431217</v>
      </c>
      <c r="S892" t="s">
        <v>11</v>
      </c>
      <c r="T892">
        <v>6.5599999999999999E-3</v>
      </c>
      <c r="U892">
        <v>8864.1516527999993</v>
      </c>
      <c r="V892">
        <v>-259.63907845687754</v>
      </c>
      <c r="W892">
        <v>-2.9290911147133072E-2</v>
      </c>
    </row>
    <row r="893" spans="1:23" x14ac:dyDescent="0.25">
      <c r="A893" t="s">
        <v>1311</v>
      </c>
      <c r="B893" t="s">
        <v>32</v>
      </c>
      <c r="C893" t="s">
        <v>106</v>
      </c>
      <c r="D893" t="s">
        <v>31</v>
      </c>
      <c r="E893" t="s">
        <v>74</v>
      </c>
      <c r="F893" s="1">
        <v>45861</v>
      </c>
      <c r="G893">
        <v>45891</v>
      </c>
      <c r="H893" t="s">
        <v>6</v>
      </c>
      <c r="I893">
        <v>14353.25</v>
      </c>
      <c r="J893" t="s">
        <v>75</v>
      </c>
      <c r="K893" t="s">
        <v>1312</v>
      </c>
      <c r="L893">
        <v>30</v>
      </c>
      <c r="M893" t="s">
        <v>32</v>
      </c>
      <c r="N893">
        <v>1.1726000000000001</v>
      </c>
      <c r="O893">
        <v>1.353260242354299</v>
      </c>
      <c r="P893">
        <v>6.8361219611729734E-3</v>
      </c>
      <c r="Q893">
        <v>1.1726000000000001</v>
      </c>
      <c r="R893">
        <v>16830.62095</v>
      </c>
      <c r="S893" t="s">
        <v>13</v>
      </c>
      <c r="T893">
        <v>1.0880000000000001</v>
      </c>
      <c r="U893">
        <v>15616.336000000001</v>
      </c>
      <c r="V893">
        <v>1214.2849499999993</v>
      </c>
      <c r="W893">
        <v>7.7757352941176416E-2</v>
      </c>
    </row>
    <row r="894" spans="1:23" x14ac:dyDescent="0.25">
      <c r="A894" t="s">
        <v>1309</v>
      </c>
      <c r="B894" t="s">
        <v>28</v>
      </c>
      <c r="C894" t="s">
        <v>111</v>
      </c>
      <c r="D894" t="s">
        <v>31</v>
      </c>
      <c r="E894" t="s">
        <v>74</v>
      </c>
      <c r="F894" s="1">
        <v>45877</v>
      </c>
      <c r="G894">
        <v>45922</v>
      </c>
      <c r="H894" t="s">
        <v>9</v>
      </c>
      <c r="I894">
        <v>761184.66</v>
      </c>
      <c r="J894" t="s">
        <v>75</v>
      </c>
      <c r="K894" t="s">
        <v>1310</v>
      </c>
      <c r="L894">
        <v>45</v>
      </c>
      <c r="M894" t="s">
        <v>28</v>
      </c>
      <c r="N894">
        <v>1.1648000000000001</v>
      </c>
      <c r="O894">
        <v>1.343328335832084</v>
      </c>
      <c r="P894">
        <v>6.7650133581136024E-3</v>
      </c>
      <c r="Q894">
        <v>6.7650133581136024E-3</v>
      </c>
      <c r="R894">
        <v>5149.424392891161</v>
      </c>
      <c r="S894" t="s">
        <v>13</v>
      </c>
      <c r="T894">
        <v>6.8399999999999997E-3</v>
      </c>
      <c r="U894">
        <v>5206.5030743999996</v>
      </c>
      <c r="V894">
        <v>-57.078681508838599</v>
      </c>
      <c r="W894">
        <v>-1.0962959340116471E-2</v>
      </c>
    </row>
    <row r="895" spans="1:23" x14ac:dyDescent="0.25">
      <c r="A895" t="s">
        <v>1307</v>
      </c>
      <c r="B895" t="s">
        <v>38</v>
      </c>
      <c r="C895" t="s">
        <v>87</v>
      </c>
      <c r="D895" t="s">
        <v>33</v>
      </c>
      <c r="E895" t="s">
        <v>88</v>
      </c>
      <c r="F895" s="1">
        <v>46021</v>
      </c>
      <c r="G895">
        <v>46051</v>
      </c>
      <c r="H895" t="s">
        <v>6</v>
      </c>
      <c r="I895">
        <v>10397.68</v>
      </c>
      <c r="J895" t="s">
        <v>75</v>
      </c>
      <c r="K895" t="s">
        <v>1308</v>
      </c>
      <c r="L895">
        <v>30</v>
      </c>
      <c r="M895" t="s">
        <v>38</v>
      </c>
      <c r="N895">
        <v>1.1757</v>
      </c>
      <c r="O895">
        <v>1.3495179063360883</v>
      </c>
      <c r="P895">
        <v>6.4077828646173975E-3</v>
      </c>
      <c r="Q895">
        <v>1.1757</v>
      </c>
      <c r="R895">
        <v>12224.552376</v>
      </c>
      <c r="S895" t="s">
        <v>14</v>
      </c>
      <c r="T895">
        <v>1.1060000000000001</v>
      </c>
      <c r="U895">
        <v>11499.834080000001</v>
      </c>
      <c r="V895">
        <v>724.7182959999991</v>
      </c>
      <c r="W895">
        <v>6.3019891500904077E-2</v>
      </c>
    </row>
    <row r="896" spans="1:23" x14ac:dyDescent="0.25">
      <c r="A896" t="s">
        <v>1305</v>
      </c>
      <c r="B896" t="s">
        <v>25</v>
      </c>
      <c r="C896" t="s">
        <v>169</v>
      </c>
      <c r="D896" t="s">
        <v>31</v>
      </c>
      <c r="E896" t="s">
        <v>124</v>
      </c>
      <c r="F896" s="1">
        <v>45678</v>
      </c>
      <c r="G896">
        <v>45738</v>
      </c>
      <c r="H896" t="s">
        <v>6</v>
      </c>
      <c r="I896">
        <v>32253.03</v>
      </c>
      <c r="J896" t="s">
        <v>75</v>
      </c>
      <c r="K896" t="s">
        <v>1306</v>
      </c>
      <c r="L896">
        <v>60</v>
      </c>
      <c r="M896" t="s">
        <v>25</v>
      </c>
      <c r="N896">
        <v>1.0357000000000001</v>
      </c>
      <c r="O896">
        <v>1.2249121852565847</v>
      </c>
      <c r="P896">
        <v>6.4225474389185177E-3</v>
      </c>
      <c r="Q896">
        <v>1.0357000000000001</v>
      </c>
      <c r="R896">
        <v>33404.463171000003</v>
      </c>
      <c r="S896" t="s">
        <v>11</v>
      </c>
      <c r="T896">
        <v>1.052</v>
      </c>
      <c r="U896">
        <v>33930.187559999998</v>
      </c>
      <c r="V896">
        <v>-525.72438899999543</v>
      </c>
      <c r="W896">
        <v>-1.5494296577946634E-2</v>
      </c>
    </row>
    <row r="897" spans="1:23" x14ac:dyDescent="0.25">
      <c r="A897" t="s">
        <v>1303</v>
      </c>
      <c r="B897" t="s">
        <v>37</v>
      </c>
      <c r="C897" t="s">
        <v>91</v>
      </c>
      <c r="D897" t="s">
        <v>31</v>
      </c>
      <c r="E897" t="s">
        <v>74</v>
      </c>
      <c r="F897" s="1">
        <v>45961</v>
      </c>
      <c r="G897">
        <v>45991</v>
      </c>
      <c r="H897" t="s">
        <v>6</v>
      </c>
      <c r="I897">
        <v>22779.37</v>
      </c>
      <c r="J897" t="s">
        <v>75</v>
      </c>
      <c r="K897" t="s">
        <v>1304</v>
      </c>
      <c r="L897">
        <v>30</v>
      </c>
      <c r="M897" t="s">
        <v>37</v>
      </c>
      <c r="N897">
        <v>1.1554</v>
      </c>
      <c r="O897">
        <v>1.3105716878402902</v>
      </c>
      <c r="P897">
        <v>6.4859099584596387E-3</v>
      </c>
      <c r="Q897">
        <v>1.1554</v>
      </c>
      <c r="R897">
        <v>26319.284098</v>
      </c>
      <c r="S897" t="s">
        <v>14</v>
      </c>
      <c r="T897">
        <v>1.1060000000000001</v>
      </c>
      <c r="U897">
        <v>25193.983220000002</v>
      </c>
      <c r="V897">
        <v>1125.3008779999982</v>
      </c>
      <c r="W897">
        <v>4.4665461121157247E-2</v>
      </c>
    </row>
    <row r="898" spans="1:23" x14ac:dyDescent="0.25">
      <c r="A898" t="s">
        <v>1301</v>
      </c>
      <c r="B898" t="s">
        <v>26</v>
      </c>
      <c r="C898" t="s">
        <v>94</v>
      </c>
      <c r="D898" t="s">
        <v>31</v>
      </c>
      <c r="E898" t="s">
        <v>74</v>
      </c>
      <c r="F898" s="1">
        <v>46051</v>
      </c>
      <c r="G898">
        <v>46081</v>
      </c>
      <c r="H898" t="s">
        <v>8</v>
      </c>
      <c r="I898">
        <v>21224.69</v>
      </c>
      <c r="J898" t="s">
        <v>75</v>
      </c>
      <c r="K898" t="s">
        <v>1302</v>
      </c>
      <c r="L898">
        <v>30</v>
      </c>
      <c r="M898" t="s">
        <v>26</v>
      </c>
      <c r="N898">
        <v>1.1968000000000001</v>
      </c>
      <c r="O898">
        <v>1.3816670514892635</v>
      </c>
      <c r="P898">
        <v>6.5227817745803366E-3</v>
      </c>
      <c r="Q898">
        <v>1.3816670514892635</v>
      </c>
      <c r="R898">
        <v>29325.454851073653</v>
      </c>
      <c r="S898" t="s">
        <v>16</v>
      </c>
      <c r="T898">
        <v>1.2490000000000001</v>
      </c>
      <c r="U898">
        <v>26509.63781</v>
      </c>
      <c r="V898">
        <v>2815.8170410736529</v>
      </c>
      <c r="W898">
        <v>0.1062186160842781</v>
      </c>
    </row>
    <row r="899" spans="1:23" x14ac:dyDescent="0.25">
      <c r="A899" t="s">
        <v>1299</v>
      </c>
      <c r="B899" t="s">
        <v>22</v>
      </c>
      <c r="C899" t="s">
        <v>127</v>
      </c>
      <c r="D899" t="s">
        <v>31</v>
      </c>
      <c r="E899" t="s">
        <v>124</v>
      </c>
      <c r="F899" s="1">
        <v>45775</v>
      </c>
      <c r="G899">
        <v>45835</v>
      </c>
      <c r="H899" t="s">
        <v>9</v>
      </c>
      <c r="I899">
        <v>1902681.35</v>
      </c>
      <c r="J899" t="s">
        <v>75</v>
      </c>
      <c r="K899" t="s">
        <v>1300</v>
      </c>
      <c r="L899">
        <v>60</v>
      </c>
      <c r="M899" t="s">
        <v>22</v>
      </c>
      <c r="N899">
        <v>1.1357999999999999</v>
      </c>
      <c r="O899">
        <v>1.3340380549682873</v>
      </c>
      <c r="P899">
        <v>6.9766584766584759E-3</v>
      </c>
      <c r="Q899">
        <v>6.9766584766584759E-3</v>
      </c>
      <c r="R899">
        <v>13274.357968857494</v>
      </c>
      <c r="S899" t="s">
        <v>12</v>
      </c>
      <c r="T899">
        <v>6.7000000000000002E-3</v>
      </c>
      <c r="U899">
        <v>12747.965045000001</v>
      </c>
      <c r="V899">
        <v>526.39292385749286</v>
      </c>
      <c r="W899">
        <v>4.1292309949026287E-2</v>
      </c>
    </row>
    <row r="900" spans="1:23" x14ac:dyDescent="0.25">
      <c r="A900" t="s">
        <v>1297</v>
      </c>
      <c r="B900" t="s">
        <v>26</v>
      </c>
      <c r="C900" t="s">
        <v>94</v>
      </c>
      <c r="D900" t="s">
        <v>31</v>
      </c>
      <c r="E900" t="s">
        <v>74</v>
      </c>
      <c r="F900" s="1">
        <v>45981</v>
      </c>
      <c r="G900">
        <v>46011</v>
      </c>
      <c r="H900" t="s">
        <v>8</v>
      </c>
      <c r="I900">
        <v>20638.88</v>
      </c>
      <c r="J900" t="s">
        <v>75</v>
      </c>
      <c r="K900" t="s">
        <v>1298</v>
      </c>
      <c r="L900">
        <v>30</v>
      </c>
      <c r="M900" t="s">
        <v>26</v>
      </c>
      <c r="N900">
        <v>1.1514</v>
      </c>
      <c r="O900">
        <v>1.3061826432217811</v>
      </c>
      <c r="P900">
        <v>6.3448503884939661E-3</v>
      </c>
      <c r="Q900">
        <v>1.3061826432217811</v>
      </c>
      <c r="R900">
        <v>26958.146831537157</v>
      </c>
      <c r="S900" t="s">
        <v>14</v>
      </c>
      <c r="T900">
        <v>1.304</v>
      </c>
      <c r="U900">
        <v>26913.099520000003</v>
      </c>
      <c r="V900">
        <v>45.047311537153291</v>
      </c>
      <c r="W900">
        <v>1.6738061516726145E-3</v>
      </c>
    </row>
    <row r="901" spans="1:23" x14ac:dyDescent="0.25">
      <c r="A901" t="s">
        <v>1295</v>
      </c>
      <c r="B901" t="s">
        <v>36</v>
      </c>
      <c r="C901" t="s">
        <v>116</v>
      </c>
      <c r="D901" t="s">
        <v>31</v>
      </c>
      <c r="E901" t="s">
        <v>74</v>
      </c>
      <c r="F901" s="1">
        <v>46284</v>
      </c>
      <c r="G901">
        <v>46329</v>
      </c>
      <c r="H901" t="s">
        <v>6</v>
      </c>
      <c r="I901">
        <v>9085.75</v>
      </c>
      <c r="J901" t="s">
        <v>75</v>
      </c>
      <c r="K901" t="s">
        <v>1296</v>
      </c>
      <c r="L901">
        <v>45</v>
      </c>
      <c r="M901" t="s">
        <v>36</v>
      </c>
      <c r="N901">
        <v>1.1459999999999999</v>
      </c>
      <c r="O901">
        <v>1.3344201210992082</v>
      </c>
      <c r="P901">
        <v>6.3335912457168119E-3</v>
      </c>
      <c r="Q901">
        <v>1.1459999999999999</v>
      </c>
      <c r="R901">
        <v>10412.269499999999</v>
      </c>
      <c r="S901" t="s">
        <v>21</v>
      </c>
      <c r="T901">
        <v>1.101</v>
      </c>
      <c r="U901">
        <v>10003.410749999999</v>
      </c>
      <c r="V901">
        <v>408.85874999999942</v>
      </c>
      <c r="W901">
        <v>4.0871934604904576E-2</v>
      </c>
    </row>
    <row r="902" spans="1:23" x14ac:dyDescent="0.25">
      <c r="A902" t="s">
        <v>1293</v>
      </c>
      <c r="B902" t="s">
        <v>37</v>
      </c>
      <c r="C902" t="s">
        <v>91</v>
      </c>
      <c r="D902" t="s">
        <v>31</v>
      </c>
      <c r="E902" t="s">
        <v>74</v>
      </c>
      <c r="F902" s="1">
        <v>46265</v>
      </c>
      <c r="G902">
        <v>46295</v>
      </c>
      <c r="H902" t="s">
        <v>6</v>
      </c>
      <c r="I902">
        <v>15493.86</v>
      </c>
      <c r="J902" t="s">
        <v>75</v>
      </c>
      <c r="K902" t="s">
        <v>1294</v>
      </c>
      <c r="L902">
        <v>30</v>
      </c>
      <c r="M902" t="s">
        <v>37</v>
      </c>
      <c r="N902">
        <v>1.1596</v>
      </c>
      <c r="O902">
        <v>1.353913693256118</v>
      </c>
      <c r="P902">
        <v>6.2606629953568726E-3</v>
      </c>
      <c r="Q902">
        <v>1.1596</v>
      </c>
      <c r="R902">
        <v>17966.680056000001</v>
      </c>
      <c r="S902" t="s">
        <v>21</v>
      </c>
      <c r="T902">
        <v>1.101</v>
      </c>
      <c r="U902">
        <v>17058.739860000001</v>
      </c>
      <c r="V902">
        <v>907.94019599999956</v>
      </c>
      <c r="W902">
        <v>5.3224341507720221E-2</v>
      </c>
    </row>
    <row r="903" spans="1:23" x14ac:dyDescent="0.25">
      <c r="A903" t="s">
        <v>1291</v>
      </c>
      <c r="B903" t="s">
        <v>39</v>
      </c>
      <c r="C903" t="s">
        <v>82</v>
      </c>
      <c r="D903" t="s">
        <v>33</v>
      </c>
      <c r="E903" t="s">
        <v>83</v>
      </c>
      <c r="F903" s="1">
        <v>45933</v>
      </c>
      <c r="G903">
        <v>45978</v>
      </c>
      <c r="H903" t="s">
        <v>8</v>
      </c>
      <c r="I903">
        <v>5326.44</v>
      </c>
      <c r="J903" t="s">
        <v>75</v>
      </c>
      <c r="K903" t="s">
        <v>1292</v>
      </c>
      <c r="L903">
        <v>45</v>
      </c>
      <c r="M903" t="s">
        <v>39</v>
      </c>
      <c r="N903">
        <v>1.1734</v>
      </c>
      <c r="O903">
        <v>1.3447169378867752</v>
      </c>
      <c r="P903">
        <v>6.7865818392134182E-3</v>
      </c>
      <c r="Q903">
        <v>1.3447169378867752</v>
      </c>
      <c r="R903">
        <v>7162.5540866376341</v>
      </c>
      <c r="S903" t="s">
        <v>14</v>
      </c>
      <c r="T903">
        <v>1.304</v>
      </c>
      <c r="U903">
        <v>6945.6777599999996</v>
      </c>
      <c r="V903">
        <v>216.87632663763452</v>
      </c>
      <c r="W903">
        <v>3.1224645618692586E-2</v>
      </c>
    </row>
    <row r="904" spans="1:23" x14ac:dyDescent="0.25">
      <c r="A904" t="s">
        <v>1289</v>
      </c>
      <c r="B904" t="s">
        <v>44</v>
      </c>
      <c r="C904" t="s">
        <v>138</v>
      </c>
      <c r="D904" t="s">
        <v>33</v>
      </c>
      <c r="E904" t="s">
        <v>88</v>
      </c>
      <c r="F904" s="1">
        <v>46340</v>
      </c>
      <c r="G904">
        <v>46385</v>
      </c>
      <c r="H904" t="s">
        <v>9</v>
      </c>
      <c r="I904">
        <v>178796.75</v>
      </c>
      <c r="J904" t="s">
        <v>84</v>
      </c>
      <c r="K904" t="s">
        <v>1290</v>
      </c>
      <c r="L904">
        <v>45</v>
      </c>
      <c r="M904" t="s">
        <v>44</v>
      </c>
      <c r="N904">
        <v>1.1176999999999999</v>
      </c>
      <c r="O904">
        <v>1.320456022210408</v>
      </c>
      <c r="P904">
        <v>6.3200452360757699E-3</v>
      </c>
      <c r="Q904">
        <v>6.3200452360757699E-3</v>
      </c>
      <c r="R904">
        <v>1130.0035480633303</v>
      </c>
      <c r="S904" t="s">
        <v>23</v>
      </c>
      <c r="T904">
        <v>6.8799999999999998E-3</v>
      </c>
      <c r="U904">
        <v>1230.1216400000001</v>
      </c>
      <c r="V904">
        <v>-100.11809193666977</v>
      </c>
      <c r="W904">
        <v>-8.1388773826196373E-2</v>
      </c>
    </row>
    <row r="905" spans="1:23" x14ac:dyDescent="0.25">
      <c r="A905" t="s">
        <v>1287</v>
      </c>
      <c r="B905" t="s">
        <v>40</v>
      </c>
      <c r="C905" t="s">
        <v>78</v>
      </c>
      <c r="D905" t="s">
        <v>33</v>
      </c>
      <c r="E905" t="s">
        <v>79</v>
      </c>
      <c r="F905" s="1">
        <v>46193</v>
      </c>
      <c r="G905">
        <v>46223</v>
      </c>
      <c r="H905" t="s">
        <v>9</v>
      </c>
      <c r="I905">
        <v>626267.98</v>
      </c>
      <c r="J905" t="s">
        <v>75</v>
      </c>
      <c r="K905" t="s">
        <v>1288</v>
      </c>
      <c r="L905">
        <v>30</v>
      </c>
      <c r="M905" t="s">
        <v>40</v>
      </c>
      <c r="N905">
        <v>1.1467000000000001</v>
      </c>
      <c r="O905">
        <v>1.3233240626406473</v>
      </c>
      <c r="P905">
        <v>6.2024015577672011E-3</v>
      </c>
      <c r="Q905">
        <v>6.2024015577672011E-3</v>
      </c>
      <c r="R905">
        <v>3884.3654947317182</v>
      </c>
      <c r="S905" t="s">
        <v>19</v>
      </c>
      <c r="T905">
        <v>6.6E-3</v>
      </c>
      <c r="U905">
        <v>4133.3686680000001</v>
      </c>
      <c r="V905">
        <v>-249.0031732682819</v>
      </c>
      <c r="W905">
        <v>-6.0242188217090799E-2</v>
      </c>
    </row>
    <row r="906" spans="1:23" x14ac:dyDescent="0.25">
      <c r="A906" t="s">
        <v>1285</v>
      </c>
      <c r="B906" t="s">
        <v>44</v>
      </c>
      <c r="C906" t="s">
        <v>138</v>
      </c>
      <c r="D906" t="s">
        <v>33</v>
      </c>
      <c r="E906" t="s">
        <v>88</v>
      </c>
      <c r="F906" s="1">
        <v>46096</v>
      </c>
      <c r="G906">
        <v>46141</v>
      </c>
      <c r="H906" t="s">
        <v>9</v>
      </c>
      <c r="I906">
        <v>1603409.9199999999</v>
      </c>
      <c r="J906" t="s">
        <v>75</v>
      </c>
      <c r="K906" t="s">
        <v>1286</v>
      </c>
      <c r="L906">
        <v>45</v>
      </c>
      <c r="M906" t="s">
        <v>44</v>
      </c>
      <c r="N906">
        <v>1.1555</v>
      </c>
      <c r="O906">
        <v>1.3367963164349013</v>
      </c>
      <c r="P906">
        <v>6.2983756677204832E-3</v>
      </c>
      <c r="Q906">
        <v>6.2983756677204832E-3</v>
      </c>
      <c r="R906">
        <v>10098.878025509646</v>
      </c>
      <c r="S906" t="s">
        <v>16</v>
      </c>
      <c r="T906">
        <v>6.4599999999999996E-3</v>
      </c>
      <c r="U906">
        <v>10358.028083199999</v>
      </c>
      <c r="V906">
        <v>-259.1500576903527</v>
      </c>
      <c r="W906">
        <v>-2.5019246482897266E-2</v>
      </c>
    </row>
    <row r="907" spans="1:23" x14ac:dyDescent="0.25">
      <c r="A907" t="s">
        <v>1283</v>
      </c>
      <c r="B907" t="s">
        <v>43</v>
      </c>
      <c r="C907" t="s">
        <v>215</v>
      </c>
      <c r="D907" t="s">
        <v>35</v>
      </c>
      <c r="E907" t="s">
        <v>152</v>
      </c>
      <c r="F907" s="1">
        <v>45986</v>
      </c>
      <c r="G907">
        <v>46016</v>
      </c>
      <c r="H907" t="s">
        <v>6</v>
      </c>
      <c r="I907">
        <v>6981.05</v>
      </c>
      <c r="J907" t="s">
        <v>75</v>
      </c>
      <c r="K907" t="s">
        <v>1284</v>
      </c>
      <c r="L907">
        <v>30</v>
      </c>
      <c r="M907" t="s">
        <v>43</v>
      </c>
      <c r="N907">
        <v>1.1551</v>
      </c>
      <c r="O907">
        <v>1.3144060081929905</v>
      </c>
      <c r="P907">
        <v>6.4022835605808672E-3</v>
      </c>
      <c r="Q907">
        <v>1.1551</v>
      </c>
      <c r="R907">
        <v>8063.8108550000006</v>
      </c>
      <c r="S907" t="s">
        <v>14</v>
      </c>
      <c r="T907">
        <v>1.1060000000000001</v>
      </c>
      <c r="U907">
        <v>7721.0413000000008</v>
      </c>
      <c r="V907">
        <v>342.76955499999985</v>
      </c>
      <c r="W907">
        <v>4.439421338155513E-2</v>
      </c>
    </row>
    <row r="908" spans="1:23" x14ac:dyDescent="0.25">
      <c r="A908" t="s">
        <v>1281</v>
      </c>
      <c r="B908" t="s">
        <v>32</v>
      </c>
      <c r="C908" t="s">
        <v>106</v>
      </c>
      <c r="D908" t="s">
        <v>31</v>
      </c>
      <c r="E908" t="s">
        <v>74</v>
      </c>
      <c r="F908" s="1">
        <v>45782</v>
      </c>
      <c r="G908">
        <v>45812</v>
      </c>
      <c r="H908" t="s">
        <v>6</v>
      </c>
      <c r="I908">
        <v>13549.93</v>
      </c>
      <c r="J908" t="s">
        <v>75</v>
      </c>
      <c r="K908" t="s">
        <v>1282</v>
      </c>
      <c r="L908">
        <v>30</v>
      </c>
      <c r="M908" t="s">
        <v>32</v>
      </c>
      <c r="N908">
        <v>1.1343000000000001</v>
      </c>
      <c r="O908">
        <v>1.3321197886083382</v>
      </c>
      <c r="P908">
        <v>6.9507935535265651E-3</v>
      </c>
      <c r="Q908">
        <v>1.1343000000000001</v>
      </c>
      <c r="R908">
        <v>15369.685599000002</v>
      </c>
      <c r="S908" t="s">
        <v>12</v>
      </c>
      <c r="T908">
        <v>1.07</v>
      </c>
      <c r="U908">
        <v>14498.4251</v>
      </c>
      <c r="V908">
        <v>871.2604990000018</v>
      </c>
      <c r="W908">
        <v>6.0093457943925357E-2</v>
      </c>
    </row>
    <row r="909" spans="1:23" x14ac:dyDescent="0.25">
      <c r="A909" t="s">
        <v>1279</v>
      </c>
      <c r="B909" t="s">
        <v>25</v>
      </c>
      <c r="C909" t="s">
        <v>169</v>
      </c>
      <c r="D909" t="s">
        <v>31</v>
      </c>
      <c r="E909" t="s">
        <v>124</v>
      </c>
      <c r="F909" s="1">
        <v>45803</v>
      </c>
      <c r="G909">
        <v>45863</v>
      </c>
      <c r="H909" t="s">
        <v>6</v>
      </c>
      <c r="I909">
        <v>42810.73</v>
      </c>
      <c r="J909" t="s">
        <v>75</v>
      </c>
      <c r="K909" t="s">
        <v>1280</v>
      </c>
      <c r="L909">
        <v>60</v>
      </c>
      <c r="M909" t="s">
        <v>25</v>
      </c>
      <c r="N909">
        <v>1.1380999999999999</v>
      </c>
      <c r="O909">
        <v>1.3561725452812201</v>
      </c>
      <c r="P909">
        <v>6.9980938326262062E-3</v>
      </c>
      <c r="Q909">
        <v>1.1380999999999999</v>
      </c>
      <c r="R909">
        <v>48722.891813000002</v>
      </c>
      <c r="S909" t="s">
        <v>12</v>
      </c>
      <c r="T909">
        <v>1.07</v>
      </c>
      <c r="U909">
        <v>45807.481100000005</v>
      </c>
      <c r="V909">
        <v>2915.4107129999975</v>
      </c>
      <c r="W909">
        <v>6.3644859813084056E-2</v>
      </c>
    </row>
    <row r="910" spans="1:23" x14ac:dyDescent="0.25">
      <c r="A910" t="s">
        <v>1277</v>
      </c>
      <c r="B910" t="s">
        <v>25</v>
      </c>
      <c r="C910" t="s">
        <v>169</v>
      </c>
      <c r="D910" t="s">
        <v>31</v>
      </c>
      <c r="E910" t="s">
        <v>124</v>
      </c>
      <c r="F910" s="1">
        <v>45719</v>
      </c>
      <c r="G910">
        <v>45779</v>
      </c>
      <c r="H910" t="s">
        <v>6</v>
      </c>
      <c r="I910">
        <v>93082.27</v>
      </c>
      <c r="J910" t="s">
        <v>75</v>
      </c>
      <c r="K910" t="s">
        <v>1278</v>
      </c>
      <c r="L910">
        <v>60</v>
      </c>
      <c r="M910" t="s">
        <v>25</v>
      </c>
      <c r="N910">
        <v>1.0465</v>
      </c>
      <c r="O910">
        <v>1.2680237489397794</v>
      </c>
      <c r="P910">
        <v>6.6096128339543985E-3</v>
      </c>
      <c r="Q910">
        <v>1.0465</v>
      </c>
      <c r="R910">
        <v>97410.595555000007</v>
      </c>
      <c r="S910" t="s">
        <v>11</v>
      </c>
      <c r="T910">
        <v>1.052</v>
      </c>
      <c r="U910">
        <v>97922.548040000009</v>
      </c>
      <c r="V910">
        <v>-511.95248500000162</v>
      </c>
      <c r="W910">
        <v>-5.2281368821292936E-3</v>
      </c>
    </row>
    <row r="911" spans="1:23" x14ac:dyDescent="0.25">
      <c r="A911" t="s">
        <v>1275</v>
      </c>
      <c r="B911" t="s">
        <v>32</v>
      </c>
      <c r="C911" t="s">
        <v>106</v>
      </c>
      <c r="D911" t="s">
        <v>31</v>
      </c>
      <c r="E911" t="s">
        <v>74</v>
      </c>
      <c r="F911" s="1">
        <v>46316</v>
      </c>
      <c r="G911">
        <v>46346</v>
      </c>
      <c r="H911" t="s">
        <v>6</v>
      </c>
      <c r="I911">
        <v>14990.11</v>
      </c>
      <c r="J911" t="s">
        <v>84</v>
      </c>
      <c r="K911" t="s">
        <v>1276</v>
      </c>
      <c r="L911">
        <v>30</v>
      </c>
      <c r="M911" t="s">
        <v>32</v>
      </c>
      <c r="N911">
        <v>1.1176999999999999</v>
      </c>
      <c r="O911">
        <v>1.320456022210408</v>
      </c>
      <c r="P911">
        <v>6.3200452360757699E-3</v>
      </c>
      <c r="Q911">
        <v>1.1176999999999999</v>
      </c>
      <c r="R911">
        <v>16754.445947</v>
      </c>
      <c r="S911" t="s">
        <v>23</v>
      </c>
      <c r="T911">
        <v>1.119</v>
      </c>
      <c r="U911">
        <v>16773.933090000002</v>
      </c>
      <c r="V911">
        <v>-19.487143000002106</v>
      </c>
      <c r="W911">
        <v>-1.1617515638964614E-3</v>
      </c>
    </row>
    <row r="912" spans="1:23" x14ac:dyDescent="0.25">
      <c r="A912" t="s">
        <v>1273</v>
      </c>
      <c r="B912" t="s">
        <v>24</v>
      </c>
      <c r="C912" t="s">
        <v>73</v>
      </c>
      <c r="D912" t="s">
        <v>31</v>
      </c>
      <c r="E912" t="s">
        <v>74</v>
      </c>
      <c r="F912" s="1">
        <v>45702</v>
      </c>
      <c r="G912">
        <v>45732</v>
      </c>
      <c r="H912" t="s">
        <v>6</v>
      </c>
      <c r="I912">
        <v>29851.35</v>
      </c>
      <c r="J912" t="s">
        <v>75</v>
      </c>
      <c r="K912" t="s">
        <v>1274</v>
      </c>
      <c r="L912">
        <v>30</v>
      </c>
      <c r="M912" t="s">
        <v>24</v>
      </c>
      <c r="N912">
        <v>1.0478000000000001</v>
      </c>
      <c r="O912">
        <v>1.2591479901460074</v>
      </c>
      <c r="P912">
        <v>6.5450683990255481E-3</v>
      </c>
      <c r="Q912">
        <v>1.0478000000000001</v>
      </c>
      <c r="R912">
        <v>31278.24453</v>
      </c>
      <c r="S912" t="s">
        <v>11</v>
      </c>
      <c r="T912">
        <v>1.052</v>
      </c>
      <c r="U912">
        <v>31403.620200000001</v>
      </c>
      <c r="V912">
        <v>-125.37567000000126</v>
      </c>
      <c r="W912">
        <v>-3.9923954372623974E-3</v>
      </c>
    </row>
    <row r="913" spans="1:23" x14ac:dyDescent="0.25">
      <c r="A913" t="s">
        <v>1271</v>
      </c>
      <c r="B913" t="s">
        <v>37</v>
      </c>
      <c r="C913" t="s">
        <v>91</v>
      </c>
      <c r="D913" t="s">
        <v>31</v>
      </c>
      <c r="E913" t="s">
        <v>74</v>
      </c>
      <c r="F913" s="1">
        <v>46342</v>
      </c>
      <c r="G913">
        <v>46372</v>
      </c>
      <c r="H913" t="s">
        <v>6</v>
      </c>
      <c r="I913">
        <v>18768.009999999998</v>
      </c>
      <c r="J913" t="s">
        <v>84</v>
      </c>
      <c r="K913" t="s">
        <v>1272</v>
      </c>
      <c r="L913">
        <v>30</v>
      </c>
      <c r="M913" t="s">
        <v>37</v>
      </c>
      <c r="N913">
        <v>1.1176999999999999</v>
      </c>
      <c r="O913">
        <v>1.320456022210408</v>
      </c>
      <c r="P913">
        <v>6.3200452360757699E-3</v>
      </c>
      <c r="Q913">
        <v>1.1176999999999999</v>
      </c>
      <c r="R913">
        <v>20977.004776999998</v>
      </c>
      <c r="S913" t="s">
        <v>23</v>
      </c>
      <c r="T913">
        <v>1.119</v>
      </c>
      <c r="U913">
        <v>21001.403189999997</v>
      </c>
      <c r="V913">
        <v>-24.398412999998982</v>
      </c>
      <c r="W913">
        <v>-1.1617515638962877E-3</v>
      </c>
    </row>
    <row r="914" spans="1:23" x14ac:dyDescent="0.25">
      <c r="A914" t="s">
        <v>1269</v>
      </c>
      <c r="B914" t="s">
        <v>30</v>
      </c>
      <c r="C914" t="s">
        <v>103</v>
      </c>
      <c r="D914" t="s">
        <v>31</v>
      </c>
      <c r="E914" t="s">
        <v>74</v>
      </c>
      <c r="F914" s="1">
        <v>45774</v>
      </c>
      <c r="G914">
        <v>45804</v>
      </c>
      <c r="H914" t="s">
        <v>9</v>
      </c>
      <c r="I914">
        <v>2546708.7400000002</v>
      </c>
      <c r="J914" t="s">
        <v>75</v>
      </c>
      <c r="K914" t="s">
        <v>1270</v>
      </c>
      <c r="L914">
        <v>30</v>
      </c>
      <c r="M914" t="s">
        <v>30</v>
      </c>
      <c r="N914">
        <v>1.1597999999999999</v>
      </c>
      <c r="O914">
        <v>1.3603096410978184</v>
      </c>
      <c r="P914">
        <v>6.8598805228603536E-3</v>
      </c>
      <c r="Q914">
        <v>6.8598805228603536E-3</v>
      </c>
      <c r="R914">
        <v>17470.117682924232</v>
      </c>
      <c r="S914" t="s">
        <v>12</v>
      </c>
      <c r="T914">
        <v>6.7000000000000002E-3</v>
      </c>
      <c r="U914">
        <v>17062.948558000004</v>
      </c>
      <c r="V914">
        <v>407.16912492422853</v>
      </c>
      <c r="W914">
        <v>2.3862764606022699E-2</v>
      </c>
    </row>
    <row r="915" spans="1:23" x14ac:dyDescent="0.25">
      <c r="A915" t="s">
        <v>1267</v>
      </c>
      <c r="B915" t="s">
        <v>32</v>
      </c>
      <c r="C915" t="s">
        <v>106</v>
      </c>
      <c r="D915" t="s">
        <v>31</v>
      </c>
      <c r="E915" t="s">
        <v>74</v>
      </c>
      <c r="F915" s="1">
        <v>45787</v>
      </c>
      <c r="G915">
        <v>45817</v>
      </c>
      <c r="H915" t="s">
        <v>6</v>
      </c>
      <c r="I915">
        <v>17730.39</v>
      </c>
      <c r="J915" t="s">
        <v>75</v>
      </c>
      <c r="K915" t="s">
        <v>1268</v>
      </c>
      <c r="L915">
        <v>30</v>
      </c>
      <c r="M915" t="s">
        <v>32</v>
      </c>
      <c r="N915">
        <v>1.169</v>
      </c>
      <c r="O915">
        <v>1.3487942771431869</v>
      </c>
      <c r="P915">
        <v>6.7858594067452252E-3</v>
      </c>
      <c r="Q915">
        <v>1.169</v>
      </c>
      <c r="R915">
        <v>20726.82591</v>
      </c>
      <c r="S915" t="s">
        <v>12</v>
      </c>
      <c r="T915">
        <v>1.07</v>
      </c>
      <c r="U915">
        <v>18971.5173</v>
      </c>
      <c r="V915">
        <v>1755.30861</v>
      </c>
      <c r="W915">
        <v>9.2523364485981308E-2</v>
      </c>
    </row>
    <row r="916" spans="1:23" x14ac:dyDescent="0.25">
      <c r="A916" t="s">
        <v>1265</v>
      </c>
      <c r="B916" t="s">
        <v>38</v>
      </c>
      <c r="C916" t="s">
        <v>87</v>
      </c>
      <c r="D916" t="s">
        <v>33</v>
      </c>
      <c r="E916" t="s">
        <v>88</v>
      </c>
      <c r="F916" s="1">
        <v>46283</v>
      </c>
      <c r="G916">
        <v>46313</v>
      </c>
      <c r="H916" t="s">
        <v>6</v>
      </c>
      <c r="I916">
        <v>12160.96</v>
      </c>
      <c r="J916" t="s">
        <v>75</v>
      </c>
      <c r="K916" t="s">
        <v>1266</v>
      </c>
      <c r="L916">
        <v>30</v>
      </c>
      <c r="M916" t="s">
        <v>38</v>
      </c>
      <c r="N916">
        <v>1.1459999999999999</v>
      </c>
      <c r="O916">
        <v>1.3344201210992082</v>
      </c>
      <c r="P916">
        <v>6.3335912457168119E-3</v>
      </c>
      <c r="Q916">
        <v>1.1459999999999999</v>
      </c>
      <c r="R916">
        <v>13936.460159999999</v>
      </c>
      <c r="S916" t="s">
        <v>21</v>
      </c>
      <c r="T916">
        <v>1.101</v>
      </c>
      <c r="U916">
        <v>13389.216959999998</v>
      </c>
      <c r="V916">
        <v>547.2432000000008</v>
      </c>
      <c r="W916">
        <v>4.0871934604904701E-2</v>
      </c>
    </row>
    <row r="917" spans="1:23" x14ac:dyDescent="0.25">
      <c r="A917" t="s">
        <v>1263</v>
      </c>
      <c r="B917" t="s">
        <v>42</v>
      </c>
      <c r="C917" t="s">
        <v>151</v>
      </c>
      <c r="D917" t="s">
        <v>35</v>
      </c>
      <c r="E917" t="s">
        <v>152</v>
      </c>
      <c r="F917" s="1">
        <v>45757</v>
      </c>
      <c r="G917">
        <v>45787</v>
      </c>
      <c r="H917" t="s">
        <v>8</v>
      </c>
      <c r="I917">
        <v>4152.51</v>
      </c>
      <c r="J917" t="s">
        <v>75</v>
      </c>
      <c r="K917" t="s">
        <v>1264</v>
      </c>
      <c r="L917">
        <v>30</v>
      </c>
      <c r="M917" t="s">
        <v>42</v>
      </c>
      <c r="N917">
        <v>1.1082000000000001</v>
      </c>
      <c r="O917">
        <v>1.2922861640720658</v>
      </c>
      <c r="P917">
        <v>6.8712797619047625E-3</v>
      </c>
      <c r="Q917">
        <v>1.2922861640720658</v>
      </c>
      <c r="R917">
        <v>5366.2312191708943</v>
      </c>
      <c r="S917" t="s">
        <v>12</v>
      </c>
      <c r="T917">
        <v>1.26</v>
      </c>
      <c r="U917">
        <v>5232.1626000000006</v>
      </c>
      <c r="V917">
        <v>134.06861917089373</v>
      </c>
      <c r="W917">
        <v>2.5623939739734716E-2</v>
      </c>
    </row>
    <row r="918" spans="1:23" x14ac:dyDescent="0.25">
      <c r="A918" t="s">
        <v>1261</v>
      </c>
      <c r="B918" t="s">
        <v>30</v>
      </c>
      <c r="C918" t="s">
        <v>103</v>
      </c>
      <c r="D918" t="s">
        <v>31</v>
      </c>
      <c r="E918" t="s">
        <v>74</v>
      </c>
      <c r="F918" s="1">
        <v>45978</v>
      </c>
      <c r="G918">
        <v>46008</v>
      </c>
      <c r="H918" t="s">
        <v>9</v>
      </c>
      <c r="I918">
        <v>1789761.28</v>
      </c>
      <c r="J918" t="s">
        <v>75</v>
      </c>
      <c r="K918" t="s">
        <v>1262</v>
      </c>
      <c r="L918">
        <v>30</v>
      </c>
      <c r="M918" t="s">
        <v>30</v>
      </c>
      <c r="N918">
        <v>1.1593</v>
      </c>
      <c r="O918">
        <v>1.3181353041500854</v>
      </c>
      <c r="P918">
        <v>6.4559781700729525E-3</v>
      </c>
      <c r="Q918">
        <v>6.4559781700729525E-3</v>
      </c>
      <c r="R918">
        <v>11554.659753321825</v>
      </c>
      <c r="S918" t="s">
        <v>14</v>
      </c>
      <c r="T918">
        <v>6.9800000000000001E-3</v>
      </c>
      <c r="U918">
        <v>12492.5337344</v>
      </c>
      <c r="V918">
        <v>-937.87398107817535</v>
      </c>
      <c r="W918">
        <v>-7.5074760734534063E-2</v>
      </c>
    </row>
    <row r="919" spans="1:23" x14ac:dyDescent="0.25">
      <c r="A919" t="s">
        <v>1259</v>
      </c>
      <c r="B919" t="s">
        <v>41</v>
      </c>
      <c r="C919" t="s">
        <v>172</v>
      </c>
      <c r="D919" t="s">
        <v>33</v>
      </c>
      <c r="E919" t="s">
        <v>83</v>
      </c>
      <c r="F919" s="1">
        <v>46375</v>
      </c>
      <c r="G919">
        <v>46405</v>
      </c>
      <c r="H919" t="s">
        <v>9</v>
      </c>
      <c r="I919">
        <v>1060704.3600000001</v>
      </c>
      <c r="J919" t="s">
        <v>84</v>
      </c>
      <c r="K919" t="s">
        <v>1260</v>
      </c>
      <c r="L919">
        <v>30</v>
      </c>
      <c r="M919" t="s">
        <v>41</v>
      </c>
      <c r="N919">
        <v>1.1176999999999999</v>
      </c>
      <c r="O919">
        <v>1.320456022210408</v>
      </c>
      <c r="P919">
        <v>6.3200452360757699E-3</v>
      </c>
      <c r="Q919">
        <v>6.3200452360757699E-3</v>
      </c>
      <c r="R919">
        <v>6703.6995373027994</v>
      </c>
      <c r="S919" t="s">
        <v>23</v>
      </c>
      <c r="T919">
        <v>6.8799999999999998E-3</v>
      </c>
      <c r="U919">
        <v>7297.6459968000008</v>
      </c>
      <c r="V919">
        <v>-593.94645949720143</v>
      </c>
      <c r="W919">
        <v>-8.1388773826196206E-2</v>
      </c>
    </row>
    <row r="920" spans="1:23" x14ac:dyDescent="0.25">
      <c r="A920" t="s">
        <v>1257</v>
      </c>
      <c r="B920" t="s">
        <v>32</v>
      </c>
      <c r="C920" t="s">
        <v>106</v>
      </c>
      <c r="D920" t="s">
        <v>31</v>
      </c>
      <c r="E920" t="s">
        <v>74</v>
      </c>
      <c r="F920" s="1">
        <v>45982</v>
      </c>
      <c r="G920">
        <v>46012</v>
      </c>
      <c r="H920" t="s">
        <v>6</v>
      </c>
      <c r="I920">
        <v>5513.94</v>
      </c>
      <c r="J920" t="s">
        <v>75</v>
      </c>
      <c r="K920" t="s">
        <v>1258</v>
      </c>
      <c r="L920">
        <v>30</v>
      </c>
      <c r="M920" t="s">
        <v>32</v>
      </c>
      <c r="N920">
        <v>1.1519999999999999</v>
      </c>
      <c r="O920">
        <v>1.3086447801885721</v>
      </c>
      <c r="P920">
        <v>6.3801506424457236E-3</v>
      </c>
      <c r="Q920">
        <v>1.1519999999999999</v>
      </c>
      <c r="R920">
        <v>6352.0588799999987</v>
      </c>
      <c r="S920" t="s">
        <v>14</v>
      </c>
      <c r="T920">
        <v>1.1060000000000001</v>
      </c>
      <c r="U920">
        <v>6098.4176399999997</v>
      </c>
      <c r="V920">
        <v>253.64123999999902</v>
      </c>
      <c r="W920">
        <v>4.1591320072332572E-2</v>
      </c>
    </row>
    <row r="921" spans="1:23" x14ac:dyDescent="0.25">
      <c r="A921" t="s">
        <v>1255</v>
      </c>
      <c r="B921" t="s">
        <v>43</v>
      </c>
      <c r="C921" t="s">
        <v>215</v>
      </c>
      <c r="D921" t="s">
        <v>35</v>
      </c>
      <c r="E921" t="s">
        <v>152</v>
      </c>
      <c r="F921" s="1">
        <v>45843</v>
      </c>
      <c r="G921">
        <v>45873</v>
      </c>
      <c r="H921" t="s">
        <v>6</v>
      </c>
      <c r="I921">
        <v>2715.95</v>
      </c>
      <c r="J921" t="s">
        <v>75</v>
      </c>
      <c r="K921" t="s">
        <v>1256</v>
      </c>
      <c r="L921">
        <v>30</v>
      </c>
      <c r="M921" t="s">
        <v>43</v>
      </c>
      <c r="N921">
        <v>1.1740999999999999</v>
      </c>
      <c r="O921">
        <v>1.344286695672086</v>
      </c>
      <c r="P921">
        <v>6.7570211786372007E-3</v>
      </c>
      <c r="Q921">
        <v>1.1740999999999999</v>
      </c>
      <c r="R921">
        <v>3188.7968949999995</v>
      </c>
      <c r="S921" t="s">
        <v>13</v>
      </c>
      <c r="T921">
        <v>1.0880000000000001</v>
      </c>
      <c r="U921">
        <v>2954.9535999999998</v>
      </c>
      <c r="V921">
        <v>233.84329499999967</v>
      </c>
      <c r="W921">
        <v>7.9136029411764605E-2</v>
      </c>
    </row>
    <row r="922" spans="1:23" x14ac:dyDescent="0.25">
      <c r="A922" t="s">
        <v>1253</v>
      </c>
      <c r="B922" t="s">
        <v>26</v>
      </c>
      <c r="C922" t="s">
        <v>94</v>
      </c>
      <c r="D922" t="s">
        <v>31</v>
      </c>
      <c r="E922" t="s">
        <v>74</v>
      </c>
      <c r="F922" s="1">
        <v>46387</v>
      </c>
      <c r="G922">
        <v>46417</v>
      </c>
      <c r="H922" t="s">
        <v>8</v>
      </c>
      <c r="I922">
        <v>22024.13</v>
      </c>
      <c r="J922" t="s">
        <v>84</v>
      </c>
      <c r="K922" t="s">
        <v>1254</v>
      </c>
      <c r="L922">
        <v>30</v>
      </c>
      <c r="M922" t="s">
        <v>26</v>
      </c>
      <c r="N922">
        <v>1.1176999999999999</v>
      </c>
      <c r="O922">
        <v>1.320456022210408</v>
      </c>
      <c r="P922">
        <v>6.3200452360757699E-3</v>
      </c>
      <c r="Q922">
        <v>1.320456022210408</v>
      </c>
      <c r="R922">
        <v>29081.895092444916</v>
      </c>
      <c r="S922" t="s">
        <v>23</v>
      </c>
      <c r="T922">
        <v>1.3149999999999999</v>
      </c>
      <c r="U922">
        <v>28961.730950000001</v>
      </c>
      <c r="V922">
        <v>120.16414244491534</v>
      </c>
      <c r="W922">
        <v>4.1490663197019766E-3</v>
      </c>
    </row>
    <row r="923" spans="1:23" x14ac:dyDescent="0.25">
      <c r="A923" t="s">
        <v>1251</v>
      </c>
      <c r="B923" t="s">
        <v>40</v>
      </c>
      <c r="C923" t="s">
        <v>78</v>
      </c>
      <c r="D923" t="s">
        <v>33</v>
      </c>
      <c r="E923" t="s">
        <v>79</v>
      </c>
      <c r="F923" s="1">
        <v>45979</v>
      </c>
      <c r="G923">
        <v>46009</v>
      </c>
      <c r="H923" t="s">
        <v>9</v>
      </c>
      <c r="I923">
        <v>1631246.99</v>
      </c>
      <c r="J923" t="s">
        <v>75</v>
      </c>
      <c r="K923" t="s">
        <v>1252</v>
      </c>
      <c r="L923">
        <v>30</v>
      </c>
      <c r="M923" t="s">
        <v>40</v>
      </c>
      <c r="N923">
        <v>1.159</v>
      </c>
      <c r="O923">
        <v>1.3139099875297586</v>
      </c>
      <c r="P923">
        <v>6.4410359008558408E-3</v>
      </c>
      <c r="Q923">
        <v>6.4410359008558408E-3</v>
      </c>
      <c r="R923">
        <v>10506.920425753029</v>
      </c>
      <c r="S923" t="s">
        <v>14</v>
      </c>
      <c r="T923">
        <v>6.9800000000000001E-3</v>
      </c>
      <c r="U923">
        <v>11386.103990199999</v>
      </c>
      <c r="V923">
        <v>-879.18356444697019</v>
      </c>
      <c r="W923">
        <v>-7.7215486983403803E-2</v>
      </c>
    </row>
    <row r="924" spans="1:23" x14ac:dyDescent="0.25">
      <c r="A924" t="s">
        <v>1249</v>
      </c>
      <c r="B924" t="s">
        <v>37</v>
      </c>
      <c r="C924" t="s">
        <v>91</v>
      </c>
      <c r="D924" t="s">
        <v>31</v>
      </c>
      <c r="E924" t="s">
        <v>74</v>
      </c>
      <c r="F924" s="1">
        <v>46014</v>
      </c>
      <c r="G924">
        <v>46044</v>
      </c>
      <c r="H924" t="s">
        <v>6</v>
      </c>
      <c r="I924">
        <v>15482.48</v>
      </c>
      <c r="J924" t="s">
        <v>75</v>
      </c>
      <c r="K924" t="s">
        <v>1250</v>
      </c>
      <c r="L924">
        <v>30</v>
      </c>
      <c r="M924" t="s">
        <v>37</v>
      </c>
      <c r="N924">
        <v>1.1786000000000001</v>
      </c>
      <c r="O924">
        <v>1.3502119372207584</v>
      </c>
      <c r="P924">
        <v>6.4092664092664101E-3</v>
      </c>
      <c r="Q924">
        <v>1.1786000000000001</v>
      </c>
      <c r="R924">
        <v>18247.650927999999</v>
      </c>
      <c r="S924" t="s">
        <v>14</v>
      </c>
      <c r="T924">
        <v>1.1060000000000001</v>
      </c>
      <c r="U924">
        <v>17123.622880000003</v>
      </c>
      <c r="V924">
        <v>1124.0280479999965</v>
      </c>
      <c r="W924">
        <v>6.5641952983724924E-2</v>
      </c>
    </row>
    <row r="925" spans="1:23" x14ac:dyDescent="0.25">
      <c r="A925" t="s">
        <v>1247</v>
      </c>
      <c r="B925" t="s">
        <v>20</v>
      </c>
      <c r="C925" t="s">
        <v>123</v>
      </c>
      <c r="D925" t="s">
        <v>31</v>
      </c>
      <c r="E925" t="s">
        <v>124</v>
      </c>
      <c r="F925" s="1">
        <v>46275</v>
      </c>
      <c r="G925">
        <v>46320</v>
      </c>
      <c r="H925" t="s">
        <v>6</v>
      </c>
      <c r="I925">
        <v>24031.9</v>
      </c>
      <c r="J925" t="s">
        <v>75</v>
      </c>
      <c r="K925" t="s">
        <v>1248</v>
      </c>
      <c r="L925">
        <v>45</v>
      </c>
      <c r="M925" t="s">
        <v>20</v>
      </c>
      <c r="N925">
        <v>1.1616</v>
      </c>
      <c r="O925">
        <v>1.3520339870802538</v>
      </c>
      <c r="P925">
        <v>6.4861242950471831E-3</v>
      </c>
      <c r="Q925">
        <v>1.1616</v>
      </c>
      <c r="R925">
        <v>27915.455040000001</v>
      </c>
      <c r="S925" t="s">
        <v>21</v>
      </c>
      <c r="T925">
        <v>1.101</v>
      </c>
      <c r="U925">
        <v>26459.121900000002</v>
      </c>
      <c r="V925">
        <v>1456.3331399999988</v>
      </c>
      <c r="W925">
        <v>5.5040871934604857E-2</v>
      </c>
    </row>
    <row r="926" spans="1:23" x14ac:dyDescent="0.25">
      <c r="A926" t="s">
        <v>1245</v>
      </c>
      <c r="B926" t="s">
        <v>40</v>
      </c>
      <c r="C926" t="s">
        <v>78</v>
      </c>
      <c r="D926" t="s">
        <v>33</v>
      </c>
      <c r="E926" t="s">
        <v>79</v>
      </c>
      <c r="F926" s="1">
        <v>46003</v>
      </c>
      <c r="G926">
        <v>46033</v>
      </c>
      <c r="H926" t="s">
        <v>9</v>
      </c>
      <c r="I926">
        <v>2243330.4700000002</v>
      </c>
      <c r="J926" t="s">
        <v>75</v>
      </c>
      <c r="K926" t="s">
        <v>1246</v>
      </c>
      <c r="L926">
        <v>30</v>
      </c>
      <c r="M926" t="s">
        <v>40</v>
      </c>
      <c r="N926">
        <v>1.1731</v>
      </c>
      <c r="O926">
        <v>1.338086004334436</v>
      </c>
      <c r="P926">
        <v>6.4107328269304336E-3</v>
      </c>
      <c r="Q926">
        <v>6.4107328269304336E-3</v>
      </c>
      <c r="R926">
        <v>14381.392285682279</v>
      </c>
      <c r="S926" t="s">
        <v>14</v>
      </c>
      <c r="T926">
        <v>6.9800000000000001E-3</v>
      </c>
      <c r="U926">
        <v>15658.446680600002</v>
      </c>
      <c r="V926">
        <v>-1277.0543949177227</v>
      </c>
      <c r="W926">
        <v>-8.1556901585897817E-2</v>
      </c>
    </row>
    <row r="927" spans="1:23" x14ac:dyDescent="0.25">
      <c r="A927" t="s">
        <v>1243</v>
      </c>
      <c r="B927" t="s">
        <v>43</v>
      </c>
      <c r="C927" t="s">
        <v>215</v>
      </c>
      <c r="D927" t="s">
        <v>35</v>
      </c>
      <c r="E927" t="s">
        <v>152</v>
      </c>
      <c r="F927" s="1">
        <v>46258</v>
      </c>
      <c r="G927">
        <v>46288</v>
      </c>
      <c r="H927" t="s">
        <v>6</v>
      </c>
      <c r="I927">
        <v>8673.5400000000009</v>
      </c>
      <c r="J927" t="s">
        <v>75</v>
      </c>
      <c r="K927" t="s">
        <v>1244</v>
      </c>
      <c r="L927">
        <v>30</v>
      </c>
      <c r="M927" t="s">
        <v>43</v>
      </c>
      <c r="N927">
        <v>1.1664000000000001</v>
      </c>
      <c r="O927">
        <v>1.3634132086499124</v>
      </c>
      <c r="P927">
        <v>6.2844827586206907E-3</v>
      </c>
      <c r="Q927">
        <v>1.1664000000000001</v>
      </c>
      <c r="R927">
        <v>10116.817056000002</v>
      </c>
      <c r="S927" t="s">
        <v>21</v>
      </c>
      <c r="T927">
        <v>1.101</v>
      </c>
      <c r="U927">
        <v>9549.56754</v>
      </c>
      <c r="V927">
        <v>567.24951600000168</v>
      </c>
      <c r="W927">
        <v>5.9400544959128242E-2</v>
      </c>
    </row>
    <row r="928" spans="1:23" x14ac:dyDescent="0.25">
      <c r="A928" t="s">
        <v>1241</v>
      </c>
      <c r="B928" t="s">
        <v>40</v>
      </c>
      <c r="C928" t="s">
        <v>78</v>
      </c>
      <c r="D928" t="s">
        <v>33</v>
      </c>
      <c r="E928" t="s">
        <v>79</v>
      </c>
      <c r="F928" s="1">
        <v>45779</v>
      </c>
      <c r="G928">
        <v>45809</v>
      </c>
      <c r="H928" t="s">
        <v>9</v>
      </c>
      <c r="I928">
        <v>181733.19</v>
      </c>
      <c r="J928" t="s">
        <v>75</v>
      </c>
      <c r="K928" t="s">
        <v>1242</v>
      </c>
      <c r="L928">
        <v>30</v>
      </c>
      <c r="M928" t="s">
        <v>40</v>
      </c>
      <c r="N928">
        <v>1.1343000000000001</v>
      </c>
      <c r="O928">
        <v>1.3293097386616666</v>
      </c>
      <c r="P928">
        <v>6.9194168242542554E-3</v>
      </c>
      <c r="Q928">
        <v>6.9194168242542554E-3</v>
      </c>
      <c r="R928">
        <v>1257.4876924113953</v>
      </c>
      <c r="S928" t="s">
        <v>12</v>
      </c>
      <c r="T928">
        <v>6.7000000000000002E-3</v>
      </c>
      <c r="U928">
        <v>1217.6123730000002</v>
      </c>
      <c r="V928">
        <v>39.875319411395139</v>
      </c>
      <c r="W928">
        <v>3.2748779739441049E-2</v>
      </c>
    </row>
    <row r="929" spans="1:23" x14ac:dyDescent="0.25">
      <c r="A929" t="s">
        <v>1239</v>
      </c>
      <c r="B929" t="s">
        <v>26</v>
      </c>
      <c r="C929" t="s">
        <v>94</v>
      </c>
      <c r="D929" t="s">
        <v>31</v>
      </c>
      <c r="E929" t="s">
        <v>74</v>
      </c>
      <c r="F929" s="1">
        <v>45982</v>
      </c>
      <c r="G929">
        <v>46012</v>
      </c>
      <c r="H929" t="s">
        <v>8</v>
      </c>
      <c r="I929">
        <v>28641.99</v>
      </c>
      <c r="J929" t="s">
        <v>75</v>
      </c>
      <c r="K929" t="s">
        <v>1240</v>
      </c>
      <c r="L929">
        <v>30</v>
      </c>
      <c r="M929" t="s">
        <v>26</v>
      </c>
      <c r="N929">
        <v>1.1519999999999999</v>
      </c>
      <c r="O929">
        <v>1.3086447801885721</v>
      </c>
      <c r="P929">
        <v>6.3801506424457236E-3</v>
      </c>
      <c r="Q929">
        <v>1.3086447801885721</v>
      </c>
      <c r="R929">
        <v>37482.190707713286</v>
      </c>
      <c r="S929" t="s">
        <v>14</v>
      </c>
      <c r="T929">
        <v>1.304</v>
      </c>
      <c r="U929">
        <v>37349.15496</v>
      </c>
      <c r="V929">
        <v>133.03574771328567</v>
      </c>
      <c r="W929">
        <v>3.5619479973713888E-3</v>
      </c>
    </row>
    <row r="930" spans="1:23" x14ac:dyDescent="0.25">
      <c r="A930" t="s">
        <v>1237</v>
      </c>
      <c r="B930" t="s">
        <v>32</v>
      </c>
      <c r="C930" t="s">
        <v>106</v>
      </c>
      <c r="D930" t="s">
        <v>31</v>
      </c>
      <c r="E930" t="s">
        <v>74</v>
      </c>
      <c r="F930" s="1">
        <v>45684</v>
      </c>
      <c r="G930">
        <v>45714</v>
      </c>
      <c r="H930" t="s">
        <v>6</v>
      </c>
      <c r="I930">
        <v>15668.21</v>
      </c>
      <c r="J930" t="s">
        <v>75</v>
      </c>
      <c r="K930" t="s">
        <v>1238</v>
      </c>
      <c r="L930">
        <v>30</v>
      </c>
      <c r="M930" t="s">
        <v>32</v>
      </c>
      <c r="N930">
        <v>1.0529999999999999</v>
      </c>
      <c r="O930">
        <v>1.2519915344921884</v>
      </c>
      <c r="P930">
        <v>6.4915849824301822E-3</v>
      </c>
      <c r="Q930">
        <v>1.0529999999999999</v>
      </c>
      <c r="R930">
        <v>16498.625129999997</v>
      </c>
      <c r="S930" t="s">
        <v>11</v>
      </c>
      <c r="T930">
        <v>1.052</v>
      </c>
      <c r="U930">
        <v>16482.956920000001</v>
      </c>
      <c r="V930">
        <v>15.668209999996179</v>
      </c>
      <c r="W930">
        <v>9.5057034220509139E-4</v>
      </c>
    </row>
    <row r="931" spans="1:23" x14ac:dyDescent="0.25">
      <c r="A931" t="s">
        <v>1235</v>
      </c>
      <c r="B931" t="s">
        <v>41</v>
      </c>
      <c r="C931" t="s">
        <v>172</v>
      </c>
      <c r="D931" t="s">
        <v>33</v>
      </c>
      <c r="E931" t="s">
        <v>83</v>
      </c>
      <c r="F931" s="1">
        <v>46285</v>
      </c>
      <c r="G931">
        <v>46315</v>
      </c>
      <c r="H931" t="s">
        <v>9</v>
      </c>
      <c r="I931">
        <v>650506.22</v>
      </c>
      <c r="J931" t="s">
        <v>75</v>
      </c>
      <c r="K931" t="s">
        <v>1236</v>
      </c>
      <c r="L931">
        <v>30</v>
      </c>
      <c r="M931" t="s">
        <v>41</v>
      </c>
      <c r="N931">
        <v>1.1459999999999999</v>
      </c>
      <c r="O931">
        <v>1.3344201210992082</v>
      </c>
      <c r="P931">
        <v>6.3335912457168119E-3</v>
      </c>
      <c r="Q931">
        <v>6.3335912457168119E-3</v>
      </c>
      <c r="R931">
        <v>4120.0405002763346</v>
      </c>
      <c r="S931" t="s">
        <v>21</v>
      </c>
      <c r="T931">
        <v>6.7400000000000003E-3</v>
      </c>
      <c r="U931">
        <v>4384.4119228</v>
      </c>
      <c r="V931">
        <v>-264.37142252366539</v>
      </c>
      <c r="W931">
        <v>-6.02980347601169E-2</v>
      </c>
    </row>
    <row r="932" spans="1:23" x14ac:dyDescent="0.25">
      <c r="A932" t="s">
        <v>1233</v>
      </c>
      <c r="B932" t="s">
        <v>42</v>
      </c>
      <c r="C932" t="s">
        <v>151</v>
      </c>
      <c r="D932" t="s">
        <v>35</v>
      </c>
      <c r="E932" t="s">
        <v>152</v>
      </c>
      <c r="F932" s="1">
        <v>46098</v>
      </c>
      <c r="G932">
        <v>46128</v>
      </c>
      <c r="H932" t="s">
        <v>8</v>
      </c>
      <c r="I932">
        <v>1107.8900000000001</v>
      </c>
      <c r="J932" t="s">
        <v>75</v>
      </c>
      <c r="K932" t="s">
        <v>1234</v>
      </c>
      <c r="L932">
        <v>30</v>
      </c>
      <c r="M932" t="s">
        <v>42</v>
      </c>
      <c r="N932">
        <v>1.1531</v>
      </c>
      <c r="O932">
        <v>1.3341432373018629</v>
      </c>
      <c r="P932">
        <v>6.2911233564297018E-3</v>
      </c>
      <c r="Q932">
        <v>1.3341432373018629</v>
      </c>
      <c r="R932">
        <v>1478.0839511743611</v>
      </c>
      <c r="S932" t="s">
        <v>16</v>
      </c>
      <c r="T932">
        <v>1.2490000000000001</v>
      </c>
      <c r="U932">
        <v>1383.7546100000002</v>
      </c>
      <c r="V932">
        <v>94.329341174360934</v>
      </c>
      <c r="W932">
        <v>6.8169125141603629E-2</v>
      </c>
    </row>
    <row r="933" spans="1:23" x14ac:dyDescent="0.25">
      <c r="A933" t="s">
        <v>1231</v>
      </c>
      <c r="B933" t="s">
        <v>26</v>
      </c>
      <c r="C933" t="s">
        <v>94</v>
      </c>
      <c r="D933" t="s">
        <v>31</v>
      </c>
      <c r="E933" t="s">
        <v>74</v>
      </c>
      <c r="F933" s="1">
        <v>45918</v>
      </c>
      <c r="G933">
        <v>45948</v>
      </c>
      <c r="H933" t="s">
        <v>8</v>
      </c>
      <c r="I933">
        <v>20951.580000000002</v>
      </c>
      <c r="J933" t="s">
        <v>75</v>
      </c>
      <c r="K933" t="s">
        <v>1232</v>
      </c>
      <c r="L933">
        <v>30</v>
      </c>
      <c r="M933" t="s">
        <v>26</v>
      </c>
      <c r="N933">
        <v>1.1818</v>
      </c>
      <c r="O933">
        <v>1.3615207373271889</v>
      </c>
      <c r="P933">
        <v>6.7825987144168954E-3</v>
      </c>
      <c r="Q933">
        <v>1.3615207373271889</v>
      </c>
      <c r="R933">
        <v>28526.010649769589</v>
      </c>
      <c r="S933" t="s">
        <v>13</v>
      </c>
      <c r="T933">
        <v>1.282</v>
      </c>
      <c r="U933">
        <v>26859.925560000003</v>
      </c>
      <c r="V933">
        <v>1666.0850897695855</v>
      </c>
      <c r="W933">
        <v>6.2028656261457829E-2</v>
      </c>
    </row>
    <row r="934" spans="1:23" x14ac:dyDescent="0.25">
      <c r="A934" t="s">
        <v>1229</v>
      </c>
      <c r="B934" t="s">
        <v>26</v>
      </c>
      <c r="C934" t="s">
        <v>94</v>
      </c>
      <c r="D934" t="s">
        <v>31</v>
      </c>
      <c r="E934" t="s">
        <v>74</v>
      </c>
      <c r="F934" s="1">
        <v>45724</v>
      </c>
      <c r="G934">
        <v>45754</v>
      </c>
      <c r="H934" t="s">
        <v>8</v>
      </c>
      <c r="I934">
        <v>27203.32</v>
      </c>
      <c r="J934" t="s">
        <v>75</v>
      </c>
      <c r="K934" t="s">
        <v>1230</v>
      </c>
      <c r="L934">
        <v>30</v>
      </c>
      <c r="M934" t="s">
        <v>26</v>
      </c>
      <c r="N934">
        <v>1.1346000000000001</v>
      </c>
      <c r="O934">
        <v>1.3089826714968043</v>
      </c>
      <c r="P934">
        <v>7.0006787190720066E-3</v>
      </c>
      <c r="Q934">
        <v>1.3089826714968043</v>
      </c>
      <c r="R934">
        <v>35608.674487182441</v>
      </c>
      <c r="S934" t="s">
        <v>11</v>
      </c>
      <c r="T934">
        <v>1.238</v>
      </c>
      <c r="U934">
        <v>33677.710160000002</v>
      </c>
      <c r="V934">
        <v>1930.9643271824389</v>
      </c>
      <c r="W934">
        <v>5.7336568252668835E-2</v>
      </c>
    </row>
    <row r="935" spans="1:23" x14ac:dyDescent="0.25">
      <c r="A935" t="s">
        <v>1227</v>
      </c>
      <c r="B935" t="s">
        <v>38</v>
      </c>
      <c r="C935" t="s">
        <v>87</v>
      </c>
      <c r="D935" t="s">
        <v>33</v>
      </c>
      <c r="E935" t="s">
        <v>88</v>
      </c>
      <c r="F935" s="1">
        <v>45812</v>
      </c>
      <c r="G935">
        <v>45842</v>
      </c>
      <c r="H935" t="s">
        <v>6</v>
      </c>
      <c r="I935">
        <v>3820.88</v>
      </c>
      <c r="J935" t="s">
        <v>75</v>
      </c>
      <c r="K935" t="s">
        <v>1228</v>
      </c>
      <c r="L935">
        <v>30</v>
      </c>
      <c r="M935" t="s">
        <v>38</v>
      </c>
      <c r="N935">
        <v>1.1384000000000001</v>
      </c>
      <c r="O935">
        <v>1.3518584491153072</v>
      </c>
      <c r="P935">
        <v>6.9351203167834297E-3</v>
      </c>
      <c r="Q935">
        <v>1.1384000000000001</v>
      </c>
      <c r="R935">
        <v>4349.6897920000001</v>
      </c>
      <c r="S935" t="s">
        <v>12</v>
      </c>
      <c r="T935">
        <v>1.07</v>
      </c>
      <c r="U935">
        <v>4088.3416000000002</v>
      </c>
      <c r="V935">
        <v>261.34819199999993</v>
      </c>
      <c r="W935">
        <v>6.3925233644859789E-2</v>
      </c>
    </row>
    <row r="936" spans="1:23" x14ac:dyDescent="0.25">
      <c r="A936" t="s">
        <v>1225</v>
      </c>
      <c r="B936" t="s">
        <v>38</v>
      </c>
      <c r="C936" t="s">
        <v>87</v>
      </c>
      <c r="D936" t="s">
        <v>33</v>
      </c>
      <c r="E936" t="s">
        <v>88</v>
      </c>
      <c r="F936" s="1">
        <v>45733</v>
      </c>
      <c r="G936">
        <v>45763</v>
      </c>
      <c r="H936" t="s">
        <v>6</v>
      </c>
      <c r="I936">
        <v>10006.56</v>
      </c>
      <c r="J936" t="s">
        <v>75</v>
      </c>
      <c r="K936" t="s">
        <v>1226</v>
      </c>
      <c r="L936">
        <v>30</v>
      </c>
      <c r="M936" t="s">
        <v>38</v>
      </c>
      <c r="N936">
        <v>1.0903</v>
      </c>
      <c r="O936">
        <v>1.2975745602551592</v>
      </c>
      <c r="P936">
        <v>6.7194625909034892E-3</v>
      </c>
      <c r="Q936">
        <v>1.0903</v>
      </c>
      <c r="R936">
        <v>10910.152367999999</v>
      </c>
      <c r="S936" t="s">
        <v>11</v>
      </c>
      <c r="T936">
        <v>1.052</v>
      </c>
      <c r="U936">
        <v>10526.90112</v>
      </c>
      <c r="V936">
        <v>383.25124799999867</v>
      </c>
      <c r="W936">
        <v>3.6406844106463748E-2</v>
      </c>
    </row>
    <row r="937" spans="1:23" x14ac:dyDescent="0.25">
      <c r="A937" t="s">
        <v>1223</v>
      </c>
      <c r="B937" t="s">
        <v>25</v>
      </c>
      <c r="C937" t="s">
        <v>169</v>
      </c>
      <c r="D937" t="s">
        <v>31</v>
      </c>
      <c r="E937" t="s">
        <v>124</v>
      </c>
      <c r="F937" s="1">
        <v>45719</v>
      </c>
      <c r="G937">
        <v>45779</v>
      </c>
      <c r="H937" t="s">
        <v>6</v>
      </c>
      <c r="I937">
        <v>66547.59</v>
      </c>
      <c r="J937" t="s">
        <v>75</v>
      </c>
      <c r="K937" t="s">
        <v>1224</v>
      </c>
      <c r="L937">
        <v>60</v>
      </c>
      <c r="M937" t="s">
        <v>25</v>
      </c>
      <c r="N937">
        <v>1.0465</v>
      </c>
      <c r="O937">
        <v>1.2680237489397794</v>
      </c>
      <c r="P937">
        <v>6.6096128339543985E-3</v>
      </c>
      <c r="Q937">
        <v>1.0465</v>
      </c>
      <c r="R937">
        <v>69642.052935</v>
      </c>
      <c r="S937" t="s">
        <v>11</v>
      </c>
      <c r="T937">
        <v>1.052</v>
      </c>
      <c r="U937">
        <v>70008.064679999996</v>
      </c>
      <c r="V937">
        <v>-366.01174499999615</v>
      </c>
      <c r="W937">
        <v>-5.2281368821292225E-3</v>
      </c>
    </row>
    <row r="938" spans="1:23" x14ac:dyDescent="0.25">
      <c r="A938" t="s">
        <v>1221</v>
      </c>
      <c r="B938" t="s">
        <v>26</v>
      </c>
      <c r="C938" t="s">
        <v>94</v>
      </c>
      <c r="D938" t="s">
        <v>31</v>
      </c>
      <c r="E938" t="s">
        <v>74</v>
      </c>
      <c r="F938" s="1">
        <v>45801</v>
      </c>
      <c r="G938">
        <v>45831</v>
      </c>
      <c r="H938" t="s">
        <v>8</v>
      </c>
      <c r="I938">
        <v>5667.88</v>
      </c>
      <c r="J938" t="s">
        <v>75</v>
      </c>
      <c r="K938" t="s">
        <v>1222</v>
      </c>
      <c r="L938">
        <v>30</v>
      </c>
      <c r="M938" t="s">
        <v>26</v>
      </c>
      <c r="N938">
        <v>1.1404000000000001</v>
      </c>
      <c r="O938">
        <v>1.3160992498557416</v>
      </c>
      <c r="P938">
        <v>6.6453003904201387E-3</v>
      </c>
      <c r="Q938">
        <v>1.3160992498557416</v>
      </c>
      <c r="R938">
        <v>7459.4926162723605</v>
      </c>
      <c r="S938" t="s">
        <v>12</v>
      </c>
      <c r="T938">
        <v>1.26</v>
      </c>
      <c r="U938">
        <v>7141.5288</v>
      </c>
      <c r="V938">
        <v>317.96381627236042</v>
      </c>
      <c r="W938">
        <v>4.4523214171223451E-2</v>
      </c>
    </row>
    <row r="939" spans="1:23" x14ac:dyDescent="0.25">
      <c r="A939" t="s">
        <v>1219</v>
      </c>
      <c r="B939" t="s">
        <v>28</v>
      </c>
      <c r="C939" t="s">
        <v>111</v>
      </c>
      <c r="D939" t="s">
        <v>31</v>
      </c>
      <c r="E939" t="s">
        <v>74</v>
      </c>
      <c r="F939" s="1">
        <v>45802</v>
      </c>
      <c r="G939">
        <v>45847</v>
      </c>
      <c r="H939" t="s">
        <v>9</v>
      </c>
      <c r="I939">
        <v>1032413.42</v>
      </c>
      <c r="J939" t="s">
        <v>75</v>
      </c>
      <c r="K939" t="s">
        <v>1220</v>
      </c>
      <c r="L939">
        <v>45</v>
      </c>
      <c r="M939" t="s">
        <v>28</v>
      </c>
      <c r="N939">
        <v>1.1565000000000001</v>
      </c>
      <c r="O939">
        <v>1.3286994485294119</v>
      </c>
      <c r="P939">
        <v>6.7849809328248759E-3</v>
      </c>
      <c r="Q939">
        <v>6.7849809328248759E-3</v>
      </c>
      <c r="R939">
        <v>7004.9053694925205</v>
      </c>
      <c r="S939" t="s">
        <v>12</v>
      </c>
      <c r="T939">
        <v>6.7000000000000002E-3</v>
      </c>
      <c r="U939">
        <v>6917.1699140000001</v>
      </c>
      <c r="V939">
        <v>87.735455492520487</v>
      </c>
      <c r="W939">
        <v>1.2683721317145671E-2</v>
      </c>
    </row>
    <row r="940" spans="1:23" x14ac:dyDescent="0.25">
      <c r="A940" t="s">
        <v>1217</v>
      </c>
      <c r="B940" t="s">
        <v>44</v>
      </c>
      <c r="C940" t="s">
        <v>138</v>
      </c>
      <c r="D940" t="s">
        <v>33</v>
      </c>
      <c r="E940" t="s">
        <v>88</v>
      </c>
      <c r="F940" s="1">
        <v>45748</v>
      </c>
      <c r="G940">
        <v>45793</v>
      </c>
      <c r="H940" t="s">
        <v>9</v>
      </c>
      <c r="I940">
        <v>1240782</v>
      </c>
      <c r="J940" t="s">
        <v>75</v>
      </c>
      <c r="K940" t="s">
        <v>1218</v>
      </c>
      <c r="L940">
        <v>45</v>
      </c>
      <c r="M940" t="s">
        <v>44</v>
      </c>
      <c r="N940">
        <v>1.0788</v>
      </c>
      <c r="O940">
        <v>1.2894280762564991</v>
      </c>
      <c r="P940">
        <v>6.7035356987510094E-3</v>
      </c>
      <c r="Q940">
        <v>6.7035356987510094E-3</v>
      </c>
      <c r="R940">
        <v>8317.6264313676747</v>
      </c>
      <c r="S940" t="s">
        <v>12</v>
      </c>
      <c r="T940">
        <v>6.7000000000000002E-3</v>
      </c>
      <c r="U940">
        <v>8313.2394000000004</v>
      </c>
      <c r="V940">
        <v>4.3870313676743535</v>
      </c>
      <c r="W940">
        <v>5.2771623149386912E-4</v>
      </c>
    </row>
    <row r="941" spans="1:23" x14ac:dyDescent="0.25">
      <c r="A941" t="s">
        <v>1215</v>
      </c>
      <c r="B941" t="s">
        <v>40</v>
      </c>
      <c r="C941" t="s">
        <v>78</v>
      </c>
      <c r="D941" t="s">
        <v>33</v>
      </c>
      <c r="E941" t="s">
        <v>79</v>
      </c>
      <c r="F941" s="1">
        <v>46350</v>
      </c>
      <c r="G941">
        <v>46380</v>
      </c>
      <c r="H941" t="s">
        <v>9</v>
      </c>
      <c r="I941">
        <v>2642463.96</v>
      </c>
      <c r="J941" t="s">
        <v>84</v>
      </c>
      <c r="K941" t="s">
        <v>1216</v>
      </c>
      <c r="L941">
        <v>30</v>
      </c>
      <c r="M941" t="s">
        <v>40</v>
      </c>
      <c r="N941">
        <v>1.1176999999999999</v>
      </c>
      <c r="O941">
        <v>1.320456022210408</v>
      </c>
      <c r="P941">
        <v>6.3200452360757699E-3</v>
      </c>
      <c r="Q941">
        <v>6.3200452360757699E-3</v>
      </c>
      <c r="R941">
        <v>16700.491761899913</v>
      </c>
      <c r="S941" t="s">
        <v>23</v>
      </c>
      <c r="T941">
        <v>6.8799999999999998E-3</v>
      </c>
      <c r="U941">
        <v>18180.152044800001</v>
      </c>
      <c r="V941">
        <v>-1479.6602829000876</v>
      </c>
      <c r="W941">
        <v>-8.1388773826196303E-2</v>
      </c>
    </row>
    <row r="942" spans="1:23" x14ac:dyDescent="0.25">
      <c r="A942" t="s">
        <v>1213</v>
      </c>
      <c r="B942" t="s">
        <v>36</v>
      </c>
      <c r="C942" t="s">
        <v>116</v>
      </c>
      <c r="D942" t="s">
        <v>31</v>
      </c>
      <c r="E942" t="s">
        <v>74</v>
      </c>
      <c r="F942" s="1">
        <v>45941</v>
      </c>
      <c r="G942">
        <v>45986</v>
      </c>
      <c r="H942" t="s">
        <v>6</v>
      </c>
      <c r="I942">
        <v>3863.22</v>
      </c>
      <c r="J942" t="s">
        <v>75</v>
      </c>
      <c r="K942" t="s">
        <v>1214</v>
      </c>
      <c r="L942">
        <v>45</v>
      </c>
      <c r="M942" t="s">
        <v>36</v>
      </c>
      <c r="N942">
        <v>1.1845000000000001</v>
      </c>
      <c r="O942">
        <v>1.3577487391104999</v>
      </c>
      <c r="P942">
        <v>6.5085993735919554E-3</v>
      </c>
      <c r="Q942">
        <v>1.1845000000000001</v>
      </c>
      <c r="R942">
        <v>4575.9840899999999</v>
      </c>
      <c r="S942" t="s">
        <v>14</v>
      </c>
      <c r="T942">
        <v>1.1060000000000001</v>
      </c>
      <c r="U942">
        <v>4272.7213200000006</v>
      </c>
      <c r="V942">
        <v>303.26276999999936</v>
      </c>
      <c r="W942">
        <v>7.0976491862567659E-2</v>
      </c>
    </row>
    <row r="943" spans="1:23" x14ac:dyDescent="0.25">
      <c r="A943" t="s">
        <v>1211</v>
      </c>
      <c r="B943" t="s">
        <v>39</v>
      </c>
      <c r="C943" t="s">
        <v>82</v>
      </c>
      <c r="D943" t="s">
        <v>33</v>
      </c>
      <c r="E943" t="s">
        <v>83</v>
      </c>
      <c r="F943" s="1">
        <v>46060</v>
      </c>
      <c r="G943">
        <v>46105</v>
      </c>
      <c r="H943" t="s">
        <v>8</v>
      </c>
      <c r="I943">
        <v>2347.5500000000002</v>
      </c>
      <c r="J943" t="s">
        <v>75</v>
      </c>
      <c r="K943" t="s">
        <v>1212</v>
      </c>
      <c r="L943">
        <v>45</v>
      </c>
      <c r="M943" t="s">
        <v>39</v>
      </c>
      <c r="N943">
        <v>1.1555</v>
      </c>
      <c r="O943">
        <v>1.3367963164349013</v>
      </c>
      <c r="P943">
        <v>6.2983756677204832E-3</v>
      </c>
      <c r="Q943">
        <v>1.3367963164349013</v>
      </c>
      <c r="R943">
        <v>3138.1961926467529</v>
      </c>
      <c r="S943" t="s">
        <v>16</v>
      </c>
      <c r="T943">
        <v>1.2490000000000001</v>
      </c>
      <c r="U943">
        <v>2932.0899500000005</v>
      </c>
      <c r="V943">
        <v>206.10624264675243</v>
      </c>
      <c r="W943">
        <v>7.0293287778143504E-2</v>
      </c>
    </row>
    <row r="944" spans="1:23" x14ac:dyDescent="0.25">
      <c r="A944" t="s">
        <v>1209</v>
      </c>
      <c r="B944" t="s">
        <v>36</v>
      </c>
      <c r="C944" t="s">
        <v>116</v>
      </c>
      <c r="D944" t="s">
        <v>31</v>
      </c>
      <c r="E944" t="s">
        <v>74</v>
      </c>
      <c r="F944" s="1">
        <v>45965</v>
      </c>
      <c r="G944">
        <v>46010</v>
      </c>
      <c r="H944" t="s">
        <v>6</v>
      </c>
      <c r="I944">
        <v>12535.73</v>
      </c>
      <c r="J944" t="s">
        <v>75</v>
      </c>
      <c r="K944" t="s">
        <v>1210</v>
      </c>
      <c r="L944">
        <v>45</v>
      </c>
      <c r="M944" t="s">
        <v>36</v>
      </c>
      <c r="N944">
        <v>1.1491</v>
      </c>
      <c r="O944">
        <v>1.3065378055713475</v>
      </c>
      <c r="P944">
        <v>6.5145416406825786E-3</v>
      </c>
      <c r="Q944">
        <v>1.1491</v>
      </c>
      <c r="R944">
        <v>14404.807343</v>
      </c>
      <c r="S944" t="s">
        <v>14</v>
      </c>
      <c r="T944">
        <v>1.1060000000000001</v>
      </c>
      <c r="U944">
        <v>13864.517380000001</v>
      </c>
      <c r="V944">
        <v>540.28996299999926</v>
      </c>
      <c r="W944">
        <v>3.8969258589511696E-2</v>
      </c>
    </row>
    <row r="945" spans="1:23" x14ac:dyDescent="0.25">
      <c r="A945" t="s">
        <v>1207</v>
      </c>
      <c r="B945" t="s">
        <v>28</v>
      </c>
      <c r="C945" t="s">
        <v>111</v>
      </c>
      <c r="D945" t="s">
        <v>31</v>
      </c>
      <c r="E945" t="s">
        <v>74</v>
      </c>
      <c r="F945" s="1">
        <v>46158</v>
      </c>
      <c r="G945">
        <v>46203</v>
      </c>
      <c r="H945" t="s">
        <v>9</v>
      </c>
      <c r="I945">
        <v>4867397.82</v>
      </c>
      <c r="J945" t="s">
        <v>75</v>
      </c>
      <c r="K945" t="s">
        <v>1208</v>
      </c>
      <c r="L945">
        <v>45</v>
      </c>
      <c r="M945" t="s">
        <v>28</v>
      </c>
      <c r="N945">
        <v>1.1628000000000001</v>
      </c>
      <c r="O945">
        <v>1.3357840321654222</v>
      </c>
      <c r="P945">
        <v>6.3072249945758298E-3</v>
      </c>
      <c r="Q945">
        <v>6.3072249945758298E-3</v>
      </c>
      <c r="R945">
        <v>30699.773188847907</v>
      </c>
      <c r="S945" t="s">
        <v>19</v>
      </c>
      <c r="T945">
        <v>6.6E-3</v>
      </c>
      <c r="U945">
        <v>32124.825612000001</v>
      </c>
      <c r="V945">
        <v>-1425.052423152094</v>
      </c>
      <c r="W945">
        <v>-4.4359849306692449E-2</v>
      </c>
    </row>
    <row r="946" spans="1:23" x14ac:dyDescent="0.25">
      <c r="A946" t="s">
        <v>1205</v>
      </c>
      <c r="B946" t="s">
        <v>28</v>
      </c>
      <c r="C946" t="s">
        <v>111</v>
      </c>
      <c r="D946" t="s">
        <v>31</v>
      </c>
      <c r="E946" t="s">
        <v>74</v>
      </c>
      <c r="F946" s="1">
        <v>46106</v>
      </c>
      <c r="G946">
        <v>46151</v>
      </c>
      <c r="H946" t="s">
        <v>9</v>
      </c>
      <c r="I946">
        <v>2010150.74</v>
      </c>
      <c r="J946" t="s">
        <v>75</v>
      </c>
      <c r="K946" t="s">
        <v>1206</v>
      </c>
      <c r="L946">
        <v>45</v>
      </c>
      <c r="M946" t="s">
        <v>28</v>
      </c>
      <c r="N946">
        <v>1.1592</v>
      </c>
      <c r="O946">
        <v>1.3392176344185402</v>
      </c>
      <c r="P946">
        <v>6.2907689803006457E-3</v>
      </c>
      <c r="Q946">
        <v>6.2907689803006457E-3</v>
      </c>
      <c r="R946">
        <v>12645.393920920389</v>
      </c>
      <c r="S946" t="s">
        <v>16</v>
      </c>
      <c r="T946">
        <v>6.4599999999999996E-3</v>
      </c>
      <c r="U946">
        <v>12985.5737804</v>
      </c>
      <c r="V946">
        <v>-340.17985947961097</v>
      </c>
      <c r="W946">
        <v>-2.6196752275441791E-2</v>
      </c>
    </row>
    <row r="947" spans="1:23" x14ac:dyDescent="0.25">
      <c r="A947" t="s">
        <v>1203</v>
      </c>
      <c r="B947" t="s">
        <v>20</v>
      </c>
      <c r="C947" t="s">
        <v>123</v>
      </c>
      <c r="D947" t="s">
        <v>31</v>
      </c>
      <c r="E947" t="s">
        <v>124</v>
      </c>
      <c r="F947" s="1">
        <v>45821</v>
      </c>
      <c r="G947">
        <v>45866</v>
      </c>
      <c r="H947" t="s">
        <v>6</v>
      </c>
      <c r="I947">
        <v>39666.949999999997</v>
      </c>
      <c r="J947" t="s">
        <v>75</v>
      </c>
      <c r="K947" t="s">
        <v>1204</v>
      </c>
      <c r="L947">
        <v>45</v>
      </c>
      <c r="M947" t="s">
        <v>20</v>
      </c>
      <c r="N947">
        <v>1.1512</v>
      </c>
      <c r="O947">
        <v>1.3535567313345092</v>
      </c>
      <c r="P947">
        <v>6.9374472700976259E-3</v>
      </c>
      <c r="Q947">
        <v>1.1512</v>
      </c>
      <c r="R947">
        <v>45664.592839999998</v>
      </c>
      <c r="S947" t="s">
        <v>12</v>
      </c>
      <c r="T947">
        <v>1.07</v>
      </c>
      <c r="U947">
        <v>42443.636500000001</v>
      </c>
      <c r="V947">
        <v>3220.956339999997</v>
      </c>
      <c r="W947">
        <v>7.5887850467289644E-2</v>
      </c>
    </row>
    <row r="948" spans="1:23" x14ac:dyDescent="0.25">
      <c r="A948" t="s">
        <v>1201</v>
      </c>
      <c r="B948" t="s">
        <v>34</v>
      </c>
      <c r="C948" t="s">
        <v>177</v>
      </c>
      <c r="D948" t="s">
        <v>31</v>
      </c>
      <c r="E948" t="s">
        <v>74</v>
      </c>
      <c r="F948" s="1">
        <v>46127</v>
      </c>
      <c r="G948">
        <v>46187</v>
      </c>
      <c r="H948" t="s">
        <v>8</v>
      </c>
      <c r="I948">
        <v>17548</v>
      </c>
      <c r="J948" t="s">
        <v>75</v>
      </c>
      <c r="K948" t="s">
        <v>1202</v>
      </c>
      <c r="L948">
        <v>60</v>
      </c>
      <c r="M948" t="s">
        <v>34</v>
      </c>
      <c r="N948">
        <v>1.1779999999999999</v>
      </c>
      <c r="O948">
        <v>1.3550353712543854</v>
      </c>
      <c r="P948">
        <v>6.2856837948882128E-3</v>
      </c>
      <c r="Q948">
        <v>1.3550353712543854</v>
      </c>
      <c r="R948">
        <v>23778.160694771956</v>
      </c>
      <c r="S948" t="s">
        <v>19</v>
      </c>
      <c r="T948">
        <v>1.2709999999999999</v>
      </c>
      <c r="U948">
        <v>22303.507999999998</v>
      </c>
      <c r="V948">
        <v>1474.6526947719576</v>
      </c>
      <c r="W948">
        <v>6.6117522623434746E-2</v>
      </c>
    </row>
    <row r="949" spans="1:23" x14ac:dyDescent="0.25">
      <c r="A949" t="s">
        <v>1199</v>
      </c>
      <c r="B949" t="s">
        <v>44</v>
      </c>
      <c r="C949" t="s">
        <v>138</v>
      </c>
      <c r="D949" t="s">
        <v>33</v>
      </c>
      <c r="E949" t="s">
        <v>88</v>
      </c>
      <c r="F949" s="1">
        <v>46064</v>
      </c>
      <c r="G949">
        <v>46109</v>
      </c>
      <c r="H949" t="s">
        <v>9</v>
      </c>
      <c r="I949">
        <v>771900.75</v>
      </c>
      <c r="J949" t="s">
        <v>75</v>
      </c>
      <c r="K949" t="s">
        <v>1200</v>
      </c>
      <c r="L949">
        <v>45</v>
      </c>
      <c r="M949" t="s">
        <v>44</v>
      </c>
      <c r="N949">
        <v>1.19</v>
      </c>
      <c r="O949">
        <v>1.3679733302678467</v>
      </c>
      <c r="P949">
        <v>6.5102029651512667E-3</v>
      </c>
      <c r="Q949">
        <v>6.5102029651512667E-3</v>
      </c>
      <c r="R949">
        <v>5025.2305514524869</v>
      </c>
      <c r="S949" t="s">
        <v>16</v>
      </c>
      <c r="T949">
        <v>6.4599999999999996E-3</v>
      </c>
      <c r="U949">
        <v>4986.4788449999996</v>
      </c>
      <c r="V949">
        <v>38.751706452487269</v>
      </c>
      <c r="W949">
        <v>7.771356834561538E-3</v>
      </c>
    </row>
    <row r="950" spans="1:23" x14ac:dyDescent="0.25">
      <c r="A950" t="s">
        <v>1197</v>
      </c>
      <c r="B950" t="s">
        <v>38</v>
      </c>
      <c r="C950" t="s">
        <v>87</v>
      </c>
      <c r="D950" t="s">
        <v>33</v>
      </c>
      <c r="E950" t="s">
        <v>88</v>
      </c>
      <c r="F950" s="1">
        <v>45913</v>
      </c>
      <c r="G950">
        <v>45943</v>
      </c>
      <c r="H950" t="s">
        <v>6</v>
      </c>
      <c r="I950">
        <v>5167.33</v>
      </c>
      <c r="J950" t="s">
        <v>75</v>
      </c>
      <c r="K950" t="s">
        <v>1198</v>
      </c>
      <c r="L950">
        <v>30</v>
      </c>
      <c r="M950" t="s">
        <v>38</v>
      </c>
      <c r="N950">
        <v>1.1641999999999999</v>
      </c>
      <c r="O950">
        <v>1.3417079635818829</v>
      </c>
      <c r="P950">
        <v>6.3437227550130768E-3</v>
      </c>
      <c r="Q950">
        <v>1.1641999999999999</v>
      </c>
      <c r="R950">
        <v>6015.8055859999995</v>
      </c>
      <c r="S950" t="s">
        <v>13</v>
      </c>
      <c r="T950">
        <v>1.0880000000000001</v>
      </c>
      <c r="U950">
        <v>5622.0550400000002</v>
      </c>
      <c r="V950">
        <v>393.7505459999993</v>
      </c>
      <c r="W950">
        <v>7.0036764705882229E-2</v>
      </c>
    </row>
    <row r="951" spans="1:23" x14ac:dyDescent="0.25">
      <c r="A951" t="s">
        <v>1195</v>
      </c>
      <c r="B951" t="s">
        <v>40</v>
      </c>
      <c r="C951" t="s">
        <v>78</v>
      </c>
      <c r="D951" t="s">
        <v>33</v>
      </c>
      <c r="E951" t="s">
        <v>79</v>
      </c>
      <c r="F951" s="1">
        <v>46108</v>
      </c>
      <c r="G951">
        <v>46138</v>
      </c>
      <c r="H951" t="s">
        <v>9</v>
      </c>
      <c r="I951">
        <v>1653538.49</v>
      </c>
      <c r="J951" t="s">
        <v>75</v>
      </c>
      <c r="K951" t="s">
        <v>1196</v>
      </c>
      <c r="L951">
        <v>30</v>
      </c>
      <c r="M951" t="s">
        <v>40</v>
      </c>
      <c r="N951">
        <v>1.1516999999999999</v>
      </c>
      <c r="O951">
        <v>1.3280673431734318</v>
      </c>
      <c r="P951">
        <v>6.2538010425716769E-3</v>
      </c>
      <c r="Q951">
        <v>6.2538010425716769E-3</v>
      </c>
      <c r="R951">
        <v>10340.900732694396</v>
      </c>
      <c r="S951" t="s">
        <v>16</v>
      </c>
      <c r="T951">
        <v>6.4599999999999996E-3</v>
      </c>
      <c r="U951">
        <v>10681.8586454</v>
      </c>
      <c r="V951">
        <v>-340.95791270560403</v>
      </c>
      <c r="W951">
        <v>-3.1919343255158411E-2</v>
      </c>
    </row>
    <row r="952" spans="1:23" x14ac:dyDescent="0.25">
      <c r="A952" t="s">
        <v>1193</v>
      </c>
      <c r="B952" t="s">
        <v>39</v>
      </c>
      <c r="C952" t="s">
        <v>82</v>
      </c>
      <c r="D952" t="s">
        <v>33</v>
      </c>
      <c r="E952" t="s">
        <v>83</v>
      </c>
      <c r="F952" s="1">
        <v>46041</v>
      </c>
      <c r="G952">
        <v>46086</v>
      </c>
      <c r="H952" t="s">
        <v>8</v>
      </c>
      <c r="I952">
        <v>10426.59</v>
      </c>
      <c r="J952" t="s">
        <v>75</v>
      </c>
      <c r="K952" t="s">
        <v>1194</v>
      </c>
      <c r="L952">
        <v>45</v>
      </c>
      <c r="M952" t="s">
        <v>39</v>
      </c>
      <c r="N952">
        <v>1.1631</v>
      </c>
      <c r="O952">
        <v>1.3413677776496369</v>
      </c>
      <c r="P952">
        <v>6.3318634656214278E-3</v>
      </c>
      <c r="Q952">
        <v>1.3413677776496369</v>
      </c>
      <c r="R952">
        <v>13985.891856763928</v>
      </c>
      <c r="S952" t="s">
        <v>16</v>
      </c>
      <c r="T952">
        <v>1.2490000000000001</v>
      </c>
      <c r="U952">
        <v>13022.810910000002</v>
      </c>
      <c r="V952">
        <v>963.08094676392648</v>
      </c>
      <c r="W952">
        <v>7.3953384827571481E-2</v>
      </c>
    </row>
    <row r="953" spans="1:23" x14ac:dyDescent="0.25">
      <c r="A953" t="s">
        <v>1191</v>
      </c>
      <c r="B953" t="s">
        <v>43</v>
      </c>
      <c r="C953" t="s">
        <v>215</v>
      </c>
      <c r="D953" t="s">
        <v>35</v>
      </c>
      <c r="E953" t="s">
        <v>152</v>
      </c>
      <c r="F953" s="1">
        <v>46310</v>
      </c>
      <c r="G953">
        <v>46340</v>
      </c>
      <c r="H953" t="s">
        <v>6</v>
      </c>
      <c r="I953">
        <v>4273.32</v>
      </c>
      <c r="J953" t="s">
        <v>84</v>
      </c>
      <c r="K953" t="s">
        <v>1192</v>
      </c>
      <c r="L953">
        <v>30</v>
      </c>
      <c r="M953" t="s">
        <v>43</v>
      </c>
      <c r="N953">
        <v>1.1176999999999999</v>
      </c>
      <c r="O953">
        <v>1.320456022210408</v>
      </c>
      <c r="P953">
        <v>6.3200452360757699E-3</v>
      </c>
      <c r="Q953">
        <v>1.1176999999999999</v>
      </c>
      <c r="R953">
        <v>4776.2897639999992</v>
      </c>
      <c r="S953" t="s">
        <v>23</v>
      </c>
      <c r="T953">
        <v>1.119</v>
      </c>
      <c r="U953">
        <v>4781.8450800000001</v>
      </c>
      <c r="V953">
        <v>-5.5553160000008575</v>
      </c>
      <c r="W953">
        <v>-1.1617515638965153E-3</v>
      </c>
    </row>
    <row r="954" spans="1:23" x14ac:dyDescent="0.25">
      <c r="A954" t="s">
        <v>1189</v>
      </c>
      <c r="B954" t="s">
        <v>36</v>
      </c>
      <c r="C954" t="s">
        <v>116</v>
      </c>
      <c r="D954" t="s">
        <v>31</v>
      </c>
      <c r="E954" t="s">
        <v>74</v>
      </c>
      <c r="F954" s="1">
        <v>45998</v>
      </c>
      <c r="G954">
        <v>46043</v>
      </c>
      <c r="H954" t="s">
        <v>6</v>
      </c>
      <c r="I954">
        <v>32228.03</v>
      </c>
      <c r="J954" t="s">
        <v>75</v>
      </c>
      <c r="K954" t="s">
        <v>1190</v>
      </c>
      <c r="L954">
        <v>45</v>
      </c>
      <c r="M954" t="s">
        <v>36</v>
      </c>
      <c r="N954">
        <v>1.1555</v>
      </c>
      <c r="O954">
        <v>1.3367963164349013</v>
      </c>
      <c r="P954">
        <v>6.2983756677204832E-3</v>
      </c>
      <c r="Q954">
        <v>1.1555</v>
      </c>
      <c r="R954">
        <v>37239.488664999997</v>
      </c>
      <c r="S954" t="s">
        <v>14</v>
      </c>
      <c r="T954">
        <v>1.1060000000000001</v>
      </c>
      <c r="U954">
        <v>35644.201180000004</v>
      </c>
      <c r="V954">
        <v>1595.2874849999935</v>
      </c>
      <c r="W954">
        <v>4.4755877034357856E-2</v>
      </c>
    </row>
    <row r="955" spans="1:23" x14ac:dyDescent="0.25">
      <c r="A955" t="s">
        <v>1187</v>
      </c>
      <c r="B955" t="s">
        <v>24</v>
      </c>
      <c r="C955" t="s">
        <v>73</v>
      </c>
      <c r="D955" t="s">
        <v>31</v>
      </c>
      <c r="E955" t="s">
        <v>74</v>
      </c>
      <c r="F955" s="1">
        <v>46059</v>
      </c>
      <c r="G955">
        <v>46089</v>
      </c>
      <c r="H955" t="s">
        <v>6</v>
      </c>
      <c r="I955">
        <v>13626.21</v>
      </c>
      <c r="J955" t="s">
        <v>75</v>
      </c>
      <c r="K955" t="s">
        <v>1188</v>
      </c>
      <c r="L955">
        <v>30</v>
      </c>
      <c r="M955" t="s">
        <v>24</v>
      </c>
      <c r="N955">
        <v>1.1794</v>
      </c>
      <c r="O955">
        <v>1.3589123170872219</v>
      </c>
      <c r="P955">
        <v>6.3658444432449935E-3</v>
      </c>
      <c r="Q955">
        <v>1.1794</v>
      </c>
      <c r="R955">
        <v>16070.752073999998</v>
      </c>
      <c r="S955" t="s">
        <v>16</v>
      </c>
      <c r="T955">
        <v>1.0649999999999999</v>
      </c>
      <c r="U955">
        <v>14511.913649999999</v>
      </c>
      <c r="V955">
        <v>1558.8384239999996</v>
      </c>
      <c r="W955">
        <v>0.10741784037558684</v>
      </c>
    </row>
    <row r="956" spans="1:23" x14ac:dyDescent="0.25">
      <c r="A956" t="s">
        <v>1185</v>
      </c>
      <c r="B956" t="s">
        <v>28</v>
      </c>
      <c r="C956" t="s">
        <v>111</v>
      </c>
      <c r="D956" t="s">
        <v>31</v>
      </c>
      <c r="E956" t="s">
        <v>74</v>
      </c>
      <c r="F956" s="1">
        <v>45665</v>
      </c>
      <c r="G956">
        <v>45710</v>
      </c>
      <c r="H956" t="s">
        <v>9</v>
      </c>
      <c r="I956">
        <v>2981902.22</v>
      </c>
      <c r="J956" t="s">
        <v>75</v>
      </c>
      <c r="K956" t="s">
        <v>1186</v>
      </c>
      <c r="L956">
        <v>45</v>
      </c>
      <c r="M956" t="s">
        <v>28</v>
      </c>
      <c r="N956">
        <v>1.0286</v>
      </c>
      <c r="O956">
        <v>1.2332889704207282</v>
      </c>
      <c r="P956">
        <v>6.3127531606726401E-3</v>
      </c>
      <c r="Q956">
        <v>6.3127531606726401E-3</v>
      </c>
      <c r="R956">
        <v>18824.012664121765</v>
      </c>
      <c r="S956" t="s">
        <v>11</v>
      </c>
      <c r="T956">
        <v>6.5599999999999999E-3</v>
      </c>
      <c r="U956">
        <v>19561.278563200001</v>
      </c>
      <c r="V956">
        <v>-737.26589907823654</v>
      </c>
      <c r="W956">
        <v>-3.7690066970634067E-2</v>
      </c>
    </row>
    <row r="957" spans="1:23" x14ac:dyDescent="0.25">
      <c r="A957" t="s">
        <v>1183</v>
      </c>
      <c r="B957" t="s">
        <v>44</v>
      </c>
      <c r="C957" t="s">
        <v>138</v>
      </c>
      <c r="D957" t="s">
        <v>33</v>
      </c>
      <c r="E957" t="s">
        <v>88</v>
      </c>
      <c r="F957" s="1">
        <v>45907</v>
      </c>
      <c r="G957">
        <v>45952</v>
      </c>
      <c r="H957" t="s">
        <v>9</v>
      </c>
      <c r="I957">
        <v>1143541.96</v>
      </c>
      <c r="J957" t="s">
        <v>75</v>
      </c>
      <c r="K957" t="s">
        <v>1184</v>
      </c>
      <c r="L957">
        <v>45</v>
      </c>
      <c r="M957" t="s">
        <v>44</v>
      </c>
      <c r="N957">
        <v>1.175</v>
      </c>
      <c r="O957">
        <v>1.3465505386202155</v>
      </c>
      <c r="P957">
        <v>6.3827475691237987E-3</v>
      </c>
      <c r="Q957">
        <v>6.3827475691237987E-3</v>
      </c>
      <c r="R957">
        <v>7298.9396653810636</v>
      </c>
      <c r="S957" t="s">
        <v>13</v>
      </c>
      <c r="T957">
        <v>6.8399999999999997E-3</v>
      </c>
      <c r="U957">
        <v>7821.8270063999998</v>
      </c>
      <c r="V957">
        <v>-522.88734101893624</v>
      </c>
      <c r="W957">
        <v>-6.6849770595935928E-2</v>
      </c>
    </row>
    <row r="958" spans="1:23" x14ac:dyDescent="0.25">
      <c r="A958" t="s">
        <v>1181</v>
      </c>
      <c r="B958" t="s">
        <v>28</v>
      </c>
      <c r="C958" t="s">
        <v>111</v>
      </c>
      <c r="D958" t="s">
        <v>31</v>
      </c>
      <c r="E958" t="s">
        <v>74</v>
      </c>
      <c r="F958" s="1">
        <v>46386</v>
      </c>
      <c r="G958">
        <v>46431</v>
      </c>
      <c r="H958" t="s">
        <v>9</v>
      </c>
      <c r="I958">
        <v>1888287.78</v>
      </c>
      <c r="J958" t="s">
        <v>84</v>
      </c>
      <c r="K958" t="s">
        <v>1182</v>
      </c>
      <c r="L958">
        <v>45</v>
      </c>
      <c r="M958" t="s">
        <v>28</v>
      </c>
      <c r="N958">
        <v>1.1176999999999999</v>
      </c>
      <c r="O958">
        <v>1.320456022210408</v>
      </c>
      <c r="P958">
        <v>6.3200452360757699E-3</v>
      </c>
      <c r="Q958">
        <v>6.3200452360757699E-3</v>
      </c>
      <c r="R958">
        <v>11934.064188329092</v>
      </c>
      <c r="S958" t="s">
        <v>23</v>
      </c>
      <c r="T958">
        <v>6.8799999999999998E-3</v>
      </c>
      <c r="U958">
        <v>12991.4199264</v>
      </c>
      <c r="V958">
        <v>-1057.355738070908</v>
      </c>
      <c r="W958">
        <v>-8.1388773826196192E-2</v>
      </c>
    </row>
    <row r="959" spans="1:23" x14ac:dyDescent="0.25">
      <c r="A959" t="s">
        <v>1179</v>
      </c>
      <c r="B959" t="s">
        <v>20</v>
      </c>
      <c r="C959" t="s">
        <v>123</v>
      </c>
      <c r="D959" t="s">
        <v>31</v>
      </c>
      <c r="E959" t="s">
        <v>124</v>
      </c>
      <c r="F959" s="1">
        <v>46047</v>
      </c>
      <c r="G959">
        <v>46092</v>
      </c>
      <c r="H959" t="s">
        <v>6</v>
      </c>
      <c r="I959">
        <v>75142.42</v>
      </c>
      <c r="J959" t="s">
        <v>75</v>
      </c>
      <c r="K959" t="s">
        <v>1180</v>
      </c>
      <c r="L959">
        <v>45</v>
      </c>
      <c r="M959" t="s">
        <v>20</v>
      </c>
      <c r="N959">
        <v>1.1555</v>
      </c>
      <c r="O959">
        <v>1.3367963164349013</v>
      </c>
      <c r="P959">
        <v>6.2983756677204832E-3</v>
      </c>
      <c r="Q959">
        <v>1.1555</v>
      </c>
      <c r="R959">
        <v>86827.066309999995</v>
      </c>
      <c r="S959" t="s">
        <v>16</v>
      </c>
      <c r="T959">
        <v>1.0649999999999999</v>
      </c>
      <c r="U959">
        <v>80026.677299999996</v>
      </c>
      <c r="V959">
        <v>6800.389009999999</v>
      </c>
      <c r="W959">
        <v>8.4976525821596233E-2</v>
      </c>
    </row>
    <row r="960" spans="1:23" x14ac:dyDescent="0.25">
      <c r="A960" t="s">
        <v>1177</v>
      </c>
      <c r="B960" t="s">
        <v>34</v>
      </c>
      <c r="C960" t="s">
        <v>177</v>
      </c>
      <c r="D960" t="s">
        <v>31</v>
      </c>
      <c r="E960" t="s">
        <v>74</v>
      </c>
      <c r="F960" s="1">
        <v>45937</v>
      </c>
      <c r="G960">
        <v>45997</v>
      </c>
      <c r="H960" t="s">
        <v>8</v>
      </c>
      <c r="I960">
        <v>2474.4</v>
      </c>
      <c r="J960" t="s">
        <v>75</v>
      </c>
      <c r="K960" t="s">
        <v>1178</v>
      </c>
      <c r="L960">
        <v>60</v>
      </c>
      <c r="M960" t="s">
        <v>34</v>
      </c>
      <c r="N960">
        <v>1.1666000000000001</v>
      </c>
      <c r="O960">
        <v>1.3404573135700335</v>
      </c>
      <c r="P960">
        <v>6.6265265549559785E-3</v>
      </c>
      <c r="Q960">
        <v>1.3404573135700335</v>
      </c>
      <c r="R960">
        <v>3316.8275766976908</v>
      </c>
      <c r="S960" t="s">
        <v>14</v>
      </c>
      <c r="T960">
        <v>1.304</v>
      </c>
      <c r="U960">
        <v>3226.6176</v>
      </c>
      <c r="V960">
        <v>90.209976697690763</v>
      </c>
      <c r="W960">
        <v>2.7958062553706631E-2</v>
      </c>
    </row>
    <row r="961" spans="1:23" x14ac:dyDescent="0.25">
      <c r="A961" t="s">
        <v>1175</v>
      </c>
      <c r="B961" t="s">
        <v>44</v>
      </c>
      <c r="C961" t="s">
        <v>138</v>
      </c>
      <c r="D961" t="s">
        <v>33</v>
      </c>
      <c r="E961" t="s">
        <v>88</v>
      </c>
      <c r="F961" s="1">
        <v>45862</v>
      </c>
      <c r="G961">
        <v>45907</v>
      </c>
      <c r="H961" t="s">
        <v>9</v>
      </c>
      <c r="I961">
        <v>1371669.3</v>
      </c>
      <c r="J961" t="s">
        <v>75</v>
      </c>
      <c r="K961" t="s">
        <v>1176</v>
      </c>
      <c r="L961">
        <v>45</v>
      </c>
      <c r="M961" t="s">
        <v>44</v>
      </c>
      <c r="N961">
        <v>1.1756</v>
      </c>
      <c r="O961">
        <v>1.355158501440922</v>
      </c>
      <c r="P961">
        <v>6.8261525955173614E-3</v>
      </c>
      <c r="Q961">
        <v>6.8261525955173614E-3</v>
      </c>
      <c r="R961">
        <v>9363.2239523864828</v>
      </c>
      <c r="S961" t="s">
        <v>13</v>
      </c>
      <c r="T961">
        <v>6.8399999999999997E-3</v>
      </c>
      <c r="U961">
        <v>9382.2180119999994</v>
      </c>
      <c r="V961">
        <v>-18.994059613516583</v>
      </c>
      <c r="W961">
        <v>-2.0244743395669224E-3</v>
      </c>
    </row>
    <row r="962" spans="1:23" x14ac:dyDescent="0.25">
      <c r="A962" t="s">
        <v>1173</v>
      </c>
      <c r="B962" t="s">
        <v>34</v>
      </c>
      <c r="C962" t="s">
        <v>177</v>
      </c>
      <c r="D962" t="s">
        <v>31</v>
      </c>
      <c r="E962" t="s">
        <v>74</v>
      </c>
      <c r="F962" s="1">
        <v>46101</v>
      </c>
      <c r="G962">
        <v>46161</v>
      </c>
      <c r="H962" t="s">
        <v>8</v>
      </c>
      <c r="I962">
        <v>3724.84</v>
      </c>
      <c r="J962" t="s">
        <v>75</v>
      </c>
      <c r="K962" t="s">
        <v>1174</v>
      </c>
      <c r="L962">
        <v>60</v>
      </c>
      <c r="M962" t="s">
        <v>34</v>
      </c>
      <c r="N962">
        <v>1.1555</v>
      </c>
      <c r="O962">
        <v>1.3367963164349013</v>
      </c>
      <c r="P962">
        <v>6.2983756677204832E-3</v>
      </c>
      <c r="Q962">
        <v>1.3367963164349013</v>
      </c>
      <c r="R962">
        <v>4979.3523913093777</v>
      </c>
      <c r="S962" t="s">
        <v>16</v>
      </c>
      <c r="T962">
        <v>1.2490000000000001</v>
      </c>
      <c r="U962">
        <v>4652.3251600000003</v>
      </c>
      <c r="V962">
        <v>327.02723130937738</v>
      </c>
      <c r="W962">
        <v>7.0293287778143476E-2</v>
      </c>
    </row>
    <row r="963" spans="1:23" x14ac:dyDescent="0.25">
      <c r="A963" t="s">
        <v>1171</v>
      </c>
      <c r="B963" t="s">
        <v>26</v>
      </c>
      <c r="C963" t="s">
        <v>94</v>
      </c>
      <c r="D963" t="s">
        <v>31</v>
      </c>
      <c r="E963" t="s">
        <v>74</v>
      </c>
      <c r="F963" s="1">
        <v>45803</v>
      </c>
      <c r="G963">
        <v>45833</v>
      </c>
      <c r="H963" t="s">
        <v>8</v>
      </c>
      <c r="I963">
        <v>15655.64</v>
      </c>
      <c r="J963" t="s">
        <v>75</v>
      </c>
      <c r="K963" t="s">
        <v>1172</v>
      </c>
      <c r="L963">
        <v>30</v>
      </c>
      <c r="M963" t="s">
        <v>26</v>
      </c>
      <c r="N963">
        <v>1.1380999999999999</v>
      </c>
      <c r="O963">
        <v>1.3561725452812201</v>
      </c>
      <c r="P963">
        <v>6.9980938326262062E-3</v>
      </c>
      <c r="Q963">
        <v>1.3561725452812201</v>
      </c>
      <c r="R963">
        <v>21231.74914680648</v>
      </c>
      <c r="S963" t="s">
        <v>12</v>
      </c>
      <c r="T963">
        <v>1.26</v>
      </c>
      <c r="U963">
        <v>19726.106400000001</v>
      </c>
      <c r="V963">
        <v>1505.6427468064794</v>
      </c>
      <c r="W963">
        <v>7.6327416889857155E-2</v>
      </c>
    </row>
    <row r="964" spans="1:23" x14ac:dyDescent="0.25">
      <c r="A964" t="s">
        <v>1169</v>
      </c>
      <c r="B964" t="s">
        <v>39</v>
      </c>
      <c r="C964" t="s">
        <v>82</v>
      </c>
      <c r="D964" t="s">
        <v>33</v>
      </c>
      <c r="E964" t="s">
        <v>83</v>
      </c>
      <c r="F964" s="1">
        <v>45709</v>
      </c>
      <c r="G964">
        <v>45754</v>
      </c>
      <c r="H964" t="s">
        <v>8</v>
      </c>
      <c r="I964">
        <v>10967.25</v>
      </c>
      <c r="J964" t="s">
        <v>75</v>
      </c>
      <c r="K964" t="s">
        <v>1170</v>
      </c>
      <c r="L964">
        <v>45</v>
      </c>
      <c r="M964" t="s">
        <v>39</v>
      </c>
      <c r="N964">
        <v>1.0465</v>
      </c>
      <c r="O964">
        <v>1.2644997583373609</v>
      </c>
      <c r="P964">
        <v>6.6461323510732884E-3</v>
      </c>
      <c r="Q964">
        <v>1.2644997583373609</v>
      </c>
      <c r="R964">
        <v>13868.084974625423</v>
      </c>
      <c r="S964" t="s">
        <v>11</v>
      </c>
      <c r="T964">
        <v>1.238</v>
      </c>
      <c r="U964">
        <v>13577.4555</v>
      </c>
      <c r="V964">
        <v>290.62947462542252</v>
      </c>
      <c r="W964">
        <v>2.1405297526139747E-2</v>
      </c>
    </row>
    <row r="965" spans="1:23" x14ac:dyDescent="0.25">
      <c r="A965" t="s">
        <v>1167</v>
      </c>
      <c r="B965" t="s">
        <v>26</v>
      </c>
      <c r="C965" t="s">
        <v>94</v>
      </c>
      <c r="D965" t="s">
        <v>31</v>
      </c>
      <c r="E965" t="s">
        <v>74</v>
      </c>
      <c r="F965" s="1">
        <v>45884</v>
      </c>
      <c r="G965">
        <v>45914</v>
      </c>
      <c r="H965" t="s">
        <v>8</v>
      </c>
      <c r="I965">
        <v>30318.720000000001</v>
      </c>
      <c r="J965" t="s">
        <v>75</v>
      </c>
      <c r="K965" t="s">
        <v>1168</v>
      </c>
      <c r="L965">
        <v>30</v>
      </c>
      <c r="M965" t="s">
        <v>26</v>
      </c>
      <c r="N965">
        <v>1.1688000000000001</v>
      </c>
      <c r="O965">
        <v>1.3556019485038275</v>
      </c>
      <c r="P965">
        <v>6.8028636284267509E-3</v>
      </c>
      <c r="Q965">
        <v>1.3556019485038275</v>
      </c>
      <c r="R965">
        <v>41100.115908141968</v>
      </c>
      <c r="S965" t="s">
        <v>13</v>
      </c>
      <c r="T965">
        <v>1.282</v>
      </c>
      <c r="U965">
        <v>38868.599040000001</v>
      </c>
      <c r="V965">
        <v>2231.5168681419673</v>
      </c>
      <c r="W965">
        <v>5.7411816305637735E-2</v>
      </c>
    </row>
    <row r="966" spans="1:23" x14ac:dyDescent="0.25">
      <c r="A966" t="s">
        <v>1165</v>
      </c>
      <c r="B966" t="s">
        <v>38</v>
      </c>
      <c r="C966" t="s">
        <v>87</v>
      </c>
      <c r="D966" t="s">
        <v>33</v>
      </c>
      <c r="E966" t="s">
        <v>88</v>
      </c>
      <c r="F966" s="1">
        <v>45944</v>
      </c>
      <c r="G966">
        <v>45974</v>
      </c>
      <c r="H966" t="s">
        <v>6</v>
      </c>
      <c r="I966">
        <v>11546.81</v>
      </c>
      <c r="J966" t="s">
        <v>75</v>
      </c>
      <c r="K966" t="s">
        <v>1166</v>
      </c>
      <c r="L966">
        <v>30</v>
      </c>
      <c r="M966" t="s">
        <v>38</v>
      </c>
      <c r="N966">
        <v>1.1553</v>
      </c>
      <c r="O966">
        <v>1.3261019283746556</v>
      </c>
      <c r="P966">
        <v>6.5746642385613478E-3</v>
      </c>
      <c r="Q966">
        <v>1.1553</v>
      </c>
      <c r="R966">
        <v>13340.029592999999</v>
      </c>
      <c r="S966" t="s">
        <v>14</v>
      </c>
      <c r="T966">
        <v>1.1060000000000001</v>
      </c>
      <c r="U966">
        <v>12770.771860000001</v>
      </c>
      <c r="V966">
        <v>569.25773299999855</v>
      </c>
      <c r="W966">
        <v>4.4575045207956486E-2</v>
      </c>
    </row>
    <row r="967" spans="1:23" x14ac:dyDescent="0.25">
      <c r="A967" t="s">
        <v>1163</v>
      </c>
      <c r="B967" t="s">
        <v>32</v>
      </c>
      <c r="C967" t="s">
        <v>106</v>
      </c>
      <c r="D967" t="s">
        <v>31</v>
      </c>
      <c r="E967" t="s">
        <v>74</v>
      </c>
      <c r="F967" s="1">
        <v>45767</v>
      </c>
      <c r="G967">
        <v>45797</v>
      </c>
      <c r="H967" t="s">
        <v>6</v>
      </c>
      <c r="I967">
        <v>3057.05</v>
      </c>
      <c r="J967" t="s">
        <v>75</v>
      </c>
      <c r="K967" t="s">
        <v>1164</v>
      </c>
      <c r="L967">
        <v>30</v>
      </c>
      <c r="M967" t="s">
        <v>32</v>
      </c>
      <c r="N967">
        <v>1.1574</v>
      </c>
      <c r="O967">
        <v>1.357972544878564</v>
      </c>
      <c r="P967">
        <v>6.9351069566780518E-3</v>
      </c>
      <c r="Q967">
        <v>1.1574</v>
      </c>
      <c r="R967">
        <v>3538.2296700000002</v>
      </c>
      <c r="S967" t="s">
        <v>12</v>
      </c>
      <c r="T967">
        <v>1.07</v>
      </c>
      <c r="U967">
        <v>3271.0435000000002</v>
      </c>
      <c r="V967">
        <v>267.18616999999995</v>
      </c>
      <c r="W967">
        <v>8.1682242990654186E-2</v>
      </c>
    </row>
    <row r="968" spans="1:23" x14ac:dyDescent="0.25">
      <c r="A968" t="s">
        <v>1161</v>
      </c>
      <c r="B968" t="s">
        <v>25</v>
      </c>
      <c r="C968" t="s">
        <v>169</v>
      </c>
      <c r="D968" t="s">
        <v>31</v>
      </c>
      <c r="E968" t="s">
        <v>124</v>
      </c>
      <c r="F968" s="1">
        <v>46043</v>
      </c>
      <c r="G968">
        <v>46103</v>
      </c>
      <c r="H968" t="s">
        <v>6</v>
      </c>
      <c r="I968">
        <v>37576.03</v>
      </c>
      <c r="J968" t="s">
        <v>75</v>
      </c>
      <c r="K968" t="s">
        <v>1162</v>
      </c>
      <c r="L968">
        <v>60</v>
      </c>
      <c r="M968" t="s">
        <v>25</v>
      </c>
      <c r="N968">
        <v>1.1738999999999999</v>
      </c>
      <c r="O968">
        <v>1.3425205855443734</v>
      </c>
      <c r="P968">
        <v>6.3375263186308912E-3</v>
      </c>
      <c r="Q968">
        <v>1.1738999999999999</v>
      </c>
      <c r="R968">
        <v>44110.501616999994</v>
      </c>
      <c r="S968" t="s">
        <v>16</v>
      </c>
      <c r="T968">
        <v>1.0649999999999999</v>
      </c>
      <c r="U968">
        <v>40018.471949999999</v>
      </c>
      <c r="V968">
        <v>4092.0296669999952</v>
      </c>
      <c r="W968">
        <v>0.10225352112676045</v>
      </c>
    </row>
    <row r="969" spans="1:23" x14ac:dyDescent="0.25">
      <c r="A969" t="s">
        <v>1159</v>
      </c>
      <c r="B969" t="s">
        <v>30</v>
      </c>
      <c r="C969" t="s">
        <v>103</v>
      </c>
      <c r="D969" t="s">
        <v>31</v>
      </c>
      <c r="E969" t="s">
        <v>74</v>
      </c>
      <c r="F969" s="1">
        <v>46310</v>
      </c>
      <c r="G969">
        <v>46340</v>
      </c>
      <c r="H969" t="s">
        <v>9</v>
      </c>
      <c r="I969">
        <v>2776726.7</v>
      </c>
      <c r="J969" t="s">
        <v>84</v>
      </c>
      <c r="K969" t="s">
        <v>1160</v>
      </c>
      <c r="L969">
        <v>30</v>
      </c>
      <c r="M969" t="s">
        <v>30</v>
      </c>
      <c r="N969">
        <v>1.1176999999999999</v>
      </c>
      <c r="O969">
        <v>1.320456022210408</v>
      </c>
      <c r="P969">
        <v>6.3200452360757699E-3</v>
      </c>
      <c r="Q969">
        <v>6.3200452360757699E-3</v>
      </c>
      <c r="R969">
        <v>17549.038352219395</v>
      </c>
      <c r="S969" t="s">
        <v>23</v>
      </c>
      <c r="T969">
        <v>6.8799999999999998E-3</v>
      </c>
      <c r="U969">
        <v>19103.879696</v>
      </c>
      <c r="V969">
        <v>-1554.8413437806048</v>
      </c>
      <c r="W969">
        <v>-8.1388773826196151E-2</v>
      </c>
    </row>
    <row r="970" spans="1:23" x14ac:dyDescent="0.25">
      <c r="A970" t="s">
        <v>1157</v>
      </c>
      <c r="B970" t="s">
        <v>24</v>
      </c>
      <c r="C970" t="s">
        <v>73</v>
      </c>
      <c r="D970" t="s">
        <v>31</v>
      </c>
      <c r="E970" t="s">
        <v>74</v>
      </c>
      <c r="F970" s="1">
        <v>46247</v>
      </c>
      <c r="G970">
        <v>46277</v>
      </c>
      <c r="H970" t="s">
        <v>6</v>
      </c>
      <c r="I970">
        <v>40467.94</v>
      </c>
      <c r="J970" t="s">
        <v>75</v>
      </c>
      <c r="K970" t="s">
        <v>1158</v>
      </c>
      <c r="L970">
        <v>30</v>
      </c>
      <c r="M970" t="s">
        <v>24</v>
      </c>
      <c r="N970">
        <v>1.1534</v>
      </c>
      <c r="O970">
        <v>1.3491636448707451</v>
      </c>
      <c r="P970">
        <v>6.2763236654513792E-3</v>
      </c>
      <c r="Q970">
        <v>1.1534</v>
      </c>
      <c r="R970">
        <v>46675.721996</v>
      </c>
      <c r="S970" t="s">
        <v>21</v>
      </c>
      <c r="T970">
        <v>1.101</v>
      </c>
      <c r="U970">
        <v>44555.201939999999</v>
      </c>
      <c r="V970">
        <v>2120.5200560000012</v>
      </c>
      <c r="W970">
        <v>4.7593097184377868E-2</v>
      </c>
    </row>
    <row r="971" spans="1:23" x14ac:dyDescent="0.25">
      <c r="A971" t="s">
        <v>1155</v>
      </c>
      <c r="B971" t="s">
        <v>34</v>
      </c>
      <c r="C971" t="s">
        <v>177</v>
      </c>
      <c r="D971" t="s">
        <v>31</v>
      </c>
      <c r="E971" t="s">
        <v>74</v>
      </c>
      <c r="F971" s="1">
        <v>45952</v>
      </c>
      <c r="G971">
        <v>46012</v>
      </c>
      <c r="H971" t="s">
        <v>8</v>
      </c>
      <c r="I971">
        <v>16200.38</v>
      </c>
      <c r="J971" t="s">
        <v>75</v>
      </c>
      <c r="K971" t="s">
        <v>1156</v>
      </c>
      <c r="L971">
        <v>60</v>
      </c>
      <c r="M971" t="s">
        <v>34</v>
      </c>
      <c r="N971">
        <v>1.1587000000000001</v>
      </c>
      <c r="O971">
        <v>1.333525146737254</v>
      </c>
      <c r="P971">
        <v>6.5865165984538435E-3</v>
      </c>
      <c r="Q971">
        <v>1.333525146737254</v>
      </c>
      <c r="R971">
        <v>21603.614116699275</v>
      </c>
      <c r="S971" t="s">
        <v>14</v>
      </c>
      <c r="T971">
        <v>1.304</v>
      </c>
      <c r="U971">
        <v>21125.29552</v>
      </c>
      <c r="V971">
        <v>478.31859669927508</v>
      </c>
      <c r="W971">
        <v>2.2641983694213195E-2</v>
      </c>
    </row>
    <row r="972" spans="1:23" x14ac:dyDescent="0.25">
      <c r="A972" t="s">
        <v>1153</v>
      </c>
      <c r="B972" t="s">
        <v>41</v>
      </c>
      <c r="C972" t="s">
        <v>172</v>
      </c>
      <c r="D972" t="s">
        <v>33</v>
      </c>
      <c r="E972" t="s">
        <v>83</v>
      </c>
      <c r="F972" s="1">
        <v>45705</v>
      </c>
      <c r="G972">
        <v>45735</v>
      </c>
      <c r="H972" t="s">
        <v>9</v>
      </c>
      <c r="I972">
        <v>2399045.48</v>
      </c>
      <c r="J972" t="s">
        <v>75</v>
      </c>
      <c r="K972" t="s">
        <v>1154</v>
      </c>
      <c r="L972">
        <v>30</v>
      </c>
      <c r="M972" t="s">
        <v>41</v>
      </c>
      <c r="N972">
        <v>1.0472999999999999</v>
      </c>
      <c r="O972">
        <v>1.2597885316300386</v>
      </c>
      <c r="P972">
        <v>6.6004915863112123E-3</v>
      </c>
      <c r="Q972">
        <v>6.6004915863112123E-3</v>
      </c>
      <c r="R972">
        <v>15834.879505917943</v>
      </c>
      <c r="S972" t="s">
        <v>11</v>
      </c>
      <c r="T972">
        <v>6.5599999999999999E-3</v>
      </c>
      <c r="U972">
        <v>15737.7383488</v>
      </c>
      <c r="V972">
        <v>97.141157117943294</v>
      </c>
      <c r="W972">
        <v>6.1724979132945293E-3</v>
      </c>
    </row>
    <row r="973" spans="1:23" x14ac:dyDescent="0.25">
      <c r="A973" t="s">
        <v>1151</v>
      </c>
      <c r="B973" t="s">
        <v>28</v>
      </c>
      <c r="C973" t="s">
        <v>111</v>
      </c>
      <c r="D973" t="s">
        <v>31</v>
      </c>
      <c r="E973" t="s">
        <v>74</v>
      </c>
      <c r="F973" s="1">
        <v>45849</v>
      </c>
      <c r="G973">
        <v>45894</v>
      </c>
      <c r="H973" t="s">
        <v>9</v>
      </c>
      <c r="I973">
        <v>1844442.37</v>
      </c>
      <c r="J973" t="s">
        <v>75</v>
      </c>
      <c r="K973" t="s">
        <v>1152</v>
      </c>
      <c r="L973">
        <v>45</v>
      </c>
      <c r="M973" t="s">
        <v>28</v>
      </c>
      <c r="N973">
        <v>1.1682999999999999</v>
      </c>
      <c r="O973">
        <v>1.3495437218435946</v>
      </c>
      <c r="P973">
        <v>6.7999534369361497E-3</v>
      </c>
      <c r="Q973">
        <v>6.7999534369361497E-3</v>
      </c>
      <c r="R973">
        <v>12542.122233112159</v>
      </c>
      <c r="S973" t="s">
        <v>13</v>
      </c>
      <c r="T973">
        <v>6.8399999999999997E-3</v>
      </c>
      <c r="U973">
        <v>12615.985810800001</v>
      </c>
      <c r="V973">
        <v>-73.863577687841826</v>
      </c>
      <c r="W973">
        <v>-5.8547606818494047E-3</v>
      </c>
    </row>
    <row r="974" spans="1:23" x14ac:dyDescent="0.25">
      <c r="A974" t="s">
        <v>1149</v>
      </c>
      <c r="B974" t="s">
        <v>44</v>
      </c>
      <c r="C974" t="s">
        <v>138</v>
      </c>
      <c r="D974" t="s">
        <v>33</v>
      </c>
      <c r="E974" t="s">
        <v>88</v>
      </c>
      <c r="F974" s="1">
        <v>45725</v>
      </c>
      <c r="G974">
        <v>45770</v>
      </c>
      <c r="H974" t="s">
        <v>9</v>
      </c>
      <c r="I974">
        <v>955538.54</v>
      </c>
      <c r="J974" t="s">
        <v>75</v>
      </c>
      <c r="K974" t="s">
        <v>1150</v>
      </c>
      <c r="L974">
        <v>45</v>
      </c>
      <c r="M974" t="s">
        <v>44</v>
      </c>
      <c r="N974">
        <v>1.1376999999999999</v>
      </c>
      <c r="O974">
        <v>1.3170415475267123</v>
      </c>
      <c r="P974">
        <v>6.981039455114438E-3</v>
      </c>
      <c r="Q974">
        <v>6.981039455114438E-3</v>
      </c>
      <c r="R974">
        <v>6670.6522486224458</v>
      </c>
      <c r="S974" t="s">
        <v>11</v>
      </c>
      <c r="T974">
        <v>6.5599999999999999E-3</v>
      </c>
      <c r="U974">
        <v>6268.3328223999997</v>
      </c>
      <c r="V974">
        <v>402.31942622244605</v>
      </c>
      <c r="W974">
        <v>6.4182843767444889E-2</v>
      </c>
    </row>
    <row r="975" spans="1:23" x14ac:dyDescent="0.25">
      <c r="A975" t="s">
        <v>1147</v>
      </c>
      <c r="B975" t="s">
        <v>32</v>
      </c>
      <c r="C975" t="s">
        <v>106</v>
      </c>
      <c r="D975" t="s">
        <v>31</v>
      </c>
      <c r="E975" t="s">
        <v>74</v>
      </c>
      <c r="F975" s="1">
        <v>45808</v>
      </c>
      <c r="G975">
        <v>45838</v>
      </c>
      <c r="H975" t="s">
        <v>6</v>
      </c>
      <c r="I975">
        <v>13759.07</v>
      </c>
      <c r="J975" t="s">
        <v>75</v>
      </c>
      <c r="K975" t="s">
        <v>1148</v>
      </c>
      <c r="L975">
        <v>30</v>
      </c>
      <c r="M975" t="s">
        <v>32</v>
      </c>
      <c r="N975">
        <v>1.1606000000000001</v>
      </c>
      <c r="O975">
        <v>1.3462475350887368</v>
      </c>
      <c r="P975">
        <v>6.7359257109692395E-3</v>
      </c>
      <c r="Q975">
        <v>1.1606000000000001</v>
      </c>
      <c r="R975">
        <v>15968.776642000001</v>
      </c>
      <c r="S975" t="s">
        <v>12</v>
      </c>
      <c r="T975">
        <v>1.07</v>
      </c>
      <c r="U975">
        <v>14722.204900000001</v>
      </c>
      <c r="V975">
        <v>1246.5717420000001</v>
      </c>
      <c r="W975">
        <v>8.4672897196261684E-2</v>
      </c>
    </row>
    <row r="976" spans="1:23" x14ac:dyDescent="0.25">
      <c r="A976" t="s">
        <v>1145</v>
      </c>
      <c r="B976" t="s">
        <v>28</v>
      </c>
      <c r="C976" t="s">
        <v>111</v>
      </c>
      <c r="D976" t="s">
        <v>31</v>
      </c>
      <c r="E976" t="s">
        <v>74</v>
      </c>
      <c r="F976" s="1">
        <v>46066</v>
      </c>
      <c r="G976">
        <v>46111</v>
      </c>
      <c r="H976" t="s">
        <v>9</v>
      </c>
      <c r="I976">
        <v>6149269.04</v>
      </c>
      <c r="J976" t="s">
        <v>75</v>
      </c>
      <c r="K976" t="s">
        <v>1146</v>
      </c>
      <c r="L976">
        <v>45</v>
      </c>
      <c r="M976" t="s">
        <v>28</v>
      </c>
      <c r="N976">
        <v>1.1861999999999999</v>
      </c>
      <c r="O976">
        <v>1.3609453877925652</v>
      </c>
      <c r="P976">
        <v>6.5236759610625304E-3</v>
      </c>
      <c r="Q976">
        <v>6.5236759610625304E-3</v>
      </c>
      <c r="R976">
        <v>40115.838614354063</v>
      </c>
      <c r="S976" t="s">
        <v>16</v>
      </c>
      <c r="T976">
        <v>6.4599999999999996E-3</v>
      </c>
      <c r="U976">
        <v>39724.277998400001</v>
      </c>
      <c r="V976">
        <v>391.56061595406209</v>
      </c>
      <c r="W976">
        <v>9.8569599168003303E-3</v>
      </c>
    </row>
    <row r="977" spans="1:23" x14ac:dyDescent="0.25">
      <c r="A977" t="s">
        <v>1143</v>
      </c>
      <c r="B977" t="s">
        <v>32</v>
      </c>
      <c r="C977" t="s">
        <v>106</v>
      </c>
      <c r="D977" t="s">
        <v>31</v>
      </c>
      <c r="E977" t="s">
        <v>74</v>
      </c>
      <c r="F977" s="1">
        <v>46260</v>
      </c>
      <c r="G977">
        <v>46290</v>
      </c>
      <c r="H977" t="s">
        <v>6</v>
      </c>
      <c r="I977">
        <v>16941.03</v>
      </c>
      <c r="J977" t="s">
        <v>75</v>
      </c>
      <c r="K977" t="s">
        <v>1144</v>
      </c>
      <c r="L977">
        <v>30</v>
      </c>
      <c r="M977" t="s">
        <v>32</v>
      </c>
      <c r="N977">
        <v>1.1669</v>
      </c>
      <c r="O977">
        <v>1.3629939378365437</v>
      </c>
      <c r="P977">
        <v>6.2864992996444352E-3</v>
      </c>
      <c r="Q977">
        <v>1.1669</v>
      </c>
      <c r="R977">
        <v>19768.487906999999</v>
      </c>
      <c r="S977" t="s">
        <v>21</v>
      </c>
      <c r="T977">
        <v>1.101</v>
      </c>
      <c r="U977">
        <v>18652.07403</v>
      </c>
      <c r="V977">
        <v>1116.413876999999</v>
      </c>
      <c r="W977">
        <v>5.9854677565849175E-2</v>
      </c>
    </row>
    <row r="978" spans="1:23" x14ac:dyDescent="0.25">
      <c r="A978" t="s">
        <v>1141</v>
      </c>
      <c r="B978" t="s">
        <v>28</v>
      </c>
      <c r="C978" t="s">
        <v>111</v>
      </c>
      <c r="D978" t="s">
        <v>31</v>
      </c>
      <c r="E978" t="s">
        <v>74</v>
      </c>
      <c r="F978" s="1">
        <v>45801</v>
      </c>
      <c r="G978">
        <v>45846</v>
      </c>
      <c r="H978" t="s">
        <v>9</v>
      </c>
      <c r="I978">
        <v>1518423.8</v>
      </c>
      <c r="J978" t="s">
        <v>75</v>
      </c>
      <c r="K978" t="s">
        <v>1142</v>
      </c>
      <c r="L978">
        <v>45</v>
      </c>
      <c r="M978" t="s">
        <v>28</v>
      </c>
      <c r="N978">
        <v>1.1404000000000001</v>
      </c>
      <c r="O978">
        <v>1.3160992498557416</v>
      </c>
      <c r="P978">
        <v>6.6453003904201387E-3</v>
      </c>
      <c r="Q978">
        <v>6.6453003904201387E-3</v>
      </c>
      <c r="R978">
        <v>10090.382270963231</v>
      </c>
      <c r="S978" t="s">
        <v>12</v>
      </c>
      <c r="T978">
        <v>6.7000000000000002E-3</v>
      </c>
      <c r="U978">
        <v>10173.439460000001</v>
      </c>
      <c r="V978">
        <v>-83.057189036770069</v>
      </c>
      <c r="W978">
        <v>-8.1641208328151835E-3</v>
      </c>
    </row>
    <row r="979" spans="1:23" x14ac:dyDescent="0.25">
      <c r="A979" t="s">
        <v>1139</v>
      </c>
      <c r="B979" t="s">
        <v>30</v>
      </c>
      <c r="C979" t="s">
        <v>103</v>
      </c>
      <c r="D979" t="s">
        <v>31</v>
      </c>
      <c r="E979" t="s">
        <v>74</v>
      </c>
      <c r="F979" s="1">
        <v>45796</v>
      </c>
      <c r="G979">
        <v>45826</v>
      </c>
      <c r="H979" t="s">
        <v>9</v>
      </c>
      <c r="I979">
        <v>1448594.65</v>
      </c>
      <c r="J979" t="s">
        <v>75</v>
      </c>
      <c r="K979" t="s">
        <v>1140</v>
      </c>
      <c r="L979">
        <v>30</v>
      </c>
      <c r="M979" t="s">
        <v>30</v>
      </c>
      <c r="N979">
        <v>1.1262000000000001</v>
      </c>
      <c r="O979">
        <v>1.337688561586887</v>
      </c>
      <c r="P979">
        <v>6.8981991914737239E-3</v>
      </c>
      <c r="Q979">
        <v>6.8981991914737239E-3</v>
      </c>
      <c r="R979">
        <v>9992.6944434031611</v>
      </c>
      <c r="S979" t="s">
        <v>12</v>
      </c>
      <c r="T979">
        <v>6.7000000000000002E-3</v>
      </c>
      <c r="U979">
        <v>9705.5841550000005</v>
      </c>
      <c r="V979">
        <v>287.11028840316067</v>
      </c>
      <c r="W979">
        <v>2.9581968876675063E-2</v>
      </c>
    </row>
    <row r="980" spans="1:23" x14ac:dyDescent="0.25">
      <c r="A980" t="s">
        <v>1137</v>
      </c>
      <c r="B980" t="s">
        <v>44</v>
      </c>
      <c r="C980" t="s">
        <v>138</v>
      </c>
      <c r="D980" t="s">
        <v>33</v>
      </c>
      <c r="E980" t="s">
        <v>88</v>
      </c>
      <c r="F980" s="1">
        <v>46353</v>
      </c>
      <c r="G980">
        <v>46398</v>
      </c>
      <c r="H980" t="s">
        <v>9</v>
      </c>
      <c r="I980">
        <v>654315.17000000004</v>
      </c>
      <c r="J980" t="s">
        <v>84</v>
      </c>
      <c r="K980" t="s">
        <v>1138</v>
      </c>
      <c r="L980">
        <v>45</v>
      </c>
      <c r="M980" t="s">
        <v>44</v>
      </c>
      <c r="N980">
        <v>1.1176999999999999</v>
      </c>
      <c r="O980">
        <v>1.320456022210408</v>
      </c>
      <c r="P980">
        <v>6.3200452360757699E-3</v>
      </c>
      <c r="Q980">
        <v>6.3200452360757699E-3</v>
      </c>
      <c r="R980">
        <v>4135.3014730506075</v>
      </c>
      <c r="S980" t="s">
        <v>23</v>
      </c>
      <c r="T980">
        <v>6.8799999999999998E-3</v>
      </c>
      <c r="U980">
        <v>4501.6883696000004</v>
      </c>
      <c r="V980">
        <v>-366.38689654939299</v>
      </c>
      <c r="W980">
        <v>-8.1388773826196345E-2</v>
      </c>
    </row>
    <row r="981" spans="1:23" x14ac:dyDescent="0.25">
      <c r="A981" t="s">
        <v>1135</v>
      </c>
      <c r="B981" t="s">
        <v>41</v>
      </c>
      <c r="C981" t="s">
        <v>172</v>
      </c>
      <c r="D981" t="s">
        <v>33</v>
      </c>
      <c r="E981" t="s">
        <v>83</v>
      </c>
      <c r="F981" s="1">
        <v>46239</v>
      </c>
      <c r="G981">
        <v>46269</v>
      </c>
      <c r="H981" t="s">
        <v>9</v>
      </c>
      <c r="I981">
        <v>908716.73</v>
      </c>
      <c r="J981" t="s">
        <v>75</v>
      </c>
      <c r="K981" t="s">
        <v>1136</v>
      </c>
      <c r="L981">
        <v>30</v>
      </c>
      <c r="M981" t="s">
        <v>41</v>
      </c>
      <c r="N981">
        <v>1.1554</v>
      </c>
      <c r="O981">
        <v>1.3478768082127859</v>
      </c>
      <c r="P981">
        <v>6.3455623901581713E-3</v>
      </c>
      <c r="Q981">
        <v>6.3455623901581713E-3</v>
      </c>
      <c r="R981">
        <v>5766.3187051955174</v>
      </c>
      <c r="S981" t="s">
        <v>21</v>
      </c>
      <c r="T981">
        <v>6.7400000000000003E-3</v>
      </c>
      <c r="U981">
        <v>6124.7507602000005</v>
      </c>
      <c r="V981">
        <v>-358.43205500448312</v>
      </c>
      <c r="W981">
        <v>-5.8521900570004372E-2</v>
      </c>
    </row>
    <row r="982" spans="1:23" x14ac:dyDescent="0.25">
      <c r="A982" t="s">
        <v>1133</v>
      </c>
      <c r="B982" t="s">
        <v>43</v>
      </c>
      <c r="C982" t="s">
        <v>215</v>
      </c>
      <c r="D982" t="s">
        <v>35</v>
      </c>
      <c r="E982" t="s">
        <v>152</v>
      </c>
      <c r="F982" s="1">
        <v>46194</v>
      </c>
      <c r="G982">
        <v>46224</v>
      </c>
      <c r="H982" t="s">
        <v>6</v>
      </c>
      <c r="I982">
        <v>1749.78</v>
      </c>
      <c r="J982" t="s">
        <v>75</v>
      </c>
      <c r="K982" t="s">
        <v>1134</v>
      </c>
      <c r="L982">
        <v>30</v>
      </c>
      <c r="M982" t="s">
        <v>43</v>
      </c>
      <c r="N982">
        <v>1.1467000000000001</v>
      </c>
      <c r="O982">
        <v>1.3233240626406473</v>
      </c>
      <c r="P982">
        <v>6.2024015577672011E-3</v>
      </c>
      <c r="Q982">
        <v>1.1467000000000001</v>
      </c>
      <c r="R982">
        <v>2006.472726</v>
      </c>
      <c r="S982" t="s">
        <v>19</v>
      </c>
      <c r="T982">
        <v>1.083</v>
      </c>
      <c r="U982">
        <v>1895.0117399999999</v>
      </c>
      <c r="V982">
        <v>111.46098600000005</v>
      </c>
      <c r="W982">
        <v>5.8818097876269647E-2</v>
      </c>
    </row>
    <row r="983" spans="1:23" x14ac:dyDescent="0.25">
      <c r="A983" t="s">
        <v>1131</v>
      </c>
      <c r="B983" t="s">
        <v>36</v>
      </c>
      <c r="C983" t="s">
        <v>116</v>
      </c>
      <c r="D983" t="s">
        <v>31</v>
      </c>
      <c r="E983" t="s">
        <v>74</v>
      </c>
      <c r="F983" s="1">
        <v>45709</v>
      </c>
      <c r="G983">
        <v>45754</v>
      </c>
      <c r="H983" t="s">
        <v>6</v>
      </c>
      <c r="I983">
        <v>24811.78</v>
      </c>
      <c r="J983" t="s">
        <v>75</v>
      </c>
      <c r="K983" t="s">
        <v>1132</v>
      </c>
      <c r="L983">
        <v>45</v>
      </c>
      <c r="M983" t="s">
        <v>36</v>
      </c>
      <c r="N983">
        <v>1.0465</v>
      </c>
      <c r="O983">
        <v>1.2644997583373609</v>
      </c>
      <c r="P983">
        <v>6.6461323510732884E-3</v>
      </c>
      <c r="Q983">
        <v>1.0465</v>
      </c>
      <c r="R983">
        <v>25965.527769999997</v>
      </c>
      <c r="S983" t="s">
        <v>11</v>
      </c>
      <c r="T983">
        <v>1.052</v>
      </c>
      <c r="U983">
        <v>26101.992559999999</v>
      </c>
      <c r="V983">
        <v>-136.46479000000181</v>
      </c>
      <c r="W983">
        <v>-5.2281368821293474E-3</v>
      </c>
    </row>
    <row r="984" spans="1:23" x14ac:dyDescent="0.25">
      <c r="A984" t="s">
        <v>1129</v>
      </c>
      <c r="B984" t="s">
        <v>30</v>
      </c>
      <c r="C984" t="s">
        <v>103</v>
      </c>
      <c r="D984" t="s">
        <v>31</v>
      </c>
      <c r="E984" t="s">
        <v>74</v>
      </c>
      <c r="F984" s="1">
        <v>46198</v>
      </c>
      <c r="G984">
        <v>46228</v>
      </c>
      <c r="H984" t="s">
        <v>9</v>
      </c>
      <c r="I984">
        <v>903090.89</v>
      </c>
      <c r="J984" t="s">
        <v>75</v>
      </c>
      <c r="K984" t="s">
        <v>1130</v>
      </c>
      <c r="L984">
        <v>30</v>
      </c>
      <c r="M984" t="s">
        <v>30</v>
      </c>
      <c r="N984">
        <v>1.1342000000000001</v>
      </c>
      <c r="O984">
        <v>1.3160368054024576</v>
      </c>
      <c r="P984">
        <v>6.1785694830309972E-3</v>
      </c>
      <c r="Q984">
        <v>6.1785694830309972E-3</v>
      </c>
      <c r="R984">
        <v>5579.809813357303</v>
      </c>
      <c r="S984" t="s">
        <v>19</v>
      </c>
      <c r="T984">
        <v>6.6E-3</v>
      </c>
      <c r="U984">
        <v>5960.3998739999997</v>
      </c>
      <c r="V984">
        <v>-380.5900606426967</v>
      </c>
      <c r="W984">
        <v>-6.3853108631667072E-2</v>
      </c>
    </row>
    <row r="985" spans="1:23" x14ac:dyDescent="0.25">
      <c r="A985" t="s">
        <v>1127</v>
      </c>
      <c r="B985" t="s">
        <v>38</v>
      </c>
      <c r="C985" t="s">
        <v>87</v>
      </c>
      <c r="D985" t="s">
        <v>33</v>
      </c>
      <c r="E985" t="s">
        <v>88</v>
      </c>
      <c r="F985" s="1">
        <v>45802</v>
      </c>
      <c r="G985">
        <v>45832</v>
      </c>
      <c r="H985" t="s">
        <v>6</v>
      </c>
      <c r="I985">
        <v>4892.5200000000004</v>
      </c>
      <c r="J985" t="s">
        <v>75</v>
      </c>
      <c r="K985" t="s">
        <v>1128</v>
      </c>
      <c r="L985">
        <v>30</v>
      </c>
      <c r="M985" t="s">
        <v>38</v>
      </c>
      <c r="N985">
        <v>1.1565000000000001</v>
      </c>
      <c r="O985">
        <v>1.3286994485294119</v>
      </c>
      <c r="P985">
        <v>6.7849809328248759E-3</v>
      </c>
      <c r="Q985">
        <v>1.1565000000000001</v>
      </c>
      <c r="R985">
        <v>5658.1993800000009</v>
      </c>
      <c r="S985" t="s">
        <v>12</v>
      </c>
      <c r="T985">
        <v>1.07</v>
      </c>
      <c r="U985">
        <v>5234.9964000000009</v>
      </c>
      <c r="V985">
        <v>423.20298000000003</v>
      </c>
      <c r="W985">
        <v>8.0841121495327087E-2</v>
      </c>
    </row>
    <row r="986" spans="1:23" x14ac:dyDescent="0.25">
      <c r="A986" t="s">
        <v>1125</v>
      </c>
      <c r="B986" t="s">
        <v>25</v>
      </c>
      <c r="C986" t="s">
        <v>169</v>
      </c>
      <c r="D986" t="s">
        <v>31</v>
      </c>
      <c r="E986" t="s">
        <v>124</v>
      </c>
      <c r="F986" s="1">
        <v>46055</v>
      </c>
      <c r="G986">
        <v>46115</v>
      </c>
      <c r="H986" t="s">
        <v>6</v>
      </c>
      <c r="I986">
        <v>16297.62</v>
      </c>
      <c r="J986" t="s">
        <v>75</v>
      </c>
      <c r="K986" t="s">
        <v>1126</v>
      </c>
      <c r="L986">
        <v>60</v>
      </c>
      <c r="M986" t="s">
        <v>25</v>
      </c>
      <c r="N986">
        <v>1.1839999999999999</v>
      </c>
      <c r="O986">
        <v>1.3675213675213673</v>
      </c>
      <c r="P986">
        <v>6.4491530039762508E-3</v>
      </c>
      <c r="Q986">
        <v>1.1839999999999999</v>
      </c>
      <c r="R986">
        <v>19296.382079999999</v>
      </c>
      <c r="S986" t="s">
        <v>16</v>
      </c>
      <c r="T986">
        <v>1.0649999999999999</v>
      </c>
      <c r="U986">
        <v>17356.9653</v>
      </c>
      <c r="V986">
        <v>1939.4167799999996</v>
      </c>
      <c r="W986">
        <v>0.11173708920187791</v>
      </c>
    </row>
    <row r="987" spans="1:23" x14ac:dyDescent="0.25">
      <c r="A987" t="s">
        <v>1122</v>
      </c>
      <c r="B987" t="s">
        <v>36</v>
      </c>
      <c r="C987" t="s">
        <v>116</v>
      </c>
      <c r="D987" t="s">
        <v>31</v>
      </c>
      <c r="E987" t="s">
        <v>74</v>
      </c>
      <c r="F987" s="1">
        <v>45863</v>
      </c>
      <c r="G987">
        <v>45908</v>
      </c>
      <c r="H987" t="s">
        <v>6</v>
      </c>
      <c r="I987">
        <v>14092.13</v>
      </c>
      <c r="J987" t="s">
        <v>75</v>
      </c>
      <c r="K987" t="s">
        <v>1123</v>
      </c>
      <c r="L987">
        <v>45</v>
      </c>
      <c r="M987" t="s">
        <v>36</v>
      </c>
      <c r="N987">
        <v>1.1724000000000001</v>
      </c>
      <c r="O987">
        <v>1.3452667814113597</v>
      </c>
      <c r="P987">
        <v>6.7725723528392354E-3</v>
      </c>
      <c r="Q987">
        <v>1.1724000000000001</v>
      </c>
      <c r="R987">
        <v>16521.613212</v>
      </c>
      <c r="S987" t="s">
        <v>13</v>
      </c>
      <c r="T987">
        <v>1.0880000000000001</v>
      </c>
      <c r="U987">
        <v>15332.237440000001</v>
      </c>
      <c r="V987">
        <v>1189.3757719999994</v>
      </c>
      <c r="W987">
        <v>7.7573529411764666E-2</v>
      </c>
    </row>
    <row r="988" spans="1:23" x14ac:dyDescent="0.25">
      <c r="A988" t="s">
        <v>1122</v>
      </c>
      <c r="B988" t="s">
        <v>30</v>
      </c>
      <c r="C988" t="s">
        <v>103</v>
      </c>
      <c r="D988" t="s">
        <v>31</v>
      </c>
      <c r="E988" t="s">
        <v>74</v>
      </c>
      <c r="F988" s="1">
        <v>45701</v>
      </c>
      <c r="G988">
        <v>45731</v>
      </c>
      <c r="H988" t="s">
        <v>9</v>
      </c>
      <c r="I988">
        <v>483596.31</v>
      </c>
      <c r="J988" t="s">
        <v>75</v>
      </c>
      <c r="K988" t="s">
        <v>1124</v>
      </c>
      <c r="L988">
        <v>30</v>
      </c>
      <c r="M988" t="s">
        <v>30</v>
      </c>
      <c r="N988">
        <v>1.0389999999999999</v>
      </c>
      <c r="O988">
        <v>1.2471042934476011</v>
      </c>
      <c r="P988">
        <v>6.5022842480755988E-3</v>
      </c>
      <c r="Q988">
        <v>6.5022842480755988E-3</v>
      </c>
      <c r="R988">
        <v>3144.4806689404841</v>
      </c>
      <c r="S988" t="s">
        <v>11</v>
      </c>
      <c r="T988">
        <v>6.5599999999999999E-3</v>
      </c>
      <c r="U988">
        <v>3172.3917935999998</v>
      </c>
      <c r="V988">
        <v>-27.911124659515735</v>
      </c>
      <c r="W988">
        <v>-8.7981329153050351E-3</v>
      </c>
    </row>
    <row r="989" spans="1:23" x14ac:dyDescent="0.25">
      <c r="A989" t="s">
        <v>1120</v>
      </c>
      <c r="B989" t="s">
        <v>28</v>
      </c>
      <c r="C989" t="s">
        <v>111</v>
      </c>
      <c r="D989" t="s">
        <v>31</v>
      </c>
      <c r="E989" t="s">
        <v>74</v>
      </c>
      <c r="F989" s="1">
        <v>45726</v>
      </c>
      <c r="G989">
        <v>45771</v>
      </c>
      <c r="H989" t="s">
        <v>9</v>
      </c>
      <c r="I989">
        <v>668431.43000000005</v>
      </c>
      <c r="J989" t="s">
        <v>75</v>
      </c>
      <c r="K989" t="s">
        <v>1121</v>
      </c>
      <c r="L989">
        <v>45</v>
      </c>
      <c r="M989" t="s">
        <v>28</v>
      </c>
      <c r="N989">
        <v>1.0845</v>
      </c>
      <c r="O989">
        <v>1.2933964626888812</v>
      </c>
      <c r="P989">
        <v>6.8040654997176741E-3</v>
      </c>
      <c r="Q989">
        <v>6.8040654997176741E-3</v>
      </c>
      <c r="R989">
        <v>4548.0512317899502</v>
      </c>
      <c r="S989" t="s">
        <v>11</v>
      </c>
      <c r="T989">
        <v>6.5599999999999999E-3</v>
      </c>
      <c r="U989">
        <v>4384.9101808000005</v>
      </c>
      <c r="V989">
        <v>163.14105098994969</v>
      </c>
      <c r="W989">
        <v>3.7205106664279626E-2</v>
      </c>
    </row>
    <row r="990" spans="1:23" x14ac:dyDescent="0.25">
      <c r="A990" t="s">
        <v>1118</v>
      </c>
      <c r="B990" t="s">
        <v>34</v>
      </c>
      <c r="C990" t="s">
        <v>177</v>
      </c>
      <c r="D990" t="s">
        <v>31</v>
      </c>
      <c r="E990" t="s">
        <v>74</v>
      </c>
      <c r="F990" s="1">
        <v>46342</v>
      </c>
      <c r="G990">
        <v>46402</v>
      </c>
      <c r="H990" t="s">
        <v>8</v>
      </c>
      <c r="I990">
        <v>17165.09</v>
      </c>
      <c r="J990" t="s">
        <v>84</v>
      </c>
      <c r="K990" t="s">
        <v>1119</v>
      </c>
      <c r="L990">
        <v>60</v>
      </c>
      <c r="M990" t="s">
        <v>34</v>
      </c>
      <c r="N990">
        <v>1.1176999999999999</v>
      </c>
      <c r="O990">
        <v>1.320456022210408</v>
      </c>
      <c r="P990">
        <v>6.3200452360757699E-3</v>
      </c>
      <c r="Q990">
        <v>1.320456022210408</v>
      </c>
      <c r="R990">
        <v>22665.746462283652</v>
      </c>
      <c r="S990" t="s">
        <v>23</v>
      </c>
      <c r="T990">
        <v>1.3149999999999999</v>
      </c>
      <c r="U990">
        <v>22572.093349999999</v>
      </c>
      <c r="V990">
        <v>93.653112283653172</v>
      </c>
      <c r="W990">
        <v>4.1490663197019419E-3</v>
      </c>
    </row>
    <row r="991" spans="1:23" x14ac:dyDescent="0.25">
      <c r="A991" t="s">
        <v>1116</v>
      </c>
      <c r="B991" t="s">
        <v>24</v>
      </c>
      <c r="C991" t="s">
        <v>73</v>
      </c>
      <c r="D991" t="s">
        <v>31</v>
      </c>
      <c r="E991" t="s">
        <v>74</v>
      </c>
      <c r="F991" s="1">
        <v>45815</v>
      </c>
      <c r="G991">
        <v>45845</v>
      </c>
      <c r="H991" t="s">
        <v>6</v>
      </c>
      <c r="I991">
        <v>24969.22</v>
      </c>
      <c r="J991" t="s">
        <v>75</v>
      </c>
      <c r="K991" t="s">
        <v>1117</v>
      </c>
      <c r="L991">
        <v>30</v>
      </c>
      <c r="M991" t="s">
        <v>24</v>
      </c>
      <c r="N991">
        <v>1.1638999999999999</v>
      </c>
      <c r="O991">
        <v>1.3449272012941993</v>
      </c>
      <c r="P991">
        <v>6.7633215178104474E-3</v>
      </c>
      <c r="Q991">
        <v>1.1638999999999999</v>
      </c>
      <c r="R991">
        <v>29061.675157999998</v>
      </c>
      <c r="S991" t="s">
        <v>12</v>
      </c>
      <c r="T991">
        <v>1.07</v>
      </c>
      <c r="U991">
        <v>26717.065400000003</v>
      </c>
      <c r="V991">
        <v>2344.6097579999951</v>
      </c>
      <c r="W991">
        <v>8.7757009345794196E-2</v>
      </c>
    </row>
    <row r="992" spans="1:23" x14ac:dyDescent="0.25">
      <c r="A992" t="s">
        <v>1114</v>
      </c>
      <c r="B992" t="s">
        <v>36</v>
      </c>
      <c r="C992" t="s">
        <v>116</v>
      </c>
      <c r="D992" t="s">
        <v>31</v>
      </c>
      <c r="E992" t="s">
        <v>74</v>
      </c>
      <c r="F992" s="1">
        <v>46164</v>
      </c>
      <c r="G992">
        <v>46209</v>
      </c>
      <c r="H992" t="s">
        <v>6</v>
      </c>
      <c r="I992">
        <v>10993.58</v>
      </c>
      <c r="J992" t="s">
        <v>75</v>
      </c>
      <c r="K992" t="s">
        <v>1115</v>
      </c>
      <c r="L992">
        <v>45</v>
      </c>
      <c r="M992" t="s">
        <v>36</v>
      </c>
      <c r="N992">
        <v>1.1595</v>
      </c>
      <c r="O992">
        <v>1.3417343608970353</v>
      </c>
      <c r="P992">
        <v>6.2835311331490814E-3</v>
      </c>
      <c r="Q992">
        <v>1.1595</v>
      </c>
      <c r="R992">
        <v>12747.05601</v>
      </c>
      <c r="S992" t="s">
        <v>19</v>
      </c>
      <c r="T992">
        <v>1.083</v>
      </c>
      <c r="U992">
        <v>11906.047139999999</v>
      </c>
      <c r="V992">
        <v>841.00887000000148</v>
      </c>
      <c r="W992">
        <v>7.0637119113573538E-2</v>
      </c>
    </row>
    <row r="993" spans="1:23" x14ac:dyDescent="0.25">
      <c r="A993" t="s">
        <v>1112</v>
      </c>
      <c r="B993" t="s">
        <v>40</v>
      </c>
      <c r="C993" t="s">
        <v>78</v>
      </c>
      <c r="D993" t="s">
        <v>33</v>
      </c>
      <c r="E993" t="s">
        <v>79</v>
      </c>
      <c r="F993" s="1">
        <v>45851</v>
      </c>
      <c r="G993">
        <v>45881</v>
      </c>
      <c r="H993" t="s">
        <v>9</v>
      </c>
      <c r="I993">
        <v>1959938.74</v>
      </c>
      <c r="J993" t="s">
        <v>75</v>
      </c>
      <c r="K993" t="s">
        <v>1113</v>
      </c>
      <c r="L993">
        <v>30</v>
      </c>
      <c r="M993" t="s">
        <v>40</v>
      </c>
      <c r="N993">
        <v>1.1568000000000001</v>
      </c>
      <c r="O993">
        <v>1.3282810885291079</v>
      </c>
      <c r="P993">
        <v>6.5555933356001364E-3</v>
      </c>
      <c r="Q993">
        <v>6.5555933356001364E-3</v>
      </c>
      <c r="R993">
        <v>12848.561342128529</v>
      </c>
      <c r="S993" t="s">
        <v>13</v>
      </c>
      <c r="T993">
        <v>6.8399999999999997E-3</v>
      </c>
      <c r="U993">
        <v>13405.9809816</v>
      </c>
      <c r="V993">
        <v>-557.41963947147087</v>
      </c>
      <c r="W993">
        <v>-4.1579921695886445E-2</v>
      </c>
    </row>
    <row r="994" spans="1:23" x14ac:dyDescent="0.25">
      <c r="A994" t="s">
        <v>1110</v>
      </c>
      <c r="B994" t="s">
        <v>34</v>
      </c>
      <c r="C994" t="s">
        <v>177</v>
      </c>
      <c r="D994" t="s">
        <v>31</v>
      </c>
      <c r="E994" t="s">
        <v>74</v>
      </c>
      <c r="F994" s="1">
        <v>46153</v>
      </c>
      <c r="G994">
        <v>46213</v>
      </c>
      <c r="H994" t="s">
        <v>8</v>
      </c>
      <c r="I994">
        <v>27423.68</v>
      </c>
      <c r="J994" t="s">
        <v>75</v>
      </c>
      <c r="K994" t="s">
        <v>1111</v>
      </c>
      <c r="L994">
        <v>60</v>
      </c>
      <c r="M994" t="s">
        <v>34</v>
      </c>
      <c r="N994">
        <v>1.1765000000000001</v>
      </c>
      <c r="O994">
        <v>1.3603043196744058</v>
      </c>
      <c r="P994">
        <v>6.3639314112619687E-3</v>
      </c>
      <c r="Q994">
        <v>1.3603043196744058</v>
      </c>
      <c r="R994">
        <v>37304.55036536861</v>
      </c>
      <c r="S994" t="s">
        <v>19</v>
      </c>
      <c r="T994">
        <v>1.2709999999999999</v>
      </c>
      <c r="U994">
        <v>34855.497279999996</v>
      </c>
      <c r="V994">
        <v>2449.0530853686141</v>
      </c>
      <c r="W994">
        <v>7.0263036722585367E-2</v>
      </c>
    </row>
    <row r="995" spans="1:23" x14ac:dyDescent="0.25">
      <c r="A995" t="s">
        <v>1108</v>
      </c>
      <c r="B995" t="s">
        <v>37</v>
      </c>
      <c r="C995" t="s">
        <v>91</v>
      </c>
      <c r="D995" t="s">
        <v>31</v>
      </c>
      <c r="E995" t="s">
        <v>74</v>
      </c>
      <c r="F995" s="1">
        <v>46028</v>
      </c>
      <c r="G995">
        <v>46058</v>
      </c>
      <c r="H995" t="s">
        <v>6</v>
      </c>
      <c r="I995">
        <v>24415.67</v>
      </c>
      <c r="J995" t="s">
        <v>75</v>
      </c>
      <c r="K995" t="s">
        <v>1109</v>
      </c>
      <c r="L995">
        <v>30</v>
      </c>
      <c r="M995" t="s">
        <v>37</v>
      </c>
      <c r="N995">
        <v>1.1707000000000001</v>
      </c>
      <c r="O995">
        <v>1.3513794297587443</v>
      </c>
      <c r="P995">
        <v>6.3923774161843408E-3</v>
      </c>
      <c r="Q995">
        <v>1.1707000000000001</v>
      </c>
      <c r="R995">
        <v>28583.424868999999</v>
      </c>
      <c r="S995" t="s">
        <v>16</v>
      </c>
      <c r="T995">
        <v>1.0649999999999999</v>
      </c>
      <c r="U995">
        <v>26002.688549999995</v>
      </c>
      <c r="V995">
        <v>2580.7363190000033</v>
      </c>
      <c r="W995">
        <v>9.924882629107995E-2</v>
      </c>
    </row>
    <row r="996" spans="1:23" x14ac:dyDescent="0.25">
      <c r="A996" t="s">
        <v>1106</v>
      </c>
      <c r="B996" t="s">
        <v>25</v>
      </c>
      <c r="C996" t="s">
        <v>169</v>
      </c>
      <c r="D996" t="s">
        <v>31</v>
      </c>
      <c r="E996" t="s">
        <v>124</v>
      </c>
      <c r="F996" s="1">
        <v>45832</v>
      </c>
      <c r="G996">
        <v>45892</v>
      </c>
      <c r="H996" t="s">
        <v>6</v>
      </c>
      <c r="I996">
        <v>19106.689999999999</v>
      </c>
      <c r="J996" t="s">
        <v>75</v>
      </c>
      <c r="K996" t="s">
        <v>1107</v>
      </c>
      <c r="L996">
        <v>60</v>
      </c>
      <c r="M996" t="s">
        <v>25</v>
      </c>
      <c r="N996">
        <v>1.1607000000000001</v>
      </c>
      <c r="O996">
        <v>1.3612055822680897</v>
      </c>
      <c r="P996">
        <v>6.8978427527188451E-3</v>
      </c>
      <c r="Q996">
        <v>1.1607000000000001</v>
      </c>
      <c r="R996">
        <v>22177.135083000001</v>
      </c>
      <c r="S996" t="s">
        <v>12</v>
      </c>
      <c r="T996">
        <v>1.07</v>
      </c>
      <c r="U996">
        <v>20444.158299999999</v>
      </c>
      <c r="V996">
        <v>1732.9767830000019</v>
      </c>
      <c r="W996">
        <v>8.4766355140187016E-2</v>
      </c>
    </row>
    <row r="997" spans="1:23" x14ac:dyDescent="0.25">
      <c r="A997" t="s">
        <v>1104</v>
      </c>
      <c r="B997" t="s">
        <v>26</v>
      </c>
      <c r="C997" t="s">
        <v>94</v>
      </c>
      <c r="D997" t="s">
        <v>31</v>
      </c>
      <c r="E997" t="s">
        <v>74</v>
      </c>
      <c r="F997" s="1">
        <v>45786</v>
      </c>
      <c r="G997">
        <v>45816</v>
      </c>
      <c r="H997" t="s">
        <v>8</v>
      </c>
      <c r="I997">
        <v>18689.849999999999</v>
      </c>
      <c r="J997" t="s">
        <v>75</v>
      </c>
      <c r="K997" t="s">
        <v>1105</v>
      </c>
      <c r="L997">
        <v>30</v>
      </c>
      <c r="M997" t="s">
        <v>26</v>
      </c>
      <c r="N997">
        <v>1.1252</v>
      </c>
      <c r="O997">
        <v>1.3273563760764422</v>
      </c>
      <c r="P997">
        <v>6.887855044074436E-3</v>
      </c>
      <c r="Q997">
        <v>1.3273563760764422</v>
      </c>
      <c r="R997">
        <v>24808.091565412291</v>
      </c>
      <c r="S997" t="s">
        <v>12</v>
      </c>
      <c r="T997">
        <v>1.26</v>
      </c>
      <c r="U997">
        <v>23549.210999999999</v>
      </c>
      <c r="V997">
        <v>1258.8805654122916</v>
      </c>
      <c r="W997">
        <v>5.3457441330509614E-2</v>
      </c>
    </row>
    <row r="998" spans="1:23" x14ac:dyDescent="0.25">
      <c r="A998" t="s">
        <v>1102</v>
      </c>
      <c r="B998" t="s">
        <v>42</v>
      </c>
      <c r="C998" t="s">
        <v>151</v>
      </c>
      <c r="D998" t="s">
        <v>35</v>
      </c>
      <c r="E998" t="s">
        <v>152</v>
      </c>
      <c r="F998" s="1">
        <v>45676</v>
      </c>
      <c r="G998">
        <v>45706</v>
      </c>
      <c r="H998" t="s">
        <v>8</v>
      </c>
      <c r="I998">
        <v>4068.04</v>
      </c>
      <c r="J998" t="s">
        <v>75</v>
      </c>
      <c r="K998" t="s">
        <v>1103</v>
      </c>
      <c r="L998">
        <v>30</v>
      </c>
      <c r="M998" t="s">
        <v>42</v>
      </c>
      <c r="N998">
        <v>1.0335000000000001</v>
      </c>
      <c r="O998">
        <v>1.2423666875030055</v>
      </c>
      <c r="P998">
        <v>6.4384500373785196E-3</v>
      </c>
      <c r="Q998">
        <v>1.2423666875030055</v>
      </c>
      <c r="R998">
        <v>5053.9973794297266</v>
      </c>
      <c r="S998" t="s">
        <v>11</v>
      </c>
      <c r="T998">
        <v>1.238</v>
      </c>
      <c r="U998">
        <v>5036.2335199999998</v>
      </c>
      <c r="V998">
        <v>17.763859429726836</v>
      </c>
      <c r="W998">
        <v>3.5272112302145268E-3</v>
      </c>
    </row>
    <row r="999" spans="1:23" x14ac:dyDescent="0.25">
      <c r="A999" t="s">
        <v>1100</v>
      </c>
      <c r="B999" t="s">
        <v>39</v>
      </c>
      <c r="C999" t="s">
        <v>82</v>
      </c>
      <c r="D999" t="s">
        <v>33</v>
      </c>
      <c r="E999" t="s">
        <v>83</v>
      </c>
      <c r="F999" s="1">
        <v>46368</v>
      </c>
      <c r="G999">
        <v>46413</v>
      </c>
      <c r="H999" t="s">
        <v>8</v>
      </c>
      <c r="I999">
        <v>11190.25</v>
      </c>
      <c r="J999" t="s">
        <v>84</v>
      </c>
      <c r="K999" t="s">
        <v>1101</v>
      </c>
      <c r="L999">
        <v>45</v>
      </c>
      <c r="M999" t="s">
        <v>39</v>
      </c>
      <c r="N999">
        <v>1.1176999999999999</v>
      </c>
      <c r="O999">
        <v>1.320456022210408</v>
      </c>
      <c r="P999">
        <v>6.3200452360757699E-3</v>
      </c>
      <c r="Q999">
        <v>1.320456022210408</v>
      </c>
      <c r="R999">
        <v>14776.233002540019</v>
      </c>
      <c r="S999" t="s">
        <v>23</v>
      </c>
      <c r="T999">
        <v>1.3149999999999999</v>
      </c>
      <c r="U999">
        <v>14715.178749999999</v>
      </c>
      <c r="V999">
        <v>61.054252540019661</v>
      </c>
      <c r="W999">
        <v>4.1490663197020061E-3</v>
      </c>
    </row>
    <row r="1000" spans="1:23" x14ac:dyDescent="0.25">
      <c r="A1000" t="s">
        <v>1098</v>
      </c>
      <c r="B1000" t="s">
        <v>30</v>
      </c>
      <c r="C1000" t="s">
        <v>103</v>
      </c>
      <c r="D1000" t="s">
        <v>31</v>
      </c>
      <c r="E1000" t="s">
        <v>74</v>
      </c>
      <c r="F1000" s="1">
        <v>45700</v>
      </c>
      <c r="G1000">
        <v>45730</v>
      </c>
      <c r="H1000" t="s">
        <v>9</v>
      </c>
      <c r="I1000">
        <v>1306463.22</v>
      </c>
      <c r="J1000" t="s">
        <v>75</v>
      </c>
      <c r="K1000" t="s">
        <v>1099</v>
      </c>
      <c r="L1000">
        <v>30</v>
      </c>
      <c r="M1000" t="s">
        <v>30</v>
      </c>
      <c r="N1000">
        <v>1.0369999999999999</v>
      </c>
      <c r="O1000">
        <v>1.2443303175022198</v>
      </c>
      <c r="P1000">
        <v>6.5130008792865218E-3</v>
      </c>
      <c r="Q1000">
        <v>6.5130008792865218E-3</v>
      </c>
      <c r="R1000">
        <v>8508.9961006155008</v>
      </c>
      <c r="S1000" t="s">
        <v>11</v>
      </c>
      <c r="T1000">
        <v>6.5599999999999999E-3</v>
      </c>
      <c r="U1000">
        <v>8570.3987231999999</v>
      </c>
      <c r="V1000">
        <v>-61.402622584499113</v>
      </c>
      <c r="W1000">
        <v>-7.1645001087618839E-3</v>
      </c>
    </row>
    <row r="1001" spans="1:23" x14ac:dyDescent="0.25">
      <c r="A1001" t="s">
        <v>1096</v>
      </c>
      <c r="B1001" t="s">
        <v>28</v>
      </c>
      <c r="C1001" t="s">
        <v>111</v>
      </c>
      <c r="D1001" t="s">
        <v>31</v>
      </c>
      <c r="E1001" t="s">
        <v>74</v>
      </c>
      <c r="F1001" s="1">
        <v>46191</v>
      </c>
      <c r="G1001">
        <v>46236</v>
      </c>
      <c r="H1001" t="s">
        <v>9</v>
      </c>
      <c r="I1001">
        <v>2864437.02</v>
      </c>
      <c r="J1001" t="s">
        <v>75</v>
      </c>
      <c r="K1001" t="s">
        <v>1097</v>
      </c>
      <c r="L1001">
        <v>45</v>
      </c>
      <c r="M1001" t="s">
        <v>28</v>
      </c>
      <c r="N1001">
        <v>1.1460999999999999</v>
      </c>
      <c r="O1001">
        <v>1.3228606385188946</v>
      </c>
      <c r="P1001">
        <v>6.2139449143352845E-3</v>
      </c>
      <c r="Q1001">
        <v>6.2139449143352845E-3</v>
      </c>
      <c r="R1001">
        <v>17799.453852862716</v>
      </c>
      <c r="S1001" t="s">
        <v>19</v>
      </c>
      <c r="T1001">
        <v>6.6E-3</v>
      </c>
      <c r="U1001">
        <v>18905.284331999999</v>
      </c>
      <c r="V1001">
        <v>-1105.830479137283</v>
      </c>
      <c r="W1001">
        <v>-5.8493194797684202E-2</v>
      </c>
    </row>
    <row r="1002" spans="1:23" x14ac:dyDescent="0.25">
      <c r="A1002" t="s">
        <v>1094</v>
      </c>
      <c r="B1002" t="s">
        <v>26</v>
      </c>
      <c r="C1002" t="s">
        <v>94</v>
      </c>
      <c r="D1002" t="s">
        <v>31</v>
      </c>
      <c r="E1002" t="s">
        <v>74</v>
      </c>
      <c r="F1002" s="1">
        <v>45866</v>
      </c>
      <c r="G1002">
        <v>45896</v>
      </c>
      <c r="H1002" t="s">
        <v>8</v>
      </c>
      <c r="I1002">
        <v>27837.759999999998</v>
      </c>
      <c r="J1002" t="s">
        <v>75</v>
      </c>
      <c r="K1002" t="s">
        <v>1095</v>
      </c>
      <c r="L1002">
        <v>30</v>
      </c>
      <c r="M1002" t="s">
        <v>26</v>
      </c>
      <c r="N1002">
        <v>1.1654</v>
      </c>
      <c r="O1002">
        <v>1.3427814264316165</v>
      </c>
      <c r="P1002">
        <v>6.750072400810889E-3</v>
      </c>
      <c r="Q1002">
        <v>1.3427814264316165</v>
      </c>
      <c r="R1002">
        <v>37380.02708146099</v>
      </c>
      <c r="S1002" t="s">
        <v>13</v>
      </c>
      <c r="T1002">
        <v>1.282</v>
      </c>
      <c r="U1002">
        <v>35688.008320000001</v>
      </c>
      <c r="V1002">
        <v>1692.0187614609895</v>
      </c>
      <c r="W1002">
        <v>4.7411409073023589E-2</v>
      </c>
    </row>
    <row r="1003" spans="1:23" x14ac:dyDescent="0.25">
      <c r="A1003" t="s">
        <v>1092</v>
      </c>
      <c r="B1003" t="s">
        <v>30</v>
      </c>
      <c r="C1003" t="s">
        <v>103</v>
      </c>
      <c r="D1003" t="s">
        <v>31</v>
      </c>
      <c r="E1003" t="s">
        <v>74</v>
      </c>
      <c r="F1003" s="1">
        <v>45957</v>
      </c>
      <c r="G1003">
        <v>45987</v>
      </c>
      <c r="H1003" t="s">
        <v>9</v>
      </c>
      <c r="I1003">
        <v>2786393.19</v>
      </c>
      <c r="J1003" t="s">
        <v>75</v>
      </c>
      <c r="K1003" t="s">
        <v>1093</v>
      </c>
      <c r="L1003">
        <v>30</v>
      </c>
      <c r="M1003" t="s">
        <v>30</v>
      </c>
      <c r="N1003">
        <v>1.1639999999999999</v>
      </c>
      <c r="O1003">
        <v>1.3347093223254214</v>
      </c>
      <c r="P1003">
        <v>6.5418984994098798E-3</v>
      </c>
      <c r="Q1003">
        <v>6.5418984994098798E-3</v>
      </c>
      <c r="R1003">
        <v>18228.301428426908</v>
      </c>
      <c r="S1003" t="s">
        <v>14</v>
      </c>
      <c r="T1003">
        <v>6.9800000000000001E-3</v>
      </c>
      <c r="U1003">
        <v>19449.0244662</v>
      </c>
      <c r="V1003">
        <v>-1220.7230377730921</v>
      </c>
      <c r="W1003">
        <v>-6.2765257964200613E-2</v>
      </c>
    </row>
    <row r="1004" spans="1:23" x14ac:dyDescent="0.25">
      <c r="A1004" t="s">
        <v>1090</v>
      </c>
      <c r="B1004" t="s">
        <v>26</v>
      </c>
      <c r="C1004" t="s">
        <v>94</v>
      </c>
      <c r="D1004" t="s">
        <v>31</v>
      </c>
      <c r="E1004" t="s">
        <v>74</v>
      </c>
      <c r="F1004" s="1">
        <v>45926</v>
      </c>
      <c r="G1004">
        <v>45956</v>
      </c>
      <c r="H1004" t="s">
        <v>8</v>
      </c>
      <c r="I1004">
        <v>14140.66</v>
      </c>
      <c r="J1004" t="s">
        <v>75</v>
      </c>
      <c r="K1004" t="s">
        <v>1091</v>
      </c>
      <c r="L1004">
        <v>30</v>
      </c>
      <c r="M1004" t="s">
        <v>26</v>
      </c>
      <c r="N1004">
        <v>1.1672</v>
      </c>
      <c r="O1004">
        <v>1.3354691075514875</v>
      </c>
      <c r="P1004">
        <v>6.6777275587848279E-3</v>
      </c>
      <c r="Q1004">
        <v>1.3354691075514875</v>
      </c>
      <c r="R1004">
        <v>18884.414590389017</v>
      </c>
      <c r="S1004" t="s">
        <v>13</v>
      </c>
      <c r="T1004">
        <v>1.282</v>
      </c>
      <c r="U1004">
        <v>18128.326120000002</v>
      </c>
      <c r="V1004">
        <v>756.08847038901513</v>
      </c>
      <c r="W1004">
        <v>4.1707572193047854E-2</v>
      </c>
    </row>
    <row r="1005" spans="1:23" x14ac:dyDescent="0.25">
      <c r="A1005" t="s">
        <v>1088</v>
      </c>
      <c r="B1005" t="s">
        <v>20</v>
      </c>
      <c r="C1005" t="s">
        <v>123</v>
      </c>
      <c r="D1005" t="s">
        <v>31</v>
      </c>
      <c r="E1005" t="s">
        <v>124</v>
      </c>
      <c r="F1005" s="1">
        <v>45692</v>
      </c>
      <c r="G1005">
        <v>45737</v>
      </c>
      <c r="H1005" t="s">
        <v>6</v>
      </c>
      <c r="I1005">
        <v>43177.02</v>
      </c>
      <c r="J1005" t="s">
        <v>75</v>
      </c>
      <c r="K1005" t="s">
        <v>1089</v>
      </c>
      <c r="L1005">
        <v>45</v>
      </c>
      <c r="M1005" t="s">
        <v>20</v>
      </c>
      <c r="N1005">
        <v>1.0335000000000001</v>
      </c>
      <c r="O1005">
        <v>1.2423666875030055</v>
      </c>
      <c r="P1005">
        <v>6.4384500373785196E-3</v>
      </c>
      <c r="Q1005">
        <v>1.0335000000000001</v>
      </c>
      <c r="R1005">
        <v>44623.450170000004</v>
      </c>
      <c r="S1005" t="s">
        <v>11</v>
      </c>
      <c r="T1005">
        <v>1.052</v>
      </c>
      <c r="U1005">
        <v>45422.225039999998</v>
      </c>
      <c r="V1005">
        <v>-798.77486999999383</v>
      </c>
      <c r="W1005">
        <v>-1.7585551330798345E-2</v>
      </c>
    </row>
    <row r="1006" spans="1:23" x14ac:dyDescent="0.25">
      <c r="A1006" t="s">
        <v>1086</v>
      </c>
      <c r="B1006" t="s">
        <v>26</v>
      </c>
      <c r="C1006" t="s">
        <v>94</v>
      </c>
      <c r="D1006" t="s">
        <v>31</v>
      </c>
      <c r="E1006" t="s">
        <v>74</v>
      </c>
      <c r="F1006" s="1">
        <v>46342</v>
      </c>
      <c r="G1006">
        <v>46372</v>
      </c>
      <c r="H1006" t="s">
        <v>8</v>
      </c>
      <c r="I1006">
        <v>13039.69</v>
      </c>
      <c r="J1006" t="s">
        <v>84</v>
      </c>
      <c r="K1006" t="s">
        <v>1087</v>
      </c>
      <c r="L1006">
        <v>30</v>
      </c>
      <c r="M1006" t="s">
        <v>26</v>
      </c>
      <c r="N1006">
        <v>1.1176999999999999</v>
      </c>
      <c r="O1006">
        <v>1.320456022210408</v>
      </c>
      <c r="P1006">
        <v>6.3200452360757699E-3</v>
      </c>
      <c r="Q1006">
        <v>1.320456022210408</v>
      </c>
      <c r="R1006">
        <v>17218.337188256835</v>
      </c>
      <c r="S1006" t="s">
        <v>23</v>
      </c>
      <c r="T1006">
        <v>1.3149999999999999</v>
      </c>
      <c r="U1006">
        <v>17147.192350000001</v>
      </c>
      <c r="V1006">
        <v>71.144838256834191</v>
      </c>
      <c r="W1006">
        <v>4.1490663197018482E-3</v>
      </c>
    </row>
    <row r="1007" spans="1:23" x14ac:dyDescent="0.25">
      <c r="A1007" t="s">
        <v>1084</v>
      </c>
      <c r="B1007" t="s">
        <v>39</v>
      </c>
      <c r="C1007" t="s">
        <v>82</v>
      </c>
      <c r="D1007" t="s">
        <v>33</v>
      </c>
      <c r="E1007" t="s">
        <v>83</v>
      </c>
      <c r="F1007" s="1">
        <v>46220</v>
      </c>
      <c r="G1007">
        <v>46265</v>
      </c>
      <c r="H1007" t="s">
        <v>8</v>
      </c>
      <c r="I1007">
        <v>5776.5</v>
      </c>
      <c r="J1007" t="s">
        <v>75</v>
      </c>
      <c r="K1007" t="s">
        <v>1085</v>
      </c>
      <c r="L1007">
        <v>45</v>
      </c>
      <c r="M1007" t="s">
        <v>39</v>
      </c>
      <c r="N1007">
        <v>1.1435</v>
      </c>
      <c r="O1007">
        <v>1.3437448588685985</v>
      </c>
      <c r="P1007">
        <v>6.1594398060867217E-3</v>
      </c>
      <c r="Q1007">
        <v>1.3437448588685985</v>
      </c>
      <c r="R1007">
        <v>7762.1421772544591</v>
      </c>
      <c r="S1007" t="s">
        <v>21</v>
      </c>
      <c r="T1007">
        <v>1.2929999999999999</v>
      </c>
      <c r="U1007">
        <v>7469.0144999999993</v>
      </c>
      <c r="V1007">
        <v>293.12767725445974</v>
      </c>
      <c r="W1007">
        <v>3.9245830524824894E-2</v>
      </c>
    </row>
    <row r="1008" spans="1:23" x14ac:dyDescent="0.25">
      <c r="A1008" t="s">
        <v>1082</v>
      </c>
      <c r="B1008" t="s">
        <v>44</v>
      </c>
      <c r="C1008" t="s">
        <v>138</v>
      </c>
      <c r="D1008" t="s">
        <v>33</v>
      </c>
      <c r="E1008" t="s">
        <v>88</v>
      </c>
      <c r="F1008" s="1">
        <v>46360</v>
      </c>
      <c r="G1008">
        <v>46405</v>
      </c>
      <c r="H1008" t="s">
        <v>9</v>
      </c>
      <c r="I1008">
        <v>1412060.43</v>
      </c>
      <c r="J1008" t="s">
        <v>84</v>
      </c>
      <c r="K1008" t="s">
        <v>1083</v>
      </c>
      <c r="L1008">
        <v>45</v>
      </c>
      <c r="M1008" t="s">
        <v>44</v>
      </c>
      <c r="N1008">
        <v>1.1176999999999999</v>
      </c>
      <c r="O1008">
        <v>1.320456022210408</v>
      </c>
      <c r="P1008">
        <v>6.3200452360757699E-3</v>
      </c>
      <c r="Q1008">
        <v>6.3200452360757699E-3</v>
      </c>
      <c r="R1008">
        <v>8924.2857936726032</v>
      </c>
      <c r="S1008" t="s">
        <v>23</v>
      </c>
      <c r="T1008">
        <v>6.8799999999999998E-3</v>
      </c>
      <c r="U1008">
        <v>9714.9757583999999</v>
      </c>
      <c r="V1008">
        <v>-790.68996472739673</v>
      </c>
      <c r="W1008">
        <v>-8.138877382619622E-2</v>
      </c>
    </row>
    <row r="1009" spans="1:23" x14ac:dyDescent="0.25">
      <c r="A1009" t="s">
        <v>1080</v>
      </c>
      <c r="B1009" t="s">
        <v>24</v>
      </c>
      <c r="C1009" t="s">
        <v>73</v>
      </c>
      <c r="D1009" t="s">
        <v>31</v>
      </c>
      <c r="E1009" t="s">
        <v>74</v>
      </c>
      <c r="F1009" s="1">
        <v>46026</v>
      </c>
      <c r="G1009">
        <v>46056</v>
      </c>
      <c r="H1009" t="s">
        <v>6</v>
      </c>
      <c r="I1009">
        <v>33266.65</v>
      </c>
      <c r="J1009" t="s">
        <v>75</v>
      </c>
      <c r="K1009" t="s">
        <v>1081</v>
      </c>
      <c r="L1009">
        <v>30</v>
      </c>
      <c r="M1009" t="s">
        <v>24</v>
      </c>
      <c r="N1009">
        <v>1.1555</v>
      </c>
      <c r="O1009">
        <v>1.3367963164349013</v>
      </c>
      <c r="P1009">
        <v>6.2983756677204832E-3</v>
      </c>
      <c r="Q1009">
        <v>1.1555</v>
      </c>
      <c r="R1009">
        <v>38439.614074999998</v>
      </c>
      <c r="S1009" t="s">
        <v>16</v>
      </c>
      <c r="T1009">
        <v>1.0649999999999999</v>
      </c>
      <c r="U1009">
        <v>35428.982250000001</v>
      </c>
      <c r="V1009">
        <v>3010.6318249999968</v>
      </c>
      <c r="W1009">
        <v>8.4976525821596149E-2</v>
      </c>
    </row>
    <row r="1010" spans="1:23" x14ac:dyDescent="0.25">
      <c r="A1010" t="s">
        <v>1078</v>
      </c>
      <c r="B1010" t="s">
        <v>32</v>
      </c>
      <c r="C1010" t="s">
        <v>106</v>
      </c>
      <c r="D1010" t="s">
        <v>31</v>
      </c>
      <c r="E1010" t="s">
        <v>74</v>
      </c>
      <c r="F1010" s="1">
        <v>45811</v>
      </c>
      <c r="G1010">
        <v>45841</v>
      </c>
      <c r="H1010" t="s">
        <v>6</v>
      </c>
      <c r="I1010">
        <v>14680.47</v>
      </c>
      <c r="J1010" t="s">
        <v>75</v>
      </c>
      <c r="K1010" t="s">
        <v>1079</v>
      </c>
      <c r="L1010">
        <v>30</v>
      </c>
      <c r="M1010" t="s">
        <v>32</v>
      </c>
      <c r="N1010">
        <v>1.1386000000000001</v>
      </c>
      <c r="O1010">
        <v>1.3496917970602182</v>
      </c>
      <c r="P1010">
        <v>6.9852760736196324E-3</v>
      </c>
      <c r="Q1010">
        <v>1.1386000000000001</v>
      </c>
      <c r="R1010">
        <v>16715.183142000002</v>
      </c>
      <c r="S1010" t="s">
        <v>12</v>
      </c>
      <c r="T1010">
        <v>1.07</v>
      </c>
      <c r="U1010">
        <v>15708.1029</v>
      </c>
      <c r="V1010">
        <v>1007.0802420000018</v>
      </c>
      <c r="W1010">
        <v>6.4112149532710397E-2</v>
      </c>
    </row>
    <row r="1011" spans="1:23" x14ac:dyDescent="0.25">
      <c r="A1011" t="s">
        <v>1076</v>
      </c>
      <c r="B1011" t="s">
        <v>20</v>
      </c>
      <c r="C1011" t="s">
        <v>123</v>
      </c>
      <c r="D1011" t="s">
        <v>31</v>
      </c>
      <c r="E1011" t="s">
        <v>124</v>
      </c>
      <c r="F1011" s="1">
        <v>46365</v>
      </c>
      <c r="G1011">
        <v>46410</v>
      </c>
      <c r="H1011" t="s">
        <v>6</v>
      </c>
      <c r="I1011">
        <v>55080.52</v>
      </c>
      <c r="J1011" t="s">
        <v>84</v>
      </c>
      <c r="K1011" t="s">
        <v>1077</v>
      </c>
      <c r="L1011">
        <v>45</v>
      </c>
      <c r="M1011" t="s">
        <v>20</v>
      </c>
      <c r="N1011">
        <v>1.1176999999999999</v>
      </c>
      <c r="O1011">
        <v>1.320456022210408</v>
      </c>
      <c r="P1011">
        <v>6.3200452360757699E-3</v>
      </c>
      <c r="Q1011">
        <v>1.1176999999999999</v>
      </c>
      <c r="R1011">
        <v>61563.497203999992</v>
      </c>
      <c r="S1011" t="s">
        <v>23</v>
      </c>
      <c r="T1011">
        <v>1.119</v>
      </c>
      <c r="U1011">
        <v>61635.101879999995</v>
      </c>
      <c r="V1011">
        <v>-71.604676000002655</v>
      </c>
      <c r="W1011">
        <v>-1.1617515638963792E-3</v>
      </c>
    </row>
    <row r="1012" spans="1:23" x14ac:dyDescent="0.25">
      <c r="A1012" t="s">
        <v>1074</v>
      </c>
      <c r="B1012" t="s">
        <v>24</v>
      </c>
      <c r="C1012" t="s">
        <v>73</v>
      </c>
      <c r="D1012" t="s">
        <v>31</v>
      </c>
      <c r="E1012" t="s">
        <v>74</v>
      </c>
      <c r="F1012" s="1">
        <v>46355</v>
      </c>
      <c r="G1012">
        <v>46385</v>
      </c>
      <c r="H1012" t="s">
        <v>6</v>
      </c>
      <c r="I1012">
        <v>16005.38</v>
      </c>
      <c r="J1012" t="s">
        <v>84</v>
      </c>
      <c r="K1012" t="s">
        <v>1075</v>
      </c>
      <c r="L1012">
        <v>30</v>
      </c>
      <c r="M1012" t="s">
        <v>24</v>
      </c>
      <c r="N1012">
        <v>1.1176999999999999</v>
      </c>
      <c r="O1012">
        <v>1.320456022210408</v>
      </c>
      <c r="P1012">
        <v>6.3200452360757699E-3</v>
      </c>
      <c r="Q1012">
        <v>1.1176999999999999</v>
      </c>
      <c r="R1012">
        <v>17889.213225999996</v>
      </c>
      <c r="S1012" t="s">
        <v>23</v>
      </c>
      <c r="T1012">
        <v>1.119</v>
      </c>
      <c r="U1012">
        <v>17910.020219999999</v>
      </c>
      <c r="V1012">
        <v>-20.806994000002305</v>
      </c>
      <c r="W1012">
        <v>-1.1617515638964648E-3</v>
      </c>
    </row>
    <row r="1013" spans="1:23" x14ac:dyDescent="0.25">
      <c r="A1013" t="s">
        <v>1072</v>
      </c>
      <c r="B1013" t="s">
        <v>30</v>
      </c>
      <c r="C1013" t="s">
        <v>103</v>
      </c>
      <c r="D1013" t="s">
        <v>31</v>
      </c>
      <c r="E1013" t="s">
        <v>74</v>
      </c>
      <c r="F1013" s="1">
        <v>46281</v>
      </c>
      <c r="G1013">
        <v>46311</v>
      </c>
      <c r="H1013" t="s">
        <v>9</v>
      </c>
      <c r="I1013">
        <v>3081125.88</v>
      </c>
      <c r="J1013" t="s">
        <v>75</v>
      </c>
      <c r="K1013" t="s">
        <v>1073</v>
      </c>
      <c r="L1013">
        <v>30</v>
      </c>
      <c r="M1013" t="s">
        <v>30</v>
      </c>
      <c r="N1013">
        <v>1.1536999999999999</v>
      </c>
      <c r="O1013">
        <v>1.3455796594355025</v>
      </c>
      <c r="P1013">
        <v>6.4495751341681574E-3</v>
      </c>
      <c r="Q1013">
        <v>6.4495751341681574E-3</v>
      </c>
      <c r="R1013">
        <v>19871.952860889982</v>
      </c>
      <c r="S1013" t="s">
        <v>21</v>
      </c>
      <c r="T1013">
        <v>6.7400000000000003E-3</v>
      </c>
      <c r="U1013">
        <v>20766.788431199999</v>
      </c>
      <c r="V1013">
        <v>-894.83557031001692</v>
      </c>
      <c r="W1013">
        <v>-4.3089742705021111E-2</v>
      </c>
    </row>
    <row r="1014" spans="1:23" x14ac:dyDescent="0.25">
      <c r="A1014" t="s">
        <v>1070</v>
      </c>
      <c r="B1014" t="s">
        <v>42</v>
      </c>
      <c r="C1014" t="s">
        <v>151</v>
      </c>
      <c r="D1014" t="s">
        <v>35</v>
      </c>
      <c r="E1014" t="s">
        <v>152</v>
      </c>
      <c r="F1014" s="1">
        <v>45705</v>
      </c>
      <c r="G1014">
        <v>45735</v>
      </c>
      <c r="H1014" t="s">
        <v>8</v>
      </c>
      <c r="I1014">
        <v>3502.1</v>
      </c>
      <c r="J1014" t="s">
        <v>75</v>
      </c>
      <c r="K1014" t="s">
        <v>1071</v>
      </c>
      <c r="L1014">
        <v>30</v>
      </c>
      <c r="M1014" t="s">
        <v>42</v>
      </c>
      <c r="N1014">
        <v>1.0472999999999999</v>
      </c>
      <c r="O1014">
        <v>1.2597885316300386</v>
      </c>
      <c r="P1014">
        <v>6.6004915863112123E-3</v>
      </c>
      <c r="Q1014">
        <v>1.2597885316300386</v>
      </c>
      <c r="R1014">
        <v>4411.9054166215583</v>
      </c>
      <c r="S1014" t="s">
        <v>11</v>
      </c>
      <c r="T1014">
        <v>1.238</v>
      </c>
      <c r="U1014">
        <v>4335.5998</v>
      </c>
      <c r="V1014">
        <v>76.305616621558329</v>
      </c>
      <c r="W1014">
        <v>1.7599783222971441E-2</v>
      </c>
    </row>
    <row r="1015" spans="1:23" x14ac:dyDescent="0.25">
      <c r="A1015" t="s">
        <v>1068</v>
      </c>
      <c r="B1015" t="s">
        <v>34</v>
      </c>
      <c r="C1015" t="s">
        <v>177</v>
      </c>
      <c r="D1015" t="s">
        <v>31</v>
      </c>
      <c r="E1015" t="s">
        <v>74</v>
      </c>
      <c r="F1015" s="1">
        <v>45886</v>
      </c>
      <c r="G1015">
        <v>45946</v>
      </c>
      <c r="H1015" t="s">
        <v>8</v>
      </c>
      <c r="I1015">
        <v>5089.2700000000004</v>
      </c>
      <c r="J1015" t="s">
        <v>75</v>
      </c>
      <c r="K1015" t="s">
        <v>1069</v>
      </c>
      <c r="L1015">
        <v>60</v>
      </c>
      <c r="M1015" t="s">
        <v>34</v>
      </c>
      <c r="N1015">
        <v>1.1566000000000001</v>
      </c>
      <c r="O1015">
        <v>1.3215265082266912</v>
      </c>
      <c r="P1015">
        <v>6.405272193609127E-3</v>
      </c>
      <c r="Q1015">
        <v>1.3215265082266912</v>
      </c>
      <c r="R1015">
        <v>6725.6052125228534</v>
      </c>
      <c r="S1015" t="s">
        <v>13</v>
      </c>
      <c r="T1015">
        <v>1.282</v>
      </c>
      <c r="U1015">
        <v>6524.4441400000005</v>
      </c>
      <c r="V1015">
        <v>201.16107252285292</v>
      </c>
      <c r="W1015">
        <v>3.0831909693206892E-2</v>
      </c>
    </row>
    <row r="1016" spans="1:23" x14ac:dyDescent="0.25">
      <c r="A1016" t="s">
        <v>1066</v>
      </c>
      <c r="B1016" t="s">
        <v>22</v>
      </c>
      <c r="C1016" t="s">
        <v>127</v>
      </c>
      <c r="D1016" t="s">
        <v>31</v>
      </c>
      <c r="E1016" t="s">
        <v>124</v>
      </c>
      <c r="F1016" s="1">
        <v>46137</v>
      </c>
      <c r="G1016">
        <v>46197</v>
      </c>
      <c r="H1016" t="s">
        <v>9</v>
      </c>
      <c r="I1016">
        <v>3311226.63</v>
      </c>
      <c r="J1016" t="s">
        <v>75</v>
      </c>
      <c r="K1016" t="s">
        <v>1067</v>
      </c>
      <c r="L1016">
        <v>60</v>
      </c>
      <c r="M1016" t="s">
        <v>22</v>
      </c>
      <c r="N1016">
        <v>1.1712</v>
      </c>
      <c r="O1016">
        <v>1.3492621222768799</v>
      </c>
      <c r="P1016">
        <v>6.2728295217181727E-3</v>
      </c>
      <c r="Q1016">
        <v>6.2728295217181727E-3</v>
      </c>
      <c r="R1016">
        <v>20770.760157763376</v>
      </c>
      <c r="S1016" t="s">
        <v>19</v>
      </c>
      <c r="T1016">
        <v>6.6E-3</v>
      </c>
      <c r="U1016">
        <v>21854.095757999999</v>
      </c>
      <c r="V1016">
        <v>-1083.3356002366236</v>
      </c>
      <c r="W1016">
        <v>-4.957128458815567E-2</v>
      </c>
    </row>
    <row r="1017" spans="1:23" x14ac:dyDescent="0.25">
      <c r="A1017" t="s">
        <v>1064</v>
      </c>
      <c r="B1017" t="s">
        <v>26</v>
      </c>
      <c r="C1017" t="s">
        <v>94</v>
      </c>
      <c r="D1017" t="s">
        <v>31</v>
      </c>
      <c r="E1017" t="s">
        <v>806</v>
      </c>
      <c r="F1017" s="1">
        <v>46126</v>
      </c>
      <c r="G1017">
        <v>46156</v>
      </c>
      <c r="H1017" t="s">
        <v>8</v>
      </c>
      <c r="I1017">
        <v>6837.34</v>
      </c>
      <c r="J1017" t="s">
        <v>75</v>
      </c>
      <c r="K1017" t="s">
        <v>1065</v>
      </c>
      <c r="L1017">
        <v>30</v>
      </c>
      <c r="M1017" t="s">
        <v>26</v>
      </c>
      <c r="N1017">
        <v>1.1793</v>
      </c>
      <c r="O1017">
        <v>1.3568741154948052</v>
      </c>
      <c r="P1017">
        <v>6.2953077456894251E-3</v>
      </c>
      <c r="Q1017">
        <v>1.3568741154948052</v>
      </c>
      <c r="R1017">
        <v>9277.4096648372506</v>
      </c>
      <c r="S1017" t="s">
        <v>19</v>
      </c>
      <c r="T1017">
        <v>1.2709999999999999</v>
      </c>
      <c r="U1017">
        <v>8690.2591400000001</v>
      </c>
      <c r="V1017">
        <v>587.15052483725049</v>
      </c>
      <c r="W1017">
        <v>6.7564213607242379E-2</v>
      </c>
    </row>
    <row r="1018" spans="1:23" x14ac:dyDescent="0.25">
      <c r="A1018" t="s">
        <v>1062</v>
      </c>
      <c r="B1018" t="s">
        <v>36</v>
      </c>
      <c r="C1018" t="s">
        <v>116</v>
      </c>
      <c r="D1018" t="s">
        <v>31</v>
      </c>
      <c r="E1018" t="s">
        <v>74</v>
      </c>
      <c r="F1018" s="1">
        <v>45859</v>
      </c>
      <c r="G1018">
        <v>45904</v>
      </c>
      <c r="H1018" t="s">
        <v>6</v>
      </c>
      <c r="I1018">
        <v>8480.2099999999991</v>
      </c>
      <c r="J1018" t="s">
        <v>75</v>
      </c>
      <c r="K1018" t="s">
        <v>1063</v>
      </c>
      <c r="L1018">
        <v>45</v>
      </c>
      <c r="M1018" t="s">
        <v>36</v>
      </c>
      <c r="N1018">
        <v>1.1667000000000001</v>
      </c>
      <c r="O1018">
        <v>1.3478512014787432</v>
      </c>
      <c r="P1018">
        <v>6.7823508894314611E-3</v>
      </c>
      <c r="Q1018">
        <v>1.1667000000000001</v>
      </c>
      <c r="R1018">
        <v>9893.8610069999995</v>
      </c>
      <c r="S1018" t="s">
        <v>13</v>
      </c>
      <c r="T1018">
        <v>1.0880000000000001</v>
      </c>
      <c r="U1018">
        <v>9226.4684799999995</v>
      </c>
      <c r="V1018">
        <v>667.39252699999997</v>
      </c>
      <c r="W1018">
        <v>7.2334558823529418E-2</v>
      </c>
    </row>
    <row r="1019" spans="1:23" x14ac:dyDescent="0.25">
      <c r="A1019" t="s">
        <v>1060</v>
      </c>
      <c r="B1019" t="s">
        <v>38</v>
      </c>
      <c r="C1019" t="s">
        <v>87</v>
      </c>
      <c r="D1019" t="s">
        <v>33</v>
      </c>
      <c r="E1019" t="s">
        <v>88</v>
      </c>
      <c r="F1019" s="1">
        <v>45933</v>
      </c>
      <c r="G1019">
        <v>45963</v>
      </c>
      <c r="H1019" t="s">
        <v>6</v>
      </c>
      <c r="I1019">
        <v>7254.22</v>
      </c>
      <c r="J1019" t="s">
        <v>75</v>
      </c>
      <c r="K1019" t="s">
        <v>1061</v>
      </c>
      <c r="L1019">
        <v>30</v>
      </c>
      <c r="M1019" t="s">
        <v>38</v>
      </c>
      <c r="N1019">
        <v>1.1734</v>
      </c>
      <c r="O1019">
        <v>1.3447169378867752</v>
      </c>
      <c r="P1019">
        <v>6.7865818392134182E-3</v>
      </c>
      <c r="Q1019">
        <v>1.1734</v>
      </c>
      <c r="R1019">
        <v>8512.101748000001</v>
      </c>
      <c r="S1019" t="s">
        <v>14</v>
      </c>
      <c r="T1019">
        <v>1.1060000000000001</v>
      </c>
      <c r="U1019">
        <v>8023.1673200000014</v>
      </c>
      <c r="V1019">
        <v>488.93442799999957</v>
      </c>
      <c r="W1019">
        <v>6.0940325497287458E-2</v>
      </c>
    </row>
    <row r="1020" spans="1:23" x14ac:dyDescent="0.25">
      <c r="A1020" t="s">
        <v>1058</v>
      </c>
      <c r="B1020" t="s">
        <v>39</v>
      </c>
      <c r="C1020" t="s">
        <v>82</v>
      </c>
      <c r="D1020" t="s">
        <v>33</v>
      </c>
      <c r="E1020" t="s">
        <v>83</v>
      </c>
      <c r="F1020" s="1">
        <v>45718</v>
      </c>
      <c r="G1020">
        <v>45763</v>
      </c>
      <c r="H1020" t="s">
        <v>8</v>
      </c>
      <c r="I1020">
        <v>10883.39</v>
      </c>
      <c r="J1020" t="s">
        <v>75</v>
      </c>
      <c r="K1020" t="s">
        <v>1059</v>
      </c>
      <c r="L1020">
        <v>45</v>
      </c>
      <c r="M1020" t="s">
        <v>39</v>
      </c>
      <c r="N1020">
        <v>1.1096999999999999</v>
      </c>
      <c r="O1020">
        <v>1.3185128857098725</v>
      </c>
      <c r="P1020">
        <v>6.8428192637355863E-3</v>
      </c>
      <c r="Q1020">
        <v>1.3185128857098725</v>
      </c>
      <c r="R1020">
        <v>14349.889955205968</v>
      </c>
      <c r="S1020" t="s">
        <v>11</v>
      </c>
      <c r="T1020">
        <v>1.238</v>
      </c>
      <c r="U1020">
        <v>13473.63682</v>
      </c>
      <c r="V1020">
        <v>876.25313520596865</v>
      </c>
      <c r="W1020">
        <v>6.5034641122675638E-2</v>
      </c>
    </row>
    <row r="1021" spans="1:23" x14ac:dyDescent="0.25">
      <c r="A1021" t="s">
        <v>1056</v>
      </c>
      <c r="B1021" t="s">
        <v>36</v>
      </c>
      <c r="C1021" t="s">
        <v>116</v>
      </c>
      <c r="D1021" t="s">
        <v>31</v>
      </c>
      <c r="E1021" t="s">
        <v>74</v>
      </c>
      <c r="F1021" s="1">
        <v>45813</v>
      </c>
      <c r="G1021">
        <v>45858</v>
      </c>
      <c r="H1021" t="s">
        <v>6</v>
      </c>
      <c r="I1021">
        <v>14319.57</v>
      </c>
      <c r="J1021" t="s">
        <v>75</v>
      </c>
      <c r="K1021" t="s">
        <v>1057</v>
      </c>
      <c r="L1021">
        <v>45</v>
      </c>
      <c r="M1021" t="s">
        <v>36</v>
      </c>
      <c r="N1021">
        <v>1.1423000000000001</v>
      </c>
      <c r="O1021">
        <v>1.3568119729183989</v>
      </c>
      <c r="P1021">
        <v>6.9797140413051456E-3</v>
      </c>
      <c r="Q1021">
        <v>1.1423000000000001</v>
      </c>
      <c r="R1021">
        <v>16357.244811</v>
      </c>
      <c r="S1021" t="s">
        <v>12</v>
      </c>
      <c r="T1021">
        <v>1.07</v>
      </c>
      <c r="U1021">
        <v>15321.939900000001</v>
      </c>
      <c r="V1021">
        <v>1035.3049109999993</v>
      </c>
      <c r="W1021">
        <v>6.7570093457943875E-2</v>
      </c>
    </row>
    <row r="1022" spans="1:23" x14ac:dyDescent="0.25">
      <c r="A1022" t="s">
        <v>1054</v>
      </c>
      <c r="B1022" t="s">
        <v>32</v>
      </c>
      <c r="C1022" t="s">
        <v>106</v>
      </c>
      <c r="D1022" t="s">
        <v>31</v>
      </c>
      <c r="E1022" t="s">
        <v>74</v>
      </c>
      <c r="F1022" s="1">
        <v>45924</v>
      </c>
      <c r="G1022">
        <v>45954</v>
      </c>
      <c r="H1022" t="s">
        <v>6</v>
      </c>
      <c r="I1022">
        <v>11792.09</v>
      </c>
      <c r="J1022" t="s">
        <v>75</v>
      </c>
      <c r="K1022" t="s">
        <v>1055</v>
      </c>
      <c r="L1022">
        <v>30</v>
      </c>
      <c r="M1022" t="s">
        <v>32</v>
      </c>
      <c r="N1022">
        <v>1.1756</v>
      </c>
      <c r="O1022">
        <v>1.3464666132172718</v>
      </c>
      <c r="P1022">
        <v>6.7365767004756178E-3</v>
      </c>
      <c r="Q1022">
        <v>1.1756</v>
      </c>
      <c r="R1022">
        <v>13862.781004</v>
      </c>
      <c r="S1022" t="s">
        <v>13</v>
      </c>
      <c r="T1022">
        <v>1.0880000000000001</v>
      </c>
      <c r="U1022">
        <v>12829.793920000002</v>
      </c>
      <c r="V1022">
        <v>1032.9870839999985</v>
      </c>
      <c r="W1022">
        <v>8.0514705882352808E-2</v>
      </c>
    </row>
    <row r="1023" spans="1:23" x14ac:dyDescent="0.25">
      <c r="A1023" t="s">
        <v>1052</v>
      </c>
      <c r="B1023" t="s">
        <v>40</v>
      </c>
      <c r="C1023" t="s">
        <v>78</v>
      </c>
      <c r="D1023" t="s">
        <v>33</v>
      </c>
      <c r="E1023" t="s">
        <v>79</v>
      </c>
      <c r="F1023" s="1">
        <v>45914</v>
      </c>
      <c r="G1023">
        <v>45944</v>
      </c>
      <c r="H1023" t="s">
        <v>9</v>
      </c>
      <c r="I1023">
        <v>2104873.54</v>
      </c>
      <c r="J1023" t="s">
        <v>75</v>
      </c>
      <c r="K1023" t="s">
        <v>1053</v>
      </c>
      <c r="L1023">
        <v>30</v>
      </c>
      <c r="M1023" t="s">
        <v>40</v>
      </c>
      <c r="N1023">
        <v>1.1692</v>
      </c>
      <c r="O1023">
        <v>1.3479363615402353</v>
      </c>
      <c r="P1023">
        <v>6.3398763691573587E-3</v>
      </c>
      <c r="Q1023">
        <v>6.3398763691573587E-3</v>
      </c>
      <c r="R1023">
        <v>13344.638016310597</v>
      </c>
      <c r="S1023" t="s">
        <v>13</v>
      </c>
      <c r="T1023">
        <v>6.8399999999999997E-3</v>
      </c>
      <c r="U1023">
        <v>14397.335013599999</v>
      </c>
      <c r="V1023">
        <v>-1052.6969972894021</v>
      </c>
      <c r="W1023">
        <v>-7.3117489889274953E-2</v>
      </c>
    </row>
    <row r="1024" spans="1:23" x14ac:dyDescent="0.25">
      <c r="A1024" t="s">
        <v>1050</v>
      </c>
      <c r="B1024" t="s">
        <v>30</v>
      </c>
      <c r="C1024" t="s">
        <v>103</v>
      </c>
      <c r="D1024" t="s">
        <v>31</v>
      </c>
      <c r="E1024" t="s">
        <v>74</v>
      </c>
      <c r="F1024" s="1">
        <v>46198</v>
      </c>
      <c r="G1024">
        <v>46228</v>
      </c>
      <c r="H1024" t="s">
        <v>9</v>
      </c>
      <c r="I1024">
        <v>1358603.24</v>
      </c>
      <c r="J1024" t="s">
        <v>75</v>
      </c>
      <c r="K1024" t="s">
        <v>1051</v>
      </c>
      <c r="L1024">
        <v>30</v>
      </c>
      <c r="M1024" t="s">
        <v>30</v>
      </c>
      <c r="N1024">
        <v>1.1342000000000001</v>
      </c>
      <c r="O1024">
        <v>1.3160368054024576</v>
      </c>
      <c r="P1024">
        <v>6.1785694830309972E-3</v>
      </c>
      <c r="Q1024">
        <v>6.1785694830309972E-3</v>
      </c>
      <c r="R1024">
        <v>8394.2245182110382</v>
      </c>
      <c r="S1024" t="s">
        <v>19</v>
      </c>
      <c r="T1024">
        <v>6.6E-3</v>
      </c>
      <c r="U1024">
        <v>8966.7813839999999</v>
      </c>
      <c r="V1024">
        <v>-572.55686578896166</v>
      </c>
      <c r="W1024">
        <v>-6.385310863166703E-2</v>
      </c>
    </row>
    <row r="1025" spans="1:23" x14ac:dyDescent="0.25">
      <c r="A1025" t="s">
        <v>1048</v>
      </c>
      <c r="B1025" t="s">
        <v>43</v>
      </c>
      <c r="C1025" t="s">
        <v>215</v>
      </c>
      <c r="D1025" t="s">
        <v>35</v>
      </c>
      <c r="E1025" t="s">
        <v>152</v>
      </c>
      <c r="F1025" s="1">
        <v>45705</v>
      </c>
      <c r="G1025">
        <v>45735</v>
      </c>
      <c r="H1025" t="s">
        <v>6</v>
      </c>
      <c r="I1025">
        <v>2983.24</v>
      </c>
      <c r="J1025" t="s">
        <v>75</v>
      </c>
      <c r="K1025" t="s">
        <v>1049</v>
      </c>
      <c r="L1025">
        <v>30</v>
      </c>
      <c r="M1025" t="s">
        <v>43</v>
      </c>
      <c r="N1025">
        <v>1.0472999999999999</v>
      </c>
      <c r="O1025">
        <v>1.2597885316300386</v>
      </c>
      <c r="P1025">
        <v>6.6004915863112123E-3</v>
      </c>
      <c r="Q1025">
        <v>1.0472999999999999</v>
      </c>
      <c r="R1025">
        <v>3124.3472519999996</v>
      </c>
      <c r="S1025" t="s">
        <v>11</v>
      </c>
      <c r="T1025">
        <v>1.052</v>
      </c>
      <c r="U1025">
        <v>3138.3684800000001</v>
      </c>
      <c r="V1025">
        <v>-14.021228000000519</v>
      </c>
      <c r="W1025">
        <v>-4.4676806083651845E-3</v>
      </c>
    </row>
    <row r="1026" spans="1:23" x14ac:dyDescent="0.25">
      <c r="A1026" t="s">
        <v>1046</v>
      </c>
      <c r="B1026" t="s">
        <v>22</v>
      </c>
      <c r="C1026" t="s">
        <v>127</v>
      </c>
      <c r="D1026" t="s">
        <v>31</v>
      </c>
      <c r="E1026" t="s">
        <v>124</v>
      </c>
      <c r="F1026" s="1">
        <v>45668</v>
      </c>
      <c r="G1026">
        <v>45728</v>
      </c>
      <c r="H1026" t="s">
        <v>9</v>
      </c>
      <c r="I1026">
        <v>8221799.3899999997</v>
      </c>
      <c r="J1026" t="s">
        <v>75</v>
      </c>
      <c r="K1026" t="s">
        <v>1047</v>
      </c>
      <c r="L1026">
        <v>60</v>
      </c>
      <c r="M1026" t="s">
        <v>22</v>
      </c>
      <c r="N1026">
        <v>1.0404</v>
      </c>
      <c r="O1026">
        <v>1.2317090495809064</v>
      </c>
      <c r="P1026">
        <v>6.3993111083774134E-3</v>
      </c>
      <c r="Q1026">
        <v>6.3993111083774134E-3</v>
      </c>
      <c r="R1026">
        <v>52613.852167277641</v>
      </c>
      <c r="S1026" t="s">
        <v>11</v>
      </c>
      <c r="T1026">
        <v>6.5599999999999999E-3</v>
      </c>
      <c r="U1026">
        <v>53935.003998399996</v>
      </c>
      <c r="V1026">
        <v>-1321.1518311223554</v>
      </c>
      <c r="W1026">
        <v>-2.4495257869296679E-2</v>
      </c>
    </row>
    <row r="1027" spans="1:23" x14ac:dyDescent="0.25">
      <c r="A1027" t="s">
        <v>1044</v>
      </c>
      <c r="B1027" t="s">
        <v>40</v>
      </c>
      <c r="C1027" t="s">
        <v>78</v>
      </c>
      <c r="D1027" t="s">
        <v>33</v>
      </c>
      <c r="E1027" t="s">
        <v>79</v>
      </c>
      <c r="F1027" s="1">
        <v>45907</v>
      </c>
      <c r="G1027">
        <v>45937</v>
      </c>
      <c r="H1027" t="s">
        <v>9</v>
      </c>
      <c r="I1027">
        <v>1011876.56</v>
      </c>
      <c r="J1027" t="s">
        <v>75</v>
      </c>
      <c r="K1027" t="s">
        <v>1045</v>
      </c>
      <c r="L1027">
        <v>30</v>
      </c>
      <c r="M1027" t="s">
        <v>40</v>
      </c>
      <c r="N1027">
        <v>1.175</v>
      </c>
      <c r="O1027">
        <v>1.3465505386202155</v>
      </c>
      <c r="P1027">
        <v>6.3827475691237987E-3</v>
      </c>
      <c r="Q1027">
        <v>6.3827475691237987E-3</v>
      </c>
      <c r="R1027">
        <v>6458.5526535933523</v>
      </c>
      <c r="S1027" t="s">
        <v>13</v>
      </c>
      <c r="T1027">
        <v>6.8399999999999997E-3</v>
      </c>
      <c r="U1027">
        <v>6921.2356704000003</v>
      </c>
      <c r="V1027">
        <v>-462.68301680664808</v>
      </c>
      <c r="W1027">
        <v>-6.6849770595935817E-2</v>
      </c>
    </row>
    <row r="1028" spans="1:23" x14ac:dyDescent="0.25">
      <c r="A1028" t="s">
        <v>1042</v>
      </c>
      <c r="B1028" t="s">
        <v>30</v>
      </c>
      <c r="C1028" t="s">
        <v>103</v>
      </c>
      <c r="D1028" t="s">
        <v>31</v>
      </c>
      <c r="E1028" t="s">
        <v>74</v>
      </c>
      <c r="F1028" s="1">
        <v>45799</v>
      </c>
      <c r="G1028">
        <v>45829</v>
      </c>
      <c r="H1028" t="s">
        <v>9</v>
      </c>
      <c r="I1028">
        <v>3332763.63</v>
      </c>
      <c r="J1028" t="s">
        <v>75</v>
      </c>
      <c r="K1028" t="s">
        <v>1043</v>
      </c>
      <c r="L1028">
        <v>30</v>
      </c>
      <c r="M1028" t="s">
        <v>30</v>
      </c>
      <c r="N1028">
        <v>1.1309</v>
      </c>
      <c r="O1028">
        <v>1.341995965349472</v>
      </c>
      <c r="P1028">
        <v>6.9726863555089709E-3</v>
      </c>
      <c r="Q1028">
        <v>6.9726863555089709E-3</v>
      </c>
      <c r="R1028">
        <v>23238.315489037548</v>
      </c>
      <c r="S1028" t="s">
        <v>12</v>
      </c>
      <c r="T1028">
        <v>6.7000000000000002E-3</v>
      </c>
      <c r="U1028">
        <v>22329.516320999999</v>
      </c>
      <c r="V1028">
        <v>908.79916803754895</v>
      </c>
      <c r="W1028">
        <v>4.0699456046115086E-2</v>
      </c>
    </row>
    <row r="1029" spans="1:23" x14ac:dyDescent="0.25">
      <c r="A1029" t="s">
        <v>1040</v>
      </c>
      <c r="B1029" t="s">
        <v>43</v>
      </c>
      <c r="C1029" t="s">
        <v>215</v>
      </c>
      <c r="D1029" t="s">
        <v>35</v>
      </c>
      <c r="E1029" t="s">
        <v>152</v>
      </c>
      <c r="F1029" s="1">
        <v>45959</v>
      </c>
      <c r="G1029">
        <v>45989</v>
      </c>
      <c r="H1029" t="s">
        <v>6</v>
      </c>
      <c r="I1029">
        <v>11611.93</v>
      </c>
      <c r="J1029" t="s">
        <v>75</v>
      </c>
      <c r="K1029" t="s">
        <v>1041</v>
      </c>
      <c r="L1029">
        <v>30</v>
      </c>
      <c r="M1029" t="s">
        <v>43</v>
      </c>
      <c r="N1029">
        <v>1.1636</v>
      </c>
      <c r="O1029">
        <v>1.3212217554218235</v>
      </c>
      <c r="P1029">
        <v>6.5714124357598687E-3</v>
      </c>
      <c r="Q1029">
        <v>1.1636</v>
      </c>
      <c r="R1029">
        <v>13511.641748</v>
      </c>
      <c r="S1029" t="s">
        <v>14</v>
      </c>
      <c r="T1029">
        <v>1.1060000000000001</v>
      </c>
      <c r="U1029">
        <v>12842.794580000002</v>
      </c>
      <c r="V1029">
        <v>668.84716799999842</v>
      </c>
      <c r="W1029">
        <v>5.2079566003616504E-2</v>
      </c>
    </row>
    <row r="1030" spans="1:23" x14ac:dyDescent="0.25">
      <c r="A1030" t="s">
        <v>1038</v>
      </c>
      <c r="B1030" t="s">
        <v>41</v>
      </c>
      <c r="C1030" t="s">
        <v>172</v>
      </c>
      <c r="D1030" t="s">
        <v>33</v>
      </c>
      <c r="E1030" t="s">
        <v>83</v>
      </c>
      <c r="F1030" s="1">
        <v>46077</v>
      </c>
      <c r="G1030">
        <v>46107</v>
      </c>
      <c r="H1030" t="s">
        <v>9</v>
      </c>
      <c r="I1030">
        <v>2071217.35</v>
      </c>
      <c r="J1030" t="s">
        <v>75</v>
      </c>
      <c r="K1030" t="s">
        <v>1039</v>
      </c>
      <c r="L1030">
        <v>30</v>
      </c>
      <c r="M1030" t="s">
        <v>41</v>
      </c>
      <c r="N1030">
        <v>1.1777</v>
      </c>
      <c r="O1030">
        <v>1.348871835986714</v>
      </c>
      <c r="P1030">
        <v>6.4169345611071755E-3</v>
      </c>
      <c r="Q1030">
        <v>6.4169345611071755E-3</v>
      </c>
      <c r="R1030">
        <v>13290.866196779818</v>
      </c>
      <c r="S1030" t="s">
        <v>16</v>
      </c>
      <c r="T1030">
        <v>6.4599999999999996E-3</v>
      </c>
      <c r="U1030">
        <v>13380.064081</v>
      </c>
      <c r="V1030">
        <v>-89.197884220182459</v>
      </c>
      <c r="W1030">
        <v>-6.6664766087963295E-3</v>
      </c>
    </row>
    <row r="1031" spans="1:23" x14ac:dyDescent="0.25">
      <c r="A1031" t="s">
        <v>1036</v>
      </c>
      <c r="B1031" t="s">
        <v>38</v>
      </c>
      <c r="C1031" t="s">
        <v>87</v>
      </c>
      <c r="D1031" t="s">
        <v>33</v>
      </c>
      <c r="E1031" t="s">
        <v>88</v>
      </c>
      <c r="F1031" s="1">
        <v>45882</v>
      </c>
      <c r="G1031">
        <v>45912</v>
      </c>
      <c r="H1031" t="s">
        <v>6</v>
      </c>
      <c r="I1031">
        <v>2442.62</v>
      </c>
      <c r="J1031" t="s">
        <v>75</v>
      </c>
      <c r="K1031" t="s">
        <v>1037</v>
      </c>
      <c r="L1031">
        <v>30</v>
      </c>
      <c r="M1031" t="s">
        <v>38</v>
      </c>
      <c r="N1031">
        <v>1.1711</v>
      </c>
      <c r="O1031">
        <v>1.3568532035685321</v>
      </c>
      <c r="P1031">
        <v>6.790166405751725E-3</v>
      </c>
      <c r="Q1031">
        <v>1.1711</v>
      </c>
      <c r="R1031">
        <v>2860.5522820000001</v>
      </c>
      <c r="S1031" t="s">
        <v>13</v>
      </c>
      <c r="T1031">
        <v>1.0880000000000001</v>
      </c>
      <c r="U1031">
        <v>2657.5705600000001</v>
      </c>
      <c r="V1031">
        <v>202.98172199999999</v>
      </c>
      <c r="W1031">
        <v>7.6378676470588228E-2</v>
      </c>
    </row>
    <row r="1032" spans="1:23" x14ac:dyDescent="0.25">
      <c r="A1032" t="s">
        <v>1034</v>
      </c>
      <c r="B1032" t="s">
        <v>38</v>
      </c>
      <c r="C1032" t="s">
        <v>87</v>
      </c>
      <c r="D1032" t="s">
        <v>33</v>
      </c>
      <c r="E1032" t="s">
        <v>88</v>
      </c>
      <c r="F1032" s="1">
        <v>45927</v>
      </c>
      <c r="G1032">
        <v>45957</v>
      </c>
      <c r="H1032" t="s">
        <v>6</v>
      </c>
      <c r="I1032">
        <v>2870.28</v>
      </c>
      <c r="J1032" t="s">
        <v>75</v>
      </c>
      <c r="K1032" t="s">
        <v>1035</v>
      </c>
      <c r="L1032">
        <v>30</v>
      </c>
      <c r="M1032" t="s">
        <v>38</v>
      </c>
      <c r="N1032">
        <v>1.1968000000000001</v>
      </c>
      <c r="O1032">
        <v>1.3816670514892635</v>
      </c>
      <c r="P1032">
        <v>6.5227817745803366E-3</v>
      </c>
      <c r="Q1032">
        <v>1.1968000000000001</v>
      </c>
      <c r="R1032">
        <v>3435.1511040000005</v>
      </c>
      <c r="S1032" t="s">
        <v>13</v>
      </c>
      <c r="T1032">
        <v>1.0880000000000001</v>
      </c>
      <c r="U1032">
        <v>3122.8646400000002</v>
      </c>
      <c r="V1032">
        <v>312.28646400000025</v>
      </c>
      <c r="W1032">
        <v>0.10000000000000007</v>
      </c>
    </row>
    <row r="1033" spans="1:23" x14ac:dyDescent="0.25">
      <c r="A1033" t="s">
        <v>1032</v>
      </c>
      <c r="B1033" t="s">
        <v>28</v>
      </c>
      <c r="C1033" t="s">
        <v>111</v>
      </c>
      <c r="D1033" t="s">
        <v>31</v>
      </c>
      <c r="E1033" t="s">
        <v>74</v>
      </c>
      <c r="F1033" s="1">
        <v>46325</v>
      </c>
      <c r="G1033">
        <v>46370</v>
      </c>
      <c r="H1033" t="s">
        <v>9</v>
      </c>
      <c r="I1033">
        <v>3926248.44</v>
      </c>
      <c r="J1033" t="s">
        <v>84</v>
      </c>
      <c r="K1033" t="s">
        <v>1033</v>
      </c>
      <c r="L1033">
        <v>45</v>
      </c>
      <c r="M1033" t="s">
        <v>28</v>
      </c>
      <c r="N1033">
        <v>1.1176999999999999</v>
      </c>
      <c r="O1033">
        <v>1.320456022210408</v>
      </c>
      <c r="P1033">
        <v>6.3200452360757699E-3</v>
      </c>
      <c r="Q1033">
        <v>6.3200452360757699E-3</v>
      </c>
      <c r="R1033">
        <v>24814.067748871923</v>
      </c>
      <c r="S1033" t="s">
        <v>23</v>
      </c>
      <c r="T1033">
        <v>6.8799999999999998E-3</v>
      </c>
      <c r="U1033">
        <v>27012.589267199997</v>
      </c>
      <c r="V1033">
        <v>-2198.5215183280743</v>
      </c>
      <c r="W1033">
        <v>-8.1388773826196151E-2</v>
      </c>
    </row>
    <row r="1034" spans="1:23" x14ac:dyDescent="0.25">
      <c r="A1034" t="s">
        <v>1030</v>
      </c>
      <c r="B1034" t="s">
        <v>32</v>
      </c>
      <c r="C1034" t="s">
        <v>106</v>
      </c>
      <c r="D1034" t="s">
        <v>31</v>
      </c>
      <c r="E1034" t="s">
        <v>74</v>
      </c>
      <c r="F1034" s="1">
        <v>46105</v>
      </c>
      <c r="G1034">
        <v>46135</v>
      </c>
      <c r="H1034" t="s">
        <v>6</v>
      </c>
      <c r="I1034">
        <v>25810.69</v>
      </c>
      <c r="J1034" t="s">
        <v>75</v>
      </c>
      <c r="K1034" t="s">
        <v>1031</v>
      </c>
      <c r="L1034">
        <v>30</v>
      </c>
      <c r="M1034" t="s">
        <v>32</v>
      </c>
      <c r="N1034">
        <v>1.1572</v>
      </c>
      <c r="O1034">
        <v>1.3371696652453751</v>
      </c>
      <c r="P1034">
        <v>6.2922081452884563E-3</v>
      </c>
      <c r="Q1034">
        <v>1.1572</v>
      </c>
      <c r="R1034">
        <v>29868.130467999999</v>
      </c>
      <c r="S1034" t="s">
        <v>16</v>
      </c>
      <c r="T1034">
        <v>1.0649999999999999</v>
      </c>
      <c r="U1034">
        <v>27488.384849999999</v>
      </c>
      <c r="V1034">
        <v>2379.7456180000008</v>
      </c>
      <c r="W1034">
        <v>8.6572769953051673E-2</v>
      </c>
    </row>
    <row r="1035" spans="1:23" x14ac:dyDescent="0.25">
      <c r="A1035" t="s">
        <v>1028</v>
      </c>
      <c r="B1035" t="s">
        <v>30</v>
      </c>
      <c r="C1035" t="s">
        <v>103</v>
      </c>
      <c r="D1035" t="s">
        <v>31</v>
      </c>
      <c r="E1035" t="s">
        <v>74</v>
      </c>
      <c r="F1035" s="1">
        <v>45986</v>
      </c>
      <c r="G1035">
        <v>46016</v>
      </c>
      <c r="H1035" t="s">
        <v>9</v>
      </c>
      <c r="I1035">
        <v>907803.97</v>
      </c>
      <c r="J1035" t="s">
        <v>75</v>
      </c>
      <c r="K1035" t="s">
        <v>1029</v>
      </c>
      <c r="L1035">
        <v>30</v>
      </c>
      <c r="M1035" t="s">
        <v>30</v>
      </c>
      <c r="N1035">
        <v>1.1551</v>
      </c>
      <c r="O1035">
        <v>1.3144060081929905</v>
      </c>
      <c r="P1035">
        <v>6.4022835605808672E-3</v>
      </c>
      <c r="Q1035">
        <v>6.4022835605808672E-3</v>
      </c>
      <c r="R1035">
        <v>5812.0184333610468</v>
      </c>
      <c r="S1035" t="s">
        <v>14</v>
      </c>
      <c r="T1035">
        <v>6.9800000000000001E-3</v>
      </c>
      <c r="U1035">
        <v>6336.4717105999998</v>
      </c>
      <c r="V1035">
        <v>-524.45327723895298</v>
      </c>
      <c r="W1035">
        <v>-8.2767398197583456E-2</v>
      </c>
    </row>
    <row r="1036" spans="1:23" x14ac:dyDescent="0.25">
      <c r="A1036" t="s">
        <v>1026</v>
      </c>
      <c r="B1036" t="s">
        <v>40</v>
      </c>
      <c r="C1036" t="s">
        <v>78</v>
      </c>
      <c r="D1036" t="s">
        <v>33</v>
      </c>
      <c r="E1036" t="s">
        <v>79</v>
      </c>
      <c r="F1036" s="1">
        <v>45926</v>
      </c>
      <c r="G1036">
        <v>45956</v>
      </c>
      <c r="H1036" t="s">
        <v>9</v>
      </c>
      <c r="I1036">
        <v>2717558.4</v>
      </c>
      <c r="J1036" t="s">
        <v>75</v>
      </c>
      <c r="K1036" t="s">
        <v>1027</v>
      </c>
      <c r="L1036">
        <v>30</v>
      </c>
      <c r="M1036" t="s">
        <v>40</v>
      </c>
      <c r="N1036">
        <v>1.1672</v>
      </c>
      <c r="O1036">
        <v>1.3354691075514875</v>
      </c>
      <c r="P1036">
        <v>6.6777275587848279E-3</v>
      </c>
      <c r="Q1036">
        <v>6.6777275587848279E-3</v>
      </c>
      <c r="R1036">
        <v>18147.114620287201</v>
      </c>
      <c r="S1036" t="s">
        <v>13</v>
      </c>
      <c r="T1036">
        <v>6.8399999999999997E-3</v>
      </c>
      <c r="U1036">
        <v>18588.099456</v>
      </c>
      <c r="V1036">
        <v>-440.98483571279939</v>
      </c>
      <c r="W1036">
        <v>-2.3724041113329375E-2</v>
      </c>
    </row>
    <row r="1037" spans="1:23" x14ac:dyDescent="0.25">
      <c r="A1037" t="s">
        <v>1024</v>
      </c>
      <c r="B1037" t="s">
        <v>41</v>
      </c>
      <c r="C1037" t="s">
        <v>172</v>
      </c>
      <c r="D1037" t="s">
        <v>33</v>
      </c>
      <c r="E1037" t="s">
        <v>83</v>
      </c>
      <c r="F1037" s="1">
        <v>45902</v>
      </c>
      <c r="G1037">
        <v>45932</v>
      </c>
      <c r="H1037" t="s">
        <v>9</v>
      </c>
      <c r="I1037">
        <v>1843919.43</v>
      </c>
      <c r="J1037" t="s">
        <v>75</v>
      </c>
      <c r="K1037" t="s">
        <v>1025</v>
      </c>
      <c r="L1037">
        <v>30</v>
      </c>
      <c r="M1037" t="s">
        <v>41</v>
      </c>
      <c r="N1037">
        <v>1.1646000000000001</v>
      </c>
      <c r="O1037">
        <v>1.3383130314870146</v>
      </c>
      <c r="P1037">
        <v>6.727902946273831E-3</v>
      </c>
      <c r="Q1037">
        <v>6.727902946273831E-3</v>
      </c>
      <c r="R1037">
        <v>12405.710965788563</v>
      </c>
      <c r="S1037" t="s">
        <v>13</v>
      </c>
      <c r="T1037">
        <v>6.8399999999999997E-3</v>
      </c>
      <c r="U1037">
        <v>12612.408901199999</v>
      </c>
      <c r="V1037">
        <v>-206.69793541143554</v>
      </c>
      <c r="W1037">
        <v>-1.6388458147100625E-2</v>
      </c>
    </row>
    <row r="1038" spans="1:23" x14ac:dyDescent="0.25">
      <c r="A1038" t="s">
        <v>1022</v>
      </c>
      <c r="B1038" t="s">
        <v>42</v>
      </c>
      <c r="C1038" t="s">
        <v>151</v>
      </c>
      <c r="D1038" t="s">
        <v>35</v>
      </c>
      <c r="E1038" t="s">
        <v>152</v>
      </c>
      <c r="F1038" s="1">
        <v>46096</v>
      </c>
      <c r="G1038">
        <v>46126</v>
      </c>
      <c r="H1038" t="s">
        <v>8</v>
      </c>
      <c r="I1038">
        <v>9182.6299999999992</v>
      </c>
      <c r="J1038" t="s">
        <v>75</v>
      </c>
      <c r="K1038" t="s">
        <v>1023</v>
      </c>
      <c r="L1038">
        <v>30</v>
      </c>
      <c r="M1038" t="s">
        <v>42</v>
      </c>
      <c r="N1038">
        <v>1.1555</v>
      </c>
      <c r="O1038">
        <v>1.3367963164349013</v>
      </c>
      <c r="P1038">
        <v>6.2983756677204832E-3</v>
      </c>
      <c r="Q1038">
        <v>1.3367963164349013</v>
      </c>
      <c r="R1038">
        <v>12275.305959184616</v>
      </c>
      <c r="S1038" t="s">
        <v>16</v>
      </c>
      <c r="T1038">
        <v>1.2490000000000001</v>
      </c>
      <c r="U1038">
        <v>11469.104869999999</v>
      </c>
      <c r="V1038">
        <v>806.20108918461665</v>
      </c>
      <c r="W1038">
        <v>7.0293287778143462E-2</v>
      </c>
    </row>
    <row r="1039" spans="1:23" x14ac:dyDescent="0.25">
      <c r="A1039" t="s">
        <v>1020</v>
      </c>
      <c r="B1039" t="s">
        <v>34</v>
      </c>
      <c r="C1039" t="s">
        <v>177</v>
      </c>
      <c r="D1039" t="s">
        <v>31</v>
      </c>
      <c r="E1039" t="s">
        <v>74</v>
      </c>
      <c r="F1039" s="1">
        <v>45818</v>
      </c>
      <c r="G1039">
        <v>45878</v>
      </c>
      <c r="H1039" t="s">
        <v>8</v>
      </c>
      <c r="I1039">
        <v>10756.72</v>
      </c>
      <c r="J1039" t="s">
        <v>75</v>
      </c>
      <c r="K1039" t="s">
        <v>1021</v>
      </c>
      <c r="L1039">
        <v>60</v>
      </c>
      <c r="M1039" t="s">
        <v>34</v>
      </c>
      <c r="N1039">
        <v>1.1429</v>
      </c>
      <c r="O1039">
        <v>1.3503071833648392</v>
      </c>
      <c r="P1039">
        <v>6.9170247533740853E-3</v>
      </c>
      <c r="Q1039">
        <v>1.3503071833648392</v>
      </c>
      <c r="R1039">
        <v>14524.876285444232</v>
      </c>
      <c r="S1039" t="s">
        <v>12</v>
      </c>
      <c r="T1039">
        <v>1.26</v>
      </c>
      <c r="U1039">
        <v>13553.467199999999</v>
      </c>
      <c r="V1039">
        <v>971.40908544423291</v>
      </c>
      <c r="W1039">
        <v>7.1672367749872373E-2</v>
      </c>
    </row>
    <row r="1040" spans="1:23" x14ac:dyDescent="0.25">
      <c r="A1040" t="s">
        <v>1018</v>
      </c>
      <c r="B1040" t="s">
        <v>32</v>
      </c>
      <c r="C1040" t="s">
        <v>106</v>
      </c>
      <c r="D1040" t="s">
        <v>31</v>
      </c>
      <c r="E1040" t="s">
        <v>74</v>
      </c>
      <c r="F1040" s="1">
        <v>46275</v>
      </c>
      <c r="G1040">
        <v>46305</v>
      </c>
      <c r="H1040" t="s">
        <v>6</v>
      </c>
      <c r="I1040">
        <v>23512.23</v>
      </c>
      <c r="J1040" t="s">
        <v>75</v>
      </c>
      <c r="K1040" t="s">
        <v>1019</v>
      </c>
      <c r="L1040">
        <v>30</v>
      </c>
      <c r="M1040" t="s">
        <v>32</v>
      </c>
      <c r="N1040">
        <v>1.1616</v>
      </c>
      <c r="O1040">
        <v>1.3520339870802538</v>
      </c>
      <c r="P1040">
        <v>6.4861242950471831E-3</v>
      </c>
      <c r="Q1040">
        <v>1.1616</v>
      </c>
      <c r="R1040">
        <v>27311.806367999998</v>
      </c>
      <c r="S1040" t="s">
        <v>21</v>
      </c>
      <c r="T1040">
        <v>1.101</v>
      </c>
      <c r="U1040">
        <v>25886.965229999998</v>
      </c>
      <c r="V1040">
        <v>1424.8411379999998</v>
      </c>
      <c r="W1040">
        <v>5.5040871934604899E-2</v>
      </c>
    </row>
    <row r="1041" spans="1:23" x14ac:dyDescent="0.25">
      <c r="A1041" t="s">
        <v>1016</v>
      </c>
      <c r="B1041" t="s">
        <v>39</v>
      </c>
      <c r="C1041" t="s">
        <v>82</v>
      </c>
      <c r="D1041" t="s">
        <v>33</v>
      </c>
      <c r="E1041" t="s">
        <v>83</v>
      </c>
      <c r="F1041" s="1">
        <v>46163</v>
      </c>
      <c r="G1041">
        <v>46208</v>
      </c>
      <c r="H1041" t="s">
        <v>8</v>
      </c>
      <c r="I1041">
        <v>17152.77</v>
      </c>
      <c r="J1041" t="s">
        <v>75</v>
      </c>
      <c r="K1041" t="s">
        <v>1017</v>
      </c>
      <c r="L1041">
        <v>45</v>
      </c>
      <c r="M1041" t="s">
        <v>39</v>
      </c>
      <c r="N1041">
        <v>1.1598999999999999</v>
      </c>
      <c r="O1041">
        <v>1.3419642960443348</v>
      </c>
      <c r="P1041">
        <v>6.2836556693211983E-3</v>
      </c>
      <c r="Q1041">
        <v>1.3419642960443348</v>
      </c>
      <c r="R1041">
        <v>23018.404918260385</v>
      </c>
      <c r="S1041" t="s">
        <v>19</v>
      </c>
      <c r="T1041">
        <v>1.2709999999999999</v>
      </c>
      <c r="U1041">
        <v>21801.17067</v>
      </c>
      <c r="V1041">
        <v>1217.2342482603854</v>
      </c>
      <c r="W1041">
        <v>5.5833435125361798E-2</v>
      </c>
    </row>
    <row r="1042" spans="1:23" x14ac:dyDescent="0.25">
      <c r="A1042" t="s">
        <v>1014</v>
      </c>
      <c r="B1042" t="s">
        <v>39</v>
      </c>
      <c r="C1042" t="s">
        <v>82</v>
      </c>
      <c r="D1042" t="s">
        <v>33</v>
      </c>
      <c r="E1042" t="s">
        <v>83</v>
      </c>
      <c r="F1042" s="1">
        <v>46332</v>
      </c>
      <c r="G1042">
        <v>46377</v>
      </c>
      <c r="H1042" t="s">
        <v>8</v>
      </c>
      <c r="I1042">
        <v>8052.15</v>
      </c>
      <c r="J1042" t="s">
        <v>84</v>
      </c>
      <c r="K1042" t="s">
        <v>1015</v>
      </c>
      <c r="L1042">
        <v>45</v>
      </c>
      <c r="M1042" t="s">
        <v>39</v>
      </c>
      <c r="N1042">
        <v>1.1176999999999999</v>
      </c>
      <c r="O1042">
        <v>1.320456022210408</v>
      </c>
      <c r="P1042">
        <v>6.3200452360757699E-3</v>
      </c>
      <c r="Q1042">
        <v>1.320456022210408</v>
      </c>
      <c r="R1042">
        <v>10632.509959241537</v>
      </c>
      <c r="S1042" t="s">
        <v>23</v>
      </c>
      <c r="T1042">
        <v>1.3149999999999999</v>
      </c>
      <c r="U1042">
        <v>10588.577249999998</v>
      </c>
      <c r="V1042">
        <v>43.93270924153876</v>
      </c>
      <c r="W1042">
        <v>4.1490663197020893E-3</v>
      </c>
    </row>
    <row r="1043" spans="1:23" x14ac:dyDescent="0.25">
      <c r="A1043" t="s">
        <v>1012</v>
      </c>
      <c r="B1043" t="s">
        <v>20</v>
      </c>
      <c r="C1043" t="s">
        <v>123</v>
      </c>
      <c r="D1043" t="s">
        <v>31</v>
      </c>
      <c r="E1043" t="s">
        <v>124</v>
      </c>
      <c r="F1043" s="1">
        <v>46047</v>
      </c>
      <c r="G1043">
        <v>46092</v>
      </c>
      <c r="H1043" t="s">
        <v>6</v>
      </c>
      <c r="I1043">
        <v>21273.14</v>
      </c>
      <c r="J1043" t="s">
        <v>75</v>
      </c>
      <c r="K1043" t="s">
        <v>1013</v>
      </c>
      <c r="L1043">
        <v>45</v>
      </c>
      <c r="M1043" t="s">
        <v>20</v>
      </c>
      <c r="N1043">
        <v>1.1555</v>
      </c>
      <c r="O1043">
        <v>1.3367963164349013</v>
      </c>
      <c r="P1043">
        <v>6.2983756677204832E-3</v>
      </c>
      <c r="Q1043">
        <v>1.1555</v>
      </c>
      <c r="R1043">
        <v>24581.113269999998</v>
      </c>
      <c r="S1043" t="s">
        <v>16</v>
      </c>
      <c r="T1043">
        <v>1.0649999999999999</v>
      </c>
      <c r="U1043">
        <v>22655.894099999998</v>
      </c>
      <c r="V1043">
        <v>1925.2191700000003</v>
      </c>
      <c r="W1043">
        <v>8.497652582159626E-2</v>
      </c>
    </row>
    <row r="1044" spans="1:23" x14ac:dyDescent="0.25">
      <c r="A1044" t="s">
        <v>1010</v>
      </c>
      <c r="B1044" t="s">
        <v>24</v>
      </c>
      <c r="C1044" t="s">
        <v>73</v>
      </c>
      <c r="D1044" t="s">
        <v>31</v>
      </c>
      <c r="E1044" t="s">
        <v>74</v>
      </c>
      <c r="F1044" s="1">
        <v>45804</v>
      </c>
      <c r="G1044">
        <v>45834</v>
      </c>
      <c r="H1044" t="s">
        <v>6</v>
      </c>
      <c r="I1044">
        <v>13627.17</v>
      </c>
      <c r="J1044" t="s">
        <v>75</v>
      </c>
      <c r="K1044" t="s">
        <v>1011</v>
      </c>
      <c r="L1044">
        <v>30</v>
      </c>
      <c r="M1044" t="s">
        <v>24</v>
      </c>
      <c r="N1044">
        <v>1.1355999999999999</v>
      </c>
      <c r="O1044">
        <v>1.3549695740365111</v>
      </c>
      <c r="P1044">
        <v>6.9362325922306374E-3</v>
      </c>
      <c r="Q1044">
        <v>1.1355999999999999</v>
      </c>
      <c r="R1044">
        <v>15475.014251999999</v>
      </c>
      <c r="S1044" t="s">
        <v>12</v>
      </c>
      <c r="T1044">
        <v>1.07</v>
      </c>
      <c r="U1044">
        <v>14581.071900000001</v>
      </c>
      <c r="V1044">
        <v>893.94235199999821</v>
      </c>
      <c r="W1044">
        <v>6.1308411214953146E-2</v>
      </c>
    </row>
    <row r="1045" spans="1:23" x14ac:dyDescent="0.25">
      <c r="A1045" t="s">
        <v>1008</v>
      </c>
      <c r="B1045" t="s">
        <v>36</v>
      </c>
      <c r="C1045" t="s">
        <v>116</v>
      </c>
      <c r="D1045" t="s">
        <v>31</v>
      </c>
      <c r="E1045" t="s">
        <v>74</v>
      </c>
      <c r="F1045" s="1">
        <v>46185</v>
      </c>
      <c r="G1045">
        <v>46230</v>
      </c>
      <c r="H1045" t="s">
        <v>6</v>
      </c>
      <c r="I1045">
        <v>22940.06</v>
      </c>
      <c r="J1045" t="s">
        <v>75</v>
      </c>
      <c r="K1045" t="s">
        <v>1009</v>
      </c>
      <c r="L1045">
        <v>45</v>
      </c>
      <c r="M1045" t="s">
        <v>36</v>
      </c>
      <c r="N1045">
        <v>1.1567000000000001</v>
      </c>
      <c r="O1045">
        <v>1.3402467991425759</v>
      </c>
      <c r="P1045">
        <v>6.2423097679438749E-3</v>
      </c>
      <c r="Q1045">
        <v>1.1567000000000001</v>
      </c>
      <c r="R1045">
        <v>26534.767402000001</v>
      </c>
      <c r="S1045" t="s">
        <v>19</v>
      </c>
      <c r="T1045">
        <v>1.083</v>
      </c>
      <c r="U1045">
        <v>24844.08498</v>
      </c>
      <c r="V1045">
        <v>1690.6824220000017</v>
      </c>
      <c r="W1045">
        <v>6.8051708217913273E-2</v>
      </c>
    </row>
    <row r="1046" spans="1:23" x14ac:dyDescent="0.25">
      <c r="A1046" t="s">
        <v>1006</v>
      </c>
      <c r="B1046" t="s">
        <v>22</v>
      </c>
      <c r="C1046" t="s">
        <v>127</v>
      </c>
      <c r="D1046" t="s">
        <v>31</v>
      </c>
      <c r="E1046" t="s">
        <v>124</v>
      </c>
      <c r="F1046" s="1">
        <v>45957</v>
      </c>
      <c r="G1046">
        <v>46017</v>
      </c>
      <c r="H1046" t="s">
        <v>9</v>
      </c>
      <c r="I1046">
        <v>4970092.1399999997</v>
      </c>
      <c r="J1046" t="s">
        <v>75</v>
      </c>
      <c r="K1046" t="s">
        <v>1007</v>
      </c>
      <c r="L1046">
        <v>60</v>
      </c>
      <c r="M1046" t="s">
        <v>22</v>
      </c>
      <c r="N1046">
        <v>1.1639999999999999</v>
      </c>
      <c r="O1046">
        <v>1.3347093223254214</v>
      </c>
      <c r="P1046">
        <v>6.5418984994098798E-3</v>
      </c>
      <c r="Q1046">
        <v>6.5418984994098798E-3</v>
      </c>
      <c r="R1046">
        <v>32513.838312594835</v>
      </c>
      <c r="S1046" t="s">
        <v>14</v>
      </c>
      <c r="T1046">
        <v>6.9800000000000001E-3</v>
      </c>
      <c r="U1046">
        <v>34691.243137199999</v>
      </c>
      <c r="V1046">
        <v>-2177.4048246051643</v>
      </c>
      <c r="W1046">
        <v>-6.2765257964200682E-2</v>
      </c>
    </row>
    <row r="1047" spans="1:23" x14ac:dyDescent="0.25">
      <c r="A1047" t="s">
        <v>1004</v>
      </c>
      <c r="B1047" t="s">
        <v>44</v>
      </c>
      <c r="C1047" t="s">
        <v>138</v>
      </c>
      <c r="D1047" t="s">
        <v>33</v>
      </c>
      <c r="E1047" t="s">
        <v>88</v>
      </c>
      <c r="F1047" s="1">
        <v>46131</v>
      </c>
      <c r="G1047">
        <v>46176</v>
      </c>
      <c r="H1047" t="s">
        <v>9</v>
      </c>
      <c r="I1047">
        <v>361154.64</v>
      </c>
      <c r="J1047" t="s">
        <v>75</v>
      </c>
      <c r="K1047" t="s">
        <v>1005</v>
      </c>
      <c r="L1047">
        <v>45</v>
      </c>
      <c r="M1047" t="s">
        <v>44</v>
      </c>
      <c r="N1047">
        <v>1.1797</v>
      </c>
      <c r="O1047">
        <v>1.3533636196769456</v>
      </c>
      <c r="P1047">
        <v>6.2843596846366926E-3</v>
      </c>
      <c r="Q1047">
        <v>6.2843596846366926E-3</v>
      </c>
      <c r="R1047">
        <v>2269.6256595354785</v>
      </c>
      <c r="S1047" t="s">
        <v>19</v>
      </c>
      <c r="T1047">
        <v>6.6E-3</v>
      </c>
      <c r="U1047">
        <v>2383.6206240000001</v>
      </c>
      <c r="V1047">
        <v>-113.99496446452167</v>
      </c>
      <c r="W1047">
        <v>-4.782429020656169E-2</v>
      </c>
    </row>
    <row r="1048" spans="1:23" x14ac:dyDescent="0.25">
      <c r="A1048" t="s">
        <v>1002</v>
      </c>
      <c r="B1048" t="s">
        <v>24</v>
      </c>
      <c r="C1048" t="s">
        <v>73</v>
      </c>
      <c r="D1048" t="s">
        <v>31</v>
      </c>
      <c r="E1048" t="s">
        <v>74</v>
      </c>
      <c r="F1048" s="1">
        <v>45965</v>
      </c>
      <c r="G1048">
        <v>45995</v>
      </c>
      <c r="H1048" t="s">
        <v>6</v>
      </c>
      <c r="I1048">
        <v>32899.67</v>
      </c>
      <c r="J1048" t="s">
        <v>75</v>
      </c>
      <c r="K1048" t="s">
        <v>1003</v>
      </c>
      <c r="L1048">
        <v>30</v>
      </c>
      <c r="M1048" t="s">
        <v>24</v>
      </c>
      <c r="N1048">
        <v>1.1491</v>
      </c>
      <c r="O1048">
        <v>1.3065378055713475</v>
      </c>
      <c r="P1048">
        <v>6.5145416406825786E-3</v>
      </c>
      <c r="Q1048">
        <v>1.1491</v>
      </c>
      <c r="R1048">
        <v>37805.010796999995</v>
      </c>
      <c r="S1048" t="s">
        <v>14</v>
      </c>
      <c r="T1048">
        <v>1.1060000000000001</v>
      </c>
      <c r="U1048">
        <v>36387.035020000003</v>
      </c>
      <c r="V1048">
        <v>1417.9757769999924</v>
      </c>
      <c r="W1048">
        <v>3.8969258589511543E-2</v>
      </c>
    </row>
    <row r="1049" spans="1:23" x14ac:dyDescent="0.25">
      <c r="A1049" t="s">
        <v>1000</v>
      </c>
      <c r="B1049" t="s">
        <v>37</v>
      </c>
      <c r="C1049" t="s">
        <v>91</v>
      </c>
      <c r="D1049" t="s">
        <v>31</v>
      </c>
      <c r="E1049" t="s">
        <v>74</v>
      </c>
      <c r="F1049" s="1">
        <v>46210</v>
      </c>
      <c r="G1049">
        <v>46240</v>
      </c>
      <c r="H1049" t="s">
        <v>6</v>
      </c>
      <c r="I1049">
        <v>8071.13</v>
      </c>
      <c r="J1049" t="s">
        <v>75</v>
      </c>
      <c r="K1049" t="s">
        <v>1001</v>
      </c>
      <c r="L1049">
        <v>30</v>
      </c>
      <c r="M1049" t="s">
        <v>37</v>
      </c>
      <c r="N1049">
        <v>1.1433</v>
      </c>
      <c r="O1049">
        <v>1.3385863647539544</v>
      </c>
      <c r="P1049">
        <v>6.176994975417364E-3</v>
      </c>
      <c r="Q1049">
        <v>1.1433</v>
      </c>
      <c r="R1049">
        <v>9227.7229289999996</v>
      </c>
      <c r="S1049" t="s">
        <v>21</v>
      </c>
      <c r="T1049">
        <v>1.101</v>
      </c>
      <c r="U1049">
        <v>8886.3141300000007</v>
      </c>
      <c r="V1049">
        <v>341.40879899999891</v>
      </c>
      <c r="W1049">
        <v>3.8419618528610228E-2</v>
      </c>
    </row>
    <row r="1050" spans="1:23" x14ac:dyDescent="0.25">
      <c r="A1050" t="s">
        <v>998</v>
      </c>
      <c r="B1050" t="s">
        <v>24</v>
      </c>
      <c r="C1050" t="s">
        <v>73</v>
      </c>
      <c r="D1050" t="s">
        <v>31</v>
      </c>
      <c r="E1050" t="s">
        <v>74</v>
      </c>
      <c r="F1050" s="1">
        <v>46211</v>
      </c>
      <c r="G1050">
        <v>46241</v>
      </c>
      <c r="H1050" t="s">
        <v>6</v>
      </c>
      <c r="I1050">
        <v>22184.18</v>
      </c>
      <c r="J1050" t="s">
        <v>75</v>
      </c>
      <c r="K1050" t="s">
        <v>999</v>
      </c>
      <c r="L1050">
        <v>30</v>
      </c>
      <c r="M1050" t="s">
        <v>24</v>
      </c>
      <c r="N1050">
        <v>1.1404000000000001</v>
      </c>
      <c r="O1050">
        <v>1.3348159419441681</v>
      </c>
      <c r="P1050">
        <v>6.1543443065299516E-3</v>
      </c>
      <c r="Q1050">
        <v>1.1404000000000001</v>
      </c>
      <c r="R1050">
        <v>25298.838872000004</v>
      </c>
      <c r="S1050" t="s">
        <v>21</v>
      </c>
      <c r="T1050">
        <v>1.101</v>
      </c>
      <c r="U1050">
        <v>24424.782179999998</v>
      </c>
      <c r="V1050">
        <v>874.05669200000557</v>
      </c>
      <c r="W1050">
        <v>3.5785649409627841E-2</v>
      </c>
    </row>
    <row r="1051" spans="1:23" x14ac:dyDescent="0.25">
      <c r="A1051" t="s">
        <v>996</v>
      </c>
      <c r="B1051" t="s">
        <v>22</v>
      </c>
      <c r="C1051" t="s">
        <v>127</v>
      </c>
      <c r="D1051" t="s">
        <v>31</v>
      </c>
      <c r="E1051" t="s">
        <v>124</v>
      </c>
      <c r="F1051" s="1">
        <v>46081</v>
      </c>
      <c r="G1051">
        <v>46141</v>
      </c>
      <c r="H1051" t="s">
        <v>9</v>
      </c>
      <c r="I1051">
        <v>4325939.62</v>
      </c>
      <c r="J1051" t="s">
        <v>75</v>
      </c>
      <c r="K1051" t="s">
        <v>997</v>
      </c>
      <c r="L1051">
        <v>60</v>
      </c>
      <c r="M1051" t="s">
        <v>22</v>
      </c>
      <c r="N1051">
        <v>1.1555</v>
      </c>
      <c r="O1051">
        <v>1.3367963164349013</v>
      </c>
      <c r="P1051">
        <v>6.2983756677204832E-3</v>
      </c>
      <c r="Q1051">
        <v>6.2983756677204832E-3</v>
      </c>
      <c r="R1051">
        <v>27246.392842635993</v>
      </c>
      <c r="S1051" t="s">
        <v>16</v>
      </c>
      <c r="T1051">
        <v>6.4599999999999996E-3</v>
      </c>
      <c r="U1051">
        <v>27945.569945199997</v>
      </c>
      <c r="V1051">
        <v>-699.1771025640046</v>
      </c>
      <c r="W1051">
        <v>-2.5019246482897266E-2</v>
      </c>
    </row>
    <row r="1052" spans="1:23" x14ac:dyDescent="0.25">
      <c r="A1052" t="s">
        <v>994</v>
      </c>
      <c r="B1052" t="s">
        <v>32</v>
      </c>
      <c r="C1052" t="s">
        <v>106</v>
      </c>
      <c r="D1052" t="s">
        <v>31</v>
      </c>
      <c r="E1052" t="s">
        <v>74</v>
      </c>
      <c r="F1052" s="1">
        <v>45830</v>
      </c>
      <c r="G1052">
        <v>45860</v>
      </c>
      <c r="H1052" t="s">
        <v>6</v>
      </c>
      <c r="I1052">
        <v>12715.49</v>
      </c>
      <c r="J1052" t="s">
        <v>75</v>
      </c>
      <c r="K1052" t="s">
        <v>995</v>
      </c>
      <c r="L1052">
        <v>30</v>
      </c>
      <c r="M1052" t="s">
        <v>32</v>
      </c>
      <c r="N1052">
        <v>1.1685000000000001</v>
      </c>
      <c r="O1052">
        <v>1.3513357233722678</v>
      </c>
      <c r="P1052">
        <v>6.7590236001850998E-3</v>
      </c>
      <c r="Q1052">
        <v>1.1685000000000001</v>
      </c>
      <c r="R1052">
        <v>14858.050065000001</v>
      </c>
      <c r="S1052" t="s">
        <v>12</v>
      </c>
      <c r="T1052">
        <v>1.07</v>
      </c>
      <c r="U1052">
        <v>13605.5743</v>
      </c>
      <c r="V1052">
        <v>1252.475765000001</v>
      </c>
      <c r="W1052">
        <v>9.2056074766355217E-2</v>
      </c>
    </row>
    <row r="1053" spans="1:23" x14ac:dyDescent="0.25">
      <c r="A1053" t="s">
        <v>992</v>
      </c>
      <c r="B1053" t="s">
        <v>39</v>
      </c>
      <c r="C1053" t="s">
        <v>82</v>
      </c>
      <c r="D1053" t="s">
        <v>33</v>
      </c>
      <c r="E1053" t="s">
        <v>83</v>
      </c>
      <c r="F1053" s="1">
        <v>45774</v>
      </c>
      <c r="G1053">
        <v>45819</v>
      </c>
      <c r="H1053" t="s">
        <v>8</v>
      </c>
      <c r="I1053">
        <v>14760.26</v>
      </c>
      <c r="J1053" t="s">
        <v>75</v>
      </c>
      <c r="K1053" t="s">
        <v>993</v>
      </c>
      <c r="L1053">
        <v>45</v>
      </c>
      <c r="M1053" t="s">
        <v>39</v>
      </c>
      <c r="N1053">
        <v>1.1597999999999999</v>
      </c>
      <c r="O1053">
        <v>1.3603096410978184</v>
      </c>
      <c r="P1053">
        <v>6.8598805228603536E-3</v>
      </c>
      <c r="Q1053">
        <v>1.3603096410978184</v>
      </c>
      <c r="R1053">
        <v>20078.523983110485</v>
      </c>
      <c r="S1053" t="s">
        <v>12</v>
      </c>
      <c r="T1053">
        <v>1.26</v>
      </c>
      <c r="U1053">
        <v>18597.927599999999</v>
      </c>
      <c r="V1053">
        <v>1480.5963831104855</v>
      </c>
      <c r="W1053">
        <v>7.9610826268109863E-2</v>
      </c>
    </row>
    <row r="1054" spans="1:23" x14ac:dyDescent="0.25">
      <c r="A1054" t="s">
        <v>990</v>
      </c>
      <c r="B1054" t="s">
        <v>20</v>
      </c>
      <c r="C1054" t="s">
        <v>123</v>
      </c>
      <c r="D1054" t="s">
        <v>31</v>
      </c>
      <c r="E1054" t="s">
        <v>124</v>
      </c>
      <c r="F1054" s="1">
        <v>46062</v>
      </c>
      <c r="G1054">
        <v>46107</v>
      </c>
      <c r="H1054" t="s">
        <v>6</v>
      </c>
      <c r="I1054">
        <v>52130.13</v>
      </c>
      <c r="J1054" t="s">
        <v>75</v>
      </c>
      <c r="K1054" t="s">
        <v>991</v>
      </c>
      <c r="L1054">
        <v>45</v>
      </c>
      <c r="M1054" t="s">
        <v>20</v>
      </c>
      <c r="N1054">
        <v>1.1886000000000001</v>
      </c>
      <c r="O1054">
        <v>1.3660498793242157</v>
      </c>
      <c r="P1054">
        <v>6.4023700511715602E-3</v>
      </c>
      <c r="Q1054">
        <v>1.1886000000000001</v>
      </c>
      <c r="R1054">
        <v>61961.872518000004</v>
      </c>
      <c r="S1054" t="s">
        <v>16</v>
      </c>
      <c r="T1054">
        <v>1.0649999999999999</v>
      </c>
      <c r="U1054">
        <v>55518.588449999996</v>
      </c>
      <c r="V1054">
        <v>6443.2840680000081</v>
      </c>
      <c r="W1054">
        <v>0.11605633802816917</v>
      </c>
    </row>
    <row r="1055" spans="1:23" x14ac:dyDescent="0.25">
      <c r="A1055" t="s">
        <v>988</v>
      </c>
      <c r="B1055" t="s">
        <v>43</v>
      </c>
      <c r="C1055" t="s">
        <v>215</v>
      </c>
      <c r="D1055" t="s">
        <v>35</v>
      </c>
      <c r="E1055" t="s">
        <v>152</v>
      </c>
      <c r="F1055" s="1">
        <v>46070</v>
      </c>
      <c r="G1055">
        <v>46100</v>
      </c>
      <c r="H1055" t="s">
        <v>6</v>
      </c>
      <c r="I1055">
        <v>1249.79</v>
      </c>
      <c r="J1055" t="s">
        <v>75</v>
      </c>
      <c r="K1055" t="s">
        <v>989</v>
      </c>
      <c r="L1055">
        <v>30</v>
      </c>
      <c r="M1055" t="s">
        <v>43</v>
      </c>
      <c r="N1055">
        <v>1.1826000000000001</v>
      </c>
      <c r="O1055">
        <v>1.3541738234283753</v>
      </c>
      <c r="P1055">
        <v>6.5315365072351715E-3</v>
      </c>
      <c r="Q1055">
        <v>1.1826000000000001</v>
      </c>
      <c r="R1055">
        <v>1478.0016540000001</v>
      </c>
      <c r="S1055" t="s">
        <v>16</v>
      </c>
      <c r="T1055">
        <v>1.0649999999999999</v>
      </c>
      <c r="U1055">
        <v>1331.0263499999999</v>
      </c>
      <c r="V1055">
        <v>146.97530400000028</v>
      </c>
      <c r="W1055">
        <v>0.11042253521126782</v>
      </c>
    </row>
    <row r="1056" spans="1:23" x14ac:dyDescent="0.25">
      <c r="A1056" t="s">
        <v>986</v>
      </c>
      <c r="B1056" t="s">
        <v>42</v>
      </c>
      <c r="C1056" t="s">
        <v>151</v>
      </c>
      <c r="D1056" t="s">
        <v>35</v>
      </c>
      <c r="E1056" t="s">
        <v>152</v>
      </c>
      <c r="F1056" s="1">
        <v>45864</v>
      </c>
      <c r="G1056">
        <v>45894</v>
      </c>
      <c r="H1056" t="s">
        <v>8</v>
      </c>
      <c r="I1056">
        <v>8573.1</v>
      </c>
      <c r="J1056" t="s">
        <v>75</v>
      </c>
      <c r="K1056" t="s">
        <v>987</v>
      </c>
      <c r="L1056">
        <v>30</v>
      </c>
      <c r="M1056" t="s">
        <v>42</v>
      </c>
      <c r="N1056">
        <v>1.1636</v>
      </c>
      <c r="O1056">
        <v>1.3212217554218235</v>
      </c>
      <c r="P1056">
        <v>6.5714124357598687E-3</v>
      </c>
      <c r="Q1056">
        <v>1.3212217554218235</v>
      </c>
      <c r="R1056">
        <v>11326.966231406836</v>
      </c>
      <c r="S1056" t="s">
        <v>13</v>
      </c>
      <c r="T1056">
        <v>1.282</v>
      </c>
      <c r="U1056">
        <v>10990.7142</v>
      </c>
      <c r="V1056">
        <v>336.25203140683516</v>
      </c>
      <c r="W1056">
        <v>3.0594192996742209E-2</v>
      </c>
    </row>
    <row r="1057" spans="1:23" x14ac:dyDescent="0.25">
      <c r="A1057" t="s">
        <v>984</v>
      </c>
      <c r="B1057" t="s">
        <v>30</v>
      </c>
      <c r="C1057" t="s">
        <v>103</v>
      </c>
      <c r="D1057" t="s">
        <v>31</v>
      </c>
      <c r="E1057" t="s">
        <v>74</v>
      </c>
      <c r="F1057" s="1">
        <v>46281</v>
      </c>
      <c r="G1057">
        <v>46311</v>
      </c>
      <c r="H1057" t="s">
        <v>9</v>
      </c>
      <c r="I1057">
        <v>3403951.41</v>
      </c>
      <c r="J1057" t="s">
        <v>75</v>
      </c>
      <c r="K1057" t="s">
        <v>985</v>
      </c>
      <c r="L1057">
        <v>30</v>
      </c>
      <c r="M1057" t="s">
        <v>30</v>
      </c>
      <c r="N1057">
        <v>1.1536999999999999</v>
      </c>
      <c r="O1057">
        <v>1.3455796594355025</v>
      </c>
      <c r="P1057">
        <v>6.4495751341681574E-3</v>
      </c>
      <c r="Q1057">
        <v>6.4495751341681574E-3</v>
      </c>
      <c r="R1057">
        <v>21954.04037185264</v>
      </c>
      <c r="S1057" t="s">
        <v>21</v>
      </c>
      <c r="T1057">
        <v>6.7400000000000003E-3</v>
      </c>
      <c r="U1057">
        <v>22942.632503400004</v>
      </c>
      <c r="V1057">
        <v>-988.59213154736426</v>
      </c>
      <c r="W1057">
        <v>-4.3089742705021271E-2</v>
      </c>
    </row>
    <row r="1058" spans="1:23" x14ac:dyDescent="0.25">
      <c r="A1058" t="s">
        <v>982</v>
      </c>
      <c r="B1058" t="s">
        <v>22</v>
      </c>
      <c r="C1058" t="s">
        <v>127</v>
      </c>
      <c r="D1058" t="s">
        <v>31</v>
      </c>
      <c r="E1058" t="s">
        <v>124</v>
      </c>
      <c r="F1058" s="1">
        <v>46218</v>
      </c>
      <c r="G1058">
        <v>46278</v>
      </c>
      <c r="H1058" t="s">
        <v>9</v>
      </c>
      <c r="I1058">
        <v>7609707.5899999999</v>
      </c>
      <c r="J1058" t="s">
        <v>75</v>
      </c>
      <c r="K1058" t="s">
        <v>983</v>
      </c>
      <c r="L1058">
        <v>60</v>
      </c>
      <c r="M1058" t="s">
        <v>22</v>
      </c>
      <c r="N1058">
        <v>1.1406000000000001</v>
      </c>
      <c r="O1058">
        <v>1.3404157803814651</v>
      </c>
      <c r="P1058">
        <v>6.1580822805312602E-3</v>
      </c>
      <c r="Q1058">
        <v>6.1580822805312602E-3</v>
      </c>
      <c r="R1058">
        <v>46861.205470003239</v>
      </c>
      <c r="S1058" t="s">
        <v>21</v>
      </c>
      <c r="T1058">
        <v>6.7400000000000003E-3</v>
      </c>
      <c r="U1058">
        <v>51289.429156600003</v>
      </c>
      <c r="V1058">
        <v>-4428.2236865967643</v>
      </c>
      <c r="W1058">
        <v>-8.6337940573997088E-2</v>
      </c>
    </row>
    <row r="1059" spans="1:23" x14ac:dyDescent="0.25">
      <c r="A1059" t="s">
        <v>980</v>
      </c>
      <c r="B1059" t="s">
        <v>24</v>
      </c>
      <c r="C1059" t="s">
        <v>73</v>
      </c>
      <c r="D1059" t="s">
        <v>31</v>
      </c>
      <c r="E1059" t="s">
        <v>74</v>
      </c>
      <c r="F1059" s="1">
        <v>45854</v>
      </c>
      <c r="G1059">
        <v>45884</v>
      </c>
      <c r="H1059" t="s">
        <v>6</v>
      </c>
      <c r="I1059">
        <v>10381.530000000001</v>
      </c>
      <c r="J1059" t="s">
        <v>75</v>
      </c>
      <c r="K1059" t="s">
        <v>981</v>
      </c>
      <c r="L1059">
        <v>30</v>
      </c>
      <c r="M1059" t="s">
        <v>24</v>
      </c>
      <c r="N1059">
        <v>1.1601999999999999</v>
      </c>
      <c r="O1059">
        <v>1.3398775840166299</v>
      </c>
      <c r="P1059">
        <v>6.723458507185906E-3</v>
      </c>
      <c r="Q1059">
        <v>1.1601999999999999</v>
      </c>
      <c r="R1059">
        <v>12044.651105999999</v>
      </c>
      <c r="S1059" t="s">
        <v>13</v>
      </c>
      <c r="T1059">
        <v>1.0880000000000001</v>
      </c>
      <c r="U1059">
        <v>11295.104640000001</v>
      </c>
      <c r="V1059">
        <v>749.54646599999796</v>
      </c>
      <c r="W1059">
        <v>6.6360294117646865E-2</v>
      </c>
    </row>
    <row r="1060" spans="1:23" x14ac:dyDescent="0.25">
      <c r="A1060" t="s">
        <v>978</v>
      </c>
      <c r="B1060" t="s">
        <v>39</v>
      </c>
      <c r="C1060" t="s">
        <v>82</v>
      </c>
      <c r="D1060" t="s">
        <v>33</v>
      </c>
      <c r="E1060" t="s">
        <v>83</v>
      </c>
      <c r="F1060" s="1">
        <v>45823</v>
      </c>
      <c r="G1060">
        <v>45868</v>
      </c>
      <c r="H1060" t="s">
        <v>8</v>
      </c>
      <c r="I1060">
        <v>14825.62</v>
      </c>
      <c r="J1060" t="s">
        <v>75</v>
      </c>
      <c r="K1060" t="s">
        <v>979</v>
      </c>
      <c r="L1060">
        <v>45</v>
      </c>
      <c r="M1060" t="s">
        <v>39</v>
      </c>
      <c r="N1060">
        <v>1.1646000000000001</v>
      </c>
      <c r="O1060">
        <v>1.3383130314870146</v>
      </c>
      <c r="P1060">
        <v>6.727902946273831E-3</v>
      </c>
      <c r="Q1060">
        <v>1.3383130314870146</v>
      </c>
      <c r="R1060">
        <v>19841.320445874517</v>
      </c>
      <c r="S1060" t="s">
        <v>12</v>
      </c>
      <c r="T1060">
        <v>1.26</v>
      </c>
      <c r="U1060">
        <v>18680.281200000001</v>
      </c>
      <c r="V1060">
        <v>1161.0392458745155</v>
      </c>
      <c r="W1060">
        <v>6.2153199592868837E-2</v>
      </c>
    </row>
    <row r="1061" spans="1:23" x14ac:dyDescent="0.25">
      <c r="A1061" t="s">
        <v>976</v>
      </c>
      <c r="B1061" t="s">
        <v>44</v>
      </c>
      <c r="C1061" t="s">
        <v>138</v>
      </c>
      <c r="D1061" t="s">
        <v>33</v>
      </c>
      <c r="E1061" t="s">
        <v>88</v>
      </c>
      <c r="F1061" s="1">
        <v>45909</v>
      </c>
      <c r="G1061">
        <v>45954</v>
      </c>
      <c r="H1061" t="s">
        <v>9</v>
      </c>
      <c r="I1061">
        <v>124114.15</v>
      </c>
      <c r="J1061" t="s">
        <v>75</v>
      </c>
      <c r="K1061" t="s">
        <v>977</v>
      </c>
      <c r="L1061">
        <v>45</v>
      </c>
      <c r="M1061" t="s">
        <v>44</v>
      </c>
      <c r="N1061">
        <v>1.1744000000000001</v>
      </c>
      <c r="O1061">
        <v>1.3556504675054832</v>
      </c>
      <c r="P1061">
        <v>6.8136458575075425E-3</v>
      </c>
      <c r="Q1061">
        <v>6.8136458575075425E-3</v>
      </c>
      <c r="R1061">
        <v>845.66986400556971</v>
      </c>
      <c r="S1061" t="s">
        <v>13</v>
      </c>
      <c r="T1061">
        <v>6.8399999999999997E-3</v>
      </c>
      <c r="U1061">
        <v>848.94078599999989</v>
      </c>
      <c r="V1061">
        <v>-3.2709219944301822</v>
      </c>
      <c r="W1061">
        <v>-3.8529448088387435E-3</v>
      </c>
    </row>
    <row r="1062" spans="1:23" x14ac:dyDescent="0.25">
      <c r="A1062" t="s">
        <v>974</v>
      </c>
      <c r="B1062" t="s">
        <v>41</v>
      </c>
      <c r="C1062" t="s">
        <v>172</v>
      </c>
      <c r="D1062" t="s">
        <v>33</v>
      </c>
      <c r="E1062" t="s">
        <v>83</v>
      </c>
      <c r="F1062" s="1">
        <v>45925</v>
      </c>
      <c r="G1062">
        <v>45955</v>
      </c>
      <c r="H1062" t="s">
        <v>9</v>
      </c>
      <c r="I1062">
        <v>1183740.54</v>
      </c>
      <c r="J1062" t="s">
        <v>75</v>
      </c>
      <c r="K1062" t="s">
        <v>975</v>
      </c>
      <c r="L1062">
        <v>30</v>
      </c>
      <c r="M1062" t="s">
        <v>41</v>
      </c>
      <c r="N1062">
        <v>1.1738999999999999</v>
      </c>
      <c r="O1062">
        <v>1.3419067215363512</v>
      </c>
      <c r="P1062">
        <v>6.7195191757298224E-3</v>
      </c>
      <c r="Q1062">
        <v>6.7195191757298224E-3</v>
      </c>
      <c r="R1062">
        <v>7954.1672576187748</v>
      </c>
      <c r="S1062" t="s">
        <v>13</v>
      </c>
      <c r="T1062">
        <v>6.8399999999999997E-3</v>
      </c>
      <c r="U1062">
        <v>8096.7852935999999</v>
      </c>
      <c r="V1062">
        <v>-142.61803598122515</v>
      </c>
      <c r="W1062">
        <v>-1.7614155595055206E-2</v>
      </c>
    </row>
    <row r="1063" spans="1:23" x14ac:dyDescent="0.25">
      <c r="A1063" t="s">
        <v>972</v>
      </c>
      <c r="B1063" t="s">
        <v>44</v>
      </c>
      <c r="C1063" t="s">
        <v>138</v>
      </c>
      <c r="D1063" t="s">
        <v>33</v>
      </c>
      <c r="E1063" t="s">
        <v>88</v>
      </c>
      <c r="F1063" s="1">
        <v>45999</v>
      </c>
      <c r="G1063">
        <v>46044</v>
      </c>
      <c r="H1063" t="s">
        <v>9</v>
      </c>
      <c r="I1063">
        <v>548768.64</v>
      </c>
      <c r="J1063" t="s">
        <v>75</v>
      </c>
      <c r="K1063" t="s">
        <v>973</v>
      </c>
      <c r="L1063">
        <v>45</v>
      </c>
      <c r="M1063" t="s">
        <v>44</v>
      </c>
      <c r="N1063">
        <v>1.1655</v>
      </c>
      <c r="O1063">
        <v>1.3326091927738395</v>
      </c>
      <c r="P1063">
        <v>6.4289260301174916E-3</v>
      </c>
      <c r="Q1063">
        <v>6.4289260301174916E-3</v>
      </c>
      <c r="R1063">
        <v>3527.9929942081749</v>
      </c>
      <c r="S1063" t="s">
        <v>14</v>
      </c>
      <c r="T1063">
        <v>6.9800000000000001E-3</v>
      </c>
      <c r="U1063">
        <v>3830.4051072000002</v>
      </c>
      <c r="V1063">
        <v>-302.41211299182532</v>
      </c>
      <c r="W1063">
        <v>-7.8950425484600115E-2</v>
      </c>
    </row>
    <row r="1064" spans="1:23" x14ac:dyDescent="0.25">
      <c r="A1064" t="s">
        <v>970</v>
      </c>
      <c r="B1064" t="s">
        <v>41</v>
      </c>
      <c r="C1064" t="s">
        <v>172</v>
      </c>
      <c r="D1064" t="s">
        <v>33</v>
      </c>
      <c r="E1064" t="s">
        <v>83</v>
      </c>
      <c r="F1064" s="1">
        <v>46349</v>
      </c>
      <c r="G1064">
        <v>46379</v>
      </c>
      <c r="H1064" t="s">
        <v>9</v>
      </c>
      <c r="I1064">
        <v>335301.28999999998</v>
      </c>
      <c r="J1064" t="s">
        <v>84</v>
      </c>
      <c r="K1064" t="s">
        <v>971</v>
      </c>
      <c r="L1064">
        <v>30</v>
      </c>
      <c r="M1064" t="s">
        <v>41</v>
      </c>
      <c r="N1064">
        <v>1.1176999999999999</v>
      </c>
      <c r="O1064">
        <v>1.320456022210408</v>
      </c>
      <c r="P1064">
        <v>6.3200452360757699E-3</v>
      </c>
      <c r="Q1064">
        <v>6.3200452360757699E-3</v>
      </c>
      <c r="R1064">
        <v>2119.1193205145601</v>
      </c>
      <c r="S1064" t="s">
        <v>23</v>
      </c>
      <c r="T1064">
        <v>6.8799999999999998E-3</v>
      </c>
      <c r="U1064">
        <v>2306.8728751999997</v>
      </c>
      <c r="V1064">
        <v>-187.75355468543967</v>
      </c>
      <c r="W1064">
        <v>-8.1388773826196179E-2</v>
      </c>
    </row>
    <row r="1065" spans="1:23" x14ac:dyDescent="0.25">
      <c r="A1065" t="s">
        <v>968</v>
      </c>
      <c r="B1065" t="s">
        <v>43</v>
      </c>
      <c r="C1065" t="s">
        <v>215</v>
      </c>
      <c r="D1065" t="s">
        <v>35</v>
      </c>
      <c r="E1065" t="s">
        <v>152</v>
      </c>
      <c r="F1065" s="1">
        <v>45733</v>
      </c>
      <c r="G1065">
        <v>45763</v>
      </c>
      <c r="H1065" t="s">
        <v>6</v>
      </c>
      <c r="I1065">
        <v>4758.9399999999996</v>
      </c>
      <c r="J1065" t="s">
        <v>75</v>
      </c>
      <c r="K1065" t="s">
        <v>969</v>
      </c>
      <c r="L1065">
        <v>30</v>
      </c>
      <c r="M1065" t="s">
        <v>43</v>
      </c>
      <c r="N1065">
        <v>1.0903</v>
      </c>
      <c r="O1065">
        <v>1.2975745602551592</v>
      </c>
      <c r="P1065">
        <v>6.7194625909034892E-3</v>
      </c>
      <c r="Q1065">
        <v>1.0903</v>
      </c>
      <c r="R1065">
        <v>5188.6722819999995</v>
      </c>
      <c r="S1065" t="s">
        <v>11</v>
      </c>
      <c r="T1065">
        <v>1.052</v>
      </c>
      <c r="U1065">
        <v>5006.40488</v>
      </c>
      <c r="V1065">
        <v>182.26740199999949</v>
      </c>
      <c r="W1065">
        <v>3.6406844106463776E-2</v>
      </c>
    </row>
    <row r="1066" spans="1:23" x14ac:dyDescent="0.25">
      <c r="A1066" t="s">
        <v>966</v>
      </c>
      <c r="B1066" t="s">
        <v>38</v>
      </c>
      <c r="C1066" t="s">
        <v>87</v>
      </c>
      <c r="D1066" t="s">
        <v>33</v>
      </c>
      <c r="E1066" t="s">
        <v>88</v>
      </c>
      <c r="F1066" s="1">
        <v>46357</v>
      </c>
      <c r="G1066">
        <v>46387</v>
      </c>
      <c r="H1066" t="s">
        <v>6</v>
      </c>
      <c r="I1066">
        <v>6881.54</v>
      </c>
      <c r="J1066" t="s">
        <v>84</v>
      </c>
      <c r="K1066" t="s">
        <v>967</v>
      </c>
      <c r="L1066">
        <v>30</v>
      </c>
      <c r="M1066" t="s">
        <v>38</v>
      </c>
      <c r="N1066">
        <v>1.1176999999999999</v>
      </c>
      <c r="O1066">
        <v>1.320456022210408</v>
      </c>
      <c r="P1066">
        <v>6.3200452360757699E-3</v>
      </c>
      <c r="Q1066">
        <v>1.1176999999999999</v>
      </c>
      <c r="R1066">
        <v>7691.4972579999994</v>
      </c>
      <c r="S1066" t="s">
        <v>23</v>
      </c>
      <c r="T1066">
        <v>1.119</v>
      </c>
      <c r="U1066">
        <v>7700.44326</v>
      </c>
      <c r="V1066">
        <v>-8.9460020000005898</v>
      </c>
      <c r="W1066">
        <v>-1.1617515638964126E-3</v>
      </c>
    </row>
    <row r="1067" spans="1:23" x14ac:dyDescent="0.25">
      <c r="A1067" t="s">
        <v>964</v>
      </c>
      <c r="B1067" t="s">
        <v>22</v>
      </c>
      <c r="C1067" t="s">
        <v>127</v>
      </c>
      <c r="D1067" t="s">
        <v>31</v>
      </c>
      <c r="E1067" t="s">
        <v>124</v>
      </c>
      <c r="F1067" s="1">
        <v>45660</v>
      </c>
      <c r="G1067">
        <v>45720</v>
      </c>
      <c r="H1067" t="s">
        <v>9</v>
      </c>
      <c r="I1067">
        <v>5771798.9800000004</v>
      </c>
      <c r="J1067" t="s">
        <v>75</v>
      </c>
      <c r="K1067" t="s">
        <v>965</v>
      </c>
      <c r="L1067">
        <v>60</v>
      </c>
      <c r="M1067" t="s">
        <v>22</v>
      </c>
      <c r="N1067">
        <v>1.0299</v>
      </c>
      <c r="O1067">
        <v>1.240948031761715</v>
      </c>
      <c r="P1067">
        <v>6.3664461890338133E-3</v>
      </c>
      <c r="Q1067">
        <v>6.3664461890338133E-3</v>
      </c>
      <c r="R1067">
        <v>36745.847620090251</v>
      </c>
      <c r="S1067" t="s">
        <v>11</v>
      </c>
      <c r="T1067">
        <v>6.5599999999999999E-3</v>
      </c>
      <c r="U1067">
        <v>37863.001308800005</v>
      </c>
      <c r="V1067">
        <v>-1117.1536887097536</v>
      </c>
      <c r="W1067">
        <v>-2.9505154110699306E-2</v>
      </c>
    </row>
    <row r="1068" spans="1:23" x14ac:dyDescent="0.25">
      <c r="A1068" t="s">
        <v>962</v>
      </c>
      <c r="B1068" t="s">
        <v>42</v>
      </c>
      <c r="C1068" t="s">
        <v>151</v>
      </c>
      <c r="D1068" t="s">
        <v>35</v>
      </c>
      <c r="E1068" t="s">
        <v>152</v>
      </c>
      <c r="F1068" s="1">
        <v>46118</v>
      </c>
      <c r="G1068">
        <v>46148</v>
      </c>
      <c r="H1068" t="s">
        <v>8</v>
      </c>
      <c r="I1068">
        <v>2725.09</v>
      </c>
      <c r="J1068" t="s">
        <v>75</v>
      </c>
      <c r="K1068" t="s">
        <v>963</v>
      </c>
      <c r="L1068">
        <v>30</v>
      </c>
      <c r="M1068" t="s">
        <v>42</v>
      </c>
      <c r="N1068">
        <v>1.1525000000000001</v>
      </c>
      <c r="O1068">
        <v>1.3208714886594157</v>
      </c>
      <c r="P1068">
        <v>6.2656300967706864E-3</v>
      </c>
      <c r="Q1068">
        <v>1.3208714886594157</v>
      </c>
      <c r="R1068">
        <v>3599.4936850308873</v>
      </c>
      <c r="S1068" t="s">
        <v>19</v>
      </c>
      <c r="T1068">
        <v>1.2709999999999999</v>
      </c>
      <c r="U1068">
        <v>3463.5893900000001</v>
      </c>
      <c r="V1068">
        <v>135.90429503088717</v>
      </c>
      <c r="W1068">
        <v>3.923799265099584E-2</v>
      </c>
    </row>
    <row r="1069" spans="1:23" x14ac:dyDescent="0.25">
      <c r="A1069" t="s">
        <v>960</v>
      </c>
      <c r="B1069" t="s">
        <v>36</v>
      </c>
      <c r="C1069" t="s">
        <v>116</v>
      </c>
      <c r="D1069" t="s">
        <v>31</v>
      </c>
      <c r="E1069" t="s">
        <v>74</v>
      </c>
      <c r="F1069" s="1">
        <v>46080</v>
      </c>
      <c r="G1069">
        <v>46125</v>
      </c>
      <c r="H1069" t="s">
        <v>6</v>
      </c>
      <c r="I1069">
        <v>17319.96</v>
      </c>
      <c r="J1069" t="s">
        <v>75</v>
      </c>
      <c r="K1069" t="s">
        <v>961</v>
      </c>
      <c r="L1069">
        <v>45</v>
      </c>
      <c r="M1069" t="s">
        <v>36</v>
      </c>
      <c r="N1069">
        <v>1.1805000000000001</v>
      </c>
      <c r="O1069">
        <v>1.347141389934954</v>
      </c>
      <c r="P1069">
        <v>6.411231195351111E-3</v>
      </c>
      <c r="Q1069">
        <v>1.1805000000000001</v>
      </c>
      <c r="R1069">
        <v>20446.212780000002</v>
      </c>
      <c r="S1069" t="s">
        <v>16</v>
      </c>
      <c r="T1069">
        <v>1.0649999999999999</v>
      </c>
      <c r="U1069">
        <v>18445.757399999999</v>
      </c>
      <c r="V1069">
        <v>2000.4553800000031</v>
      </c>
      <c r="W1069">
        <v>0.10845070422535229</v>
      </c>
    </row>
    <row r="1070" spans="1:23" x14ac:dyDescent="0.25">
      <c r="A1070" t="s">
        <v>958</v>
      </c>
      <c r="B1070" t="s">
        <v>28</v>
      </c>
      <c r="C1070" t="s">
        <v>111</v>
      </c>
      <c r="D1070" t="s">
        <v>31</v>
      </c>
      <c r="E1070" t="s">
        <v>74</v>
      </c>
      <c r="F1070" s="1">
        <v>46160</v>
      </c>
      <c r="G1070">
        <v>46205</v>
      </c>
      <c r="H1070" t="s">
        <v>9</v>
      </c>
      <c r="I1070">
        <v>3798582.64</v>
      </c>
      <c r="J1070" t="s">
        <v>75</v>
      </c>
      <c r="K1070" t="s">
        <v>959</v>
      </c>
      <c r="L1070">
        <v>45</v>
      </c>
      <c r="M1070" t="s">
        <v>28</v>
      </c>
      <c r="N1070">
        <v>1.1648000000000001</v>
      </c>
      <c r="O1070">
        <v>1.3385428637094923</v>
      </c>
      <c r="P1070">
        <v>6.2985994700697559E-3</v>
      </c>
      <c r="Q1070">
        <v>6.2985994700697559E-3</v>
      </c>
      <c r="R1070">
        <v>23925.750603320175</v>
      </c>
      <c r="S1070" t="s">
        <v>19</v>
      </c>
      <c r="T1070">
        <v>6.6E-3</v>
      </c>
      <c r="U1070">
        <v>25070.645424000002</v>
      </c>
      <c r="V1070">
        <v>-1144.8948206798268</v>
      </c>
      <c r="W1070">
        <v>-4.5666746959127938E-2</v>
      </c>
    </row>
    <row r="1071" spans="1:23" x14ac:dyDescent="0.25">
      <c r="A1071" t="s">
        <v>956</v>
      </c>
      <c r="B1071" t="s">
        <v>20</v>
      </c>
      <c r="C1071" t="s">
        <v>123</v>
      </c>
      <c r="D1071" t="s">
        <v>31</v>
      </c>
      <c r="E1071" t="s">
        <v>124</v>
      </c>
      <c r="F1071" s="1">
        <v>45690</v>
      </c>
      <c r="G1071">
        <v>45735</v>
      </c>
      <c r="H1071" t="s">
        <v>6</v>
      </c>
      <c r="I1071">
        <v>33195.43</v>
      </c>
      <c r="J1071" t="s">
        <v>75</v>
      </c>
      <c r="K1071" t="s">
        <v>957</v>
      </c>
      <c r="L1071">
        <v>45</v>
      </c>
      <c r="M1071" t="s">
        <v>20</v>
      </c>
      <c r="N1071">
        <v>1.0466</v>
      </c>
      <c r="O1071">
        <v>1.2635518531932874</v>
      </c>
      <c r="P1071">
        <v>6.6743192398443976E-3</v>
      </c>
      <c r="Q1071">
        <v>1.0466</v>
      </c>
      <c r="R1071">
        <v>34742.337037999998</v>
      </c>
      <c r="S1071" t="s">
        <v>11</v>
      </c>
      <c r="T1071">
        <v>1.052</v>
      </c>
      <c r="U1071">
        <v>34921.592360000002</v>
      </c>
      <c r="V1071">
        <v>-179.25532200000453</v>
      </c>
      <c r="W1071">
        <v>-5.1330798479088747E-3</v>
      </c>
    </row>
    <row r="1072" spans="1:23" x14ac:dyDescent="0.25">
      <c r="A1072" t="s">
        <v>954</v>
      </c>
      <c r="B1072" t="s">
        <v>37</v>
      </c>
      <c r="C1072" t="s">
        <v>91</v>
      </c>
      <c r="D1072" t="s">
        <v>31</v>
      </c>
      <c r="E1072" t="s">
        <v>74</v>
      </c>
      <c r="F1072" s="1">
        <v>45702</v>
      </c>
      <c r="G1072">
        <v>45732</v>
      </c>
      <c r="H1072" t="s">
        <v>6</v>
      </c>
      <c r="I1072">
        <v>8495.74</v>
      </c>
      <c r="J1072" t="s">
        <v>75</v>
      </c>
      <c r="K1072" t="s">
        <v>955</v>
      </c>
      <c r="L1072">
        <v>30</v>
      </c>
      <c r="M1072" t="s">
        <v>37</v>
      </c>
      <c r="N1072">
        <v>1.0478000000000001</v>
      </c>
      <c r="O1072">
        <v>1.2591479901460074</v>
      </c>
      <c r="P1072">
        <v>6.5450683990255481E-3</v>
      </c>
      <c r="Q1072">
        <v>1.0478000000000001</v>
      </c>
      <c r="R1072">
        <v>8901.8363719999998</v>
      </c>
      <c r="S1072" t="s">
        <v>11</v>
      </c>
      <c r="T1072">
        <v>1.052</v>
      </c>
      <c r="U1072">
        <v>8937.5184800000006</v>
      </c>
      <c r="V1072">
        <v>-35.682108000000881</v>
      </c>
      <c r="W1072">
        <v>-3.9923954372624556E-3</v>
      </c>
    </row>
    <row r="1073" spans="1:23" x14ac:dyDescent="0.25">
      <c r="A1073" t="s">
        <v>952</v>
      </c>
      <c r="B1073" t="s">
        <v>39</v>
      </c>
      <c r="C1073" t="s">
        <v>82</v>
      </c>
      <c r="D1073" t="s">
        <v>33</v>
      </c>
      <c r="E1073" t="s">
        <v>83</v>
      </c>
      <c r="F1073" s="1">
        <v>46344</v>
      </c>
      <c r="G1073">
        <v>46389</v>
      </c>
      <c r="H1073" t="s">
        <v>8</v>
      </c>
      <c r="I1073">
        <v>11797.3</v>
      </c>
      <c r="J1073" t="s">
        <v>84</v>
      </c>
      <c r="K1073" t="s">
        <v>953</v>
      </c>
      <c r="L1073">
        <v>45</v>
      </c>
      <c r="M1073" t="s">
        <v>39</v>
      </c>
      <c r="N1073">
        <v>1.1176999999999999</v>
      </c>
      <c r="O1073">
        <v>1.320456022210408</v>
      </c>
      <c r="P1073">
        <v>6.3200452360757699E-3</v>
      </c>
      <c r="Q1073">
        <v>1.320456022210408</v>
      </c>
      <c r="R1073">
        <v>15577.815830822845</v>
      </c>
      <c r="S1073" t="s">
        <v>23</v>
      </c>
      <c r="T1073">
        <v>1.3149999999999999</v>
      </c>
      <c r="U1073">
        <v>15513.449499999999</v>
      </c>
      <c r="V1073">
        <v>64.366330822846066</v>
      </c>
      <c r="W1073">
        <v>4.1490663197018864E-3</v>
      </c>
    </row>
    <row r="1074" spans="1:23" x14ac:dyDescent="0.25">
      <c r="A1074" t="s">
        <v>950</v>
      </c>
      <c r="B1074" t="s">
        <v>24</v>
      </c>
      <c r="C1074" t="s">
        <v>73</v>
      </c>
      <c r="D1074" t="s">
        <v>31</v>
      </c>
      <c r="E1074" t="s">
        <v>74</v>
      </c>
      <c r="F1074" s="1">
        <v>45761</v>
      </c>
      <c r="G1074">
        <v>45791</v>
      </c>
      <c r="H1074" t="s">
        <v>6</v>
      </c>
      <c r="I1074">
        <v>26271.23</v>
      </c>
      <c r="J1074" t="s">
        <v>75</v>
      </c>
      <c r="K1074" t="s">
        <v>951</v>
      </c>
      <c r="L1074">
        <v>30</v>
      </c>
      <c r="M1074" t="s">
        <v>24</v>
      </c>
      <c r="N1074">
        <v>1.1376999999999999</v>
      </c>
      <c r="O1074">
        <v>1.3170415475267123</v>
      </c>
      <c r="P1074">
        <v>6.981039455114438E-3</v>
      </c>
      <c r="Q1074">
        <v>1.1376999999999999</v>
      </c>
      <c r="R1074">
        <v>29888.778370999997</v>
      </c>
      <c r="S1074" t="s">
        <v>12</v>
      </c>
      <c r="T1074">
        <v>1.07</v>
      </c>
      <c r="U1074">
        <v>28110.216100000001</v>
      </c>
      <c r="V1074">
        <v>1778.5622709999952</v>
      </c>
      <c r="W1074">
        <v>6.3271028037383006E-2</v>
      </c>
    </row>
    <row r="1075" spans="1:23" x14ac:dyDescent="0.25">
      <c r="A1075" t="s">
        <v>948</v>
      </c>
      <c r="B1075" t="s">
        <v>40</v>
      </c>
      <c r="C1075" t="s">
        <v>78</v>
      </c>
      <c r="D1075" t="s">
        <v>33</v>
      </c>
      <c r="E1075" t="s">
        <v>79</v>
      </c>
      <c r="F1075" s="1">
        <v>46221</v>
      </c>
      <c r="G1075">
        <v>46251</v>
      </c>
      <c r="H1075" t="s">
        <v>9</v>
      </c>
      <c r="I1075">
        <v>1775109.42</v>
      </c>
      <c r="J1075" t="s">
        <v>75</v>
      </c>
      <c r="K1075" t="s">
        <v>949</v>
      </c>
      <c r="L1075">
        <v>30</v>
      </c>
      <c r="M1075" t="s">
        <v>40</v>
      </c>
      <c r="N1075">
        <v>1.1435</v>
      </c>
      <c r="O1075">
        <v>1.3437448588685985</v>
      </c>
      <c r="P1075">
        <v>6.1594398060867217E-3</v>
      </c>
      <c r="Q1075">
        <v>6.1594398060867217E-3</v>
      </c>
      <c r="R1075">
        <v>10933.679621707513</v>
      </c>
      <c r="S1075" t="s">
        <v>21</v>
      </c>
      <c r="T1075">
        <v>6.7400000000000003E-3</v>
      </c>
      <c r="U1075">
        <v>11964.2374908</v>
      </c>
      <c r="V1075">
        <v>-1030.5578690924867</v>
      </c>
      <c r="W1075">
        <v>-8.6136527286836517E-2</v>
      </c>
    </row>
    <row r="1076" spans="1:23" x14ac:dyDescent="0.25">
      <c r="A1076" t="s">
        <v>946</v>
      </c>
      <c r="B1076" t="s">
        <v>28</v>
      </c>
      <c r="C1076" t="s">
        <v>111</v>
      </c>
      <c r="D1076" t="s">
        <v>31</v>
      </c>
      <c r="E1076" t="s">
        <v>74</v>
      </c>
      <c r="F1076" s="1">
        <v>46082</v>
      </c>
      <c r="G1076">
        <v>46127</v>
      </c>
      <c r="H1076" t="s">
        <v>9</v>
      </c>
      <c r="I1076">
        <v>3527847.49</v>
      </c>
      <c r="J1076" t="s">
        <v>75</v>
      </c>
      <c r="K1076" t="s">
        <v>947</v>
      </c>
      <c r="L1076">
        <v>45</v>
      </c>
      <c r="M1076" t="s">
        <v>28</v>
      </c>
      <c r="N1076">
        <v>1.1555</v>
      </c>
      <c r="O1076">
        <v>1.3367963164349013</v>
      </c>
      <c r="P1076">
        <v>6.2983756677204832E-3</v>
      </c>
      <c r="Q1076">
        <v>6.2983756677204832E-3</v>
      </c>
      <c r="R1076">
        <v>22219.708790444784</v>
      </c>
      <c r="S1076" t="s">
        <v>16</v>
      </c>
      <c r="T1076">
        <v>6.4599999999999996E-3</v>
      </c>
      <c r="U1076">
        <v>22789.8947854</v>
      </c>
      <c r="V1076">
        <v>-570.1859949552163</v>
      </c>
      <c r="W1076">
        <v>-2.5019246482897207E-2</v>
      </c>
    </row>
    <row r="1077" spans="1:23" x14ac:dyDescent="0.25">
      <c r="A1077" t="s">
        <v>944</v>
      </c>
      <c r="B1077" t="s">
        <v>39</v>
      </c>
      <c r="C1077" t="s">
        <v>82</v>
      </c>
      <c r="D1077" t="s">
        <v>33</v>
      </c>
      <c r="E1077" t="s">
        <v>83</v>
      </c>
      <c r="F1077" s="1">
        <v>46112</v>
      </c>
      <c r="G1077">
        <v>46157</v>
      </c>
      <c r="H1077" t="s">
        <v>8</v>
      </c>
      <c r="I1077">
        <v>15333.64</v>
      </c>
      <c r="J1077" t="s">
        <v>75</v>
      </c>
      <c r="K1077" t="s">
        <v>945</v>
      </c>
      <c r="L1077">
        <v>45</v>
      </c>
      <c r="M1077" t="s">
        <v>39</v>
      </c>
      <c r="N1077">
        <v>1.1497999999999999</v>
      </c>
      <c r="O1077">
        <v>1.3241509564336138</v>
      </c>
      <c r="P1077">
        <v>6.2696984568406128E-3</v>
      </c>
      <c r="Q1077">
        <v>1.3241509564336138</v>
      </c>
      <c r="R1077">
        <v>20304.054071608716</v>
      </c>
      <c r="S1077" t="s">
        <v>16</v>
      </c>
      <c r="T1077">
        <v>1.2490000000000001</v>
      </c>
      <c r="U1077">
        <v>19151.716360000002</v>
      </c>
      <c r="V1077">
        <v>1152.337711608714</v>
      </c>
      <c r="W1077">
        <v>6.0168900267104516E-2</v>
      </c>
    </row>
    <row r="1078" spans="1:23" x14ac:dyDescent="0.25">
      <c r="A1078" t="s">
        <v>942</v>
      </c>
      <c r="B1078" t="s">
        <v>26</v>
      </c>
      <c r="C1078" t="s">
        <v>94</v>
      </c>
      <c r="D1078" t="s">
        <v>31</v>
      </c>
      <c r="E1078" t="s">
        <v>74</v>
      </c>
      <c r="F1078" s="1">
        <v>46273</v>
      </c>
      <c r="G1078">
        <v>46303</v>
      </c>
      <c r="H1078" t="s">
        <v>8</v>
      </c>
      <c r="I1078">
        <v>6605.87</v>
      </c>
      <c r="J1078" t="s">
        <v>75</v>
      </c>
      <c r="K1078" t="s">
        <v>943</v>
      </c>
      <c r="L1078">
        <v>30</v>
      </c>
      <c r="M1078" t="s">
        <v>26</v>
      </c>
      <c r="N1078">
        <v>1.1614</v>
      </c>
      <c r="O1078">
        <v>1.3545602985770935</v>
      </c>
      <c r="P1078">
        <v>6.4810267857142861E-3</v>
      </c>
      <c r="Q1078">
        <v>1.3545602985770935</v>
      </c>
      <c r="R1078">
        <v>8948.0492395614638</v>
      </c>
      <c r="S1078" t="s">
        <v>21</v>
      </c>
      <c r="T1078">
        <v>1.2929999999999999</v>
      </c>
      <c r="U1078">
        <v>8541.3899099999999</v>
      </c>
      <c r="V1078">
        <v>406.65932956146389</v>
      </c>
      <c r="W1078">
        <v>4.7610439734797672E-2</v>
      </c>
    </row>
    <row r="1079" spans="1:23" x14ac:dyDescent="0.25">
      <c r="A1079" t="s">
        <v>940</v>
      </c>
      <c r="B1079" t="s">
        <v>41</v>
      </c>
      <c r="C1079" t="s">
        <v>172</v>
      </c>
      <c r="D1079" t="s">
        <v>33</v>
      </c>
      <c r="E1079" t="s">
        <v>83</v>
      </c>
      <c r="F1079" s="1">
        <v>45729</v>
      </c>
      <c r="G1079">
        <v>45759</v>
      </c>
      <c r="H1079" t="s">
        <v>9</v>
      </c>
      <c r="I1079">
        <v>1298860.8600000001</v>
      </c>
      <c r="J1079" t="s">
        <v>75</v>
      </c>
      <c r="K1079" t="s">
        <v>941</v>
      </c>
      <c r="L1079">
        <v>30</v>
      </c>
      <c r="M1079" t="s">
        <v>41</v>
      </c>
      <c r="N1079">
        <v>1.083</v>
      </c>
      <c r="O1079">
        <v>1.2927021413736304</v>
      </c>
      <c r="P1079">
        <v>6.741782868525897E-3</v>
      </c>
      <c r="Q1079">
        <v>6.741782868525897E-3</v>
      </c>
      <c r="R1079">
        <v>8756.637894546815</v>
      </c>
      <c r="S1079" t="s">
        <v>11</v>
      </c>
      <c r="T1079">
        <v>6.5599999999999999E-3</v>
      </c>
      <c r="U1079">
        <v>8520.5272416000007</v>
      </c>
      <c r="V1079">
        <v>236.1106529468143</v>
      </c>
      <c r="W1079">
        <v>2.7710803128947803E-2</v>
      </c>
    </row>
    <row r="1080" spans="1:23" x14ac:dyDescent="0.25">
      <c r="A1080" t="s">
        <v>938</v>
      </c>
      <c r="B1080" t="s">
        <v>25</v>
      </c>
      <c r="C1080" t="s">
        <v>169</v>
      </c>
      <c r="D1080" t="s">
        <v>31</v>
      </c>
      <c r="E1080" t="s">
        <v>124</v>
      </c>
      <c r="F1080" s="1">
        <v>46257</v>
      </c>
      <c r="G1080">
        <v>46317</v>
      </c>
      <c r="H1080" t="s">
        <v>6</v>
      </c>
      <c r="I1080">
        <v>55645.09</v>
      </c>
      <c r="J1080" t="s">
        <v>75</v>
      </c>
      <c r="K1080" t="s">
        <v>939</v>
      </c>
      <c r="L1080">
        <v>60</v>
      </c>
      <c r="M1080" t="s">
        <v>25</v>
      </c>
      <c r="N1080">
        <v>1.1698999999999999</v>
      </c>
      <c r="O1080">
        <v>1.3655888875919224</v>
      </c>
      <c r="P1080">
        <v>6.3013034579338578E-3</v>
      </c>
      <c r="Q1080">
        <v>1.1698999999999999</v>
      </c>
      <c r="R1080">
        <v>65099.190790999994</v>
      </c>
      <c r="S1080" t="s">
        <v>21</v>
      </c>
      <c r="T1080">
        <v>1.101</v>
      </c>
      <c r="U1080">
        <v>61265.244089999993</v>
      </c>
      <c r="V1080">
        <v>3833.9467010000008</v>
      </c>
      <c r="W1080">
        <v>6.2579473206176225E-2</v>
      </c>
    </row>
    <row r="1081" spans="1:23" x14ac:dyDescent="0.25">
      <c r="A1081" t="s">
        <v>936</v>
      </c>
      <c r="B1081" t="s">
        <v>24</v>
      </c>
      <c r="C1081" t="s">
        <v>73</v>
      </c>
      <c r="D1081" t="s">
        <v>31</v>
      </c>
      <c r="E1081" t="s">
        <v>74</v>
      </c>
      <c r="F1081" s="1">
        <v>46155</v>
      </c>
      <c r="G1081">
        <v>46185</v>
      </c>
      <c r="H1081" t="s">
        <v>6</v>
      </c>
      <c r="I1081">
        <v>17105.919999999998</v>
      </c>
      <c r="J1081" t="s">
        <v>75</v>
      </c>
      <c r="K1081" t="s">
        <v>937</v>
      </c>
      <c r="L1081">
        <v>30</v>
      </c>
      <c r="M1081" t="s">
        <v>24</v>
      </c>
      <c r="N1081">
        <v>1.1715</v>
      </c>
      <c r="O1081">
        <v>1.3510084993022962</v>
      </c>
      <c r="P1081">
        <v>6.3382567764973217E-3</v>
      </c>
      <c r="Q1081">
        <v>1.1715</v>
      </c>
      <c r="R1081">
        <v>20039.585279999999</v>
      </c>
      <c r="S1081" t="s">
        <v>19</v>
      </c>
      <c r="T1081">
        <v>1.083</v>
      </c>
      <c r="U1081">
        <v>18525.711359999998</v>
      </c>
      <c r="V1081">
        <v>1513.8739200000018</v>
      </c>
      <c r="W1081">
        <v>8.1717451523545814E-2</v>
      </c>
    </row>
    <row r="1082" spans="1:23" x14ac:dyDescent="0.25">
      <c r="A1082" t="s">
        <v>934</v>
      </c>
      <c r="B1082" t="s">
        <v>24</v>
      </c>
      <c r="C1082" t="s">
        <v>73</v>
      </c>
      <c r="D1082" t="s">
        <v>31</v>
      </c>
      <c r="E1082" t="s">
        <v>74</v>
      </c>
      <c r="F1082" s="1">
        <v>45966</v>
      </c>
      <c r="G1082">
        <v>45996</v>
      </c>
      <c r="H1082" t="s">
        <v>6</v>
      </c>
      <c r="I1082">
        <v>15931.61</v>
      </c>
      <c r="J1082" t="s">
        <v>75</v>
      </c>
      <c r="K1082" t="s">
        <v>935</v>
      </c>
      <c r="L1082">
        <v>30</v>
      </c>
      <c r="M1082" t="s">
        <v>24</v>
      </c>
      <c r="N1082">
        <v>1.1492</v>
      </c>
      <c r="O1082">
        <v>1.3044267877412032</v>
      </c>
      <c r="P1082">
        <v>6.5047829286239891E-3</v>
      </c>
      <c r="Q1082">
        <v>1.1492</v>
      </c>
      <c r="R1082">
        <v>18308.606212000002</v>
      </c>
      <c r="S1082" t="s">
        <v>14</v>
      </c>
      <c r="T1082">
        <v>1.1060000000000001</v>
      </c>
      <c r="U1082">
        <v>17620.360660000002</v>
      </c>
      <c r="V1082">
        <v>688.24555200000032</v>
      </c>
      <c r="W1082">
        <v>3.9059674502712492E-2</v>
      </c>
    </row>
    <row r="1083" spans="1:23" x14ac:dyDescent="0.25">
      <c r="A1083" t="s">
        <v>932</v>
      </c>
      <c r="B1083" t="s">
        <v>30</v>
      </c>
      <c r="C1083" t="s">
        <v>103</v>
      </c>
      <c r="D1083" t="s">
        <v>31</v>
      </c>
      <c r="E1083" t="s">
        <v>74</v>
      </c>
      <c r="F1083" s="1">
        <v>46122</v>
      </c>
      <c r="G1083">
        <v>46152</v>
      </c>
      <c r="H1083" t="s">
        <v>9</v>
      </c>
      <c r="I1083">
        <v>2206851.42</v>
      </c>
      <c r="J1083" t="s">
        <v>75</v>
      </c>
      <c r="K1083" t="s">
        <v>933</v>
      </c>
      <c r="L1083">
        <v>30</v>
      </c>
      <c r="M1083" t="s">
        <v>30</v>
      </c>
      <c r="N1083">
        <v>1.1711</v>
      </c>
      <c r="O1083">
        <v>1.3444693186384249</v>
      </c>
      <c r="P1083">
        <v>6.2817143163653921E-3</v>
      </c>
      <c r="Q1083">
        <v>6.2817143163653921E-3</v>
      </c>
      <c r="R1083">
        <v>13862.810159105295</v>
      </c>
      <c r="S1083" t="s">
        <v>19</v>
      </c>
      <c r="T1083">
        <v>6.6E-3</v>
      </c>
      <c r="U1083">
        <v>14565.219372</v>
      </c>
      <c r="V1083">
        <v>-702.40921289470498</v>
      </c>
      <c r="W1083">
        <v>-4.8225103581001183E-2</v>
      </c>
    </row>
    <row r="1084" spans="1:23" x14ac:dyDescent="0.25">
      <c r="A1084" t="s">
        <v>930</v>
      </c>
      <c r="B1084" t="s">
        <v>38</v>
      </c>
      <c r="C1084" t="s">
        <v>87</v>
      </c>
      <c r="D1084" t="s">
        <v>33</v>
      </c>
      <c r="E1084" t="s">
        <v>88</v>
      </c>
      <c r="F1084" s="1">
        <v>46289</v>
      </c>
      <c r="G1084">
        <v>46319</v>
      </c>
      <c r="H1084" t="s">
        <v>6</v>
      </c>
      <c r="I1084">
        <v>2289.62</v>
      </c>
      <c r="J1084" t="s">
        <v>75</v>
      </c>
      <c r="K1084" t="s">
        <v>931</v>
      </c>
      <c r="L1084">
        <v>30</v>
      </c>
      <c r="M1084" t="s">
        <v>38</v>
      </c>
      <c r="N1084">
        <v>1.1367</v>
      </c>
      <c r="O1084">
        <v>1.3219593887377017</v>
      </c>
      <c r="P1084">
        <v>6.2950656255191901E-3</v>
      </c>
      <c r="Q1084">
        <v>1.1367</v>
      </c>
      <c r="R1084">
        <v>2602.611054</v>
      </c>
      <c r="S1084" t="s">
        <v>21</v>
      </c>
      <c r="T1084">
        <v>1.101</v>
      </c>
      <c r="U1084">
        <v>2520.8716199999999</v>
      </c>
      <c r="V1084">
        <v>81.739434000000074</v>
      </c>
      <c r="W1084">
        <v>3.2425068119891036E-2</v>
      </c>
    </row>
    <row r="1085" spans="1:23" x14ac:dyDescent="0.25">
      <c r="A1085" t="s">
        <v>928</v>
      </c>
      <c r="B1085" t="s">
        <v>20</v>
      </c>
      <c r="C1085" t="s">
        <v>123</v>
      </c>
      <c r="D1085" t="s">
        <v>31</v>
      </c>
      <c r="E1085" t="s">
        <v>124</v>
      </c>
      <c r="F1085" s="1">
        <v>46051</v>
      </c>
      <c r="G1085">
        <v>46096</v>
      </c>
      <c r="H1085" t="s">
        <v>6</v>
      </c>
      <c r="I1085">
        <v>23959.06</v>
      </c>
      <c r="J1085" t="s">
        <v>75</v>
      </c>
      <c r="K1085" t="s">
        <v>929</v>
      </c>
      <c r="L1085">
        <v>45</v>
      </c>
      <c r="M1085" t="s">
        <v>20</v>
      </c>
      <c r="N1085">
        <v>1.1968000000000001</v>
      </c>
      <c r="O1085">
        <v>1.3816670514892635</v>
      </c>
      <c r="P1085">
        <v>6.5227817745803366E-3</v>
      </c>
      <c r="Q1085">
        <v>1.1968000000000001</v>
      </c>
      <c r="R1085">
        <v>28674.203008000004</v>
      </c>
      <c r="S1085" t="s">
        <v>16</v>
      </c>
      <c r="T1085">
        <v>1.0649999999999999</v>
      </c>
      <c r="U1085">
        <v>25516.3989</v>
      </c>
      <c r="V1085">
        <v>3157.8041080000039</v>
      </c>
      <c r="W1085">
        <v>0.12375586854460109</v>
      </c>
    </row>
    <row r="1086" spans="1:23" x14ac:dyDescent="0.25">
      <c r="A1086" t="s">
        <v>926</v>
      </c>
      <c r="B1086" t="s">
        <v>22</v>
      </c>
      <c r="C1086" t="s">
        <v>127</v>
      </c>
      <c r="D1086" t="s">
        <v>31</v>
      </c>
      <c r="E1086" t="s">
        <v>124</v>
      </c>
      <c r="F1086" s="1">
        <v>46350</v>
      </c>
      <c r="G1086">
        <v>46410</v>
      </c>
      <c r="H1086" t="s">
        <v>9</v>
      </c>
      <c r="I1086">
        <v>5876418.21</v>
      </c>
      <c r="J1086" t="s">
        <v>84</v>
      </c>
      <c r="K1086" t="s">
        <v>927</v>
      </c>
      <c r="L1086">
        <v>60</v>
      </c>
      <c r="M1086" t="s">
        <v>22</v>
      </c>
      <c r="N1086">
        <v>1.1176999999999999</v>
      </c>
      <c r="O1086">
        <v>1.320456022210408</v>
      </c>
      <c r="P1086">
        <v>6.3200452360757699E-3</v>
      </c>
      <c r="Q1086">
        <v>6.3200452360757699E-3</v>
      </c>
      <c r="R1086">
        <v>37139.228913299405</v>
      </c>
      <c r="S1086" t="s">
        <v>23</v>
      </c>
      <c r="T1086">
        <v>6.8799999999999998E-3</v>
      </c>
      <c r="U1086">
        <v>40429.757284799998</v>
      </c>
      <c r="V1086">
        <v>-3290.5283715005935</v>
      </c>
      <c r="W1086">
        <v>-8.1388773826196151E-2</v>
      </c>
    </row>
    <row r="1087" spans="1:23" x14ac:dyDescent="0.25">
      <c r="A1087" t="s">
        <v>924</v>
      </c>
      <c r="B1087" t="s">
        <v>28</v>
      </c>
      <c r="C1087" t="s">
        <v>111</v>
      </c>
      <c r="D1087" t="s">
        <v>31</v>
      </c>
      <c r="E1087" t="s">
        <v>74</v>
      </c>
      <c r="F1087" s="1">
        <v>46263</v>
      </c>
      <c r="G1087">
        <v>46308</v>
      </c>
      <c r="H1087" t="s">
        <v>9</v>
      </c>
      <c r="I1087">
        <v>1382932.53</v>
      </c>
      <c r="J1087" t="s">
        <v>75</v>
      </c>
      <c r="K1087" t="s">
        <v>925</v>
      </c>
      <c r="L1087">
        <v>45</v>
      </c>
      <c r="M1087" t="s">
        <v>28</v>
      </c>
      <c r="N1087">
        <v>1.1642999999999999</v>
      </c>
      <c r="O1087">
        <v>1.3582594493700419</v>
      </c>
      <c r="P1087">
        <v>6.2623709122203094E-3</v>
      </c>
      <c r="Q1087">
        <v>6.2623709122203094E-3</v>
      </c>
      <c r="R1087">
        <v>8660.4364494352412</v>
      </c>
      <c r="S1087" t="s">
        <v>21</v>
      </c>
      <c r="T1087">
        <v>6.7400000000000003E-3</v>
      </c>
      <c r="U1087">
        <v>9320.9652522000015</v>
      </c>
      <c r="V1087">
        <v>-660.52880276476026</v>
      </c>
      <c r="W1087">
        <v>-7.0864849818945252E-2</v>
      </c>
    </row>
    <row r="1088" spans="1:23" x14ac:dyDescent="0.25">
      <c r="A1088" t="s">
        <v>922</v>
      </c>
      <c r="B1088" t="s">
        <v>44</v>
      </c>
      <c r="C1088" t="s">
        <v>138</v>
      </c>
      <c r="D1088" t="s">
        <v>33</v>
      </c>
      <c r="E1088" t="s">
        <v>88</v>
      </c>
      <c r="F1088" s="1">
        <v>46322</v>
      </c>
      <c r="G1088">
        <v>46367</v>
      </c>
      <c r="H1088" t="s">
        <v>9</v>
      </c>
      <c r="I1088">
        <v>222564.51</v>
      </c>
      <c r="J1088" t="s">
        <v>84</v>
      </c>
      <c r="K1088" t="s">
        <v>923</v>
      </c>
      <c r="L1088">
        <v>45</v>
      </c>
      <c r="M1088" t="s">
        <v>44</v>
      </c>
      <c r="N1088">
        <v>1.1176999999999999</v>
      </c>
      <c r="O1088">
        <v>1.320456022210408</v>
      </c>
      <c r="P1088">
        <v>6.3200452360757699E-3</v>
      </c>
      <c r="Q1088">
        <v>6.3200452360757699E-3</v>
      </c>
      <c r="R1088">
        <v>1406.6177711450382</v>
      </c>
      <c r="S1088" t="s">
        <v>23</v>
      </c>
      <c r="T1088">
        <v>6.8799999999999998E-3</v>
      </c>
      <c r="U1088">
        <v>1531.2438288000001</v>
      </c>
      <c r="V1088">
        <v>-124.62605765496187</v>
      </c>
      <c r="W1088">
        <v>-8.1388773826196179E-2</v>
      </c>
    </row>
    <row r="1089" spans="1:23" x14ac:dyDescent="0.25">
      <c r="A1089" t="s">
        <v>920</v>
      </c>
      <c r="B1089" t="s">
        <v>41</v>
      </c>
      <c r="C1089" t="s">
        <v>172</v>
      </c>
      <c r="D1089" t="s">
        <v>33</v>
      </c>
      <c r="E1089" t="s">
        <v>83</v>
      </c>
      <c r="F1089" s="1">
        <v>46167</v>
      </c>
      <c r="G1089">
        <v>46197</v>
      </c>
      <c r="H1089" t="s">
        <v>9</v>
      </c>
      <c r="I1089">
        <v>1544418.48</v>
      </c>
      <c r="J1089" t="s">
        <v>75</v>
      </c>
      <c r="K1089" t="s">
        <v>921</v>
      </c>
      <c r="L1089">
        <v>30</v>
      </c>
      <c r="M1089" t="s">
        <v>41</v>
      </c>
      <c r="N1089">
        <v>1.1642999999999999</v>
      </c>
      <c r="O1089">
        <v>1.3498347921859601</v>
      </c>
      <c r="P1089">
        <v>6.2921530479896235E-3</v>
      </c>
      <c r="Q1089">
        <v>6.2921530479896235E-3</v>
      </c>
      <c r="R1089">
        <v>9717.7174463035008</v>
      </c>
      <c r="S1089" t="s">
        <v>19</v>
      </c>
      <c r="T1089">
        <v>6.6E-3</v>
      </c>
      <c r="U1089">
        <v>10193.161968</v>
      </c>
      <c r="V1089">
        <v>-475.44452169649958</v>
      </c>
      <c r="W1089">
        <v>-4.6643477577329867E-2</v>
      </c>
    </row>
    <row r="1090" spans="1:23" x14ac:dyDescent="0.25">
      <c r="A1090" t="s">
        <v>918</v>
      </c>
      <c r="B1090" t="s">
        <v>22</v>
      </c>
      <c r="C1090" t="s">
        <v>127</v>
      </c>
      <c r="D1090" t="s">
        <v>31</v>
      </c>
      <c r="E1090" t="s">
        <v>124</v>
      </c>
      <c r="F1090" s="1">
        <v>45770</v>
      </c>
      <c r="G1090">
        <v>45830</v>
      </c>
      <c r="H1090" t="s">
        <v>9</v>
      </c>
      <c r="I1090">
        <v>1601519.28</v>
      </c>
      <c r="J1090" t="s">
        <v>75</v>
      </c>
      <c r="K1090" t="s">
        <v>919</v>
      </c>
      <c r="L1090">
        <v>60</v>
      </c>
      <c r="M1090" t="s">
        <v>22</v>
      </c>
      <c r="N1090">
        <v>1.1415</v>
      </c>
      <c r="O1090">
        <v>1.3305281316657536</v>
      </c>
      <c r="P1090">
        <v>7.0602424542305781E-3</v>
      </c>
      <c r="Q1090">
        <v>7.0602424542305781E-3</v>
      </c>
      <c r="R1090">
        <v>11307.114411924789</v>
      </c>
      <c r="S1090" t="s">
        <v>12</v>
      </c>
      <c r="T1090">
        <v>6.7000000000000002E-3</v>
      </c>
      <c r="U1090">
        <v>10730.179176</v>
      </c>
      <c r="V1090">
        <v>576.93523592478959</v>
      </c>
      <c r="W1090">
        <v>5.3767530482175953E-2</v>
      </c>
    </row>
    <row r="1091" spans="1:23" x14ac:dyDescent="0.25">
      <c r="A1091" t="s">
        <v>916</v>
      </c>
      <c r="B1091" t="s">
        <v>28</v>
      </c>
      <c r="C1091" t="s">
        <v>111</v>
      </c>
      <c r="D1091" t="s">
        <v>31</v>
      </c>
      <c r="E1091" t="s">
        <v>74</v>
      </c>
      <c r="F1091" s="1">
        <v>46126</v>
      </c>
      <c r="G1091">
        <v>46171</v>
      </c>
      <c r="H1091" t="s">
        <v>9</v>
      </c>
      <c r="I1091">
        <v>4614848.28</v>
      </c>
      <c r="J1091" t="s">
        <v>75</v>
      </c>
      <c r="K1091" t="s">
        <v>917</v>
      </c>
      <c r="L1091">
        <v>45</v>
      </c>
      <c r="M1091" t="s">
        <v>28</v>
      </c>
      <c r="N1091">
        <v>1.1793</v>
      </c>
      <c r="O1091">
        <v>1.3568741154948052</v>
      </c>
      <c r="P1091">
        <v>6.2953077456894251E-3</v>
      </c>
      <c r="Q1091">
        <v>6.2953077456894251E-3</v>
      </c>
      <c r="R1091">
        <v>29051.890122265522</v>
      </c>
      <c r="S1091" t="s">
        <v>19</v>
      </c>
      <c r="T1091">
        <v>6.6E-3</v>
      </c>
      <c r="U1091">
        <v>30457.998648000001</v>
      </c>
      <c r="V1091">
        <v>-1406.1085257344785</v>
      </c>
      <c r="W1091">
        <v>-4.6165493077359808E-2</v>
      </c>
    </row>
    <row r="1092" spans="1:23" x14ac:dyDescent="0.25">
      <c r="A1092" t="s">
        <v>914</v>
      </c>
      <c r="B1092" t="s">
        <v>39</v>
      </c>
      <c r="C1092" t="s">
        <v>82</v>
      </c>
      <c r="D1092" t="s">
        <v>33</v>
      </c>
      <c r="E1092" t="s">
        <v>83</v>
      </c>
      <c r="F1092" s="1">
        <v>46235</v>
      </c>
      <c r="G1092">
        <v>46280</v>
      </c>
      <c r="H1092" t="s">
        <v>8</v>
      </c>
      <c r="I1092">
        <v>11814.48</v>
      </c>
      <c r="J1092" t="s">
        <v>75</v>
      </c>
      <c r="K1092" t="s">
        <v>915</v>
      </c>
      <c r="L1092">
        <v>45</v>
      </c>
      <c r="M1092" t="s">
        <v>39</v>
      </c>
      <c r="N1092">
        <v>1.1485000000000001</v>
      </c>
      <c r="O1092">
        <v>1.3421289425402874</v>
      </c>
      <c r="P1092">
        <v>6.2408302994077054E-3</v>
      </c>
      <c r="Q1092">
        <v>1.3421289425402874</v>
      </c>
      <c r="R1092">
        <v>15856.555549063374</v>
      </c>
      <c r="S1092" t="s">
        <v>21</v>
      </c>
      <c r="T1092">
        <v>1.2929999999999999</v>
      </c>
      <c r="U1092">
        <v>15276.122639999998</v>
      </c>
      <c r="V1092">
        <v>580.43290906337643</v>
      </c>
      <c r="W1092">
        <v>3.7996088584909167E-2</v>
      </c>
    </row>
    <row r="1093" spans="1:23" x14ac:dyDescent="0.25">
      <c r="A1093" t="s">
        <v>912</v>
      </c>
      <c r="B1093" t="s">
        <v>26</v>
      </c>
      <c r="C1093" t="s">
        <v>94</v>
      </c>
      <c r="D1093" t="s">
        <v>31</v>
      </c>
      <c r="E1093" t="s">
        <v>74</v>
      </c>
      <c r="F1093" s="1">
        <v>45773</v>
      </c>
      <c r="G1093">
        <v>45803</v>
      </c>
      <c r="H1093" t="s">
        <v>8</v>
      </c>
      <c r="I1093">
        <v>17704.11</v>
      </c>
      <c r="J1093" t="s">
        <v>75</v>
      </c>
      <c r="K1093" t="s">
        <v>913</v>
      </c>
      <c r="L1093">
        <v>30</v>
      </c>
      <c r="M1093" t="s">
        <v>26</v>
      </c>
      <c r="N1093">
        <v>1.1607000000000001</v>
      </c>
      <c r="O1093">
        <v>1.3612055822680897</v>
      </c>
      <c r="P1093">
        <v>6.8978427527188451E-3</v>
      </c>
      <c r="Q1093">
        <v>1.3612055822680897</v>
      </c>
      <c r="R1093">
        <v>24098.933361088311</v>
      </c>
      <c r="S1093" t="s">
        <v>12</v>
      </c>
      <c r="T1093">
        <v>1.26</v>
      </c>
      <c r="U1093">
        <v>22307.178599999999</v>
      </c>
      <c r="V1093">
        <v>1791.7547610883121</v>
      </c>
      <c r="W1093">
        <v>8.0321890688960201E-2</v>
      </c>
    </row>
    <row r="1094" spans="1:23" x14ac:dyDescent="0.25">
      <c r="A1094" t="s">
        <v>910</v>
      </c>
      <c r="B1094" t="s">
        <v>24</v>
      </c>
      <c r="C1094" t="s">
        <v>73</v>
      </c>
      <c r="D1094" t="s">
        <v>31</v>
      </c>
      <c r="E1094" t="s">
        <v>74</v>
      </c>
      <c r="F1094" s="1">
        <v>45835</v>
      </c>
      <c r="G1094">
        <v>45865</v>
      </c>
      <c r="H1094" t="s">
        <v>6</v>
      </c>
      <c r="I1094">
        <v>24054.720000000001</v>
      </c>
      <c r="J1094" t="s">
        <v>75</v>
      </c>
      <c r="K1094" t="s">
        <v>911</v>
      </c>
      <c r="L1094">
        <v>30</v>
      </c>
      <c r="M1094" t="s">
        <v>24</v>
      </c>
      <c r="N1094">
        <v>1.1704000000000001</v>
      </c>
      <c r="O1094">
        <v>1.3722593504514013</v>
      </c>
      <c r="P1094">
        <v>6.9156227842117708E-3</v>
      </c>
      <c r="Q1094">
        <v>1.1704000000000001</v>
      </c>
      <c r="R1094">
        <v>28153.644288000003</v>
      </c>
      <c r="S1094" t="s">
        <v>12</v>
      </c>
      <c r="T1094">
        <v>1.07</v>
      </c>
      <c r="U1094">
        <v>25738.550400000004</v>
      </c>
      <c r="V1094">
        <v>2415.0938879999994</v>
      </c>
      <c r="W1094">
        <v>9.3831775700934539E-2</v>
      </c>
    </row>
    <row r="1095" spans="1:23" x14ac:dyDescent="0.25">
      <c r="A1095" t="s">
        <v>908</v>
      </c>
      <c r="B1095" t="s">
        <v>34</v>
      </c>
      <c r="C1095" t="s">
        <v>177</v>
      </c>
      <c r="D1095" t="s">
        <v>31</v>
      </c>
      <c r="E1095" t="s">
        <v>74</v>
      </c>
      <c r="F1095" s="1">
        <v>46174</v>
      </c>
      <c r="G1095">
        <v>46234</v>
      </c>
      <c r="H1095" t="s">
        <v>8</v>
      </c>
      <c r="I1095">
        <v>20951.060000000001</v>
      </c>
      <c r="J1095" t="s">
        <v>75</v>
      </c>
      <c r="K1095" t="s">
        <v>909</v>
      </c>
      <c r="L1095">
        <v>60</v>
      </c>
      <c r="M1095" t="s">
        <v>34</v>
      </c>
      <c r="N1095">
        <v>1.1646000000000001</v>
      </c>
      <c r="O1095">
        <v>1.3464673441781416</v>
      </c>
      <c r="P1095">
        <v>6.2700549154732421E-3</v>
      </c>
      <c r="Q1095">
        <v>1.3464673441781416</v>
      </c>
      <c r="R1095">
        <v>28209.918115916898</v>
      </c>
      <c r="S1095" t="s">
        <v>19</v>
      </c>
      <c r="T1095">
        <v>1.2709999999999999</v>
      </c>
      <c r="U1095">
        <v>26628.797259999999</v>
      </c>
      <c r="V1095">
        <v>1581.120855916899</v>
      </c>
      <c r="W1095">
        <v>5.9376352618522248E-2</v>
      </c>
    </row>
    <row r="1096" spans="1:23" x14ac:dyDescent="0.25">
      <c r="A1096" t="s">
        <v>906</v>
      </c>
      <c r="B1096" t="s">
        <v>36</v>
      </c>
      <c r="C1096" t="s">
        <v>116</v>
      </c>
      <c r="D1096" t="s">
        <v>31</v>
      </c>
      <c r="E1096" t="s">
        <v>74</v>
      </c>
      <c r="F1096" s="1">
        <v>46369</v>
      </c>
      <c r="G1096">
        <v>46414</v>
      </c>
      <c r="H1096" t="s">
        <v>6</v>
      </c>
      <c r="I1096">
        <v>24663.65</v>
      </c>
      <c r="J1096" t="s">
        <v>84</v>
      </c>
      <c r="K1096" t="s">
        <v>907</v>
      </c>
      <c r="L1096">
        <v>45</v>
      </c>
      <c r="M1096" t="s">
        <v>36</v>
      </c>
      <c r="N1096">
        <v>1.1176999999999999</v>
      </c>
      <c r="O1096">
        <v>1.320456022210408</v>
      </c>
      <c r="P1096">
        <v>6.3200452360757699E-3</v>
      </c>
      <c r="Q1096">
        <v>1.1176999999999999</v>
      </c>
      <c r="R1096">
        <v>27566.561604999999</v>
      </c>
      <c r="S1096" t="s">
        <v>23</v>
      </c>
      <c r="T1096">
        <v>1.119</v>
      </c>
      <c r="U1096">
        <v>27598.624350000002</v>
      </c>
      <c r="V1096">
        <v>-32.062745000002906</v>
      </c>
      <c r="W1096">
        <v>-1.1617515638964412E-3</v>
      </c>
    </row>
    <row r="1097" spans="1:23" x14ac:dyDescent="0.25">
      <c r="A1097" t="s">
        <v>904</v>
      </c>
      <c r="B1097" t="s">
        <v>40</v>
      </c>
      <c r="C1097" t="s">
        <v>78</v>
      </c>
      <c r="D1097" t="s">
        <v>33</v>
      </c>
      <c r="E1097" t="s">
        <v>79</v>
      </c>
      <c r="F1097" s="1">
        <v>45863</v>
      </c>
      <c r="G1097">
        <v>45893</v>
      </c>
      <c r="H1097" t="s">
        <v>9</v>
      </c>
      <c r="I1097">
        <v>1342483.58</v>
      </c>
      <c r="J1097" t="s">
        <v>75</v>
      </c>
      <c r="K1097" t="s">
        <v>905</v>
      </c>
      <c r="L1097">
        <v>30</v>
      </c>
      <c r="M1097" t="s">
        <v>40</v>
      </c>
      <c r="N1097">
        <v>1.1724000000000001</v>
      </c>
      <c r="O1097">
        <v>1.3452667814113597</v>
      </c>
      <c r="P1097">
        <v>6.7725723528392354E-3</v>
      </c>
      <c r="Q1097">
        <v>6.7725723528392354E-3</v>
      </c>
      <c r="R1097">
        <v>9092.0671780486409</v>
      </c>
      <c r="S1097" t="s">
        <v>13</v>
      </c>
      <c r="T1097">
        <v>6.8399999999999997E-3</v>
      </c>
      <c r="U1097">
        <v>9182.5876872000008</v>
      </c>
      <c r="V1097">
        <v>-90.520509151359875</v>
      </c>
      <c r="W1097">
        <v>-9.8578431521585425E-3</v>
      </c>
    </row>
    <row r="1098" spans="1:23" x14ac:dyDescent="0.25">
      <c r="A1098" t="s">
        <v>902</v>
      </c>
      <c r="B1098" t="s">
        <v>26</v>
      </c>
      <c r="C1098" t="s">
        <v>94</v>
      </c>
      <c r="D1098" t="s">
        <v>31</v>
      </c>
      <c r="E1098" t="s">
        <v>74</v>
      </c>
      <c r="F1098" s="1">
        <v>46209</v>
      </c>
      <c r="G1098">
        <v>46239</v>
      </c>
      <c r="H1098" t="s">
        <v>8</v>
      </c>
      <c r="I1098">
        <v>12335.28</v>
      </c>
      <c r="J1098" t="s">
        <v>75</v>
      </c>
      <c r="K1098" t="s">
        <v>903</v>
      </c>
      <c r="L1098">
        <v>30</v>
      </c>
      <c r="M1098" t="s">
        <v>26</v>
      </c>
      <c r="N1098">
        <v>1.1415</v>
      </c>
      <c r="O1098">
        <v>1.3344946105824311</v>
      </c>
      <c r="P1098">
        <v>6.1599481949166255E-3</v>
      </c>
      <c r="Q1098">
        <v>1.3344946105824311</v>
      </c>
      <c r="R1098">
        <v>16461.364680025254</v>
      </c>
      <c r="S1098" t="s">
        <v>21</v>
      </c>
      <c r="T1098">
        <v>1.2929999999999999</v>
      </c>
      <c r="U1098">
        <v>15949.517040000001</v>
      </c>
      <c r="V1098">
        <v>511.84764002525299</v>
      </c>
      <c r="W1098">
        <v>3.2091732855708648E-2</v>
      </c>
    </row>
    <row r="1099" spans="1:23" x14ac:dyDescent="0.25">
      <c r="A1099" t="s">
        <v>900</v>
      </c>
      <c r="B1099" t="s">
        <v>34</v>
      </c>
      <c r="C1099" t="s">
        <v>177</v>
      </c>
      <c r="D1099" t="s">
        <v>31</v>
      </c>
      <c r="E1099" t="s">
        <v>74</v>
      </c>
      <c r="F1099" s="1">
        <v>46063</v>
      </c>
      <c r="G1099">
        <v>46123</v>
      </c>
      <c r="H1099" t="s">
        <v>8</v>
      </c>
      <c r="I1099">
        <v>9985.31</v>
      </c>
      <c r="J1099" t="s">
        <v>75</v>
      </c>
      <c r="K1099" t="s">
        <v>901</v>
      </c>
      <c r="L1099">
        <v>60</v>
      </c>
      <c r="M1099" t="s">
        <v>34</v>
      </c>
      <c r="N1099">
        <v>1.1894</v>
      </c>
      <c r="O1099">
        <v>1.3679125934445082</v>
      </c>
      <c r="P1099">
        <v>6.4462630751720776E-3</v>
      </c>
      <c r="Q1099">
        <v>1.3679125934445082</v>
      </c>
      <c r="R1099">
        <v>13659.031298447382</v>
      </c>
      <c r="S1099" t="s">
        <v>16</v>
      </c>
      <c r="T1099">
        <v>1.2490000000000001</v>
      </c>
      <c r="U1099">
        <v>12471.652190000001</v>
      </c>
      <c r="V1099">
        <v>1187.3791084473814</v>
      </c>
      <c r="W1099">
        <v>9.5206239747404414E-2</v>
      </c>
    </row>
    <row r="1100" spans="1:23" x14ac:dyDescent="0.25">
      <c r="A1100" t="s">
        <v>898</v>
      </c>
      <c r="B1100" t="s">
        <v>39</v>
      </c>
      <c r="C1100" t="s">
        <v>82</v>
      </c>
      <c r="D1100" t="s">
        <v>33</v>
      </c>
      <c r="E1100" t="s">
        <v>83</v>
      </c>
      <c r="F1100" s="1">
        <v>46329</v>
      </c>
      <c r="G1100">
        <v>46374</v>
      </c>
      <c r="H1100" t="s">
        <v>8</v>
      </c>
      <c r="I1100">
        <v>8521.2000000000007</v>
      </c>
      <c r="J1100" t="s">
        <v>84</v>
      </c>
      <c r="K1100" t="s">
        <v>899</v>
      </c>
      <c r="L1100">
        <v>45</v>
      </c>
      <c r="M1100" t="s">
        <v>39</v>
      </c>
      <c r="N1100">
        <v>1.1176999999999999</v>
      </c>
      <c r="O1100">
        <v>1.320456022210408</v>
      </c>
      <c r="P1100">
        <v>6.3200452360757699E-3</v>
      </c>
      <c r="Q1100">
        <v>1.320456022210408</v>
      </c>
      <c r="R1100">
        <v>11251.869856459331</v>
      </c>
      <c r="S1100" t="s">
        <v>23</v>
      </c>
      <c r="T1100">
        <v>1.3149999999999999</v>
      </c>
      <c r="U1100">
        <v>11205.378000000001</v>
      </c>
      <c r="V1100">
        <v>46.491856459329938</v>
      </c>
      <c r="W1100">
        <v>4.1490663197020156E-3</v>
      </c>
    </row>
    <row r="1101" spans="1:23" x14ac:dyDescent="0.25">
      <c r="A1101" t="s">
        <v>896</v>
      </c>
      <c r="B1101" t="s">
        <v>22</v>
      </c>
      <c r="C1101" t="s">
        <v>127</v>
      </c>
      <c r="D1101" t="s">
        <v>31</v>
      </c>
      <c r="E1101" t="s">
        <v>124</v>
      </c>
      <c r="F1101" s="1">
        <v>46061</v>
      </c>
      <c r="G1101">
        <v>46121</v>
      </c>
      <c r="H1101" t="s">
        <v>9</v>
      </c>
      <c r="I1101">
        <v>14074579.98</v>
      </c>
      <c r="J1101" t="s">
        <v>75</v>
      </c>
      <c r="K1101" t="s">
        <v>897</v>
      </c>
      <c r="L1101">
        <v>60</v>
      </c>
      <c r="M1101" t="s">
        <v>22</v>
      </c>
      <c r="N1101">
        <v>1.1555</v>
      </c>
      <c r="O1101">
        <v>1.3367963164349013</v>
      </c>
      <c r="P1101">
        <v>6.2983756677204832E-3</v>
      </c>
      <c r="Q1101">
        <v>6.2983756677204832E-3</v>
      </c>
      <c r="R1101">
        <v>88646.992079417847</v>
      </c>
      <c r="S1101" t="s">
        <v>16</v>
      </c>
      <c r="T1101">
        <v>6.4599999999999996E-3</v>
      </c>
      <c r="U1101">
        <v>90921.786670799993</v>
      </c>
      <c r="V1101">
        <v>-2274.7945913821459</v>
      </c>
      <c r="W1101">
        <v>-2.5019246482897241E-2</v>
      </c>
    </row>
    <row r="1102" spans="1:23" x14ac:dyDescent="0.25">
      <c r="A1102" t="s">
        <v>894</v>
      </c>
      <c r="B1102" t="s">
        <v>37</v>
      </c>
      <c r="C1102" t="s">
        <v>91</v>
      </c>
      <c r="D1102" t="s">
        <v>31</v>
      </c>
      <c r="E1102" t="s">
        <v>74</v>
      </c>
      <c r="F1102" s="1">
        <v>46264</v>
      </c>
      <c r="G1102">
        <v>46294</v>
      </c>
      <c r="H1102" t="s">
        <v>6</v>
      </c>
      <c r="I1102">
        <v>7199.64</v>
      </c>
      <c r="J1102" t="s">
        <v>75</v>
      </c>
      <c r="K1102" t="s">
        <v>895</v>
      </c>
      <c r="L1102">
        <v>30</v>
      </c>
      <c r="M1102" t="s">
        <v>37</v>
      </c>
      <c r="N1102">
        <v>1.1642999999999999</v>
      </c>
      <c r="O1102">
        <v>1.3582594493700419</v>
      </c>
      <c r="P1102">
        <v>6.2623709122203094E-3</v>
      </c>
      <c r="Q1102">
        <v>1.1642999999999999</v>
      </c>
      <c r="R1102">
        <v>8382.5408520000001</v>
      </c>
      <c r="S1102" t="s">
        <v>21</v>
      </c>
      <c r="T1102">
        <v>1.101</v>
      </c>
      <c r="U1102">
        <v>7926.8036400000001</v>
      </c>
      <c r="V1102">
        <v>455.737212</v>
      </c>
      <c r="W1102">
        <v>5.7493188010899185E-2</v>
      </c>
    </row>
    <row r="1103" spans="1:23" x14ac:dyDescent="0.25">
      <c r="A1103" t="s">
        <v>892</v>
      </c>
      <c r="B1103" t="s">
        <v>36</v>
      </c>
      <c r="C1103" t="s">
        <v>116</v>
      </c>
      <c r="D1103" t="s">
        <v>31</v>
      </c>
      <c r="E1103" t="s">
        <v>74</v>
      </c>
      <c r="F1103" s="1">
        <v>46302</v>
      </c>
      <c r="G1103">
        <v>46347</v>
      </c>
      <c r="H1103" t="s">
        <v>6</v>
      </c>
      <c r="I1103">
        <v>32264.83</v>
      </c>
      <c r="J1103" t="s">
        <v>84</v>
      </c>
      <c r="K1103" t="s">
        <v>893</v>
      </c>
      <c r="L1103">
        <v>45</v>
      </c>
      <c r="M1103" t="s">
        <v>36</v>
      </c>
      <c r="N1103">
        <v>1.1176999999999999</v>
      </c>
      <c r="O1103">
        <v>1.320456022210408</v>
      </c>
      <c r="P1103">
        <v>6.3200452360757699E-3</v>
      </c>
      <c r="Q1103">
        <v>1.1176999999999999</v>
      </c>
      <c r="R1103">
        <v>36062.400491</v>
      </c>
      <c r="S1103" t="s">
        <v>23</v>
      </c>
      <c r="T1103">
        <v>1.119</v>
      </c>
      <c r="U1103">
        <v>36104.344770000003</v>
      </c>
      <c r="V1103">
        <v>-41.944279000003007</v>
      </c>
      <c r="W1103">
        <v>-1.1617515638964193E-3</v>
      </c>
    </row>
    <row r="1104" spans="1:23" x14ac:dyDescent="0.25">
      <c r="A1104" t="s">
        <v>890</v>
      </c>
      <c r="B1104" t="s">
        <v>38</v>
      </c>
      <c r="C1104" t="s">
        <v>87</v>
      </c>
      <c r="D1104" t="s">
        <v>33</v>
      </c>
      <c r="E1104" t="s">
        <v>88</v>
      </c>
      <c r="F1104" s="1">
        <v>45886</v>
      </c>
      <c r="G1104">
        <v>45916</v>
      </c>
      <c r="H1104" t="s">
        <v>6</v>
      </c>
      <c r="I1104">
        <v>3444.4</v>
      </c>
      <c r="J1104" t="s">
        <v>75</v>
      </c>
      <c r="K1104" t="s">
        <v>891</v>
      </c>
      <c r="L1104">
        <v>30</v>
      </c>
      <c r="M1104" t="s">
        <v>38</v>
      </c>
      <c r="N1104">
        <v>1.1566000000000001</v>
      </c>
      <c r="O1104">
        <v>1.3215265082266912</v>
      </c>
      <c r="P1104">
        <v>6.405272193609127E-3</v>
      </c>
      <c r="Q1104">
        <v>1.1566000000000001</v>
      </c>
      <c r="R1104">
        <v>3983.7930400000005</v>
      </c>
      <c r="S1104" t="s">
        <v>13</v>
      </c>
      <c r="T1104">
        <v>1.0880000000000001</v>
      </c>
      <c r="U1104">
        <v>3747.5072000000005</v>
      </c>
      <c r="V1104">
        <v>236.28584000000001</v>
      </c>
      <c r="W1104">
        <v>6.3051470588235292E-2</v>
      </c>
    </row>
    <row r="1105" spans="1:23" x14ac:dyDescent="0.25">
      <c r="A1105" t="s">
        <v>888</v>
      </c>
      <c r="B1105" t="s">
        <v>37</v>
      </c>
      <c r="C1105" t="s">
        <v>91</v>
      </c>
      <c r="D1105" t="s">
        <v>31</v>
      </c>
      <c r="E1105" t="s">
        <v>74</v>
      </c>
      <c r="F1105" s="1">
        <v>45979</v>
      </c>
      <c r="G1105">
        <v>46009</v>
      </c>
      <c r="H1105" t="s">
        <v>6</v>
      </c>
      <c r="I1105">
        <v>2524.7600000000002</v>
      </c>
      <c r="J1105" t="s">
        <v>75</v>
      </c>
      <c r="K1105" t="s">
        <v>889</v>
      </c>
      <c r="L1105">
        <v>30</v>
      </c>
      <c r="M1105" t="s">
        <v>37</v>
      </c>
      <c r="N1105">
        <v>1.159</v>
      </c>
      <c r="O1105">
        <v>1.3139099875297586</v>
      </c>
      <c r="P1105">
        <v>6.4410359008558408E-3</v>
      </c>
      <c r="Q1105">
        <v>1.159</v>
      </c>
      <c r="R1105">
        <v>2926.1968400000005</v>
      </c>
      <c r="S1105" t="s">
        <v>14</v>
      </c>
      <c r="T1105">
        <v>1.1060000000000001</v>
      </c>
      <c r="U1105">
        <v>2792.3845600000004</v>
      </c>
      <c r="V1105">
        <v>133.8122800000001</v>
      </c>
      <c r="W1105">
        <v>4.7920433996383391E-2</v>
      </c>
    </row>
    <row r="1106" spans="1:23" x14ac:dyDescent="0.25">
      <c r="A1106" t="s">
        <v>886</v>
      </c>
      <c r="B1106" t="s">
        <v>37</v>
      </c>
      <c r="C1106" t="s">
        <v>91</v>
      </c>
      <c r="D1106" t="s">
        <v>31</v>
      </c>
      <c r="E1106" t="s">
        <v>74</v>
      </c>
      <c r="F1106" s="1">
        <v>45953</v>
      </c>
      <c r="G1106">
        <v>45983</v>
      </c>
      <c r="H1106" t="s">
        <v>6</v>
      </c>
      <c r="I1106">
        <v>11169.29</v>
      </c>
      <c r="J1106" t="s">
        <v>75</v>
      </c>
      <c r="K1106" t="s">
        <v>887</v>
      </c>
      <c r="L1106">
        <v>30</v>
      </c>
      <c r="M1106" t="s">
        <v>37</v>
      </c>
      <c r="N1106">
        <v>1.1593</v>
      </c>
      <c r="O1106">
        <v>1.3339086411230008</v>
      </c>
      <c r="P1106">
        <v>6.5519385102294561E-3</v>
      </c>
      <c r="Q1106">
        <v>1.1593</v>
      </c>
      <c r="R1106">
        <v>12948.557897000001</v>
      </c>
      <c r="S1106" t="s">
        <v>14</v>
      </c>
      <c r="T1106">
        <v>1.1060000000000001</v>
      </c>
      <c r="U1106">
        <v>12353.234740000002</v>
      </c>
      <c r="V1106">
        <v>595.3231569999989</v>
      </c>
      <c r="W1106">
        <v>4.8191681735985439E-2</v>
      </c>
    </row>
    <row r="1107" spans="1:23" x14ac:dyDescent="0.25">
      <c r="A1107" t="s">
        <v>884</v>
      </c>
      <c r="B1107" t="s">
        <v>22</v>
      </c>
      <c r="C1107" t="s">
        <v>127</v>
      </c>
      <c r="D1107" t="s">
        <v>31</v>
      </c>
      <c r="E1107" t="s">
        <v>124</v>
      </c>
      <c r="F1107" s="1">
        <v>46327</v>
      </c>
      <c r="G1107">
        <v>46387</v>
      </c>
      <c r="H1107" t="s">
        <v>9</v>
      </c>
      <c r="I1107">
        <v>6317107.7699999996</v>
      </c>
      <c r="J1107" t="s">
        <v>84</v>
      </c>
      <c r="K1107" t="s">
        <v>885</v>
      </c>
      <c r="L1107">
        <v>60</v>
      </c>
      <c r="M1107" t="s">
        <v>22</v>
      </c>
      <c r="N1107">
        <v>1.1176999999999999</v>
      </c>
      <c r="O1107">
        <v>1.320456022210408</v>
      </c>
      <c r="P1107">
        <v>6.3200452360757699E-3</v>
      </c>
      <c r="Q1107">
        <v>6.3200452360757699E-3</v>
      </c>
      <c r="R1107">
        <v>39924.406867565725</v>
      </c>
      <c r="S1107" t="s">
        <v>23</v>
      </c>
      <c r="T1107">
        <v>6.8799999999999998E-3</v>
      </c>
      <c r="U1107">
        <v>43461.701457599993</v>
      </c>
      <c r="V1107">
        <v>-3537.2945900342675</v>
      </c>
      <c r="W1107">
        <v>-8.1388773826196192E-2</v>
      </c>
    </row>
    <row r="1108" spans="1:23" x14ac:dyDescent="0.25">
      <c r="A1108" t="s">
        <v>882</v>
      </c>
      <c r="B1108" t="s">
        <v>43</v>
      </c>
      <c r="C1108" t="s">
        <v>215</v>
      </c>
      <c r="D1108" t="s">
        <v>35</v>
      </c>
      <c r="E1108" t="s">
        <v>152</v>
      </c>
      <c r="F1108" s="1">
        <v>46064</v>
      </c>
      <c r="G1108">
        <v>46094</v>
      </c>
      <c r="H1108" t="s">
        <v>6</v>
      </c>
      <c r="I1108">
        <v>1677.18</v>
      </c>
      <c r="J1108" t="s">
        <v>75</v>
      </c>
      <c r="K1108" t="s">
        <v>883</v>
      </c>
      <c r="L1108">
        <v>30</v>
      </c>
      <c r="M1108" t="s">
        <v>43</v>
      </c>
      <c r="N1108">
        <v>1.19</v>
      </c>
      <c r="O1108">
        <v>1.3679733302678467</v>
      </c>
      <c r="P1108">
        <v>6.5102029651512667E-3</v>
      </c>
      <c r="Q1108">
        <v>1.19</v>
      </c>
      <c r="R1108">
        <v>1995.8442</v>
      </c>
      <c r="S1108" t="s">
        <v>16</v>
      </c>
      <c r="T1108">
        <v>1.0649999999999999</v>
      </c>
      <c r="U1108">
        <v>1786.1967</v>
      </c>
      <c r="V1108">
        <v>209.64750000000004</v>
      </c>
      <c r="W1108">
        <v>0.11737089201877937</v>
      </c>
    </row>
    <row r="1109" spans="1:23" x14ac:dyDescent="0.25">
      <c r="A1109" t="s">
        <v>880</v>
      </c>
      <c r="B1109" t="s">
        <v>42</v>
      </c>
      <c r="C1109" t="s">
        <v>151</v>
      </c>
      <c r="D1109" t="s">
        <v>35</v>
      </c>
      <c r="E1109" t="s">
        <v>152</v>
      </c>
      <c r="F1109" s="1">
        <v>46299</v>
      </c>
      <c r="G1109">
        <v>46329</v>
      </c>
      <c r="H1109" t="s">
        <v>8</v>
      </c>
      <c r="I1109">
        <v>2609.84</v>
      </c>
      <c r="J1109" t="s">
        <v>84</v>
      </c>
      <c r="K1109" t="s">
        <v>881</v>
      </c>
      <c r="L1109">
        <v>30</v>
      </c>
      <c r="M1109" t="s">
        <v>42</v>
      </c>
      <c r="N1109">
        <v>1.1225000000000001</v>
      </c>
      <c r="O1109">
        <v>1.3200757353027648</v>
      </c>
      <c r="P1109">
        <v>6.3421662240804562E-3</v>
      </c>
      <c r="Q1109">
        <v>1.3200757353027648</v>
      </c>
      <c r="R1109">
        <v>3445.186457022568</v>
      </c>
      <c r="S1109" t="s">
        <v>23</v>
      </c>
      <c r="T1109">
        <v>1.3149999999999999</v>
      </c>
      <c r="U1109">
        <v>3431.9396000000002</v>
      </c>
      <c r="V1109">
        <v>13.246857022567838</v>
      </c>
      <c r="W1109">
        <v>3.8598747549542646E-3</v>
      </c>
    </row>
    <row r="1110" spans="1:23" x14ac:dyDescent="0.25">
      <c r="A1110" t="s">
        <v>878</v>
      </c>
      <c r="B1110" t="s">
        <v>30</v>
      </c>
      <c r="C1110" t="s">
        <v>103</v>
      </c>
      <c r="D1110" t="s">
        <v>31</v>
      </c>
      <c r="E1110" t="s">
        <v>74</v>
      </c>
      <c r="F1110" s="1">
        <v>45789</v>
      </c>
      <c r="G1110">
        <v>45819</v>
      </c>
      <c r="H1110" t="s">
        <v>9</v>
      </c>
      <c r="I1110">
        <v>904763.11</v>
      </c>
      <c r="J1110" t="s">
        <v>75</v>
      </c>
      <c r="K1110" t="s">
        <v>879</v>
      </c>
      <c r="L1110">
        <v>30</v>
      </c>
      <c r="M1110" t="s">
        <v>30</v>
      </c>
      <c r="N1110">
        <v>1.1106</v>
      </c>
      <c r="O1110">
        <v>1.3175940206430181</v>
      </c>
      <c r="P1110">
        <v>6.753009850419555E-3</v>
      </c>
      <c r="Q1110">
        <v>6.753009850419555E-3</v>
      </c>
      <c r="R1110">
        <v>6109.8741941262315</v>
      </c>
      <c r="S1110" t="s">
        <v>12</v>
      </c>
      <c r="T1110">
        <v>6.7000000000000002E-3</v>
      </c>
      <c r="U1110">
        <v>6061.9128369999999</v>
      </c>
      <c r="V1110">
        <v>47.961357126231633</v>
      </c>
      <c r="W1110">
        <v>7.9119179730679518E-3</v>
      </c>
    </row>
    <row r="1111" spans="1:23" x14ac:dyDescent="0.25">
      <c r="A1111" t="s">
        <v>876</v>
      </c>
      <c r="B1111" t="s">
        <v>22</v>
      </c>
      <c r="C1111" t="s">
        <v>127</v>
      </c>
      <c r="D1111" t="s">
        <v>31</v>
      </c>
      <c r="E1111" t="s">
        <v>124</v>
      </c>
      <c r="F1111" s="1">
        <v>46139</v>
      </c>
      <c r="G1111">
        <v>46199</v>
      </c>
      <c r="H1111" t="s">
        <v>9</v>
      </c>
      <c r="I1111">
        <v>14461886.48</v>
      </c>
      <c r="J1111" t="s">
        <v>75</v>
      </c>
      <c r="K1111" t="s">
        <v>877</v>
      </c>
      <c r="L1111">
        <v>60</v>
      </c>
      <c r="M1111" t="s">
        <v>22</v>
      </c>
      <c r="N1111">
        <v>1.1749000000000001</v>
      </c>
      <c r="O1111">
        <v>1.357010857010857</v>
      </c>
      <c r="P1111">
        <v>6.280872447343099E-3</v>
      </c>
      <c r="Q1111">
        <v>6.280872447343099E-3</v>
      </c>
      <c r="R1111">
        <v>90833.264328835678</v>
      </c>
      <c r="S1111" t="s">
        <v>19</v>
      </c>
      <c r="T1111">
        <v>6.6E-3</v>
      </c>
      <c r="U1111">
        <v>95448.45076800001</v>
      </c>
      <c r="V1111">
        <v>-4615.1864391643321</v>
      </c>
      <c r="W1111">
        <v>-4.8352659493469924E-2</v>
      </c>
    </row>
    <row r="1112" spans="1:23" x14ac:dyDescent="0.25">
      <c r="A1112" t="s">
        <v>874</v>
      </c>
      <c r="B1112" t="s">
        <v>41</v>
      </c>
      <c r="C1112" t="s">
        <v>172</v>
      </c>
      <c r="D1112" t="s">
        <v>33</v>
      </c>
      <c r="E1112" t="s">
        <v>83</v>
      </c>
      <c r="F1112" s="1">
        <v>45717</v>
      </c>
      <c r="G1112">
        <v>45747</v>
      </c>
      <c r="H1112" t="s">
        <v>9</v>
      </c>
      <c r="I1112">
        <v>943932.82</v>
      </c>
      <c r="J1112" t="s">
        <v>75</v>
      </c>
      <c r="K1112" t="s">
        <v>875</v>
      </c>
      <c r="L1112">
        <v>30</v>
      </c>
      <c r="M1112" t="s">
        <v>41</v>
      </c>
      <c r="N1112">
        <v>1.0803</v>
      </c>
      <c r="O1112">
        <v>1.2944700736924091</v>
      </c>
      <c r="P1112">
        <v>6.7007815407517683E-3</v>
      </c>
      <c r="Q1112">
        <v>6.7007815407517683E-3</v>
      </c>
      <c r="R1112">
        <v>6325.087615965761</v>
      </c>
      <c r="S1112" t="s">
        <v>11</v>
      </c>
      <c r="T1112">
        <v>6.5599999999999999E-3</v>
      </c>
      <c r="U1112">
        <v>6192.1992991999996</v>
      </c>
      <c r="V1112">
        <v>132.88831676576137</v>
      </c>
      <c r="W1112">
        <v>2.1460600724354892E-2</v>
      </c>
    </row>
    <row r="1113" spans="1:23" x14ac:dyDescent="0.25">
      <c r="A1113" t="s">
        <v>872</v>
      </c>
      <c r="B1113" t="s">
        <v>37</v>
      </c>
      <c r="C1113" t="s">
        <v>91</v>
      </c>
      <c r="D1113" t="s">
        <v>31</v>
      </c>
      <c r="E1113" t="s">
        <v>74</v>
      </c>
      <c r="F1113" s="1">
        <v>45963</v>
      </c>
      <c r="G1113">
        <v>45993</v>
      </c>
      <c r="H1113" t="s">
        <v>6</v>
      </c>
      <c r="I1113">
        <v>16016.59</v>
      </c>
      <c r="J1113" t="s">
        <v>75</v>
      </c>
      <c r="K1113" t="s">
        <v>873</v>
      </c>
      <c r="L1113">
        <v>30</v>
      </c>
      <c r="M1113" t="s">
        <v>37</v>
      </c>
      <c r="N1113">
        <v>1.1555</v>
      </c>
      <c r="O1113">
        <v>1.3367963164349013</v>
      </c>
      <c r="P1113">
        <v>6.2983756677204832E-3</v>
      </c>
      <c r="Q1113">
        <v>1.1555</v>
      </c>
      <c r="R1113">
        <v>18507.169744999999</v>
      </c>
      <c r="S1113" t="s">
        <v>14</v>
      </c>
      <c r="T1113">
        <v>1.1060000000000001</v>
      </c>
      <c r="U1113">
        <v>17714.348540000003</v>
      </c>
      <c r="V1113">
        <v>792.82120499999655</v>
      </c>
      <c r="W1113">
        <v>4.4755877034357842E-2</v>
      </c>
    </row>
    <row r="1114" spans="1:23" x14ac:dyDescent="0.25">
      <c r="A1114" t="s">
        <v>870</v>
      </c>
      <c r="B1114" t="s">
        <v>34</v>
      </c>
      <c r="C1114" t="s">
        <v>177</v>
      </c>
      <c r="D1114" t="s">
        <v>31</v>
      </c>
      <c r="E1114" t="s">
        <v>74</v>
      </c>
      <c r="F1114" s="1">
        <v>46034</v>
      </c>
      <c r="G1114">
        <v>46094</v>
      </c>
      <c r="H1114" t="s">
        <v>8</v>
      </c>
      <c r="I1114">
        <v>13038.32</v>
      </c>
      <c r="J1114" t="s">
        <v>75</v>
      </c>
      <c r="K1114" t="s">
        <v>871</v>
      </c>
      <c r="L1114">
        <v>60</v>
      </c>
      <c r="M1114" t="s">
        <v>34</v>
      </c>
      <c r="N1114">
        <v>1.1692</v>
      </c>
      <c r="O1114">
        <v>1.3479363615402353</v>
      </c>
      <c r="P1114">
        <v>6.3398763691573587E-3</v>
      </c>
      <c r="Q1114">
        <v>1.3479363615402353</v>
      </c>
      <c r="R1114">
        <v>17574.825621397282</v>
      </c>
      <c r="S1114" t="s">
        <v>16</v>
      </c>
      <c r="T1114">
        <v>1.2490000000000001</v>
      </c>
      <c r="U1114">
        <v>16284.861680000002</v>
      </c>
      <c r="V1114">
        <v>1289.96394139728</v>
      </c>
      <c r="W1114">
        <v>7.9212459199547822E-2</v>
      </c>
    </row>
    <row r="1115" spans="1:23" x14ac:dyDescent="0.25">
      <c r="A1115" t="s">
        <v>868</v>
      </c>
      <c r="B1115" t="s">
        <v>39</v>
      </c>
      <c r="C1115" t="s">
        <v>82</v>
      </c>
      <c r="D1115" t="s">
        <v>33</v>
      </c>
      <c r="E1115" t="s">
        <v>83</v>
      </c>
      <c r="F1115" s="1">
        <v>46014</v>
      </c>
      <c r="G1115">
        <v>46059</v>
      </c>
      <c r="H1115" t="s">
        <v>8</v>
      </c>
      <c r="I1115">
        <v>6690.84</v>
      </c>
      <c r="J1115" t="s">
        <v>75</v>
      </c>
      <c r="K1115" t="s">
        <v>869</v>
      </c>
      <c r="L1115">
        <v>45</v>
      </c>
      <c r="M1115" t="s">
        <v>39</v>
      </c>
      <c r="N1115">
        <v>1.1786000000000001</v>
      </c>
      <c r="O1115">
        <v>1.3502119372207584</v>
      </c>
      <c r="P1115">
        <v>6.4092664092664101E-3</v>
      </c>
      <c r="Q1115">
        <v>1.3502119372207584</v>
      </c>
      <c r="R1115">
        <v>9034.0520380341386</v>
      </c>
      <c r="S1115" t="s">
        <v>14</v>
      </c>
      <c r="T1115">
        <v>1.304</v>
      </c>
      <c r="U1115">
        <v>8724.8553600000014</v>
      </c>
      <c r="V1115">
        <v>309.19667803413722</v>
      </c>
      <c r="W1115">
        <v>3.5438602163158056E-2</v>
      </c>
    </row>
    <row r="1116" spans="1:23" x14ac:dyDescent="0.25">
      <c r="A1116" t="s">
        <v>866</v>
      </c>
      <c r="B1116" t="s">
        <v>41</v>
      </c>
      <c r="C1116" t="s">
        <v>172</v>
      </c>
      <c r="D1116" t="s">
        <v>33</v>
      </c>
      <c r="E1116" t="s">
        <v>83</v>
      </c>
      <c r="F1116" s="1">
        <v>45960</v>
      </c>
      <c r="G1116">
        <v>45990</v>
      </c>
      <c r="H1116" t="s">
        <v>9</v>
      </c>
      <c r="I1116">
        <v>2118844.0699999998</v>
      </c>
      <c r="J1116" t="s">
        <v>75</v>
      </c>
      <c r="K1116" t="s">
        <v>867</v>
      </c>
      <c r="L1116">
        <v>30</v>
      </c>
      <c r="M1116" t="s">
        <v>41</v>
      </c>
      <c r="N1116">
        <v>1.155</v>
      </c>
      <c r="O1116">
        <v>1.312350869219407</v>
      </c>
      <c r="P1116">
        <v>6.4753041430733868E-3</v>
      </c>
      <c r="Q1116">
        <v>6.4753041430733868E-3</v>
      </c>
      <c r="R1116">
        <v>13720.159784997477</v>
      </c>
      <c r="S1116" t="s">
        <v>14</v>
      </c>
      <c r="T1116">
        <v>6.9800000000000001E-3</v>
      </c>
      <c r="U1116">
        <v>14789.531608599998</v>
      </c>
      <c r="V1116">
        <v>-1069.3718236025215</v>
      </c>
      <c r="W1116">
        <v>-7.2305996694357111E-2</v>
      </c>
    </row>
    <row r="1117" spans="1:23" x14ac:dyDescent="0.25">
      <c r="A1117" t="s">
        <v>864</v>
      </c>
      <c r="B1117" t="s">
        <v>24</v>
      </c>
      <c r="C1117" t="s">
        <v>73</v>
      </c>
      <c r="D1117" t="s">
        <v>31</v>
      </c>
      <c r="E1117" t="s">
        <v>74</v>
      </c>
      <c r="F1117" s="1">
        <v>46068</v>
      </c>
      <c r="G1117">
        <v>46098</v>
      </c>
      <c r="H1117" t="s">
        <v>6</v>
      </c>
      <c r="I1117">
        <v>14363.5</v>
      </c>
      <c r="J1117" t="s">
        <v>75</v>
      </c>
      <c r="K1117" t="s">
        <v>865</v>
      </c>
      <c r="L1117">
        <v>30</v>
      </c>
      <c r="M1117" t="s">
        <v>24</v>
      </c>
      <c r="N1117">
        <v>1.1555</v>
      </c>
      <c r="O1117">
        <v>1.3367963164349013</v>
      </c>
      <c r="P1117">
        <v>6.2983756677204832E-3</v>
      </c>
      <c r="Q1117">
        <v>1.1555</v>
      </c>
      <c r="R1117">
        <v>16597.024249999999</v>
      </c>
      <c r="S1117" t="s">
        <v>16</v>
      </c>
      <c r="T1117">
        <v>1.0649999999999999</v>
      </c>
      <c r="U1117">
        <v>15297.127499999999</v>
      </c>
      <c r="V1117">
        <v>1299.8967499999999</v>
      </c>
      <c r="W1117">
        <v>8.4976525821596247E-2</v>
      </c>
    </row>
    <row r="1118" spans="1:23" x14ac:dyDescent="0.25">
      <c r="A1118" t="s">
        <v>862</v>
      </c>
      <c r="B1118" t="s">
        <v>38</v>
      </c>
      <c r="C1118" t="s">
        <v>87</v>
      </c>
      <c r="D1118" t="s">
        <v>33</v>
      </c>
      <c r="E1118" t="s">
        <v>88</v>
      </c>
      <c r="F1118" s="1">
        <v>45980</v>
      </c>
      <c r="G1118">
        <v>46010</v>
      </c>
      <c r="H1118" t="s">
        <v>6</v>
      </c>
      <c r="I1118">
        <v>6030.59</v>
      </c>
      <c r="J1118" t="s">
        <v>75</v>
      </c>
      <c r="K1118" t="s">
        <v>863</v>
      </c>
      <c r="L1118">
        <v>30</v>
      </c>
      <c r="M1118" t="s">
        <v>38</v>
      </c>
      <c r="N1118">
        <v>1.1583000000000001</v>
      </c>
      <c r="O1118">
        <v>1.3122238586156112</v>
      </c>
      <c r="P1118">
        <v>6.4047553220901304E-3</v>
      </c>
      <c r="Q1118">
        <v>1.1583000000000001</v>
      </c>
      <c r="R1118">
        <v>6985.2323970000007</v>
      </c>
      <c r="S1118" t="s">
        <v>14</v>
      </c>
      <c r="T1118">
        <v>1.1060000000000001</v>
      </c>
      <c r="U1118">
        <v>6669.8325400000003</v>
      </c>
      <c r="V1118">
        <v>315.39985700000034</v>
      </c>
      <c r="W1118">
        <v>4.7287522603978352E-2</v>
      </c>
    </row>
    <row r="1119" spans="1:23" x14ac:dyDescent="0.25">
      <c r="A1119" t="s">
        <v>860</v>
      </c>
      <c r="B1119" t="s">
        <v>42</v>
      </c>
      <c r="C1119" t="s">
        <v>151</v>
      </c>
      <c r="D1119" t="s">
        <v>35</v>
      </c>
      <c r="E1119" t="s">
        <v>152</v>
      </c>
      <c r="F1119" s="1">
        <v>45966</v>
      </c>
      <c r="G1119">
        <v>45996</v>
      </c>
      <c r="H1119" t="s">
        <v>8</v>
      </c>
      <c r="I1119">
        <v>11020.35</v>
      </c>
      <c r="J1119" t="s">
        <v>75</v>
      </c>
      <c r="K1119" t="s">
        <v>861</v>
      </c>
      <c r="L1119">
        <v>30</v>
      </c>
      <c r="M1119" t="s">
        <v>42</v>
      </c>
      <c r="N1119">
        <v>1.1492</v>
      </c>
      <c r="O1119">
        <v>1.3044267877412032</v>
      </c>
      <c r="P1119">
        <v>6.5047829286239891E-3</v>
      </c>
      <c r="Q1119">
        <v>1.3044267877412032</v>
      </c>
      <c r="R1119">
        <v>14375.23975028377</v>
      </c>
      <c r="S1119" t="s">
        <v>14</v>
      </c>
      <c r="T1119">
        <v>1.304</v>
      </c>
      <c r="U1119">
        <v>14370.536400000001</v>
      </c>
      <c r="V1119">
        <v>4.7033502837693959</v>
      </c>
      <c r="W1119">
        <v>3.2729121257919053E-4</v>
      </c>
    </row>
    <row r="1120" spans="1:23" x14ac:dyDescent="0.25">
      <c r="A1120" t="s">
        <v>858</v>
      </c>
      <c r="B1120" t="s">
        <v>32</v>
      </c>
      <c r="C1120" t="s">
        <v>106</v>
      </c>
      <c r="D1120" t="s">
        <v>31</v>
      </c>
      <c r="E1120" t="s">
        <v>74</v>
      </c>
      <c r="F1120" s="1">
        <v>46275</v>
      </c>
      <c r="G1120">
        <v>46305</v>
      </c>
      <c r="H1120" t="s">
        <v>6</v>
      </c>
      <c r="I1120">
        <v>10536.62</v>
      </c>
      <c r="J1120" t="s">
        <v>75</v>
      </c>
      <c r="K1120" t="s">
        <v>859</v>
      </c>
      <c r="L1120">
        <v>30</v>
      </c>
      <c r="M1120" t="s">
        <v>32</v>
      </c>
      <c r="N1120">
        <v>1.1616</v>
      </c>
      <c r="O1120">
        <v>1.3520339870802538</v>
      </c>
      <c r="P1120">
        <v>6.4861242950471831E-3</v>
      </c>
      <c r="Q1120">
        <v>1.1616</v>
      </c>
      <c r="R1120">
        <v>12239.337792</v>
      </c>
      <c r="S1120" t="s">
        <v>21</v>
      </c>
      <c r="T1120">
        <v>1.101</v>
      </c>
      <c r="U1120">
        <v>11600.81862</v>
      </c>
      <c r="V1120">
        <v>638.51917200000025</v>
      </c>
      <c r="W1120">
        <v>5.5040871934604926E-2</v>
      </c>
    </row>
    <row r="1121" spans="1:23" x14ac:dyDescent="0.25">
      <c r="A1121" t="s">
        <v>856</v>
      </c>
      <c r="B1121" t="s">
        <v>37</v>
      </c>
      <c r="C1121" t="s">
        <v>91</v>
      </c>
      <c r="D1121" t="s">
        <v>31</v>
      </c>
      <c r="E1121" t="s">
        <v>74</v>
      </c>
      <c r="F1121" s="1">
        <v>46029</v>
      </c>
      <c r="G1121">
        <v>46059</v>
      </c>
      <c r="H1121" t="s">
        <v>6</v>
      </c>
      <c r="I1121">
        <v>12604.5</v>
      </c>
      <c r="J1121" t="s">
        <v>75</v>
      </c>
      <c r="K1121" t="s">
        <v>857</v>
      </c>
      <c r="L1121">
        <v>30</v>
      </c>
      <c r="M1121" t="s">
        <v>37</v>
      </c>
      <c r="N1121">
        <v>1.1684000000000001</v>
      </c>
      <c r="O1121">
        <v>1.3485687903970454</v>
      </c>
      <c r="P1121">
        <v>6.3878410147066873E-3</v>
      </c>
      <c r="Q1121">
        <v>1.1684000000000001</v>
      </c>
      <c r="R1121">
        <v>14727.097800000001</v>
      </c>
      <c r="S1121" t="s">
        <v>16</v>
      </c>
      <c r="T1121">
        <v>1.0649999999999999</v>
      </c>
      <c r="U1121">
        <v>13423.7925</v>
      </c>
      <c r="V1121">
        <v>1303.3053000000018</v>
      </c>
      <c r="W1121">
        <v>9.7089201877934406E-2</v>
      </c>
    </row>
    <row r="1122" spans="1:23" x14ac:dyDescent="0.25">
      <c r="A1122" t="s">
        <v>854</v>
      </c>
      <c r="B1122" t="s">
        <v>42</v>
      </c>
      <c r="C1122" t="s">
        <v>151</v>
      </c>
      <c r="D1122" t="s">
        <v>35</v>
      </c>
      <c r="E1122" t="s">
        <v>152</v>
      </c>
      <c r="F1122" s="1">
        <v>45937</v>
      </c>
      <c r="G1122">
        <v>45967</v>
      </c>
      <c r="H1122" t="s">
        <v>8</v>
      </c>
      <c r="I1122">
        <v>4586.33</v>
      </c>
      <c r="J1122" t="s">
        <v>75</v>
      </c>
      <c r="K1122" t="s">
        <v>855</v>
      </c>
      <c r="L1122">
        <v>30</v>
      </c>
      <c r="M1122" t="s">
        <v>42</v>
      </c>
      <c r="N1122">
        <v>1.1666000000000001</v>
      </c>
      <c r="O1122">
        <v>1.3404573135700335</v>
      </c>
      <c r="P1122">
        <v>6.6265265549559785E-3</v>
      </c>
      <c r="Q1122">
        <v>1.3404573135700335</v>
      </c>
      <c r="R1122">
        <v>6147.7795909456518</v>
      </c>
      <c r="S1122" t="s">
        <v>14</v>
      </c>
      <c r="T1122">
        <v>1.304</v>
      </c>
      <c r="U1122">
        <v>5980.5743199999997</v>
      </c>
      <c r="V1122">
        <v>167.20527094565205</v>
      </c>
      <c r="W1122">
        <v>2.7958062553706725E-2</v>
      </c>
    </row>
    <row r="1123" spans="1:23" x14ac:dyDescent="0.25">
      <c r="A1123" t="s">
        <v>852</v>
      </c>
      <c r="B1123" t="s">
        <v>32</v>
      </c>
      <c r="C1123" t="s">
        <v>106</v>
      </c>
      <c r="D1123" t="s">
        <v>31</v>
      </c>
      <c r="E1123" t="s">
        <v>74</v>
      </c>
      <c r="F1123" s="1">
        <v>46018</v>
      </c>
      <c r="G1123">
        <v>46048</v>
      </c>
      <c r="H1123" t="s">
        <v>6</v>
      </c>
      <c r="I1123">
        <v>18633.189999999999</v>
      </c>
      <c r="J1123" t="s">
        <v>75</v>
      </c>
      <c r="K1123" t="s">
        <v>853</v>
      </c>
      <c r="L1123">
        <v>30</v>
      </c>
      <c r="M1123" t="s">
        <v>32</v>
      </c>
      <c r="N1123">
        <v>1.1555</v>
      </c>
      <c r="O1123">
        <v>1.3367963164349013</v>
      </c>
      <c r="P1123">
        <v>6.2983756677204832E-3</v>
      </c>
      <c r="Q1123">
        <v>1.1555</v>
      </c>
      <c r="R1123">
        <v>21530.651044999999</v>
      </c>
      <c r="S1123" t="s">
        <v>14</v>
      </c>
      <c r="T1123">
        <v>1.1060000000000001</v>
      </c>
      <c r="U1123">
        <v>20608.308140000001</v>
      </c>
      <c r="V1123">
        <v>922.3429049999977</v>
      </c>
      <c r="W1123">
        <v>4.4755877034357933E-2</v>
      </c>
    </row>
    <row r="1124" spans="1:23" x14ac:dyDescent="0.25">
      <c r="A1124" t="s">
        <v>850</v>
      </c>
      <c r="B1124" t="s">
        <v>38</v>
      </c>
      <c r="C1124" t="s">
        <v>87</v>
      </c>
      <c r="D1124" t="s">
        <v>33</v>
      </c>
      <c r="E1124" t="s">
        <v>88</v>
      </c>
      <c r="F1124" s="1">
        <v>45702</v>
      </c>
      <c r="G1124">
        <v>45732</v>
      </c>
      <c r="H1124" t="s">
        <v>6</v>
      </c>
      <c r="I1124">
        <v>16085.93</v>
      </c>
      <c r="J1124" t="s">
        <v>75</v>
      </c>
      <c r="K1124" t="s">
        <v>851</v>
      </c>
      <c r="L1124">
        <v>30</v>
      </c>
      <c r="M1124" t="s">
        <v>38</v>
      </c>
      <c r="N1124">
        <v>1.0478000000000001</v>
      </c>
      <c r="O1124">
        <v>1.2591479901460074</v>
      </c>
      <c r="P1124">
        <v>6.5450683990255481E-3</v>
      </c>
      <c r="Q1124">
        <v>1.0478000000000001</v>
      </c>
      <c r="R1124">
        <v>16854.837454</v>
      </c>
      <c r="S1124" t="s">
        <v>11</v>
      </c>
      <c r="T1124">
        <v>1.052</v>
      </c>
      <c r="U1124">
        <v>16922.398360000003</v>
      </c>
      <c r="V1124">
        <v>-67.560906000002433</v>
      </c>
      <c r="W1124">
        <v>-3.9923954372625007E-3</v>
      </c>
    </row>
    <row r="1125" spans="1:23" x14ac:dyDescent="0.25">
      <c r="A1125" t="s">
        <v>848</v>
      </c>
      <c r="B1125" t="s">
        <v>26</v>
      </c>
      <c r="C1125" t="s">
        <v>94</v>
      </c>
      <c r="D1125" t="s">
        <v>31</v>
      </c>
      <c r="E1125" t="s">
        <v>74</v>
      </c>
      <c r="F1125" s="1">
        <v>46376</v>
      </c>
      <c r="G1125">
        <v>46406</v>
      </c>
      <c r="H1125" t="s">
        <v>8</v>
      </c>
      <c r="I1125">
        <v>19486.419999999998</v>
      </c>
      <c r="J1125" t="s">
        <v>84</v>
      </c>
      <c r="K1125" t="s">
        <v>849</v>
      </c>
      <c r="L1125">
        <v>30</v>
      </c>
      <c r="M1125" t="s">
        <v>26</v>
      </c>
      <c r="N1125">
        <v>1.1176999999999999</v>
      </c>
      <c r="O1125">
        <v>1.320456022210408</v>
      </c>
      <c r="P1125">
        <v>6.3200452360757699E-3</v>
      </c>
      <c r="Q1125">
        <v>1.320456022210408</v>
      </c>
      <c r="R1125">
        <v>25730.960640321337</v>
      </c>
      <c r="S1125" t="s">
        <v>23</v>
      </c>
      <c r="T1125">
        <v>1.3149999999999999</v>
      </c>
      <c r="U1125">
        <v>25624.642299999996</v>
      </c>
      <c r="V1125">
        <v>106.31834032134066</v>
      </c>
      <c r="W1125">
        <v>4.14906631970198E-3</v>
      </c>
    </row>
    <row r="1126" spans="1:23" x14ac:dyDescent="0.25">
      <c r="A1126" t="s">
        <v>846</v>
      </c>
      <c r="B1126" t="s">
        <v>34</v>
      </c>
      <c r="C1126" t="s">
        <v>177</v>
      </c>
      <c r="D1126" t="s">
        <v>31</v>
      </c>
      <c r="E1126" t="s">
        <v>74</v>
      </c>
      <c r="F1126" s="1">
        <v>46386</v>
      </c>
      <c r="G1126">
        <v>46446</v>
      </c>
      <c r="H1126" t="s">
        <v>8</v>
      </c>
      <c r="I1126">
        <v>18376.82</v>
      </c>
      <c r="J1126" t="s">
        <v>84</v>
      </c>
      <c r="K1126" t="s">
        <v>847</v>
      </c>
      <c r="L1126">
        <v>60</v>
      </c>
      <c r="M1126" t="s">
        <v>34</v>
      </c>
      <c r="N1126">
        <v>1.1176999999999999</v>
      </c>
      <c r="O1126">
        <v>1.320456022210408</v>
      </c>
      <c r="P1126">
        <v>6.3200452360757699E-3</v>
      </c>
      <c r="Q1126">
        <v>1.320456022210408</v>
      </c>
      <c r="R1126">
        <v>24265.782638076671</v>
      </c>
      <c r="S1126" t="s">
        <v>23</v>
      </c>
      <c r="T1126">
        <v>1.3149999999999999</v>
      </c>
      <c r="U1126">
        <v>24165.5183</v>
      </c>
      <c r="V1126">
        <v>100.26433807667127</v>
      </c>
      <c r="W1126">
        <v>4.1490663197019557E-3</v>
      </c>
    </row>
    <row r="1127" spans="1:23" x14ac:dyDescent="0.25">
      <c r="A1127" t="s">
        <v>844</v>
      </c>
      <c r="B1127" t="s">
        <v>26</v>
      </c>
      <c r="C1127" t="s">
        <v>94</v>
      </c>
      <c r="D1127" t="s">
        <v>31</v>
      </c>
      <c r="E1127" t="s">
        <v>74</v>
      </c>
      <c r="F1127" s="1">
        <v>46340</v>
      </c>
      <c r="G1127">
        <v>46370</v>
      </c>
      <c r="H1127" t="s">
        <v>8</v>
      </c>
      <c r="I1127">
        <v>23839.25</v>
      </c>
      <c r="J1127" t="s">
        <v>84</v>
      </c>
      <c r="K1127" t="s">
        <v>845</v>
      </c>
      <c r="L1127">
        <v>30</v>
      </c>
      <c r="M1127" t="s">
        <v>26</v>
      </c>
      <c r="N1127">
        <v>1.1176999999999999</v>
      </c>
      <c r="O1127">
        <v>1.320456022210408</v>
      </c>
      <c r="P1127">
        <v>6.3200452360757699E-3</v>
      </c>
      <c r="Q1127">
        <v>1.320456022210408</v>
      </c>
      <c r="R1127">
        <v>31478.681227479468</v>
      </c>
      <c r="S1127" t="s">
        <v>23</v>
      </c>
      <c r="T1127">
        <v>1.3149999999999999</v>
      </c>
      <c r="U1127">
        <v>31348.61375</v>
      </c>
      <c r="V1127">
        <v>130.06747747946793</v>
      </c>
      <c r="W1127">
        <v>4.1490663197018699E-3</v>
      </c>
    </row>
    <row r="1128" spans="1:23" x14ac:dyDescent="0.25">
      <c r="A1128" t="s">
        <v>842</v>
      </c>
      <c r="B1128" t="s">
        <v>24</v>
      </c>
      <c r="C1128" t="s">
        <v>73</v>
      </c>
      <c r="D1128" t="s">
        <v>31</v>
      </c>
      <c r="E1128" t="s">
        <v>74</v>
      </c>
      <c r="F1128" s="1">
        <v>46374</v>
      </c>
      <c r="G1128">
        <v>46404</v>
      </c>
      <c r="H1128" t="s">
        <v>6</v>
      </c>
      <c r="I1128">
        <v>7542.09</v>
      </c>
      <c r="J1128" t="s">
        <v>84</v>
      </c>
      <c r="K1128" t="s">
        <v>843</v>
      </c>
      <c r="L1128">
        <v>30</v>
      </c>
      <c r="M1128" t="s">
        <v>24</v>
      </c>
      <c r="N1128">
        <v>1.1176999999999999</v>
      </c>
      <c r="O1128">
        <v>1.320456022210408</v>
      </c>
      <c r="P1128">
        <v>6.3200452360757699E-3</v>
      </c>
      <c r="Q1128">
        <v>1.1176999999999999</v>
      </c>
      <c r="R1128">
        <v>8429.7939929999993</v>
      </c>
      <c r="S1128" t="s">
        <v>23</v>
      </c>
      <c r="T1128">
        <v>1.119</v>
      </c>
      <c r="U1128">
        <v>8439.5987100000002</v>
      </c>
      <c r="V1128">
        <v>-9.8047170000008919</v>
      </c>
      <c r="W1128">
        <v>-1.1617515638964416E-3</v>
      </c>
    </row>
    <row r="1129" spans="1:23" x14ac:dyDescent="0.25">
      <c r="A1129" t="s">
        <v>840</v>
      </c>
      <c r="B1129" t="s">
        <v>30</v>
      </c>
      <c r="C1129" t="s">
        <v>103</v>
      </c>
      <c r="D1129" t="s">
        <v>31</v>
      </c>
      <c r="E1129" t="s">
        <v>74</v>
      </c>
      <c r="F1129" s="1">
        <v>46011</v>
      </c>
      <c r="G1129">
        <v>46041</v>
      </c>
      <c r="H1129" t="s">
        <v>9</v>
      </c>
      <c r="I1129">
        <v>3033036.62</v>
      </c>
      <c r="J1129" t="s">
        <v>75</v>
      </c>
      <c r="K1129" t="s">
        <v>841</v>
      </c>
      <c r="L1129">
        <v>30</v>
      </c>
      <c r="M1129" t="s">
        <v>30</v>
      </c>
      <c r="N1129">
        <v>1.1555</v>
      </c>
      <c r="O1129">
        <v>1.3367963164349013</v>
      </c>
      <c r="P1129">
        <v>6.2983756677204832E-3</v>
      </c>
      <c r="Q1129">
        <v>6.2983756677204832E-3</v>
      </c>
      <c r="R1129">
        <v>19103.204046713177</v>
      </c>
      <c r="S1129" t="s">
        <v>14</v>
      </c>
      <c r="T1129">
        <v>6.9800000000000001E-3</v>
      </c>
      <c r="U1129">
        <v>21170.5956076</v>
      </c>
      <c r="V1129">
        <v>-2067.3915608868228</v>
      </c>
      <c r="W1129">
        <v>-9.7653915799357727E-2</v>
      </c>
    </row>
    <row r="1130" spans="1:23" x14ac:dyDescent="0.25">
      <c r="A1130" t="s">
        <v>838</v>
      </c>
      <c r="B1130" t="s">
        <v>36</v>
      </c>
      <c r="C1130" t="s">
        <v>116</v>
      </c>
      <c r="D1130" t="s">
        <v>31</v>
      </c>
      <c r="E1130" t="s">
        <v>74</v>
      </c>
      <c r="F1130" s="1">
        <v>45918</v>
      </c>
      <c r="G1130">
        <v>45963</v>
      </c>
      <c r="H1130" t="s">
        <v>6</v>
      </c>
      <c r="I1130">
        <v>10559.75</v>
      </c>
      <c r="J1130" t="s">
        <v>75</v>
      </c>
      <c r="K1130" t="s">
        <v>839</v>
      </c>
      <c r="L1130">
        <v>45</v>
      </c>
      <c r="M1130" t="s">
        <v>36</v>
      </c>
      <c r="N1130">
        <v>1.1818</v>
      </c>
      <c r="O1130">
        <v>1.3615207373271889</v>
      </c>
      <c r="P1130">
        <v>6.7825987144168954E-3</v>
      </c>
      <c r="Q1130">
        <v>1.1818</v>
      </c>
      <c r="R1130">
        <v>12479.512549999999</v>
      </c>
      <c r="S1130" t="s">
        <v>13</v>
      </c>
      <c r="T1130">
        <v>1.0880000000000001</v>
      </c>
      <c r="U1130">
        <v>11489.008000000002</v>
      </c>
      <c r="V1130">
        <v>990.50454999999783</v>
      </c>
      <c r="W1130">
        <v>8.6213235294117452E-2</v>
      </c>
    </row>
    <row r="1131" spans="1:23" x14ac:dyDescent="0.25">
      <c r="A1131" t="s">
        <v>836</v>
      </c>
      <c r="B1131" t="s">
        <v>32</v>
      </c>
      <c r="C1131" t="s">
        <v>106</v>
      </c>
      <c r="D1131" t="s">
        <v>31</v>
      </c>
      <c r="E1131" t="s">
        <v>74</v>
      </c>
      <c r="F1131" s="1">
        <v>46277</v>
      </c>
      <c r="G1131">
        <v>46307</v>
      </c>
      <c r="H1131" t="s">
        <v>6</v>
      </c>
      <c r="I1131">
        <v>19877.47</v>
      </c>
      <c r="J1131" t="s">
        <v>75</v>
      </c>
      <c r="K1131" t="s">
        <v>837</v>
      </c>
      <c r="L1131">
        <v>30</v>
      </c>
      <c r="M1131" t="s">
        <v>32</v>
      </c>
      <c r="N1131">
        <v>1.1592</v>
      </c>
      <c r="O1131">
        <v>1.3508127949659152</v>
      </c>
      <c r="P1131">
        <v>6.4919354838709675E-3</v>
      </c>
      <c r="Q1131">
        <v>1.1592</v>
      </c>
      <c r="R1131">
        <v>23041.963224000003</v>
      </c>
      <c r="S1131" t="s">
        <v>21</v>
      </c>
      <c r="T1131">
        <v>1.101</v>
      </c>
      <c r="U1131">
        <v>21885.09447</v>
      </c>
      <c r="V1131">
        <v>1156.8687540000028</v>
      </c>
      <c r="W1131">
        <v>5.2861035422343453E-2</v>
      </c>
    </row>
    <row r="1132" spans="1:23" x14ac:dyDescent="0.25">
      <c r="A1132" t="s">
        <v>834</v>
      </c>
      <c r="B1132" t="s">
        <v>28</v>
      </c>
      <c r="C1132" t="s">
        <v>111</v>
      </c>
      <c r="D1132" t="s">
        <v>31</v>
      </c>
      <c r="E1132" t="s">
        <v>74</v>
      </c>
      <c r="F1132" s="1">
        <v>45735</v>
      </c>
      <c r="G1132">
        <v>45780</v>
      </c>
      <c r="H1132" t="s">
        <v>9</v>
      </c>
      <c r="I1132">
        <v>779978.55</v>
      </c>
      <c r="J1132" t="s">
        <v>75</v>
      </c>
      <c r="K1132" t="s">
        <v>835</v>
      </c>
      <c r="L1132">
        <v>45</v>
      </c>
      <c r="M1132" t="s">
        <v>28</v>
      </c>
      <c r="N1132">
        <v>1.0896999999999999</v>
      </c>
      <c r="O1132">
        <v>1.2960584219415303</v>
      </c>
      <c r="P1132">
        <v>6.6742206161572847E-3</v>
      </c>
      <c r="Q1132">
        <v>6.6742206161572847E-3</v>
      </c>
      <c r="R1132">
        <v>5205.7489185704662</v>
      </c>
      <c r="S1132" t="s">
        <v>11</v>
      </c>
      <c r="T1132">
        <v>6.5599999999999999E-3</v>
      </c>
      <c r="U1132">
        <v>5116.6592879999998</v>
      </c>
      <c r="V1132">
        <v>89.089630570466397</v>
      </c>
      <c r="W1132">
        <v>1.7411679292269187E-2</v>
      </c>
    </row>
    <row r="1133" spans="1:23" x14ac:dyDescent="0.25">
      <c r="A1133" t="s">
        <v>832</v>
      </c>
      <c r="B1133" t="s">
        <v>25</v>
      </c>
      <c r="C1133" t="s">
        <v>169</v>
      </c>
      <c r="D1133" t="s">
        <v>31</v>
      </c>
      <c r="E1133" t="s">
        <v>124</v>
      </c>
      <c r="F1133" s="1">
        <v>46261</v>
      </c>
      <c r="G1133">
        <v>46321</v>
      </c>
      <c r="H1133" t="s">
        <v>6</v>
      </c>
      <c r="I1133">
        <v>50175.6</v>
      </c>
      <c r="J1133" t="s">
        <v>75</v>
      </c>
      <c r="K1133" t="s">
        <v>833</v>
      </c>
      <c r="L1133">
        <v>60</v>
      </c>
      <c r="M1133" t="s">
        <v>25</v>
      </c>
      <c r="N1133">
        <v>1.1645000000000001</v>
      </c>
      <c r="O1133">
        <v>1.3581758805691626</v>
      </c>
      <c r="P1133">
        <v>6.2739076558375089E-3</v>
      </c>
      <c r="Q1133">
        <v>1.1645000000000001</v>
      </c>
      <c r="R1133">
        <v>58429.486199999999</v>
      </c>
      <c r="S1133" t="s">
        <v>21</v>
      </c>
      <c r="T1133">
        <v>1.101</v>
      </c>
      <c r="U1133">
        <v>55243.335599999999</v>
      </c>
      <c r="V1133">
        <v>3186.1506000000008</v>
      </c>
      <c r="W1133">
        <v>5.7674841053587667E-2</v>
      </c>
    </row>
    <row r="1134" spans="1:23" x14ac:dyDescent="0.25">
      <c r="A1134" t="s">
        <v>830</v>
      </c>
      <c r="B1134" t="s">
        <v>25</v>
      </c>
      <c r="C1134" t="s">
        <v>169</v>
      </c>
      <c r="D1134" t="s">
        <v>31</v>
      </c>
      <c r="E1134" t="s">
        <v>124</v>
      </c>
      <c r="F1134" s="1">
        <v>46340</v>
      </c>
      <c r="G1134">
        <v>46400</v>
      </c>
      <c r="H1134" t="s">
        <v>6</v>
      </c>
      <c r="I1134">
        <v>80286.52</v>
      </c>
      <c r="J1134" t="s">
        <v>84</v>
      </c>
      <c r="K1134" t="s">
        <v>831</v>
      </c>
      <c r="L1134">
        <v>60</v>
      </c>
      <c r="M1134" t="s">
        <v>25</v>
      </c>
      <c r="N1134">
        <v>1.1176999999999999</v>
      </c>
      <c r="O1134">
        <v>1.320456022210408</v>
      </c>
      <c r="P1134">
        <v>6.3200452360757699E-3</v>
      </c>
      <c r="Q1134">
        <v>1.1176999999999999</v>
      </c>
      <c r="R1134">
        <v>89736.243403999993</v>
      </c>
      <c r="S1134" t="s">
        <v>23</v>
      </c>
      <c r="T1134">
        <v>1.119</v>
      </c>
      <c r="U1134">
        <v>89840.615879999998</v>
      </c>
      <c r="V1134">
        <v>-104.3724760000041</v>
      </c>
      <c r="W1134">
        <v>-1.1617515638963818E-3</v>
      </c>
    </row>
    <row r="1135" spans="1:23" x14ac:dyDescent="0.25">
      <c r="A1135" t="s">
        <v>828</v>
      </c>
      <c r="B1135" t="s">
        <v>20</v>
      </c>
      <c r="C1135" t="s">
        <v>123</v>
      </c>
      <c r="D1135" t="s">
        <v>31</v>
      </c>
      <c r="E1135" t="s">
        <v>124</v>
      </c>
      <c r="F1135" s="1">
        <v>46247</v>
      </c>
      <c r="G1135">
        <v>46292</v>
      </c>
      <c r="H1135" t="s">
        <v>6</v>
      </c>
      <c r="I1135">
        <v>38229.730000000003</v>
      </c>
      <c r="J1135" t="s">
        <v>75</v>
      </c>
      <c r="K1135" t="s">
        <v>829</v>
      </c>
      <c r="L1135">
        <v>45</v>
      </c>
      <c r="M1135" t="s">
        <v>20</v>
      </c>
      <c r="N1135">
        <v>1.1534</v>
      </c>
      <c r="O1135">
        <v>1.3491636448707451</v>
      </c>
      <c r="P1135">
        <v>6.2763236654513792E-3</v>
      </c>
      <c r="Q1135">
        <v>1.1534</v>
      </c>
      <c r="R1135">
        <v>44094.170582000006</v>
      </c>
      <c r="S1135" t="s">
        <v>21</v>
      </c>
      <c r="T1135">
        <v>1.101</v>
      </c>
      <c r="U1135">
        <v>42090.93273</v>
      </c>
      <c r="V1135">
        <v>2003.2378520000057</v>
      </c>
      <c r="W1135">
        <v>4.7593097184377972E-2</v>
      </c>
    </row>
    <row r="1136" spans="1:23" x14ac:dyDescent="0.25">
      <c r="A1136" t="s">
        <v>826</v>
      </c>
      <c r="B1136" t="s">
        <v>28</v>
      </c>
      <c r="C1136" t="s">
        <v>111</v>
      </c>
      <c r="D1136" t="s">
        <v>31</v>
      </c>
      <c r="E1136" t="s">
        <v>74</v>
      </c>
      <c r="F1136" s="1">
        <v>45904</v>
      </c>
      <c r="G1136">
        <v>45949</v>
      </c>
      <c r="H1136" t="s">
        <v>9</v>
      </c>
      <c r="I1136">
        <v>797002.33</v>
      </c>
      <c r="J1136" t="s">
        <v>75</v>
      </c>
      <c r="K1136" t="s">
        <v>827</v>
      </c>
      <c r="L1136">
        <v>45</v>
      </c>
      <c r="M1136" t="s">
        <v>28</v>
      </c>
      <c r="N1136">
        <v>1.1647000000000001</v>
      </c>
      <c r="O1136">
        <v>1.3444534226018701</v>
      </c>
      <c r="P1136">
        <v>6.7417226209770791E-3</v>
      </c>
      <c r="Q1136">
        <v>6.7417226209770791E-3</v>
      </c>
      <c r="R1136">
        <v>5373.1686371324386</v>
      </c>
      <c r="S1136" t="s">
        <v>13</v>
      </c>
      <c r="T1136">
        <v>6.8399999999999997E-3</v>
      </c>
      <c r="U1136">
        <v>5451.4959371999994</v>
      </c>
      <c r="V1136">
        <v>-78.327300067560827</v>
      </c>
      <c r="W1136">
        <v>-1.4368037868848041E-2</v>
      </c>
    </row>
    <row r="1137" spans="1:23" x14ac:dyDescent="0.25">
      <c r="A1137" t="s">
        <v>824</v>
      </c>
      <c r="B1137" t="s">
        <v>22</v>
      </c>
      <c r="C1137" t="s">
        <v>127</v>
      </c>
      <c r="D1137" t="s">
        <v>31</v>
      </c>
      <c r="E1137" t="s">
        <v>124</v>
      </c>
      <c r="F1137" s="1">
        <v>45806</v>
      </c>
      <c r="G1137">
        <v>45866</v>
      </c>
      <c r="H1137" t="s">
        <v>9</v>
      </c>
      <c r="I1137">
        <v>4236793.6900000004</v>
      </c>
      <c r="J1137" t="s">
        <v>75</v>
      </c>
      <c r="K1137" t="s">
        <v>825</v>
      </c>
      <c r="L1137">
        <v>60</v>
      </c>
      <c r="M1137" t="s">
        <v>22</v>
      </c>
      <c r="N1137">
        <v>1.1281000000000001</v>
      </c>
      <c r="O1137">
        <v>1.3466634833472604</v>
      </c>
      <c r="P1137">
        <v>6.900960420872332E-3</v>
      </c>
      <c r="Q1137">
        <v>6.900960420872332E-3</v>
      </c>
      <c r="R1137">
        <v>29237.945566091643</v>
      </c>
      <c r="S1137" t="s">
        <v>12</v>
      </c>
      <c r="T1137">
        <v>6.7000000000000002E-3</v>
      </c>
      <c r="U1137">
        <v>28386.517723000004</v>
      </c>
      <c r="V1137">
        <v>851.42784309163835</v>
      </c>
      <c r="W1137">
        <v>2.9994092667512157E-2</v>
      </c>
    </row>
    <row r="1138" spans="1:23" x14ac:dyDescent="0.25">
      <c r="A1138" t="s">
        <v>822</v>
      </c>
      <c r="B1138" t="s">
        <v>38</v>
      </c>
      <c r="C1138" t="s">
        <v>87</v>
      </c>
      <c r="D1138" t="s">
        <v>33</v>
      </c>
      <c r="E1138" t="s">
        <v>88</v>
      </c>
      <c r="F1138" s="1">
        <v>45684</v>
      </c>
      <c r="G1138">
        <v>45714</v>
      </c>
      <c r="H1138" t="s">
        <v>6</v>
      </c>
      <c r="I1138">
        <v>6119.57</v>
      </c>
      <c r="J1138" t="s">
        <v>75</v>
      </c>
      <c r="K1138" t="s">
        <v>823</v>
      </c>
      <c r="L1138">
        <v>30</v>
      </c>
      <c r="M1138" t="s">
        <v>38</v>
      </c>
      <c r="N1138">
        <v>1.0529999999999999</v>
      </c>
      <c r="O1138">
        <v>1.2519915344921884</v>
      </c>
      <c r="P1138">
        <v>6.4915849824301822E-3</v>
      </c>
      <c r="Q1138">
        <v>1.0529999999999999</v>
      </c>
      <c r="R1138">
        <v>6443.9072099999994</v>
      </c>
      <c r="S1138" t="s">
        <v>11</v>
      </c>
      <c r="T1138">
        <v>1.052</v>
      </c>
      <c r="U1138">
        <v>6437.7876399999996</v>
      </c>
      <c r="V1138">
        <v>6.1195699999998396</v>
      </c>
      <c r="W1138">
        <v>9.5057034220529836E-4</v>
      </c>
    </row>
    <row r="1139" spans="1:23" x14ac:dyDescent="0.25">
      <c r="A1139" t="s">
        <v>820</v>
      </c>
      <c r="B1139" t="s">
        <v>34</v>
      </c>
      <c r="C1139" t="s">
        <v>177</v>
      </c>
      <c r="D1139" t="s">
        <v>31</v>
      </c>
      <c r="E1139" t="s">
        <v>74</v>
      </c>
      <c r="F1139" s="1">
        <v>45779</v>
      </c>
      <c r="G1139">
        <v>45839</v>
      </c>
      <c r="H1139" t="s">
        <v>8</v>
      </c>
      <c r="I1139">
        <v>23245.11</v>
      </c>
      <c r="J1139" t="s">
        <v>75</v>
      </c>
      <c r="K1139" t="s">
        <v>821</v>
      </c>
      <c r="L1139">
        <v>60</v>
      </c>
      <c r="M1139" t="s">
        <v>34</v>
      </c>
      <c r="N1139">
        <v>1.1343000000000001</v>
      </c>
      <c r="O1139">
        <v>1.3293097386616666</v>
      </c>
      <c r="P1139">
        <v>6.9194168242542554E-3</v>
      </c>
      <c r="Q1139">
        <v>1.3293097386616666</v>
      </c>
      <c r="R1139">
        <v>30899.951099261692</v>
      </c>
      <c r="S1139" t="s">
        <v>12</v>
      </c>
      <c r="T1139">
        <v>1.26</v>
      </c>
      <c r="U1139">
        <v>29288.838599999999</v>
      </c>
      <c r="V1139">
        <v>1611.1124992616933</v>
      </c>
      <c r="W1139">
        <v>5.5007729096560806E-2</v>
      </c>
    </row>
    <row r="1140" spans="1:23" x14ac:dyDescent="0.25">
      <c r="A1140" t="s">
        <v>818</v>
      </c>
      <c r="B1140" t="s">
        <v>36</v>
      </c>
      <c r="C1140" t="s">
        <v>116</v>
      </c>
      <c r="D1140" t="s">
        <v>31</v>
      </c>
      <c r="E1140" t="s">
        <v>74</v>
      </c>
      <c r="F1140" s="1">
        <v>46066</v>
      </c>
      <c r="G1140">
        <v>46111</v>
      </c>
      <c r="H1140" t="s">
        <v>6</v>
      </c>
      <c r="I1140">
        <v>17074.34</v>
      </c>
      <c r="J1140" t="s">
        <v>75</v>
      </c>
      <c r="K1140" t="s">
        <v>819</v>
      </c>
      <c r="L1140">
        <v>45</v>
      </c>
      <c r="M1140" t="s">
        <v>36</v>
      </c>
      <c r="N1140">
        <v>1.1861999999999999</v>
      </c>
      <c r="O1140">
        <v>1.3609453877925652</v>
      </c>
      <c r="P1140">
        <v>6.5236759610625304E-3</v>
      </c>
      <c r="Q1140">
        <v>1.1861999999999999</v>
      </c>
      <c r="R1140">
        <v>20253.582107999999</v>
      </c>
      <c r="S1140" t="s">
        <v>16</v>
      </c>
      <c r="T1140">
        <v>1.0649999999999999</v>
      </c>
      <c r="U1140">
        <v>18184.1721</v>
      </c>
      <c r="V1140">
        <v>2069.4100079999989</v>
      </c>
      <c r="W1140">
        <v>0.11380281690140839</v>
      </c>
    </row>
    <row r="1141" spans="1:23" x14ac:dyDescent="0.25">
      <c r="A1141" t="s">
        <v>816</v>
      </c>
      <c r="B1141" t="s">
        <v>42</v>
      </c>
      <c r="C1141" t="s">
        <v>151</v>
      </c>
      <c r="D1141" t="s">
        <v>35</v>
      </c>
      <c r="E1141" t="s">
        <v>152</v>
      </c>
      <c r="F1141" s="1">
        <v>45946</v>
      </c>
      <c r="G1141">
        <v>45976</v>
      </c>
      <c r="H1141" t="s">
        <v>8</v>
      </c>
      <c r="I1141">
        <v>7392.15</v>
      </c>
      <c r="J1141" t="s">
        <v>75</v>
      </c>
      <c r="K1141" t="s">
        <v>817</v>
      </c>
      <c r="L1141">
        <v>30</v>
      </c>
      <c r="M1141" t="s">
        <v>42</v>
      </c>
      <c r="N1141">
        <v>1.1649</v>
      </c>
      <c r="O1141">
        <v>1.3426694329183955</v>
      </c>
      <c r="P1141">
        <v>6.6101117857345522E-3</v>
      </c>
      <c r="Q1141">
        <v>1.3426694329183955</v>
      </c>
      <c r="R1141">
        <v>9925.2138485477171</v>
      </c>
      <c r="S1141" t="s">
        <v>14</v>
      </c>
      <c r="T1141">
        <v>1.304</v>
      </c>
      <c r="U1141">
        <v>9639.3636000000006</v>
      </c>
      <c r="V1141">
        <v>285.85024854771655</v>
      </c>
      <c r="W1141">
        <v>2.9654473096928986E-2</v>
      </c>
    </row>
    <row r="1142" spans="1:23" x14ac:dyDescent="0.25">
      <c r="A1142" t="s">
        <v>814</v>
      </c>
      <c r="B1142" t="s">
        <v>24</v>
      </c>
      <c r="C1142" t="s">
        <v>73</v>
      </c>
      <c r="D1142" t="s">
        <v>31</v>
      </c>
      <c r="E1142" t="s">
        <v>74</v>
      </c>
      <c r="F1142" s="1">
        <v>46345</v>
      </c>
      <c r="G1142">
        <v>46375</v>
      </c>
      <c r="H1142" t="s">
        <v>6</v>
      </c>
      <c r="I1142">
        <v>30863.759999999998</v>
      </c>
      <c r="J1142" t="s">
        <v>84</v>
      </c>
      <c r="K1142" t="s">
        <v>815</v>
      </c>
      <c r="L1142">
        <v>30</v>
      </c>
      <c r="M1142" t="s">
        <v>24</v>
      </c>
      <c r="N1142">
        <v>1.1176999999999999</v>
      </c>
      <c r="O1142">
        <v>1.320456022210408</v>
      </c>
      <c r="P1142">
        <v>6.3200452360757699E-3</v>
      </c>
      <c r="Q1142">
        <v>1.1176999999999999</v>
      </c>
      <c r="R1142">
        <v>34496.424551999997</v>
      </c>
      <c r="S1142" t="s">
        <v>23</v>
      </c>
      <c r="T1142">
        <v>1.119</v>
      </c>
      <c r="U1142">
        <v>34536.547439999995</v>
      </c>
      <c r="V1142">
        <v>-40.122887999998056</v>
      </c>
      <c r="W1142">
        <v>-1.1617515638962799E-3</v>
      </c>
    </row>
    <row r="1143" spans="1:23" x14ac:dyDescent="0.25">
      <c r="A1143" t="s">
        <v>812</v>
      </c>
      <c r="B1143" t="s">
        <v>32</v>
      </c>
      <c r="C1143" t="s">
        <v>106</v>
      </c>
      <c r="D1143" t="s">
        <v>31</v>
      </c>
      <c r="E1143" t="s">
        <v>74</v>
      </c>
      <c r="F1143" s="1">
        <v>45799</v>
      </c>
      <c r="G1143">
        <v>45829</v>
      </c>
      <c r="H1143" t="s">
        <v>6</v>
      </c>
      <c r="I1143">
        <v>10974.45</v>
      </c>
      <c r="J1143" t="s">
        <v>75</v>
      </c>
      <c r="K1143" t="s">
        <v>813</v>
      </c>
      <c r="L1143">
        <v>30</v>
      </c>
      <c r="M1143" t="s">
        <v>32</v>
      </c>
      <c r="N1143">
        <v>1.1309</v>
      </c>
      <c r="O1143">
        <v>1.341995965349472</v>
      </c>
      <c r="P1143">
        <v>6.9726863555089709E-3</v>
      </c>
      <c r="Q1143">
        <v>1.1309</v>
      </c>
      <c r="R1143">
        <v>12411.005505000001</v>
      </c>
      <c r="S1143" t="s">
        <v>12</v>
      </c>
      <c r="T1143">
        <v>1.07</v>
      </c>
      <c r="U1143">
        <v>11742.661500000002</v>
      </c>
      <c r="V1143">
        <v>668.34400499999902</v>
      </c>
      <c r="W1143">
        <v>5.6915887850467195E-2</v>
      </c>
    </row>
    <row r="1144" spans="1:23" x14ac:dyDescent="0.25">
      <c r="A1144" t="s">
        <v>810</v>
      </c>
      <c r="B1144" t="s">
        <v>41</v>
      </c>
      <c r="C1144" t="s">
        <v>172</v>
      </c>
      <c r="D1144" t="s">
        <v>33</v>
      </c>
      <c r="E1144" t="s">
        <v>83</v>
      </c>
      <c r="F1144" s="1">
        <v>45896</v>
      </c>
      <c r="G1144">
        <v>45926</v>
      </c>
      <c r="H1144" t="s">
        <v>9</v>
      </c>
      <c r="I1144">
        <v>1482865.61</v>
      </c>
      <c r="J1144" t="s">
        <v>75</v>
      </c>
      <c r="K1144" t="s">
        <v>811</v>
      </c>
      <c r="L1144">
        <v>30</v>
      </c>
      <c r="M1144" t="s">
        <v>41</v>
      </c>
      <c r="N1144">
        <v>1.1593</v>
      </c>
      <c r="O1144">
        <v>1.3439601205657314</v>
      </c>
      <c r="P1144">
        <v>6.7546466235506612E-3</v>
      </c>
      <c r="Q1144">
        <v>6.7546466235506612E-3</v>
      </c>
      <c r="R1144">
        <v>10016.233185765892</v>
      </c>
      <c r="S1144" t="s">
        <v>13</v>
      </c>
      <c r="T1144">
        <v>6.8399999999999997E-3</v>
      </c>
      <c r="U1144">
        <v>10142.8007724</v>
      </c>
      <c r="V1144">
        <v>-126.56758663410801</v>
      </c>
      <c r="W1144">
        <v>-1.2478563808382826E-2</v>
      </c>
    </row>
    <row r="1145" spans="1:23" x14ac:dyDescent="0.25">
      <c r="A1145" t="s">
        <v>808</v>
      </c>
      <c r="B1145" t="s">
        <v>42</v>
      </c>
      <c r="C1145" t="s">
        <v>151</v>
      </c>
      <c r="D1145" t="s">
        <v>35</v>
      </c>
      <c r="E1145" t="s">
        <v>152</v>
      </c>
      <c r="F1145" s="1">
        <v>46114</v>
      </c>
      <c r="G1145">
        <v>46144</v>
      </c>
      <c r="H1145" t="s">
        <v>8</v>
      </c>
      <c r="I1145">
        <v>2999.05</v>
      </c>
      <c r="J1145" t="s">
        <v>75</v>
      </c>
      <c r="K1145" t="s">
        <v>809</v>
      </c>
      <c r="L1145">
        <v>30</v>
      </c>
      <c r="M1145" t="s">
        <v>42</v>
      </c>
      <c r="N1145">
        <v>1.1525000000000001</v>
      </c>
      <c r="O1145">
        <v>1.3208714886594157</v>
      </c>
      <c r="P1145">
        <v>6.2656300967706864E-3</v>
      </c>
      <c r="Q1145">
        <v>1.3208714886594157</v>
      </c>
      <c r="R1145">
        <v>3961.3596380640211</v>
      </c>
      <c r="S1145" t="s">
        <v>19</v>
      </c>
      <c r="T1145">
        <v>1.2709999999999999</v>
      </c>
      <c r="U1145">
        <v>3811.7925500000001</v>
      </c>
      <c r="V1145">
        <v>149.56708806402094</v>
      </c>
      <c r="W1145">
        <v>3.9237992650995902E-2</v>
      </c>
    </row>
    <row r="1146" spans="1:23" x14ac:dyDescent="0.25">
      <c r="A1146" t="s">
        <v>805</v>
      </c>
      <c r="B1146" t="s">
        <v>32</v>
      </c>
      <c r="C1146" t="s">
        <v>106</v>
      </c>
      <c r="D1146" t="s">
        <v>31</v>
      </c>
      <c r="E1146" t="s">
        <v>806</v>
      </c>
      <c r="F1146" s="1">
        <v>45713</v>
      </c>
      <c r="G1146">
        <v>45743</v>
      </c>
      <c r="H1146" t="s">
        <v>6</v>
      </c>
      <c r="I1146">
        <v>17142.560000000001</v>
      </c>
      <c r="J1146" t="s">
        <v>75</v>
      </c>
      <c r="K1146" t="s">
        <v>807</v>
      </c>
      <c r="L1146">
        <v>30</v>
      </c>
      <c r="M1146" t="s">
        <v>32</v>
      </c>
      <c r="N1146">
        <v>1.0497000000000001</v>
      </c>
      <c r="O1146">
        <v>1.2661021855550731</v>
      </c>
      <c r="P1146">
        <v>6.6779057191933338E-3</v>
      </c>
      <c r="Q1146">
        <v>1.0497000000000001</v>
      </c>
      <c r="R1146">
        <v>17994.545232000004</v>
      </c>
      <c r="S1146" t="s">
        <v>11</v>
      </c>
      <c r="T1146">
        <v>1.052</v>
      </c>
      <c r="U1146">
        <v>18033.973120000002</v>
      </c>
      <c r="V1146">
        <v>-39.427887999998347</v>
      </c>
      <c r="W1146">
        <v>-2.1863117870721516E-3</v>
      </c>
    </row>
    <row r="1147" spans="1:23" x14ac:dyDescent="0.25">
      <c r="A1147" t="s">
        <v>803</v>
      </c>
      <c r="B1147" t="s">
        <v>34</v>
      </c>
      <c r="C1147" t="s">
        <v>177</v>
      </c>
      <c r="D1147" t="s">
        <v>31</v>
      </c>
      <c r="E1147" t="s">
        <v>74</v>
      </c>
      <c r="F1147" s="1">
        <v>46224</v>
      </c>
      <c r="G1147">
        <v>46284</v>
      </c>
      <c r="H1147" t="s">
        <v>8</v>
      </c>
      <c r="I1147">
        <v>22397.54</v>
      </c>
      <c r="J1147" t="s">
        <v>75</v>
      </c>
      <c r="K1147" t="s">
        <v>804</v>
      </c>
      <c r="L1147">
        <v>60</v>
      </c>
      <c r="M1147" t="s">
        <v>34</v>
      </c>
      <c r="N1147">
        <v>1.1417999999999999</v>
      </c>
      <c r="O1147">
        <v>1.3400622029223637</v>
      </c>
      <c r="P1147">
        <v>6.1446561188246689E-3</v>
      </c>
      <c r="Q1147">
        <v>1.3400622029223637</v>
      </c>
      <c r="R1147">
        <v>30014.09679244176</v>
      </c>
      <c r="S1147" t="s">
        <v>21</v>
      </c>
      <c r="T1147">
        <v>1.2929999999999999</v>
      </c>
      <c r="U1147">
        <v>28960.019219999998</v>
      </c>
      <c r="V1147">
        <v>1054.0775724417617</v>
      </c>
      <c r="W1147">
        <v>3.6397682074527357E-2</v>
      </c>
    </row>
    <row r="1148" spans="1:23" x14ac:dyDescent="0.25">
      <c r="A1148" t="s">
        <v>801</v>
      </c>
      <c r="B1148" t="s">
        <v>24</v>
      </c>
      <c r="C1148" t="s">
        <v>73</v>
      </c>
      <c r="D1148" t="s">
        <v>31</v>
      </c>
      <c r="E1148" t="s">
        <v>74</v>
      </c>
      <c r="F1148" s="1">
        <v>45941</v>
      </c>
      <c r="G1148">
        <v>45971</v>
      </c>
      <c r="H1148" t="s">
        <v>6</v>
      </c>
      <c r="I1148">
        <v>7954.69</v>
      </c>
      <c r="J1148" t="s">
        <v>75</v>
      </c>
      <c r="K1148" t="s">
        <v>802</v>
      </c>
      <c r="L1148">
        <v>30</v>
      </c>
      <c r="M1148" t="s">
        <v>24</v>
      </c>
      <c r="N1148">
        <v>1.1845000000000001</v>
      </c>
      <c r="O1148">
        <v>1.3577487391104999</v>
      </c>
      <c r="P1148">
        <v>6.5085993735919554E-3</v>
      </c>
      <c r="Q1148">
        <v>1.1845000000000001</v>
      </c>
      <c r="R1148">
        <v>9422.3303049999995</v>
      </c>
      <c r="S1148" t="s">
        <v>14</v>
      </c>
      <c r="T1148">
        <v>1.1060000000000001</v>
      </c>
      <c r="U1148">
        <v>8797.8871400000007</v>
      </c>
      <c r="V1148">
        <v>624.44316499999877</v>
      </c>
      <c r="W1148">
        <v>7.0976491862567673E-2</v>
      </c>
    </row>
    <row r="1149" spans="1:23" x14ac:dyDescent="0.25">
      <c r="A1149" t="s">
        <v>799</v>
      </c>
      <c r="B1149" t="s">
        <v>38</v>
      </c>
      <c r="C1149" t="s">
        <v>87</v>
      </c>
      <c r="D1149" t="s">
        <v>33</v>
      </c>
      <c r="E1149" t="s">
        <v>88</v>
      </c>
      <c r="F1149" s="1">
        <v>45967</v>
      </c>
      <c r="G1149">
        <v>45997</v>
      </c>
      <c r="H1149" t="s">
        <v>6</v>
      </c>
      <c r="I1149">
        <v>11397.89</v>
      </c>
      <c r="J1149" t="s">
        <v>75</v>
      </c>
      <c r="K1149" t="s">
        <v>800</v>
      </c>
      <c r="L1149">
        <v>30</v>
      </c>
      <c r="M1149" t="s">
        <v>38</v>
      </c>
      <c r="N1149">
        <v>1.1533</v>
      </c>
      <c r="O1149">
        <v>1.3095265130010219</v>
      </c>
      <c r="P1149">
        <v>6.5103020039514537E-3</v>
      </c>
      <c r="Q1149">
        <v>1.1533</v>
      </c>
      <c r="R1149">
        <v>13145.186537</v>
      </c>
      <c r="S1149" t="s">
        <v>14</v>
      </c>
      <c r="T1149">
        <v>1.1060000000000001</v>
      </c>
      <c r="U1149">
        <v>12606.066340000001</v>
      </c>
      <c r="V1149">
        <v>539.12019699999837</v>
      </c>
      <c r="W1149">
        <v>4.2766726943941999E-2</v>
      </c>
    </row>
    <row r="1150" spans="1:23" x14ac:dyDescent="0.25">
      <c r="A1150" t="s">
        <v>797</v>
      </c>
      <c r="B1150" t="s">
        <v>28</v>
      </c>
      <c r="C1150" t="s">
        <v>111</v>
      </c>
      <c r="D1150" t="s">
        <v>31</v>
      </c>
      <c r="E1150" t="s">
        <v>74</v>
      </c>
      <c r="F1150" s="1">
        <v>46042</v>
      </c>
      <c r="G1150">
        <v>46087</v>
      </c>
      <c r="H1150" t="s">
        <v>9</v>
      </c>
      <c r="I1150">
        <v>2341537.13</v>
      </c>
      <c r="J1150" t="s">
        <v>75</v>
      </c>
      <c r="K1150" t="s">
        <v>798</v>
      </c>
      <c r="L1150">
        <v>45</v>
      </c>
      <c r="M1150" t="s">
        <v>28</v>
      </c>
      <c r="N1150">
        <v>1.1728000000000001</v>
      </c>
      <c r="O1150">
        <v>1.3446457234579225</v>
      </c>
      <c r="P1150">
        <v>6.3332973323253052E-3</v>
      </c>
      <c r="Q1150">
        <v>6.3332973323253052E-3</v>
      </c>
      <c r="R1150">
        <v>14829.650858969651</v>
      </c>
      <c r="S1150" t="s">
        <v>16</v>
      </c>
      <c r="T1150">
        <v>6.4599999999999996E-3</v>
      </c>
      <c r="U1150">
        <v>15126.329859799998</v>
      </c>
      <c r="V1150">
        <v>-296.67900083034692</v>
      </c>
      <c r="W1150">
        <v>-1.9613416048714253E-2</v>
      </c>
    </row>
    <row r="1151" spans="1:23" x14ac:dyDescent="0.25">
      <c r="A1151" t="s">
        <v>795</v>
      </c>
      <c r="B1151" t="s">
        <v>34</v>
      </c>
      <c r="C1151" t="s">
        <v>177</v>
      </c>
      <c r="D1151" t="s">
        <v>31</v>
      </c>
      <c r="E1151" t="s">
        <v>74</v>
      </c>
      <c r="F1151" s="1">
        <v>46319</v>
      </c>
      <c r="G1151">
        <v>46379</v>
      </c>
      <c r="H1151" t="s">
        <v>8</v>
      </c>
      <c r="I1151">
        <v>16554.740000000002</v>
      </c>
      <c r="J1151" t="s">
        <v>84</v>
      </c>
      <c r="K1151" t="s">
        <v>796</v>
      </c>
      <c r="L1151">
        <v>60</v>
      </c>
      <c r="M1151" t="s">
        <v>34</v>
      </c>
      <c r="N1151">
        <v>1.1176999999999999</v>
      </c>
      <c r="O1151">
        <v>1.320456022210408</v>
      </c>
      <c r="P1151">
        <v>6.3200452360757699E-3</v>
      </c>
      <c r="Q1151">
        <v>1.320456022210408</v>
      </c>
      <c r="R1151">
        <v>21859.806129127533</v>
      </c>
      <c r="S1151" t="s">
        <v>23</v>
      </c>
      <c r="T1151">
        <v>1.3149999999999999</v>
      </c>
      <c r="U1151">
        <v>21769.483100000001</v>
      </c>
      <c r="V1151">
        <v>90.323029127532209</v>
      </c>
      <c r="W1151">
        <v>4.1490663197020147E-3</v>
      </c>
    </row>
    <row r="1152" spans="1:23" x14ac:dyDescent="0.25">
      <c r="A1152" t="s">
        <v>793</v>
      </c>
      <c r="B1152" t="s">
        <v>20</v>
      </c>
      <c r="C1152" t="s">
        <v>123</v>
      </c>
      <c r="D1152" t="s">
        <v>31</v>
      </c>
      <c r="E1152" t="s">
        <v>124</v>
      </c>
      <c r="F1152" s="1">
        <v>45814</v>
      </c>
      <c r="G1152">
        <v>45859</v>
      </c>
      <c r="H1152" t="s">
        <v>6</v>
      </c>
      <c r="I1152">
        <v>58073.81</v>
      </c>
      <c r="J1152" t="s">
        <v>75</v>
      </c>
      <c r="K1152" t="s">
        <v>794</v>
      </c>
      <c r="L1152">
        <v>45</v>
      </c>
      <c r="M1152" t="s">
        <v>20</v>
      </c>
      <c r="N1152">
        <v>1.1411</v>
      </c>
      <c r="O1152">
        <v>1.3542606218846427</v>
      </c>
      <c r="P1152">
        <v>6.9317215405175553E-3</v>
      </c>
      <c r="Q1152">
        <v>1.1411</v>
      </c>
      <c r="R1152">
        <v>66268.024590999994</v>
      </c>
      <c r="S1152" t="s">
        <v>12</v>
      </c>
      <c r="T1152">
        <v>1.07</v>
      </c>
      <c r="U1152">
        <v>62138.976699999999</v>
      </c>
      <c r="V1152">
        <v>4129.0478909999947</v>
      </c>
      <c r="W1152">
        <v>6.6448598130841044E-2</v>
      </c>
    </row>
    <row r="1153" spans="1:23" x14ac:dyDescent="0.25">
      <c r="A1153" t="s">
        <v>791</v>
      </c>
      <c r="B1153" t="s">
        <v>36</v>
      </c>
      <c r="C1153" t="s">
        <v>116</v>
      </c>
      <c r="D1153" t="s">
        <v>31</v>
      </c>
      <c r="E1153" t="s">
        <v>74</v>
      </c>
      <c r="F1153" s="1">
        <v>46294</v>
      </c>
      <c r="G1153">
        <v>46339</v>
      </c>
      <c r="H1153" t="s">
        <v>6</v>
      </c>
      <c r="I1153">
        <v>34631.61</v>
      </c>
      <c r="J1153" t="s">
        <v>75</v>
      </c>
      <c r="K1153" t="s">
        <v>792</v>
      </c>
      <c r="L1153">
        <v>45</v>
      </c>
      <c r="M1153" t="s">
        <v>36</v>
      </c>
      <c r="N1153">
        <v>1.1355</v>
      </c>
      <c r="O1153">
        <v>1.324692596654145</v>
      </c>
      <c r="P1153">
        <v>6.3645535564149994E-3</v>
      </c>
      <c r="Q1153">
        <v>1.1355</v>
      </c>
      <c r="R1153">
        <v>39324.193155000001</v>
      </c>
      <c r="S1153" t="s">
        <v>21</v>
      </c>
      <c r="T1153">
        <v>1.101</v>
      </c>
      <c r="U1153">
        <v>38129.402609999997</v>
      </c>
      <c r="V1153">
        <v>1194.7905450000035</v>
      </c>
      <c r="W1153">
        <v>3.1335149863760313E-2</v>
      </c>
    </row>
    <row r="1154" spans="1:23" x14ac:dyDescent="0.25">
      <c r="A1154" t="s">
        <v>789</v>
      </c>
      <c r="B1154" t="s">
        <v>20</v>
      </c>
      <c r="C1154" t="s">
        <v>123</v>
      </c>
      <c r="D1154" t="s">
        <v>31</v>
      </c>
      <c r="E1154" t="s">
        <v>124</v>
      </c>
      <c r="F1154" s="1">
        <v>46375</v>
      </c>
      <c r="G1154">
        <v>46420</v>
      </c>
      <c r="H1154" t="s">
        <v>6</v>
      </c>
      <c r="I1154">
        <v>50589.7</v>
      </c>
      <c r="J1154" t="s">
        <v>84</v>
      </c>
      <c r="K1154" t="s">
        <v>790</v>
      </c>
      <c r="L1154">
        <v>45</v>
      </c>
      <c r="M1154" t="s">
        <v>20</v>
      </c>
      <c r="N1154">
        <v>1.1176999999999999</v>
      </c>
      <c r="O1154">
        <v>1.320456022210408</v>
      </c>
      <c r="P1154">
        <v>6.3200452360757699E-3</v>
      </c>
      <c r="Q1154">
        <v>1.1176999999999999</v>
      </c>
      <c r="R1154">
        <v>56544.10768999999</v>
      </c>
      <c r="S1154" t="s">
        <v>23</v>
      </c>
      <c r="T1154">
        <v>1.119</v>
      </c>
      <c r="U1154">
        <v>56609.874299999996</v>
      </c>
      <c r="V1154">
        <v>-65.76661000000604</v>
      </c>
      <c r="W1154">
        <v>-1.1617515638964427E-3</v>
      </c>
    </row>
    <row r="1155" spans="1:23" x14ac:dyDescent="0.25">
      <c r="A1155" t="s">
        <v>787</v>
      </c>
      <c r="B1155" t="s">
        <v>38</v>
      </c>
      <c r="C1155" t="s">
        <v>87</v>
      </c>
      <c r="D1155" t="s">
        <v>33</v>
      </c>
      <c r="E1155" t="s">
        <v>88</v>
      </c>
      <c r="F1155" s="1">
        <v>46108</v>
      </c>
      <c r="G1155">
        <v>46138</v>
      </c>
      <c r="H1155" t="s">
        <v>6</v>
      </c>
      <c r="I1155">
        <v>5066.67</v>
      </c>
      <c r="J1155" t="s">
        <v>75</v>
      </c>
      <c r="K1155" t="s">
        <v>788</v>
      </c>
      <c r="L1155">
        <v>30</v>
      </c>
      <c r="M1155" t="s">
        <v>38</v>
      </c>
      <c r="N1155">
        <v>1.1516999999999999</v>
      </c>
      <c r="O1155">
        <v>1.3280673431734318</v>
      </c>
      <c r="P1155">
        <v>6.2538010425716769E-3</v>
      </c>
      <c r="Q1155">
        <v>1.1516999999999999</v>
      </c>
      <c r="R1155">
        <v>5835.2838389999997</v>
      </c>
      <c r="S1155" t="s">
        <v>16</v>
      </c>
      <c r="T1155">
        <v>1.0649999999999999</v>
      </c>
      <c r="U1155">
        <v>5396.0035499999994</v>
      </c>
      <c r="V1155">
        <v>439.28028900000027</v>
      </c>
      <c r="W1155">
        <v>8.1408450704225407E-2</v>
      </c>
    </row>
    <row r="1156" spans="1:23" x14ac:dyDescent="0.25">
      <c r="A1156" t="s">
        <v>785</v>
      </c>
      <c r="B1156" t="s">
        <v>44</v>
      </c>
      <c r="C1156" t="s">
        <v>138</v>
      </c>
      <c r="D1156" t="s">
        <v>33</v>
      </c>
      <c r="E1156" t="s">
        <v>88</v>
      </c>
      <c r="F1156" s="1">
        <v>46271</v>
      </c>
      <c r="G1156">
        <v>46316</v>
      </c>
      <c r="H1156" t="s">
        <v>9</v>
      </c>
      <c r="I1156">
        <v>914723.61</v>
      </c>
      <c r="J1156" t="s">
        <v>75</v>
      </c>
      <c r="K1156" t="s">
        <v>786</v>
      </c>
      <c r="L1156">
        <v>45</v>
      </c>
      <c r="M1156" t="s">
        <v>44</v>
      </c>
      <c r="N1156">
        <v>1.1621999999999999</v>
      </c>
      <c r="O1156">
        <v>1.3530000698502875</v>
      </c>
      <c r="P1156">
        <v>6.400132165868164E-3</v>
      </c>
      <c r="Q1156">
        <v>6.400132165868164E-3</v>
      </c>
      <c r="R1156">
        <v>5854.3519992400461</v>
      </c>
      <c r="S1156" t="s">
        <v>21</v>
      </c>
      <c r="T1156">
        <v>6.7400000000000003E-3</v>
      </c>
      <c r="U1156">
        <v>6165.2371314000002</v>
      </c>
      <c r="V1156">
        <v>-310.88513215995408</v>
      </c>
      <c r="W1156">
        <v>-5.042549467831392E-2</v>
      </c>
    </row>
    <row r="1157" spans="1:23" x14ac:dyDescent="0.25">
      <c r="A1157" t="s">
        <v>783</v>
      </c>
      <c r="B1157" t="s">
        <v>30</v>
      </c>
      <c r="C1157" t="s">
        <v>103</v>
      </c>
      <c r="D1157" t="s">
        <v>31</v>
      </c>
      <c r="E1157" t="s">
        <v>74</v>
      </c>
      <c r="F1157" s="1">
        <v>46168</v>
      </c>
      <c r="G1157">
        <v>46198</v>
      </c>
      <c r="H1157" t="s">
        <v>9</v>
      </c>
      <c r="I1157">
        <v>2005781.24</v>
      </c>
      <c r="J1157" t="s">
        <v>75</v>
      </c>
      <c r="K1157" t="s">
        <v>784</v>
      </c>
      <c r="L1157">
        <v>30</v>
      </c>
      <c r="M1157" t="s">
        <v>30</v>
      </c>
      <c r="N1157">
        <v>1.1634</v>
      </c>
      <c r="O1157">
        <v>1.3469175108538349</v>
      </c>
      <c r="P1157">
        <v>6.2811791383219958E-3</v>
      </c>
      <c r="Q1157">
        <v>6.2811791383219958E-3</v>
      </c>
      <c r="R1157">
        <v>12598.671280725624</v>
      </c>
      <c r="S1157" t="s">
        <v>19</v>
      </c>
      <c r="T1157">
        <v>6.6E-3</v>
      </c>
      <c r="U1157">
        <v>13238.156183999999</v>
      </c>
      <c r="V1157">
        <v>-639.48490327437503</v>
      </c>
      <c r="W1157">
        <v>-4.8306191163333914E-2</v>
      </c>
    </row>
    <row r="1158" spans="1:23" x14ac:dyDescent="0.25">
      <c r="A1158" t="s">
        <v>781</v>
      </c>
      <c r="B1158" t="s">
        <v>38</v>
      </c>
      <c r="C1158" t="s">
        <v>87</v>
      </c>
      <c r="D1158" t="s">
        <v>33</v>
      </c>
      <c r="E1158" t="s">
        <v>88</v>
      </c>
      <c r="F1158" s="1">
        <v>46323</v>
      </c>
      <c r="G1158">
        <v>46353</v>
      </c>
      <c r="H1158" t="s">
        <v>6</v>
      </c>
      <c r="I1158">
        <v>10621.11</v>
      </c>
      <c r="J1158" t="s">
        <v>84</v>
      </c>
      <c r="K1158" t="s">
        <v>782</v>
      </c>
      <c r="L1158">
        <v>30</v>
      </c>
      <c r="M1158" t="s">
        <v>38</v>
      </c>
      <c r="N1158">
        <v>1.1176999999999999</v>
      </c>
      <c r="O1158">
        <v>1.320456022210408</v>
      </c>
      <c r="P1158">
        <v>6.3200452360757699E-3</v>
      </c>
      <c r="Q1158">
        <v>1.1176999999999999</v>
      </c>
      <c r="R1158">
        <v>11871.214646999999</v>
      </c>
      <c r="S1158" t="s">
        <v>23</v>
      </c>
      <c r="T1158">
        <v>1.119</v>
      </c>
      <c r="U1158">
        <v>11885.02209</v>
      </c>
      <c r="V1158">
        <v>-13.807443000001513</v>
      </c>
      <c r="W1158">
        <v>-1.1617515638964633E-3</v>
      </c>
    </row>
    <row r="1159" spans="1:23" x14ac:dyDescent="0.25">
      <c r="A1159" t="s">
        <v>778</v>
      </c>
      <c r="B1159" t="s">
        <v>40</v>
      </c>
      <c r="C1159" t="s">
        <v>78</v>
      </c>
      <c r="D1159" t="s">
        <v>33</v>
      </c>
      <c r="E1159" t="s">
        <v>779</v>
      </c>
      <c r="F1159" s="1">
        <v>45911</v>
      </c>
      <c r="G1159">
        <v>45941</v>
      </c>
      <c r="H1159" t="s">
        <v>9</v>
      </c>
      <c r="I1159">
        <v>606340.79</v>
      </c>
      <c r="J1159" t="s">
        <v>75</v>
      </c>
      <c r="K1159" t="s">
        <v>780</v>
      </c>
      <c r="L1159">
        <v>30</v>
      </c>
      <c r="M1159" t="s">
        <v>40</v>
      </c>
      <c r="N1159">
        <v>1.1685000000000001</v>
      </c>
      <c r="O1159">
        <v>1.3513357233722678</v>
      </c>
      <c r="P1159">
        <v>6.7590236001850998E-3</v>
      </c>
      <c r="Q1159">
        <v>6.7590236001850998E-3</v>
      </c>
      <c r="R1159">
        <v>4098.271709364878</v>
      </c>
      <c r="S1159" t="s">
        <v>13</v>
      </c>
      <c r="T1159">
        <v>6.8399999999999997E-3</v>
      </c>
      <c r="U1159">
        <v>4147.3710036000002</v>
      </c>
      <c r="V1159">
        <v>-49.099294235122215</v>
      </c>
      <c r="W1159">
        <v>-1.1838654943698805E-2</v>
      </c>
    </row>
    <row r="1160" spans="1:23" x14ac:dyDescent="0.25">
      <c r="A1160" t="s">
        <v>776</v>
      </c>
      <c r="B1160" t="s">
        <v>41</v>
      </c>
      <c r="C1160" t="s">
        <v>172</v>
      </c>
      <c r="D1160" t="s">
        <v>33</v>
      </c>
      <c r="E1160" t="s">
        <v>83</v>
      </c>
      <c r="F1160" s="1">
        <v>45773</v>
      </c>
      <c r="G1160">
        <v>45803</v>
      </c>
      <c r="H1160" t="s">
        <v>9</v>
      </c>
      <c r="I1160">
        <v>1099282.06</v>
      </c>
      <c r="J1160" t="s">
        <v>75</v>
      </c>
      <c r="K1160" t="s">
        <v>777</v>
      </c>
      <c r="L1160">
        <v>30</v>
      </c>
      <c r="M1160" t="s">
        <v>41</v>
      </c>
      <c r="N1160">
        <v>1.1607000000000001</v>
      </c>
      <c r="O1160">
        <v>1.3612055822680897</v>
      </c>
      <c r="P1160">
        <v>6.8978427527188451E-3</v>
      </c>
      <c r="Q1160">
        <v>6.8978427527188451E-3</v>
      </c>
      <c r="R1160">
        <v>7582.6747907648432</v>
      </c>
      <c r="S1160" t="s">
        <v>12</v>
      </c>
      <c r="T1160">
        <v>6.7000000000000002E-3</v>
      </c>
      <c r="U1160">
        <v>7365.1898020000008</v>
      </c>
      <c r="V1160">
        <v>217.48498876484246</v>
      </c>
      <c r="W1160">
        <v>2.9528769062514164E-2</v>
      </c>
    </row>
    <row r="1161" spans="1:23" x14ac:dyDescent="0.25">
      <c r="A1161" t="s">
        <v>774</v>
      </c>
      <c r="B1161" t="s">
        <v>20</v>
      </c>
      <c r="C1161" t="s">
        <v>123</v>
      </c>
      <c r="D1161" t="s">
        <v>31</v>
      </c>
      <c r="E1161" t="s">
        <v>124</v>
      </c>
      <c r="F1161" s="1">
        <v>45982</v>
      </c>
      <c r="G1161">
        <v>46027</v>
      </c>
      <c r="H1161" t="s">
        <v>6</v>
      </c>
      <c r="I1161">
        <v>40141.480000000003</v>
      </c>
      <c r="J1161" t="s">
        <v>75</v>
      </c>
      <c r="K1161" t="s">
        <v>775</v>
      </c>
      <c r="L1161">
        <v>45</v>
      </c>
      <c r="M1161" t="s">
        <v>20</v>
      </c>
      <c r="N1161">
        <v>1.1519999999999999</v>
      </c>
      <c r="O1161">
        <v>1.3086447801885721</v>
      </c>
      <c r="P1161">
        <v>6.3801506424457236E-3</v>
      </c>
      <c r="Q1161">
        <v>1.1519999999999999</v>
      </c>
      <c r="R1161">
        <v>46242.984960000002</v>
      </c>
      <c r="S1161" t="s">
        <v>14</v>
      </c>
      <c r="T1161">
        <v>1.1060000000000001</v>
      </c>
      <c r="U1161">
        <v>44396.476880000009</v>
      </c>
      <c r="V1161">
        <v>1846.5080799999923</v>
      </c>
      <c r="W1161">
        <v>4.1591320072332551E-2</v>
      </c>
    </row>
    <row r="1162" spans="1:23" x14ac:dyDescent="0.25">
      <c r="A1162" t="s">
        <v>772</v>
      </c>
      <c r="B1162" t="s">
        <v>38</v>
      </c>
      <c r="C1162" t="s">
        <v>87</v>
      </c>
      <c r="D1162" t="s">
        <v>33</v>
      </c>
      <c r="E1162" t="s">
        <v>88</v>
      </c>
      <c r="F1162" s="1">
        <v>46229</v>
      </c>
      <c r="G1162">
        <v>46259</v>
      </c>
      <c r="H1162" t="s">
        <v>6</v>
      </c>
      <c r="I1162">
        <v>3777.9</v>
      </c>
      <c r="J1162" t="s">
        <v>75</v>
      </c>
      <c r="K1162" t="s">
        <v>773</v>
      </c>
      <c r="L1162">
        <v>30</v>
      </c>
      <c r="M1162" t="s">
        <v>38</v>
      </c>
      <c r="N1162">
        <v>1.1376999999999999</v>
      </c>
      <c r="O1162">
        <v>1.3323886260364455</v>
      </c>
      <c r="P1162">
        <v>6.1041957291554884E-3</v>
      </c>
      <c r="Q1162">
        <v>1.1376999999999999</v>
      </c>
      <c r="R1162">
        <v>4298.1168299999999</v>
      </c>
      <c r="S1162" t="s">
        <v>21</v>
      </c>
      <c r="T1162">
        <v>1.101</v>
      </c>
      <c r="U1162">
        <v>4159.4678999999996</v>
      </c>
      <c r="V1162">
        <v>138.64893000000029</v>
      </c>
      <c r="W1162">
        <v>3.3333333333333409E-2</v>
      </c>
    </row>
    <row r="1163" spans="1:23" x14ac:dyDescent="0.25">
      <c r="A1163" t="s">
        <v>770</v>
      </c>
      <c r="B1163" t="s">
        <v>22</v>
      </c>
      <c r="C1163" t="s">
        <v>127</v>
      </c>
      <c r="D1163" t="s">
        <v>31</v>
      </c>
      <c r="E1163" t="s">
        <v>124</v>
      </c>
      <c r="F1163" s="1">
        <v>46213</v>
      </c>
      <c r="G1163">
        <v>46273</v>
      </c>
      <c r="H1163" t="s">
        <v>9</v>
      </c>
      <c r="I1163">
        <v>11647487.4</v>
      </c>
      <c r="J1163" t="s">
        <v>75</v>
      </c>
      <c r="K1163" t="s">
        <v>771</v>
      </c>
      <c r="L1163">
        <v>60</v>
      </c>
      <c r="M1163" t="s">
        <v>22</v>
      </c>
      <c r="N1163">
        <v>1.143</v>
      </c>
      <c r="O1163">
        <v>1.3422582349832657</v>
      </c>
      <c r="P1163">
        <v>6.1777105177818611E-3</v>
      </c>
      <c r="Q1163">
        <v>6.1777105177818611E-3</v>
      </c>
      <c r="R1163">
        <v>71954.805416711708</v>
      </c>
      <c r="S1163" t="s">
        <v>21</v>
      </c>
      <c r="T1163">
        <v>6.7400000000000003E-3</v>
      </c>
      <c r="U1163">
        <v>78504.065076000014</v>
      </c>
      <c r="V1163">
        <v>-6549.2596592883056</v>
      </c>
      <c r="W1163">
        <v>-8.3425739201504381E-2</v>
      </c>
    </row>
    <row r="1164" spans="1:23" x14ac:dyDescent="0.25">
      <c r="A1164" t="s">
        <v>768</v>
      </c>
      <c r="B1164" t="s">
        <v>40</v>
      </c>
      <c r="C1164" t="s">
        <v>78</v>
      </c>
      <c r="D1164" t="s">
        <v>33</v>
      </c>
      <c r="E1164" t="s">
        <v>79</v>
      </c>
      <c r="F1164" s="1">
        <v>46090</v>
      </c>
      <c r="G1164">
        <v>46120</v>
      </c>
      <c r="H1164" t="s">
        <v>9</v>
      </c>
      <c r="I1164">
        <v>559195.89</v>
      </c>
      <c r="J1164" t="s">
        <v>75</v>
      </c>
      <c r="K1164" t="s">
        <v>769</v>
      </c>
      <c r="L1164">
        <v>30</v>
      </c>
      <c r="M1164" t="s">
        <v>40</v>
      </c>
      <c r="N1164">
        <v>1.1555</v>
      </c>
      <c r="O1164">
        <v>1.3353750144458569</v>
      </c>
      <c r="P1164">
        <v>6.3090363090363083E-3</v>
      </c>
      <c r="Q1164">
        <v>6.3090363090363083E-3</v>
      </c>
      <c r="R1164">
        <v>3527.9871738738734</v>
      </c>
      <c r="S1164" t="s">
        <v>16</v>
      </c>
      <c r="T1164">
        <v>6.4599999999999996E-3</v>
      </c>
      <c r="U1164">
        <v>3612.4054493999997</v>
      </c>
      <c r="V1164">
        <v>-84.418275526126308</v>
      </c>
      <c r="W1164">
        <v>-2.336899240924014E-2</v>
      </c>
    </row>
    <row r="1165" spans="1:23" x14ac:dyDescent="0.25">
      <c r="A1165" t="s">
        <v>766</v>
      </c>
      <c r="B1165" t="s">
        <v>25</v>
      </c>
      <c r="C1165" t="s">
        <v>169</v>
      </c>
      <c r="D1165" t="s">
        <v>31</v>
      </c>
      <c r="E1165" t="s">
        <v>124</v>
      </c>
      <c r="F1165" s="1">
        <v>45763</v>
      </c>
      <c r="G1165">
        <v>45823</v>
      </c>
      <c r="H1165" t="s">
        <v>6</v>
      </c>
      <c r="I1165">
        <v>46110.879999999997</v>
      </c>
      <c r="J1165" t="s">
        <v>75</v>
      </c>
      <c r="K1165" t="s">
        <v>767</v>
      </c>
      <c r="L1165">
        <v>60</v>
      </c>
      <c r="M1165" t="s">
        <v>25</v>
      </c>
      <c r="N1165">
        <v>1.1355</v>
      </c>
      <c r="O1165">
        <v>1.3262398093858767</v>
      </c>
      <c r="P1165">
        <v>7.0053673884878766E-3</v>
      </c>
      <c r="Q1165">
        <v>1.1355</v>
      </c>
      <c r="R1165">
        <v>52358.904239999996</v>
      </c>
      <c r="S1165" t="s">
        <v>12</v>
      </c>
      <c r="T1165">
        <v>1.07</v>
      </c>
      <c r="U1165">
        <v>49338.641600000003</v>
      </c>
      <c r="V1165">
        <v>3020.2626399999936</v>
      </c>
      <c r="W1165">
        <v>6.1214953271027904E-2</v>
      </c>
    </row>
    <row r="1166" spans="1:23" x14ac:dyDescent="0.25">
      <c r="A1166" t="s">
        <v>764</v>
      </c>
      <c r="B1166" t="s">
        <v>36</v>
      </c>
      <c r="C1166" t="s">
        <v>116</v>
      </c>
      <c r="D1166" t="s">
        <v>31</v>
      </c>
      <c r="E1166" t="s">
        <v>74</v>
      </c>
      <c r="F1166" s="1">
        <v>46125</v>
      </c>
      <c r="G1166">
        <v>46170</v>
      </c>
      <c r="H1166" t="s">
        <v>6</v>
      </c>
      <c r="I1166">
        <v>5008.63</v>
      </c>
      <c r="J1166" t="s">
        <v>75</v>
      </c>
      <c r="K1166" t="s">
        <v>765</v>
      </c>
      <c r="L1166">
        <v>45</v>
      </c>
      <c r="M1166" t="s">
        <v>36</v>
      </c>
      <c r="N1166">
        <v>1.1684000000000001</v>
      </c>
      <c r="O1166">
        <v>1.3420937765627514</v>
      </c>
      <c r="P1166">
        <v>6.2564926372155293E-3</v>
      </c>
      <c r="Q1166">
        <v>1.1684000000000001</v>
      </c>
      <c r="R1166">
        <v>5852.0832920000003</v>
      </c>
      <c r="S1166" t="s">
        <v>19</v>
      </c>
      <c r="T1166">
        <v>1.083</v>
      </c>
      <c r="U1166">
        <v>5424.3462899999995</v>
      </c>
      <c r="V1166">
        <v>427.73700200000076</v>
      </c>
      <c r="W1166">
        <v>7.8855032317636339E-2</v>
      </c>
    </row>
    <row r="1167" spans="1:23" x14ac:dyDescent="0.25">
      <c r="A1167" t="s">
        <v>762</v>
      </c>
      <c r="B1167" t="s">
        <v>40</v>
      </c>
      <c r="C1167" t="s">
        <v>78</v>
      </c>
      <c r="D1167" t="s">
        <v>33</v>
      </c>
      <c r="E1167" t="s">
        <v>79</v>
      </c>
      <c r="F1167" s="1">
        <v>46365</v>
      </c>
      <c r="G1167">
        <v>46395</v>
      </c>
      <c r="H1167" t="s">
        <v>9</v>
      </c>
      <c r="I1167">
        <v>2166248.81</v>
      </c>
      <c r="J1167" t="s">
        <v>84</v>
      </c>
      <c r="K1167" t="s">
        <v>763</v>
      </c>
      <c r="L1167">
        <v>30</v>
      </c>
      <c r="M1167" t="s">
        <v>40</v>
      </c>
      <c r="N1167">
        <v>1.1176999999999999</v>
      </c>
      <c r="O1167">
        <v>1.320456022210408</v>
      </c>
      <c r="P1167">
        <v>6.3200452360757699E-3</v>
      </c>
      <c r="Q1167">
        <v>6.3200452360757699E-3</v>
      </c>
      <c r="R1167">
        <v>13690.790471795306</v>
      </c>
      <c r="S1167" t="s">
        <v>23</v>
      </c>
      <c r="T1167">
        <v>6.8799999999999998E-3</v>
      </c>
      <c r="U1167">
        <v>14903.7918128</v>
      </c>
      <c r="V1167">
        <v>-1213.001341004694</v>
      </c>
      <c r="W1167">
        <v>-8.1388773826196206E-2</v>
      </c>
    </row>
    <row r="1168" spans="1:23" x14ac:dyDescent="0.25">
      <c r="A1168" t="s">
        <v>760</v>
      </c>
      <c r="B1168" t="s">
        <v>42</v>
      </c>
      <c r="C1168" t="s">
        <v>151</v>
      </c>
      <c r="D1168" t="s">
        <v>35</v>
      </c>
      <c r="E1168" t="s">
        <v>152</v>
      </c>
      <c r="F1168" s="1">
        <v>46364</v>
      </c>
      <c r="G1168">
        <v>46394</v>
      </c>
      <c r="H1168" t="s">
        <v>8</v>
      </c>
      <c r="I1168">
        <v>7624.72</v>
      </c>
      <c r="J1168" t="s">
        <v>84</v>
      </c>
      <c r="K1168" t="s">
        <v>761</v>
      </c>
      <c r="L1168">
        <v>30</v>
      </c>
      <c r="M1168" t="s">
        <v>42</v>
      </c>
      <c r="N1168">
        <v>1.1176999999999999</v>
      </c>
      <c r="O1168">
        <v>1.320456022210408</v>
      </c>
      <c r="P1168">
        <v>6.3200452360757699E-3</v>
      </c>
      <c r="Q1168">
        <v>1.320456022210408</v>
      </c>
      <c r="R1168">
        <v>10068.107441668142</v>
      </c>
      <c r="S1168" t="s">
        <v>23</v>
      </c>
      <c r="T1168">
        <v>1.3149999999999999</v>
      </c>
      <c r="U1168">
        <v>10026.506799999999</v>
      </c>
      <c r="V1168">
        <v>41.600641668142998</v>
      </c>
      <c r="W1168">
        <v>4.1490663197019922E-3</v>
      </c>
    </row>
    <row r="1169" spans="1:23" x14ac:dyDescent="0.25">
      <c r="A1169" t="s">
        <v>758</v>
      </c>
      <c r="B1169" t="s">
        <v>38</v>
      </c>
      <c r="C1169" t="s">
        <v>87</v>
      </c>
      <c r="D1169" t="s">
        <v>33</v>
      </c>
      <c r="E1169" t="s">
        <v>88</v>
      </c>
      <c r="F1169" s="1">
        <v>46306</v>
      </c>
      <c r="G1169">
        <v>46336</v>
      </c>
      <c r="H1169" t="s">
        <v>6</v>
      </c>
      <c r="I1169">
        <v>7229.56</v>
      </c>
      <c r="J1169" t="s">
        <v>84</v>
      </c>
      <c r="K1169" t="s">
        <v>759</v>
      </c>
      <c r="L1169">
        <v>30</v>
      </c>
      <c r="M1169" t="s">
        <v>38</v>
      </c>
      <c r="N1169">
        <v>1.1176999999999999</v>
      </c>
      <c r="O1169">
        <v>1.320456022210408</v>
      </c>
      <c r="P1169">
        <v>6.3200452360757699E-3</v>
      </c>
      <c r="Q1169">
        <v>1.1176999999999999</v>
      </c>
      <c r="R1169">
        <v>8080.4792120000002</v>
      </c>
      <c r="S1169" t="s">
        <v>23</v>
      </c>
      <c r="T1169">
        <v>1.119</v>
      </c>
      <c r="U1169">
        <v>8089.8776400000006</v>
      </c>
      <c r="V1169">
        <v>-9.3984280000004219</v>
      </c>
      <c r="W1169">
        <v>-1.1617515638963881E-3</v>
      </c>
    </row>
    <row r="1170" spans="1:23" x14ac:dyDescent="0.25">
      <c r="A1170" t="s">
        <v>756</v>
      </c>
      <c r="B1170" t="s">
        <v>43</v>
      </c>
      <c r="C1170" t="s">
        <v>215</v>
      </c>
      <c r="D1170" t="s">
        <v>35</v>
      </c>
      <c r="E1170" t="s">
        <v>152</v>
      </c>
      <c r="F1170" s="1">
        <v>45960</v>
      </c>
      <c r="G1170">
        <v>45990</v>
      </c>
      <c r="H1170" t="s">
        <v>6</v>
      </c>
      <c r="I1170">
        <v>3457.05</v>
      </c>
      <c r="J1170" t="s">
        <v>75</v>
      </c>
      <c r="K1170" t="s">
        <v>757</v>
      </c>
      <c r="L1170">
        <v>30</v>
      </c>
      <c r="M1170" t="s">
        <v>43</v>
      </c>
      <c r="N1170">
        <v>1.155</v>
      </c>
      <c r="O1170">
        <v>1.312350869219407</v>
      </c>
      <c r="P1170">
        <v>6.4753041430733868E-3</v>
      </c>
      <c r="Q1170">
        <v>1.155</v>
      </c>
      <c r="R1170">
        <v>3992.8927500000004</v>
      </c>
      <c r="S1170" t="s">
        <v>14</v>
      </c>
      <c r="T1170">
        <v>1.1060000000000001</v>
      </c>
      <c r="U1170">
        <v>3823.4973000000005</v>
      </c>
      <c r="V1170">
        <v>169.39544999999998</v>
      </c>
      <c r="W1170">
        <v>4.4303797468354424E-2</v>
      </c>
    </row>
    <row r="1171" spans="1:23" x14ac:dyDescent="0.25">
      <c r="A1171" t="s">
        <v>754</v>
      </c>
      <c r="B1171" t="s">
        <v>42</v>
      </c>
      <c r="C1171" t="s">
        <v>151</v>
      </c>
      <c r="D1171" t="s">
        <v>35</v>
      </c>
      <c r="E1171" t="s">
        <v>152</v>
      </c>
      <c r="F1171" s="1">
        <v>45882</v>
      </c>
      <c r="G1171">
        <v>45912</v>
      </c>
      <c r="H1171" t="s">
        <v>8</v>
      </c>
      <c r="I1171">
        <v>6984.04</v>
      </c>
      <c r="J1171" t="s">
        <v>75</v>
      </c>
      <c r="K1171" t="s">
        <v>755</v>
      </c>
      <c r="L1171">
        <v>30</v>
      </c>
      <c r="M1171" t="s">
        <v>42</v>
      </c>
      <c r="N1171">
        <v>1.1711</v>
      </c>
      <c r="O1171">
        <v>1.3568532035685321</v>
      </c>
      <c r="P1171">
        <v>6.790166405751725E-3</v>
      </c>
      <c r="Q1171">
        <v>1.3568532035685321</v>
      </c>
      <c r="R1171">
        <v>9476.3170478507709</v>
      </c>
      <c r="S1171" t="s">
        <v>13</v>
      </c>
      <c r="T1171">
        <v>1.282</v>
      </c>
      <c r="U1171">
        <v>8953.5392800000009</v>
      </c>
      <c r="V1171">
        <v>522.77776785077003</v>
      </c>
      <c r="W1171">
        <v>5.8387834296826806E-2</v>
      </c>
    </row>
    <row r="1172" spans="1:23" x14ac:dyDescent="0.25">
      <c r="A1172" t="s">
        <v>752</v>
      </c>
      <c r="B1172" t="s">
        <v>44</v>
      </c>
      <c r="C1172" t="s">
        <v>138</v>
      </c>
      <c r="D1172" t="s">
        <v>33</v>
      </c>
      <c r="E1172" t="s">
        <v>88</v>
      </c>
      <c r="F1172" s="1">
        <v>46093</v>
      </c>
      <c r="G1172">
        <v>46138</v>
      </c>
      <c r="H1172" t="s">
        <v>9</v>
      </c>
      <c r="I1172">
        <v>446201.94</v>
      </c>
      <c r="J1172" t="s">
        <v>75</v>
      </c>
      <c r="K1172" t="s">
        <v>753</v>
      </c>
      <c r="L1172">
        <v>45</v>
      </c>
      <c r="M1172" t="s">
        <v>44</v>
      </c>
      <c r="N1172">
        <v>1.1547000000000001</v>
      </c>
      <c r="O1172">
        <v>1.338891272335146</v>
      </c>
      <c r="P1172">
        <v>6.2950444311181382E-3</v>
      </c>
      <c r="Q1172">
        <v>6.2950444311181382E-3</v>
      </c>
      <c r="R1172">
        <v>2808.8610375511098</v>
      </c>
      <c r="S1172" t="s">
        <v>16</v>
      </c>
      <c r="T1172">
        <v>6.4599999999999996E-3</v>
      </c>
      <c r="U1172">
        <v>2882.4645323999998</v>
      </c>
      <c r="V1172">
        <v>-73.603494848890023</v>
      </c>
      <c r="W1172">
        <v>-2.5534917783569821E-2</v>
      </c>
    </row>
    <row r="1173" spans="1:23" x14ac:dyDescent="0.25">
      <c r="A1173" t="s">
        <v>750</v>
      </c>
      <c r="B1173" t="s">
        <v>30</v>
      </c>
      <c r="C1173" t="s">
        <v>103</v>
      </c>
      <c r="D1173" t="s">
        <v>31</v>
      </c>
      <c r="E1173" t="s">
        <v>74</v>
      </c>
      <c r="F1173" s="1">
        <v>46341</v>
      </c>
      <c r="G1173">
        <v>46371</v>
      </c>
      <c r="H1173" t="s">
        <v>9</v>
      </c>
      <c r="I1173">
        <v>2531601.56</v>
      </c>
      <c r="J1173" t="s">
        <v>84</v>
      </c>
      <c r="K1173" t="s">
        <v>751</v>
      </c>
      <c r="L1173">
        <v>30</v>
      </c>
      <c r="M1173" t="s">
        <v>30</v>
      </c>
      <c r="N1173">
        <v>1.1176999999999999</v>
      </c>
      <c r="O1173">
        <v>1.320456022210408</v>
      </c>
      <c r="P1173">
        <v>6.3200452360757699E-3</v>
      </c>
      <c r="Q1173">
        <v>6.3200452360757699E-3</v>
      </c>
      <c r="R1173">
        <v>15999.836378919988</v>
      </c>
      <c r="S1173" t="s">
        <v>23</v>
      </c>
      <c r="T1173">
        <v>6.8799999999999998E-3</v>
      </c>
      <c r="U1173">
        <v>17417.418732800001</v>
      </c>
      <c r="V1173">
        <v>-1417.5823538800123</v>
      </c>
      <c r="W1173">
        <v>-8.1388773826196206E-2</v>
      </c>
    </row>
    <row r="1174" spans="1:23" x14ac:dyDescent="0.25">
      <c r="A1174" t="s">
        <v>748</v>
      </c>
      <c r="B1174" t="s">
        <v>25</v>
      </c>
      <c r="C1174" t="s">
        <v>169</v>
      </c>
      <c r="D1174" t="s">
        <v>31</v>
      </c>
      <c r="E1174" t="s">
        <v>124</v>
      </c>
      <c r="F1174" s="1">
        <v>46176</v>
      </c>
      <c r="G1174">
        <v>46236</v>
      </c>
      <c r="H1174" t="s">
        <v>6</v>
      </c>
      <c r="I1174">
        <v>80405.05</v>
      </c>
      <c r="J1174" t="s">
        <v>75</v>
      </c>
      <c r="K1174" t="s">
        <v>749</v>
      </c>
      <c r="L1174">
        <v>60</v>
      </c>
      <c r="M1174" t="s">
        <v>25</v>
      </c>
      <c r="N1174">
        <v>1.1614</v>
      </c>
      <c r="O1174">
        <v>1.3446798656941068</v>
      </c>
      <c r="P1174">
        <v>6.2555208445545622E-3</v>
      </c>
      <c r="Q1174">
        <v>1.1614</v>
      </c>
      <c r="R1174">
        <v>93382.425069999998</v>
      </c>
      <c r="S1174" t="s">
        <v>19</v>
      </c>
      <c r="T1174">
        <v>1.083</v>
      </c>
      <c r="U1174">
        <v>87078.669150000002</v>
      </c>
      <c r="V1174">
        <v>6303.755919999996</v>
      </c>
      <c r="W1174">
        <v>7.2391505078485643E-2</v>
      </c>
    </row>
    <row r="1175" spans="1:23" x14ac:dyDescent="0.25">
      <c r="A1175" t="s">
        <v>746</v>
      </c>
      <c r="B1175" t="s">
        <v>40</v>
      </c>
      <c r="C1175" t="s">
        <v>78</v>
      </c>
      <c r="D1175" t="s">
        <v>33</v>
      </c>
      <c r="E1175" t="s">
        <v>79</v>
      </c>
      <c r="F1175" s="1">
        <v>45778</v>
      </c>
      <c r="G1175">
        <v>45808</v>
      </c>
      <c r="H1175" t="s">
        <v>9</v>
      </c>
      <c r="I1175">
        <v>1494091.52</v>
      </c>
      <c r="J1175" t="s">
        <v>75</v>
      </c>
      <c r="K1175" t="s">
        <v>747</v>
      </c>
      <c r="L1175">
        <v>30</v>
      </c>
      <c r="M1175" t="s">
        <v>40</v>
      </c>
      <c r="N1175">
        <v>1.181</v>
      </c>
      <c r="O1175">
        <v>1.3751746623195156</v>
      </c>
      <c r="P1175">
        <v>7.0005927682276238E-3</v>
      </c>
      <c r="Q1175">
        <v>7.0005927682276238E-3</v>
      </c>
      <c r="R1175">
        <v>10459.526289982219</v>
      </c>
      <c r="S1175" t="s">
        <v>12</v>
      </c>
      <c r="T1175">
        <v>6.7000000000000002E-3</v>
      </c>
      <c r="U1175">
        <v>10010.413184000001</v>
      </c>
      <c r="V1175">
        <v>449.11310598221826</v>
      </c>
      <c r="W1175">
        <v>4.4864592272779676E-2</v>
      </c>
    </row>
    <row r="1176" spans="1:23" x14ac:dyDescent="0.25">
      <c r="A1176" t="s">
        <v>744</v>
      </c>
      <c r="B1176" t="s">
        <v>32</v>
      </c>
      <c r="C1176" t="s">
        <v>106</v>
      </c>
      <c r="D1176" t="s">
        <v>31</v>
      </c>
      <c r="E1176" t="s">
        <v>74</v>
      </c>
      <c r="F1176" s="1">
        <v>45798</v>
      </c>
      <c r="G1176">
        <v>45828</v>
      </c>
      <c r="H1176" t="s">
        <v>6</v>
      </c>
      <c r="I1176">
        <v>22717.78</v>
      </c>
      <c r="J1176" t="s">
        <v>75</v>
      </c>
      <c r="K1176" t="s">
        <v>745</v>
      </c>
      <c r="L1176">
        <v>30</v>
      </c>
      <c r="M1176" t="s">
        <v>32</v>
      </c>
      <c r="N1176">
        <v>1.1321000000000001</v>
      </c>
      <c r="O1176">
        <v>1.3403978214539427</v>
      </c>
      <c r="P1176">
        <v>6.9556402064389292E-3</v>
      </c>
      <c r="Q1176">
        <v>1.1321000000000001</v>
      </c>
      <c r="R1176">
        <v>25718.798738000001</v>
      </c>
      <c r="S1176" t="s">
        <v>12</v>
      </c>
      <c r="T1176">
        <v>1.07</v>
      </c>
      <c r="U1176">
        <v>24308.024600000001</v>
      </c>
      <c r="V1176">
        <v>1410.7741380000007</v>
      </c>
      <c r="W1176">
        <v>5.8037383177570116E-2</v>
      </c>
    </row>
    <row r="1177" spans="1:23" x14ac:dyDescent="0.25">
      <c r="A1177" t="s">
        <v>742</v>
      </c>
      <c r="B1177" t="s">
        <v>39</v>
      </c>
      <c r="C1177" t="s">
        <v>82</v>
      </c>
      <c r="D1177" t="s">
        <v>33</v>
      </c>
      <c r="E1177" t="s">
        <v>83</v>
      </c>
      <c r="F1177" s="1">
        <v>45681</v>
      </c>
      <c r="G1177">
        <v>45726</v>
      </c>
      <c r="H1177" t="s">
        <v>8</v>
      </c>
      <c r="I1177">
        <v>1994.53</v>
      </c>
      <c r="J1177" t="s">
        <v>75</v>
      </c>
      <c r="K1177" t="s">
        <v>743</v>
      </c>
      <c r="L1177">
        <v>45</v>
      </c>
      <c r="M1177" t="s">
        <v>39</v>
      </c>
      <c r="N1177">
        <v>1.0471999999999999</v>
      </c>
      <c r="O1177">
        <v>1.2405672112115431</v>
      </c>
      <c r="P1177">
        <v>6.3892617449664421E-3</v>
      </c>
      <c r="Q1177">
        <v>1.2405672112115431</v>
      </c>
      <c r="R1177">
        <v>2474.3485197777591</v>
      </c>
      <c r="S1177" t="s">
        <v>11</v>
      </c>
      <c r="T1177">
        <v>1.238</v>
      </c>
      <c r="U1177">
        <v>2469.2281400000002</v>
      </c>
      <c r="V1177">
        <v>5.1203797777588989</v>
      </c>
      <c r="W1177">
        <v>2.0736762613433111E-3</v>
      </c>
    </row>
    <row r="1178" spans="1:23" x14ac:dyDescent="0.25">
      <c r="A1178" t="s">
        <v>740</v>
      </c>
      <c r="B1178" t="s">
        <v>38</v>
      </c>
      <c r="C1178" t="s">
        <v>87</v>
      </c>
      <c r="D1178" t="s">
        <v>33</v>
      </c>
      <c r="E1178" t="s">
        <v>88</v>
      </c>
      <c r="F1178" s="1">
        <v>46194</v>
      </c>
      <c r="G1178">
        <v>46224</v>
      </c>
      <c r="H1178" t="s">
        <v>6</v>
      </c>
      <c r="I1178">
        <v>6919.61</v>
      </c>
      <c r="J1178" t="s">
        <v>75</v>
      </c>
      <c r="K1178" t="s">
        <v>741</v>
      </c>
      <c r="L1178">
        <v>30</v>
      </c>
      <c r="M1178" t="s">
        <v>38</v>
      </c>
      <c r="N1178">
        <v>1.1467000000000001</v>
      </c>
      <c r="O1178">
        <v>1.3233240626406473</v>
      </c>
      <c r="P1178">
        <v>6.2024015577672011E-3</v>
      </c>
      <c r="Q1178">
        <v>1.1467000000000001</v>
      </c>
      <c r="R1178">
        <v>7934.7167870000003</v>
      </c>
      <c r="S1178" t="s">
        <v>19</v>
      </c>
      <c r="T1178">
        <v>1.083</v>
      </c>
      <c r="U1178">
        <v>7493.9376299999994</v>
      </c>
      <c r="V1178">
        <v>440.77915700000085</v>
      </c>
      <c r="W1178">
        <v>5.8818097876269737E-2</v>
      </c>
    </row>
    <row r="1179" spans="1:23" x14ac:dyDescent="0.25">
      <c r="A1179" t="s">
        <v>738</v>
      </c>
      <c r="B1179" t="s">
        <v>39</v>
      </c>
      <c r="C1179" t="s">
        <v>82</v>
      </c>
      <c r="D1179" t="s">
        <v>33</v>
      </c>
      <c r="E1179" t="s">
        <v>83</v>
      </c>
      <c r="F1179" s="1">
        <v>45913</v>
      </c>
      <c r="G1179">
        <v>45958</v>
      </c>
      <c r="H1179" t="s">
        <v>8</v>
      </c>
      <c r="I1179">
        <v>12551.28</v>
      </c>
      <c r="J1179" t="s">
        <v>75</v>
      </c>
      <c r="K1179" t="s">
        <v>739</v>
      </c>
      <c r="L1179">
        <v>45</v>
      </c>
      <c r="M1179" t="s">
        <v>39</v>
      </c>
      <c r="N1179">
        <v>1.1641999999999999</v>
      </c>
      <c r="O1179">
        <v>1.3417079635818829</v>
      </c>
      <c r="P1179">
        <v>6.3437227550130768E-3</v>
      </c>
      <c r="Q1179">
        <v>1.3417079635818829</v>
      </c>
      <c r="R1179">
        <v>16840.152329146018</v>
      </c>
      <c r="S1179" t="s">
        <v>13</v>
      </c>
      <c r="T1179">
        <v>1.282</v>
      </c>
      <c r="U1179">
        <v>16090.740960000001</v>
      </c>
      <c r="V1179">
        <v>749.41136914601702</v>
      </c>
      <c r="W1179">
        <v>4.6574074556851044E-2</v>
      </c>
    </row>
    <row r="1180" spans="1:23" x14ac:dyDescent="0.25">
      <c r="A1180" t="s">
        <v>736</v>
      </c>
      <c r="B1180" t="s">
        <v>24</v>
      </c>
      <c r="C1180" t="s">
        <v>73</v>
      </c>
      <c r="D1180" t="s">
        <v>31</v>
      </c>
      <c r="E1180" t="s">
        <v>74</v>
      </c>
      <c r="F1180" s="1">
        <v>46330</v>
      </c>
      <c r="G1180">
        <v>46360</v>
      </c>
      <c r="H1180" t="s">
        <v>6</v>
      </c>
      <c r="I1180">
        <v>21596.38</v>
      </c>
      <c r="J1180" t="s">
        <v>84</v>
      </c>
      <c r="K1180" t="s">
        <v>737</v>
      </c>
      <c r="L1180">
        <v>30</v>
      </c>
      <c r="M1180" t="s">
        <v>24</v>
      </c>
      <c r="N1180">
        <v>1.1176999999999999</v>
      </c>
      <c r="O1180">
        <v>1.320456022210408</v>
      </c>
      <c r="P1180">
        <v>6.3200452360757699E-3</v>
      </c>
      <c r="Q1180">
        <v>1.1176999999999999</v>
      </c>
      <c r="R1180">
        <v>24138.273925999998</v>
      </c>
      <c r="S1180" t="s">
        <v>23</v>
      </c>
      <c r="T1180">
        <v>1.119</v>
      </c>
      <c r="U1180">
        <v>24166.34922</v>
      </c>
      <c r="V1180">
        <v>-28.075294000002032</v>
      </c>
      <c r="W1180">
        <v>-1.1617515638964202E-3</v>
      </c>
    </row>
    <row r="1181" spans="1:23" x14ac:dyDescent="0.25">
      <c r="A1181" t="s">
        <v>734</v>
      </c>
      <c r="B1181" t="s">
        <v>32</v>
      </c>
      <c r="C1181" t="s">
        <v>106</v>
      </c>
      <c r="D1181" t="s">
        <v>31</v>
      </c>
      <c r="E1181" t="s">
        <v>74</v>
      </c>
      <c r="F1181" s="1">
        <v>45921</v>
      </c>
      <c r="G1181">
        <v>45951</v>
      </c>
      <c r="H1181" t="s">
        <v>6</v>
      </c>
      <c r="I1181">
        <v>17936.400000000001</v>
      </c>
      <c r="J1181" t="s">
        <v>75</v>
      </c>
      <c r="K1181" t="s">
        <v>735</v>
      </c>
      <c r="L1181">
        <v>30</v>
      </c>
      <c r="M1181" t="s">
        <v>32</v>
      </c>
      <c r="N1181">
        <v>1.1738999999999999</v>
      </c>
      <c r="O1181">
        <v>1.3425205855443734</v>
      </c>
      <c r="P1181">
        <v>6.3375263186308912E-3</v>
      </c>
      <c r="Q1181">
        <v>1.1738999999999999</v>
      </c>
      <c r="R1181">
        <v>21055.539960000002</v>
      </c>
      <c r="S1181" t="s">
        <v>13</v>
      </c>
      <c r="T1181">
        <v>1.0880000000000001</v>
      </c>
      <c r="U1181">
        <v>19514.803200000002</v>
      </c>
      <c r="V1181">
        <v>1540.7367599999998</v>
      </c>
      <c r="W1181">
        <v>7.8952205882352924E-2</v>
      </c>
    </row>
    <row r="1182" spans="1:23" x14ac:dyDescent="0.25">
      <c r="A1182" t="s">
        <v>732</v>
      </c>
      <c r="B1182" t="s">
        <v>22</v>
      </c>
      <c r="C1182" t="s">
        <v>127</v>
      </c>
      <c r="D1182" t="s">
        <v>31</v>
      </c>
      <c r="E1182" t="s">
        <v>124</v>
      </c>
      <c r="F1182" s="1">
        <v>45793</v>
      </c>
      <c r="G1182">
        <v>45853</v>
      </c>
      <c r="H1182" t="s">
        <v>9</v>
      </c>
      <c r="I1182">
        <v>9515858.3699999992</v>
      </c>
      <c r="J1182" t="s">
        <v>75</v>
      </c>
      <c r="K1182" t="s">
        <v>733</v>
      </c>
      <c r="L1182">
        <v>60</v>
      </c>
      <c r="M1182" t="s">
        <v>22</v>
      </c>
      <c r="N1182">
        <v>1.1194</v>
      </c>
      <c r="O1182">
        <v>1.3283493532692536</v>
      </c>
      <c r="P1182">
        <v>6.8653787181846048E-3</v>
      </c>
      <c r="Q1182">
        <v>6.8653787181846048E-3</v>
      </c>
      <c r="R1182">
        <v>65329.971538656835</v>
      </c>
      <c r="S1182" t="s">
        <v>12</v>
      </c>
      <c r="T1182">
        <v>6.7000000000000002E-3</v>
      </c>
      <c r="U1182">
        <v>63756.251078999994</v>
      </c>
      <c r="V1182">
        <v>1573.7204596568408</v>
      </c>
      <c r="W1182">
        <v>2.4683390773821583E-2</v>
      </c>
    </row>
    <row r="1183" spans="1:23" x14ac:dyDescent="0.25">
      <c r="A1183" t="s">
        <v>730</v>
      </c>
      <c r="B1183" t="s">
        <v>42</v>
      </c>
      <c r="C1183" t="s">
        <v>151</v>
      </c>
      <c r="D1183" t="s">
        <v>35</v>
      </c>
      <c r="E1183" t="s">
        <v>152</v>
      </c>
      <c r="F1183" s="1">
        <v>46290</v>
      </c>
      <c r="G1183">
        <v>46320</v>
      </c>
      <c r="H1183" t="s">
        <v>8</v>
      </c>
      <c r="I1183">
        <v>6013.83</v>
      </c>
      <c r="J1183" t="s">
        <v>75</v>
      </c>
      <c r="K1183" t="s">
        <v>731</v>
      </c>
      <c r="L1183">
        <v>30</v>
      </c>
      <c r="M1183" t="s">
        <v>42</v>
      </c>
      <c r="N1183">
        <v>1.1403000000000001</v>
      </c>
      <c r="O1183">
        <v>1.3252367947004475</v>
      </c>
      <c r="P1183">
        <v>6.3455759599332232E-3</v>
      </c>
      <c r="Q1183">
        <v>1.3252367947004475</v>
      </c>
      <c r="R1183">
        <v>7969.7487930733923</v>
      </c>
      <c r="S1183" t="s">
        <v>21</v>
      </c>
      <c r="T1183">
        <v>1.2929999999999999</v>
      </c>
      <c r="U1183">
        <v>7775.8821899999994</v>
      </c>
      <c r="V1183">
        <v>193.86660307339298</v>
      </c>
      <c r="W1183">
        <v>2.4931782444275047E-2</v>
      </c>
    </row>
    <row r="1184" spans="1:23" x14ac:dyDescent="0.25">
      <c r="A1184" t="s">
        <v>728</v>
      </c>
      <c r="B1184" t="s">
        <v>36</v>
      </c>
      <c r="C1184" t="s">
        <v>116</v>
      </c>
      <c r="D1184" t="s">
        <v>31</v>
      </c>
      <c r="E1184" t="s">
        <v>74</v>
      </c>
      <c r="F1184" s="1">
        <v>46313</v>
      </c>
      <c r="G1184">
        <v>46358</v>
      </c>
      <c r="H1184" t="s">
        <v>6</v>
      </c>
      <c r="I1184">
        <v>15123.34</v>
      </c>
      <c r="J1184" t="s">
        <v>84</v>
      </c>
      <c r="K1184" t="s">
        <v>729</v>
      </c>
      <c r="L1184">
        <v>45</v>
      </c>
      <c r="M1184" t="s">
        <v>36</v>
      </c>
      <c r="N1184">
        <v>1.1176999999999999</v>
      </c>
      <c r="O1184">
        <v>1.320456022210408</v>
      </c>
      <c r="P1184">
        <v>6.3200452360757699E-3</v>
      </c>
      <c r="Q1184">
        <v>1.1176999999999999</v>
      </c>
      <c r="R1184">
        <v>16903.357118</v>
      </c>
      <c r="S1184" t="s">
        <v>23</v>
      </c>
      <c r="T1184">
        <v>1.119</v>
      </c>
      <c r="U1184">
        <v>16923.017459999999</v>
      </c>
      <c r="V1184">
        <v>-19.660341999999218</v>
      </c>
      <c r="W1184">
        <v>-1.1617515638962898E-3</v>
      </c>
    </row>
    <row r="1185" spans="1:23" x14ac:dyDescent="0.25">
      <c r="A1185" t="s">
        <v>726</v>
      </c>
      <c r="B1185" t="s">
        <v>32</v>
      </c>
      <c r="C1185" t="s">
        <v>106</v>
      </c>
      <c r="D1185" t="s">
        <v>31</v>
      </c>
      <c r="E1185" t="s">
        <v>74</v>
      </c>
      <c r="F1185" s="1">
        <v>45808</v>
      </c>
      <c r="G1185">
        <v>45838</v>
      </c>
      <c r="H1185" t="s">
        <v>6</v>
      </c>
      <c r="I1185">
        <v>12455.41</v>
      </c>
      <c r="J1185" t="s">
        <v>75</v>
      </c>
      <c r="K1185" t="s">
        <v>727</v>
      </c>
      <c r="L1185">
        <v>30</v>
      </c>
      <c r="M1185" t="s">
        <v>32</v>
      </c>
      <c r="N1185">
        <v>1.1606000000000001</v>
      </c>
      <c r="O1185">
        <v>1.3462475350887368</v>
      </c>
      <c r="P1185">
        <v>6.7359257109692395E-3</v>
      </c>
      <c r="Q1185">
        <v>1.1606000000000001</v>
      </c>
      <c r="R1185">
        <v>14455.748846</v>
      </c>
      <c r="S1185" t="s">
        <v>12</v>
      </c>
      <c r="T1185">
        <v>1.07</v>
      </c>
      <c r="U1185">
        <v>13327.288700000001</v>
      </c>
      <c r="V1185">
        <v>1128.4601459999994</v>
      </c>
      <c r="W1185">
        <v>8.4672897196261629E-2</v>
      </c>
    </row>
    <row r="1186" spans="1:23" x14ac:dyDescent="0.25">
      <c r="A1186" t="s">
        <v>724</v>
      </c>
      <c r="B1186" t="s">
        <v>24</v>
      </c>
      <c r="C1186" t="s">
        <v>73</v>
      </c>
      <c r="D1186" t="s">
        <v>31</v>
      </c>
      <c r="E1186" t="s">
        <v>74</v>
      </c>
      <c r="F1186" s="1">
        <v>46353</v>
      </c>
      <c r="G1186">
        <v>46383</v>
      </c>
      <c r="H1186" t="s">
        <v>6</v>
      </c>
      <c r="I1186">
        <v>22998.89</v>
      </c>
      <c r="J1186" t="s">
        <v>84</v>
      </c>
      <c r="K1186" t="s">
        <v>725</v>
      </c>
      <c r="L1186">
        <v>30</v>
      </c>
      <c r="M1186" t="s">
        <v>24</v>
      </c>
      <c r="N1186">
        <v>1.1176999999999999</v>
      </c>
      <c r="O1186">
        <v>1.320456022210408</v>
      </c>
      <c r="P1186">
        <v>6.3200452360757699E-3</v>
      </c>
      <c r="Q1186">
        <v>1.1176999999999999</v>
      </c>
      <c r="R1186">
        <v>25705.859352999996</v>
      </c>
      <c r="S1186" t="s">
        <v>23</v>
      </c>
      <c r="T1186">
        <v>1.119</v>
      </c>
      <c r="U1186">
        <v>25735.75791</v>
      </c>
      <c r="V1186">
        <v>-29.898557000004075</v>
      </c>
      <c r="W1186">
        <v>-1.1617515638964943E-3</v>
      </c>
    </row>
    <row r="1187" spans="1:23" x14ac:dyDescent="0.25">
      <c r="A1187" t="s">
        <v>722</v>
      </c>
      <c r="B1187" t="s">
        <v>42</v>
      </c>
      <c r="C1187" t="s">
        <v>151</v>
      </c>
      <c r="D1187" t="s">
        <v>35</v>
      </c>
      <c r="E1187" t="s">
        <v>152</v>
      </c>
      <c r="F1187" s="1">
        <v>45876</v>
      </c>
      <c r="G1187">
        <v>45906</v>
      </c>
      <c r="H1187" t="s">
        <v>8</v>
      </c>
      <c r="I1187">
        <v>5439.22</v>
      </c>
      <c r="J1187" t="s">
        <v>75</v>
      </c>
      <c r="K1187" t="s">
        <v>723</v>
      </c>
      <c r="L1187">
        <v>30</v>
      </c>
      <c r="M1187" t="s">
        <v>42</v>
      </c>
      <c r="N1187">
        <v>1.1642999999999999</v>
      </c>
      <c r="O1187">
        <v>1.3424420615703907</v>
      </c>
      <c r="P1187">
        <v>6.7849650349650348E-3</v>
      </c>
      <c r="Q1187">
        <v>1.3424420615703907</v>
      </c>
      <c r="R1187">
        <v>7301.8377101349006</v>
      </c>
      <c r="S1187" t="s">
        <v>13</v>
      </c>
      <c r="T1187">
        <v>1.282</v>
      </c>
      <c r="U1187">
        <v>6973.0800400000007</v>
      </c>
      <c r="V1187">
        <v>328.75767013489985</v>
      </c>
      <c r="W1187">
        <v>4.7146693892660352E-2</v>
      </c>
    </row>
    <row r="1188" spans="1:23" x14ac:dyDescent="0.25">
      <c r="A1188" t="s">
        <v>720</v>
      </c>
      <c r="B1188" t="s">
        <v>39</v>
      </c>
      <c r="C1188" t="s">
        <v>82</v>
      </c>
      <c r="D1188" t="s">
        <v>33</v>
      </c>
      <c r="E1188" t="s">
        <v>83</v>
      </c>
      <c r="F1188" s="1">
        <v>45799</v>
      </c>
      <c r="G1188">
        <v>45844</v>
      </c>
      <c r="H1188" t="s">
        <v>8</v>
      </c>
      <c r="I1188">
        <v>1893.21</v>
      </c>
      <c r="J1188" t="s">
        <v>75</v>
      </c>
      <c r="K1188" t="s">
        <v>721</v>
      </c>
      <c r="L1188">
        <v>45</v>
      </c>
      <c r="M1188" t="s">
        <v>39</v>
      </c>
      <c r="N1188">
        <v>1.1309</v>
      </c>
      <c r="O1188">
        <v>1.341995965349472</v>
      </c>
      <c r="P1188">
        <v>6.9726863555089709E-3</v>
      </c>
      <c r="Q1188">
        <v>1.341995965349472</v>
      </c>
      <c r="R1188">
        <v>2540.6801815592739</v>
      </c>
      <c r="S1188" t="s">
        <v>12</v>
      </c>
      <c r="T1188">
        <v>1.26</v>
      </c>
      <c r="U1188">
        <v>2385.4446000000003</v>
      </c>
      <c r="V1188">
        <v>155.23558155927367</v>
      </c>
      <c r="W1188">
        <v>6.5076162975771332E-2</v>
      </c>
    </row>
    <row r="1189" spans="1:23" x14ac:dyDescent="0.25">
      <c r="A1189" t="s">
        <v>717</v>
      </c>
      <c r="B1189" t="s">
        <v>40</v>
      </c>
      <c r="C1189" t="s">
        <v>78</v>
      </c>
      <c r="D1189" t="s">
        <v>33</v>
      </c>
      <c r="E1189" t="s">
        <v>79</v>
      </c>
      <c r="F1189" s="1">
        <v>46381</v>
      </c>
      <c r="G1189">
        <v>46411</v>
      </c>
      <c r="H1189" t="s">
        <v>9</v>
      </c>
      <c r="I1189">
        <v>486839.99</v>
      </c>
      <c r="J1189" t="s">
        <v>84</v>
      </c>
      <c r="K1189" t="s">
        <v>718</v>
      </c>
      <c r="L1189">
        <v>30</v>
      </c>
      <c r="M1189" t="s">
        <v>40</v>
      </c>
      <c r="N1189">
        <v>1.1176999999999999</v>
      </c>
      <c r="O1189">
        <v>1.320456022210408</v>
      </c>
      <c r="P1189">
        <v>6.3200452360757699E-3</v>
      </c>
      <c r="Q1189">
        <v>6.3200452360757699E-3</v>
      </c>
      <c r="R1189">
        <v>3076.8507595306755</v>
      </c>
      <c r="S1189" t="s">
        <v>23</v>
      </c>
      <c r="T1189">
        <v>6.8799999999999998E-3</v>
      </c>
      <c r="U1189">
        <v>3349.4591311999998</v>
      </c>
      <c r="V1189">
        <v>-272.60837166932424</v>
      </c>
      <c r="W1189">
        <v>-8.1388773826196151E-2</v>
      </c>
    </row>
    <row r="1190" spans="1:23" x14ac:dyDescent="0.25">
      <c r="A1190" t="s">
        <v>717</v>
      </c>
      <c r="B1190" t="s">
        <v>22</v>
      </c>
      <c r="C1190" t="s">
        <v>127</v>
      </c>
      <c r="D1190" t="s">
        <v>31</v>
      </c>
      <c r="E1190" t="s">
        <v>124</v>
      </c>
      <c r="F1190" s="1">
        <v>45836</v>
      </c>
      <c r="G1190">
        <v>45896</v>
      </c>
      <c r="H1190" t="s">
        <v>9</v>
      </c>
      <c r="I1190">
        <v>11211875.68</v>
      </c>
      <c r="J1190" t="s">
        <v>75</v>
      </c>
      <c r="K1190" t="s">
        <v>719</v>
      </c>
      <c r="L1190">
        <v>60</v>
      </c>
      <c r="M1190" t="s">
        <v>22</v>
      </c>
      <c r="N1190">
        <v>1.1736</v>
      </c>
      <c r="O1190">
        <v>1.3477262287551677</v>
      </c>
      <c r="P1190">
        <v>6.7529777317452098E-3</v>
      </c>
      <c r="Q1190">
        <v>6.7529777317452098E-3</v>
      </c>
      <c r="R1190">
        <v>75713.546798135678</v>
      </c>
      <c r="S1190" t="s">
        <v>12</v>
      </c>
      <c r="T1190">
        <v>6.7000000000000002E-3</v>
      </c>
      <c r="U1190">
        <v>75119.567056</v>
      </c>
      <c r="V1190">
        <v>593.97974213567795</v>
      </c>
      <c r="W1190">
        <v>7.9071241410760395E-3</v>
      </c>
    </row>
    <row r="1191" spans="1:23" x14ac:dyDescent="0.25">
      <c r="A1191" t="s">
        <v>715</v>
      </c>
      <c r="B1191" t="s">
        <v>36</v>
      </c>
      <c r="C1191" t="s">
        <v>116</v>
      </c>
      <c r="D1191" t="s">
        <v>31</v>
      </c>
      <c r="E1191" t="s">
        <v>74</v>
      </c>
      <c r="F1191" s="1">
        <v>46369</v>
      </c>
      <c r="G1191">
        <v>46414</v>
      </c>
      <c r="H1191" t="s">
        <v>6</v>
      </c>
      <c r="I1191">
        <v>9516.27</v>
      </c>
      <c r="J1191" t="s">
        <v>84</v>
      </c>
      <c r="K1191" t="s">
        <v>716</v>
      </c>
      <c r="L1191">
        <v>45</v>
      </c>
      <c r="M1191" t="s">
        <v>36</v>
      </c>
      <c r="N1191">
        <v>1.1176999999999999</v>
      </c>
      <c r="O1191">
        <v>1.320456022210408</v>
      </c>
      <c r="P1191">
        <v>6.3200452360757699E-3</v>
      </c>
      <c r="Q1191">
        <v>1.1176999999999999</v>
      </c>
      <c r="R1191">
        <v>10636.334978999999</v>
      </c>
      <c r="S1191" t="s">
        <v>23</v>
      </c>
      <c r="T1191">
        <v>1.119</v>
      </c>
      <c r="U1191">
        <v>10648.70613</v>
      </c>
      <c r="V1191">
        <v>-12.371151000001191</v>
      </c>
      <c r="W1191">
        <v>-1.1617515638964479E-3</v>
      </c>
    </row>
    <row r="1192" spans="1:23" x14ac:dyDescent="0.25">
      <c r="A1192" t="s">
        <v>713</v>
      </c>
      <c r="B1192" t="s">
        <v>30</v>
      </c>
      <c r="C1192" t="s">
        <v>103</v>
      </c>
      <c r="D1192" t="s">
        <v>31</v>
      </c>
      <c r="E1192" t="s">
        <v>74</v>
      </c>
      <c r="F1192" s="1">
        <v>46207</v>
      </c>
      <c r="G1192">
        <v>46237</v>
      </c>
      <c r="H1192" t="s">
        <v>9</v>
      </c>
      <c r="I1192">
        <v>1169908.44</v>
      </c>
      <c r="J1192" t="s">
        <v>75</v>
      </c>
      <c r="K1192" t="s">
        <v>714</v>
      </c>
      <c r="L1192">
        <v>30</v>
      </c>
      <c r="M1192" t="s">
        <v>30</v>
      </c>
      <c r="N1192">
        <v>1.1448</v>
      </c>
      <c r="O1192">
        <v>1.3355109659356044</v>
      </c>
      <c r="P1192">
        <v>6.2055507372072863E-3</v>
      </c>
      <c r="Q1192">
        <v>6.2055507372072863E-3</v>
      </c>
      <c r="R1192">
        <v>7259.9261823070256</v>
      </c>
      <c r="S1192" t="s">
        <v>21</v>
      </c>
      <c r="T1192">
        <v>6.7400000000000003E-3</v>
      </c>
      <c r="U1192">
        <v>7885.1828856000002</v>
      </c>
      <c r="V1192">
        <v>-625.25670329297463</v>
      </c>
      <c r="W1192">
        <v>-7.9295142847583752E-2</v>
      </c>
    </row>
    <row r="1193" spans="1:23" x14ac:dyDescent="0.25">
      <c r="A1193" t="s">
        <v>711</v>
      </c>
      <c r="B1193" t="s">
        <v>25</v>
      </c>
      <c r="C1193" t="s">
        <v>169</v>
      </c>
      <c r="D1193" t="s">
        <v>31</v>
      </c>
      <c r="E1193" t="s">
        <v>124</v>
      </c>
      <c r="F1193" s="1">
        <v>46059</v>
      </c>
      <c r="G1193">
        <v>46119</v>
      </c>
      <c r="H1193" t="s">
        <v>6</v>
      </c>
      <c r="I1193">
        <v>56816.59</v>
      </c>
      <c r="J1193" t="s">
        <v>75</v>
      </c>
      <c r="K1193" t="s">
        <v>712</v>
      </c>
      <c r="L1193">
        <v>60</v>
      </c>
      <c r="M1193" t="s">
        <v>25</v>
      </c>
      <c r="N1193">
        <v>1.1794</v>
      </c>
      <c r="O1193">
        <v>1.3589123170872219</v>
      </c>
      <c r="P1193">
        <v>6.3658444432449935E-3</v>
      </c>
      <c r="Q1193">
        <v>1.1794</v>
      </c>
      <c r="R1193">
        <v>67009.486246</v>
      </c>
      <c r="S1193" t="s">
        <v>16</v>
      </c>
      <c r="T1193">
        <v>1.0649999999999999</v>
      </c>
      <c r="U1193">
        <v>60509.668349999993</v>
      </c>
      <c r="V1193">
        <v>6499.8178960000077</v>
      </c>
      <c r="W1193">
        <v>0.10741784037558699</v>
      </c>
    </row>
    <row r="1194" spans="1:23" x14ac:dyDescent="0.25">
      <c r="A1194" t="s">
        <v>709</v>
      </c>
      <c r="B1194" t="s">
        <v>34</v>
      </c>
      <c r="C1194" t="s">
        <v>177</v>
      </c>
      <c r="D1194" t="s">
        <v>31</v>
      </c>
      <c r="E1194" t="s">
        <v>74</v>
      </c>
      <c r="F1194" s="1">
        <v>45952</v>
      </c>
      <c r="G1194">
        <v>46012</v>
      </c>
      <c r="H1194" t="s">
        <v>8</v>
      </c>
      <c r="I1194">
        <v>25439.48</v>
      </c>
      <c r="J1194" t="s">
        <v>75</v>
      </c>
      <c r="K1194" t="s">
        <v>710</v>
      </c>
      <c r="L1194">
        <v>60</v>
      </c>
      <c r="M1194" t="s">
        <v>34</v>
      </c>
      <c r="N1194">
        <v>1.1587000000000001</v>
      </c>
      <c r="O1194">
        <v>1.333525146737254</v>
      </c>
      <c r="P1194">
        <v>6.5865165984538435E-3</v>
      </c>
      <c r="Q1194">
        <v>1.333525146737254</v>
      </c>
      <c r="R1194">
        <v>33924.186299919435</v>
      </c>
      <c r="S1194" t="s">
        <v>14</v>
      </c>
      <c r="T1194">
        <v>1.304</v>
      </c>
      <c r="U1194">
        <v>33173.081920000004</v>
      </c>
      <c r="V1194">
        <v>751.10437991943036</v>
      </c>
      <c r="W1194">
        <v>2.2641983694212945E-2</v>
      </c>
    </row>
    <row r="1195" spans="1:23" x14ac:dyDescent="0.25">
      <c r="A1195" t="s">
        <v>707</v>
      </c>
      <c r="B1195" t="s">
        <v>38</v>
      </c>
      <c r="C1195" t="s">
        <v>87</v>
      </c>
      <c r="D1195" t="s">
        <v>33</v>
      </c>
      <c r="E1195" t="s">
        <v>88</v>
      </c>
      <c r="F1195" s="1">
        <v>46284</v>
      </c>
      <c r="G1195">
        <v>46314</v>
      </c>
      <c r="H1195" t="s">
        <v>6</v>
      </c>
      <c r="I1195">
        <v>7658.05</v>
      </c>
      <c r="J1195" t="s">
        <v>75</v>
      </c>
      <c r="K1195" t="s">
        <v>708</v>
      </c>
      <c r="L1195">
        <v>30</v>
      </c>
      <c r="M1195" t="s">
        <v>38</v>
      </c>
      <c r="N1195">
        <v>1.1459999999999999</v>
      </c>
      <c r="O1195">
        <v>1.3344201210992082</v>
      </c>
      <c r="P1195">
        <v>6.3335912457168119E-3</v>
      </c>
      <c r="Q1195">
        <v>1.1459999999999999</v>
      </c>
      <c r="R1195">
        <v>8776.1252999999997</v>
      </c>
      <c r="S1195" t="s">
        <v>21</v>
      </c>
      <c r="T1195">
        <v>1.101</v>
      </c>
      <c r="U1195">
        <v>8431.5130499999996</v>
      </c>
      <c r="V1195">
        <v>344.61225000000013</v>
      </c>
      <c r="W1195">
        <v>4.0871934604904653E-2</v>
      </c>
    </row>
    <row r="1196" spans="1:23" x14ac:dyDescent="0.25">
      <c r="A1196" t="s">
        <v>705</v>
      </c>
      <c r="B1196" t="s">
        <v>38</v>
      </c>
      <c r="C1196" t="s">
        <v>87</v>
      </c>
      <c r="D1196" t="s">
        <v>33</v>
      </c>
      <c r="E1196" t="s">
        <v>88</v>
      </c>
      <c r="F1196" s="1">
        <v>46268</v>
      </c>
      <c r="G1196">
        <v>46298</v>
      </c>
      <c r="H1196" t="s">
        <v>6</v>
      </c>
      <c r="I1196">
        <v>2088.75</v>
      </c>
      <c r="J1196" t="s">
        <v>75</v>
      </c>
      <c r="K1196" t="s">
        <v>706</v>
      </c>
      <c r="L1196">
        <v>30</v>
      </c>
      <c r="M1196" t="s">
        <v>38</v>
      </c>
      <c r="N1196">
        <v>1.1615</v>
      </c>
      <c r="O1196">
        <v>1.3497182034745221</v>
      </c>
      <c r="P1196">
        <v>6.4096904144362891E-3</v>
      </c>
      <c r="Q1196">
        <v>1.1615</v>
      </c>
      <c r="R1196">
        <v>2426.0831250000001</v>
      </c>
      <c r="S1196" t="s">
        <v>21</v>
      </c>
      <c r="T1196">
        <v>1.101</v>
      </c>
      <c r="U1196">
        <v>2299.7137499999999</v>
      </c>
      <c r="V1196">
        <v>126.36937500000022</v>
      </c>
      <c r="W1196">
        <v>5.4950045413260769E-2</v>
      </c>
    </row>
    <row r="1197" spans="1:23" x14ac:dyDescent="0.25">
      <c r="A1197" t="s">
        <v>703</v>
      </c>
      <c r="B1197" t="s">
        <v>41</v>
      </c>
      <c r="C1197" t="s">
        <v>172</v>
      </c>
      <c r="D1197" t="s">
        <v>33</v>
      </c>
      <c r="E1197" t="s">
        <v>83</v>
      </c>
      <c r="F1197" s="1">
        <v>45857</v>
      </c>
      <c r="G1197">
        <v>45887</v>
      </c>
      <c r="H1197" t="s">
        <v>9</v>
      </c>
      <c r="I1197">
        <v>1635368.43</v>
      </c>
      <c r="J1197" t="s">
        <v>75</v>
      </c>
      <c r="K1197" t="s">
        <v>704</v>
      </c>
      <c r="L1197">
        <v>30</v>
      </c>
      <c r="M1197" t="s">
        <v>41</v>
      </c>
      <c r="N1197">
        <v>1.1655</v>
      </c>
      <c r="O1197">
        <v>1.3410424577148774</v>
      </c>
      <c r="P1197">
        <v>6.6330886119173637E-3</v>
      </c>
      <c r="Q1197">
        <v>6.6330886119173637E-3</v>
      </c>
      <c r="R1197">
        <v>10847.543709322177</v>
      </c>
      <c r="S1197" t="s">
        <v>13</v>
      </c>
      <c r="T1197">
        <v>6.8399999999999997E-3</v>
      </c>
      <c r="U1197">
        <v>11185.920061199999</v>
      </c>
      <c r="V1197">
        <v>-338.37635187782143</v>
      </c>
      <c r="W1197">
        <v>-3.0250202936057926E-2</v>
      </c>
    </row>
    <row r="1198" spans="1:23" x14ac:dyDescent="0.25">
      <c r="A1198" t="s">
        <v>701</v>
      </c>
      <c r="B1198" t="s">
        <v>42</v>
      </c>
      <c r="C1198" t="s">
        <v>151</v>
      </c>
      <c r="D1198" t="s">
        <v>35</v>
      </c>
      <c r="E1198" t="s">
        <v>152</v>
      </c>
      <c r="F1198" s="1">
        <v>45838</v>
      </c>
      <c r="G1198">
        <v>45868</v>
      </c>
      <c r="H1198" t="s">
        <v>8</v>
      </c>
      <c r="I1198">
        <v>5095.0600000000004</v>
      </c>
      <c r="J1198" t="s">
        <v>75</v>
      </c>
      <c r="K1198" t="s">
        <v>702</v>
      </c>
      <c r="L1198">
        <v>30</v>
      </c>
      <c r="M1198" t="s">
        <v>42</v>
      </c>
      <c r="N1198">
        <v>1.1719999999999999</v>
      </c>
      <c r="O1198">
        <v>1.3699590882524837</v>
      </c>
      <c r="P1198">
        <v>6.9279423065555356E-3</v>
      </c>
      <c r="Q1198">
        <v>1.3699590882524837</v>
      </c>
      <c r="R1198">
        <v>6980.0237521916997</v>
      </c>
      <c r="S1198" t="s">
        <v>12</v>
      </c>
      <c r="T1198">
        <v>1.26</v>
      </c>
      <c r="U1198">
        <v>6419.7756000000008</v>
      </c>
      <c r="V1198">
        <v>560.24815219169886</v>
      </c>
      <c r="W1198">
        <v>8.7269117660701223E-2</v>
      </c>
    </row>
    <row r="1199" spans="1:23" x14ac:dyDescent="0.25">
      <c r="A1199" t="s">
        <v>699</v>
      </c>
      <c r="B1199" t="s">
        <v>36</v>
      </c>
      <c r="C1199" t="s">
        <v>116</v>
      </c>
      <c r="D1199" t="s">
        <v>31</v>
      </c>
      <c r="E1199" t="s">
        <v>74</v>
      </c>
      <c r="F1199" s="1">
        <v>45699</v>
      </c>
      <c r="G1199">
        <v>45744</v>
      </c>
      <c r="H1199" t="s">
        <v>6</v>
      </c>
      <c r="I1199">
        <v>7880.56</v>
      </c>
      <c r="J1199" t="s">
        <v>75</v>
      </c>
      <c r="K1199" t="s">
        <v>700</v>
      </c>
      <c r="L1199">
        <v>45</v>
      </c>
      <c r="M1199" t="s">
        <v>36</v>
      </c>
      <c r="N1199">
        <v>1.0324</v>
      </c>
      <c r="O1199">
        <v>1.238557974926519</v>
      </c>
      <c r="P1199">
        <v>6.5640895218718204E-3</v>
      </c>
      <c r="Q1199">
        <v>1.0324</v>
      </c>
      <c r="R1199">
        <v>8135.890144</v>
      </c>
      <c r="S1199" t="s">
        <v>11</v>
      </c>
      <c r="T1199">
        <v>1.052</v>
      </c>
      <c r="U1199">
        <v>8290.3491200000008</v>
      </c>
      <c r="V1199">
        <v>-154.4589760000008</v>
      </c>
      <c r="W1199">
        <v>-1.863117870722443E-2</v>
      </c>
    </row>
    <row r="1200" spans="1:23" x14ac:dyDescent="0.25">
      <c r="A1200" t="s">
        <v>697</v>
      </c>
      <c r="B1200" t="s">
        <v>26</v>
      </c>
      <c r="C1200" t="s">
        <v>94</v>
      </c>
      <c r="D1200" t="s">
        <v>31</v>
      </c>
      <c r="E1200" t="s">
        <v>74</v>
      </c>
      <c r="F1200" s="1">
        <v>45691</v>
      </c>
      <c r="G1200">
        <v>45721</v>
      </c>
      <c r="H1200" t="s">
        <v>8</v>
      </c>
      <c r="I1200">
        <v>14280.91</v>
      </c>
      <c r="J1200" t="s">
        <v>75</v>
      </c>
      <c r="K1200" t="s">
        <v>698</v>
      </c>
      <c r="L1200">
        <v>30</v>
      </c>
      <c r="M1200" t="s">
        <v>26</v>
      </c>
      <c r="N1200">
        <v>1.0274000000000001</v>
      </c>
      <c r="O1200">
        <v>1.2358063895304081</v>
      </c>
      <c r="P1200">
        <v>6.4669226411531444E-3</v>
      </c>
      <c r="Q1200">
        <v>1.2358063895304081</v>
      </c>
      <c r="R1200">
        <v>17648.439826308699</v>
      </c>
      <c r="S1200" t="s">
        <v>11</v>
      </c>
      <c r="T1200">
        <v>1.238</v>
      </c>
      <c r="U1200">
        <v>17679.76658</v>
      </c>
      <c r="V1200">
        <v>-31.326753691300837</v>
      </c>
      <c r="W1200">
        <v>-1.7718986022552362E-3</v>
      </c>
    </row>
    <row r="1201" spans="1:23" x14ac:dyDescent="0.25">
      <c r="A1201" t="s">
        <v>695</v>
      </c>
      <c r="B1201" t="s">
        <v>22</v>
      </c>
      <c r="C1201" t="s">
        <v>127</v>
      </c>
      <c r="D1201" t="s">
        <v>31</v>
      </c>
      <c r="E1201" t="s">
        <v>124</v>
      </c>
      <c r="F1201" s="1">
        <v>45726</v>
      </c>
      <c r="G1201">
        <v>45786</v>
      </c>
      <c r="H1201" t="s">
        <v>9</v>
      </c>
      <c r="I1201">
        <v>14253941.93</v>
      </c>
      <c r="J1201" t="s">
        <v>75</v>
      </c>
      <c r="K1201" t="s">
        <v>696</v>
      </c>
      <c r="L1201">
        <v>60</v>
      </c>
      <c r="M1201" t="s">
        <v>22</v>
      </c>
      <c r="N1201">
        <v>1.0845</v>
      </c>
      <c r="O1201">
        <v>1.2933964626888812</v>
      </c>
      <c r="P1201">
        <v>6.8040654997176741E-3</v>
      </c>
      <c r="Q1201">
        <v>6.8040654997176741E-3</v>
      </c>
      <c r="R1201">
        <v>96984.754520892151</v>
      </c>
      <c r="S1201" t="s">
        <v>11</v>
      </c>
      <c r="T1201">
        <v>6.5599999999999999E-3</v>
      </c>
      <c r="U1201">
        <v>93505.859060799994</v>
      </c>
      <c r="V1201">
        <v>3478.895460092157</v>
      </c>
      <c r="W1201">
        <v>3.7205106664279577E-2</v>
      </c>
    </row>
    <row r="1202" spans="1:23" x14ac:dyDescent="0.25">
      <c r="A1202" t="s">
        <v>693</v>
      </c>
      <c r="B1202" t="s">
        <v>32</v>
      </c>
      <c r="C1202" t="s">
        <v>106</v>
      </c>
      <c r="D1202" t="s">
        <v>31</v>
      </c>
      <c r="E1202" t="s">
        <v>74</v>
      </c>
      <c r="F1202" s="1">
        <v>45973</v>
      </c>
      <c r="G1202">
        <v>46003</v>
      </c>
      <c r="H1202" t="s">
        <v>6</v>
      </c>
      <c r="I1202">
        <v>22309.34</v>
      </c>
      <c r="J1202" t="s">
        <v>75</v>
      </c>
      <c r="K1202" t="s">
        <v>694</v>
      </c>
      <c r="L1202">
        <v>30</v>
      </c>
      <c r="M1202" t="s">
        <v>32</v>
      </c>
      <c r="N1202">
        <v>1.1576</v>
      </c>
      <c r="O1202">
        <v>1.312025388189958</v>
      </c>
      <c r="P1202">
        <v>6.4601819297951894E-3</v>
      </c>
      <c r="Q1202">
        <v>1.1576</v>
      </c>
      <c r="R1202">
        <v>25825.291984</v>
      </c>
      <c r="S1202" t="s">
        <v>14</v>
      </c>
      <c r="T1202">
        <v>1.1060000000000001</v>
      </c>
      <c r="U1202">
        <v>24674.130040000004</v>
      </c>
      <c r="V1202">
        <v>1151.1619439999959</v>
      </c>
      <c r="W1202">
        <v>4.6654611211573063E-2</v>
      </c>
    </row>
    <row r="1203" spans="1:23" x14ac:dyDescent="0.25">
      <c r="A1203" t="s">
        <v>691</v>
      </c>
      <c r="B1203" t="s">
        <v>40</v>
      </c>
      <c r="C1203" t="s">
        <v>78</v>
      </c>
      <c r="D1203" t="s">
        <v>33</v>
      </c>
      <c r="E1203" t="s">
        <v>79</v>
      </c>
      <c r="F1203" s="1">
        <v>46065</v>
      </c>
      <c r="G1203">
        <v>46095</v>
      </c>
      <c r="H1203" t="s">
        <v>9</v>
      </c>
      <c r="I1203">
        <v>1738652.36</v>
      </c>
      <c r="J1203" t="s">
        <v>75</v>
      </c>
      <c r="K1203" t="s">
        <v>692</v>
      </c>
      <c r="L1203">
        <v>30</v>
      </c>
      <c r="M1203" t="s">
        <v>40</v>
      </c>
      <c r="N1203">
        <v>1.1874</v>
      </c>
      <c r="O1203">
        <v>1.3631041212260362</v>
      </c>
      <c r="P1203">
        <v>6.5055884286653511E-3</v>
      </c>
      <c r="Q1203">
        <v>6.5055884286653511E-3</v>
      </c>
      <c r="R1203">
        <v>11310.956674687704</v>
      </c>
      <c r="S1203" t="s">
        <v>16</v>
      </c>
      <c r="T1203">
        <v>6.4599999999999996E-3</v>
      </c>
      <c r="U1203">
        <v>11231.6942456</v>
      </c>
      <c r="V1203">
        <v>79.262429087704732</v>
      </c>
      <c r="W1203">
        <v>7.0570323011379761E-3</v>
      </c>
    </row>
    <row r="1204" spans="1:23" x14ac:dyDescent="0.25">
      <c r="A1204" t="s">
        <v>689</v>
      </c>
      <c r="B1204" t="s">
        <v>26</v>
      </c>
      <c r="C1204" t="s">
        <v>94</v>
      </c>
      <c r="D1204" t="s">
        <v>31</v>
      </c>
      <c r="E1204" t="s">
        <v>74</v>
      </c>
      <c r="F1204" s="1">
        <v>45743</v>
      </c>
      <c r="G1204">
        <v>45773</v>
      </c>
      <c r="H1204" t="s">
        <v>8</v>
      </c>
      <c r="I1204">
        <v>42311.57</v>
      </c>
      <c r="J1204" t="s">
        <v>75</v>
      </c>
      <c r="K1204" t="s">
        <v>690</v>
      </c>
      <c r="L1204">
        <v>30</v>
      </c>
      <c r="M1204" t="s">
        <v>26</v>
      </c>
      <c r="N1204">
        <v>1.0785</v>
      </c>
      <c r="O1204">
        <v>1.2944381766244988</v>
      </c>
      <c r="P1204">
        <v>6.63488157490003E-3</v>
      </c>
      <c r="Q1204">
        <v>1.2944381766244988</v>
      </c>
      <c r="R1204">
        <v>54769.711520919845</v>
      </c>
      <c r="S1204" t="s">
        <v>11</v>
      </c>
      <c r="T1204">
        <v>1.238</v>
      </c>
      <c r="U1204">
        <v>52381.723659999996</v>
      </c>
      <c r="V1204">
        <v>2387.9878609198495</v>
      </c>
      <c r="W1204">
        <v>4.5588187903472473E-2</v>
      </c>
    </row>
    <row r="1205" spans="1:23" x14ac:dyDescent="0.25">
      <c r="A1205" t="s">
        <v>687</v>
      </c>
      <c r="B1205" t="s">
        <v>37</v>
      </c>
      <c r="C1205" t="s">
        <v>91</v>
      </c>
      <c r="D1205" t="s">
        <v>31</v>
      </c>
      <c r="E1205" t="s">
        <v>74</v>
      </c>
      <c r="F1205" s="1">
        <v>46299</v>
      </c>
      <c r="G1205">
        <v>46329</v>
      </c>
      <c r="H1205" t="s">
        <v>6</v>
      </c>
      <c r="I1205">
        <v>9372.51</v>
      </c>
      <c r="J1205" t="s">
        <v>84</v>
      </c>
      <c r="K1205" t="s">
        <v>688</v>
      </c>
      <c r="L1205">
        <v>30</v>
      </c>
      <c r="M1205" t="s">
        <v>37</v>
      </c>
      <c r="N1205">
        <v>1.1225000000000001</v>
      </c>
      <c r="O1205">
        <v>1.3200757353027648</v>
      </c>
      <c r="P1205">
        <v>6.3421662240804562E-3</v>
      </c>
      <c r="Q1205">
        <v>1.1225000000000001</v>
      </c>
      <c r="R1205">
        <v>10520.642475000001</v>
      </c>
      <c r="S1205" t="s">
        <v>23</v>
      </c>
      <c r="T1205">
        <v>1.119</v>
      </c>
      <c r="U1205">
        <v>10487.83869</v>
      </c>
      <c r="V1205">
        <v>32.803785000000062</v>
      </c>
      <c r="W1205">
        <v>3.1277926720286028E-3</v>
      </c>
    </row>
    <row r="1206" spans="1:23" x14ac:dyDescent="0.25">
      <c r="A1206" t="s">
        <v>685</v>
      </c>
      <c r="B1206" t="s">
        <v>42</v>
      </c>
      <c r="C1206" t="s">
        <v>151</v>
      </c>
      <c r="D1206" t="s">
        <v>35</v>
      </c>
      <c r="E1206" t="s">
        <v>152</v>
      </c>
      <c r="F1206" s="1">
        <v>46162</v>
      </c>
      <c r="G1206">
        <v>46192</v>
      </c>
      <c r="H1206" t="s">
        <v>8</v>
      </c>
      <c r="I1206">
        <v>4457.6099999999997</v>
      </c>
      <c r="J1206" t="s">
        <v>75</v>
      </c>
      <c r="K1206" t="s">
        <v>686</v>
      </c>
      <c r="L1206">
        <v>30</v>
      </c>
      <c r="M1206" t="s">
        <v>42</v>
      </c>
      <c r="N1206">
        <v>1.1599999999999999</v>
      </c>
      <c r="O1206">
        <v>1.3401883195655939</v>
      </c>
      <c r="P1206">
        <v>6.2879444926279273E-3</v>
      </c>
      <c r="Q1206">
        <v>1.3401883195655939</v>
      </c>
      <c r="R1206">
        <v>5974.0368551787869</v>
      </c>
      <c r="S1206" t="s">
        <v>19</v>
      </c>
      <c r="T1206">
        <v>1.2709999999999999</v>
      </c>
      <c r="U1206">
        <v>5665.6223099999988</v>
      </c>
      <c r="V1206">
        <v>308.4145451787881</v>
      </c>
      <c r="W1206">
        <v>5.4436128690475337E-2</v>
      </c>
    </row>
    <row r="1207" spans="1:23" x14ac:dyDescent="0.25">
      <c r="A1207" t="s">
        <v>683</v>
      </c>
      <c r="B1207" t="s">
        <v>22</v>
      </c>
      <c r="C1207" t="s">
        <v>127</v>
      </c>
      <c r="D1207" t="s">
        <v>31</v>
      </c>
      <c r="E1207" t="s">
        <v>124</v>
      </c>
      <c r="F1207" s="1">
        <v>46289</v>
      </c>
      <c r="G1207">
        <v>46349</v>
      </c>
      <c r="H1207" t="s">
        <v>9</v>
      </c>
      <c r="I1207">
        <v>8932739.9000000004</v>
      </c>
      <c r="J1207" t="s">
        <v>75</v>
      </c>
      <c r="K1207" t="s">
        <v>684</v>
      </c>
      <c r="L1207">
        <v>60</v>
      </c>
      <c r="M1207" t="s">
        <v>22</v>
      </c>
      <c r="N1207">
        <v>1.1367</v>
      </c>
      <c r="O1207">
        <v>1.3219593887377017</v>
      </c>
      <c r="P1207">
        <v>6.2950656255191901E-3</v>
      </c>
      <c r="Q1207">
        <v>6.2950656255191901E-3</v>
      </c>
      <c r="R1207">
        <v>56232.183886193729</v>
      </c>
      <c r="S1207" t="s">
        <v>21</v>
      </c>
      <c r="T1207">
        <v>6.7400000000000003E-3</v>
      </c>
      <c r="U1207">
        <v>60206.666926000005</v>
      </c>
      <c r="V1207">
        <v>-3974.4830398062768</v>
      </c>
      <c r="W1207">
        <v>-6.6014002148488182E-2</v>
      </c>
    </row>
    <row r="1208" spans="1:23" x14ac:dyDescent="0.25">
      <c r="A1208" t="s">
        <v>681</v>
      </c>
      <c r="B1208" t="s">
        <v>38</v>
      </c>
      <c r="C1208" t="s">
        <v>87</v>
      </c>
      <c r="D1208" t="s">
        <v>33</v>
      </c>
      <c r="E1208" t="s">
        <v>88</v>
      </c>
      <c r="F1208" s="1">
        <v>45806</v>
      </c>
      <c r="G1208">
        <v>45836</v>
      </c>
      <c r="H1208" t="s">
        <v>6</v>
      </c>
      <c r="I1208">
        <v>2488.75</v>
      </c>
      <c r="J1208" t="s">
        <v>75</v>
      </c>
      <c r="K1208" t="s">
        <v>682</v>
      </c>
      <c r="L1208">
        <v>30</v>
      </c>
      <c r="M1208" t="s">
        <v>38</v>
      </c>
      <c r="N1208">
        <v>1.1281000000000001</v>
      </c>
      <c r="O1208">
        <v>1.3466634833472604</v>
      </c>
      <c r="P1208">
        <v>6.900960420872332E-3</v>
      </c>
      <c r="Q1208">
        <v>1.1281000000000001</v>
      </c>
      <c r="R1208">
        <v>2807.5588750000002</v>
      </c>
      <c r="S1208" t="s">
        <v>12</v>
      </c>
      <c r="T1208">
        <v>1.07</v>
      </c>
      <c r="U1208">
        <v>2662.9625000000001</v>
      </c>
      <c r="V1208">
        <v>144.59637500000008</v>
      </c>
      <c r="W1208">
        <v>5.4299065420560774E-2</v>
      </c>
    </row>
    <row r="1209" spans="1:23" x14ac:dyDescent="0.25">
      <c r="A1209" t="s">
        <v>679</v>
      </c>
      <c r="B1209" t="s">
        <v>37</v>
      </c>
      <c r="C1209" t="s">
        <v>91</v>
      </c>
      <c r="D1209" t="s">
        <v>31</v>
      </c>
      <c r="E1209" t="s">
        <v>74</v>
      </c>
      <c r="F1209" s="1">
        <v>45777</v>
      </c>
      <c r="G1209">
        <v>45807</v>
      </c>
      <c r="H1209" t="s">
        <v>6</v>
      </c>
      <c r="I1209">
        <v>14071.68</v>
      </c>
      <c r="J1209" t="s">
        <v>75</v>
      </c>
      <c r="K1209" t="s">
        <v>680</v>
      </c>
      <c r="L1209">
        <v>30</v>
      </c>
      <c r="M1209" t="s">
        <v>37</v>
      </c>
      <c r="N1209">
        <v>1.1373</v>
      </c>
      <c r="O1209">
        <v>1.3351725757220005</v>
      </c>
      <c r="P1209">
        <v>6.9910253257929669E-3</v>
      </c>
      <c r="Q1209">
        <v>1.1373</v>
      </c>
      <c r="R1209">
        <v>16003.721664000001</v>
      </c>
      <c r="S1209" t="s">
        <v>12</v>
      </c>
      <c r="T1209">
        <v>1.07</v>
      </c>
      <c r="U1209">
        <v>15056.697600000001</v>
      </c>
      <c r="V1209">
        <v>947.02406399999927</v>
      </c>
      <c r="W1209">
        <v>6.2897196261682192E-2</v>
      </c>
    </row>
    <row r="1210" spans="1:23" x14ac:dyDescent="0.25">
      <c r="A1210" t="s">
        <v>677</v>
      </c>
      <c r="B1210" t="s">
        <v>30</v>
      </c>
      <c r="C1210" t="s">
        <v>103</v>
      </c>
      <c r="D1210" t="s">
        <v>31</v>
      </c>
      <c r="E1210" t="s">
        <v>74</v>
      </c>
      <c r="F1210" s="1">
        <v>46365</v>
      </c>
      <c r="G1210">
        <v>46395</v>
      </c>
      <c r="H1210" t="s">
        <v>9</v>
      </c>
      <c r="I1210">
        <v>4242148.76</v>
      </c>
      <c r="J1210" t="s">
        <v>84</v>
      </c>
      <c r="K1210" t="s">
        <v>678</v>
      </c>
      <c r="L1210">
        <v>30</v>
      </c>
      <c r="M1210" t="s">
        <v>30</v>
      </c>
      <c r="N1210">
        <v>1.1176999999999999</v>
      </c>
      <c r="O1210">
        <v>1.320456022210408</v>
      </c>
      <c r="P1210">
        <v>6.3200452360757699E-3</v>
      </c>
      <c r="Q1210">
        <v>6.3200452360757699E-3</v>
      </c>
      <c r="R1210">
        <v>26810.572061362735</v>
      </c>
      <c r="S1210" t="s">
        <v>23</v>
      </c>
      <c r="T1210">
        <v>6.8799999999999998E-3</v>
      </c>
      <c r="U1210">
        <v>29185.983468799997</v>
      </c>
      <c r="V1210">
        <v>-2375.4114074372628</v>
      </c>
      <c r="W1210">
        <v>-8.1388773826196151E-2</v>
      </c>
    </row>
    <row r="1211" spans="1:23" x14ac:dyDescent="0.25">
      <c r="A1211" t="s">
        <v>675</v>
      </c>
      <c r="B1211" t="s">
        <v>30</v>
      </c>
      <c r="C1211" t="s">
        <v>103</v>
      </c>
      <c r="D1211" t="s">
        <v>31</v>
      </c>
      <c r="E1211" t="s">
        <v>74</v>
      </c>
      <c r="F1211" s="1">
        <v>46321</v>
      </c>
      <c r="G1211">
        <v>46351</v>
      </c>
      <c r="H1211" t="s">
        <v>9</v>
      </c>
      <c r="I1211">
        <v>2173261.19</v>
      </c>
      <c r="J1211" t="s">
        <v>84</v>
      </c>
      <c r="K1211" t="s">
        <v>676</v>
      </c>
      <c r="L1211">
        <v>30</v>
      </c>
      <c r="M1211" t="s">
        <v>30</v>
      </c>
      <c r="N1211">
        <v>1.1176999999999999</v>
      </c>
      <c r="O1211">
        <v>1.320456022210408</v>
      </c>
      <c r="P1211">
        <v>6.3200452360757699E-3</v>
      </c>
      <c r="Q1211">
        <v>6.3200452360757699E-3</v>
      </c>
      <c r="R1211">
        <v>13735.109030607859</v>
      </c>
      <c r="S1211" t="s">
        <v>23</v>
      </c>
      <c r="T1211">
        <v>6.8799999999999998E-3</v>
      </c>
      <c r="U1211">
        <v>14952.036987199999</v>
      </c>
      <c r="V1211">
        <v>-1216.9279565921406</v>
      </c>
      <c r="W1211">
        <v>-8.1388773826196192E-2</v>
      </c>
    </row>
    <row r="1212" spans="1:23" x14ac:dyDescent="0.25">
      <c r="A1212" t="s">
        <v>673</v>
      </c>
      <c r="B1212" t="s">
        <v>38</v>
      </c>
      <c r="C1212" t="s">
        <v>87</v>
      </c>
      <c r="D1212" t="s">
        <v>33</v>
      </c>
      <c r="E1212" t="s">
        <v>88</v>
      </c>
      <c r="F1212" s="1">
        <v>46117</v>
      </c>
      <c r="G1212">
        <v>46147</v>
      </c>
      <c r="H1212" t="s">
        <v>6</v>
      </c>
      <c r="I1212">
        <v>2124.56</v>
      </c>
      <c r="J1212" t="s">
        <v>75</v>
      </c>
      <c r="K1212" t="s">
        <v>674</v>
      </c>
      <c r="L1212">
        <v>30</v>
      </c>
      <c r="M1212" t="s">
        <v>38</v>
      </c>
      <c r="N1212">
        <v>1.1525000000000001</v>
      </c>
      <c r="O1212">
        <v>1.3208714886594157</v>
      </c>
      <c r="P1212">
        <v>6.2656300967706864E-3</v>
      </c>
      <c r="Q1212">
        <v>1.1525000000000001</v>
      </c>
      <c r="R1212">
        <v>2448.5554000000002</v>
      </c>
      <c r="S1212" t="s">
        <v>19</v>
      </c>
      <c r="T1212">
        <v>1.083</v>
      </c>
      <c r="U1212">
        <v>2300.8984799999998</v>
      </c>
      <c r="V1212">
        <v>147.65692000000035</v>
      </c>
      <c r="W1212">
        <v>6.4173591874423064E-2</v>
      </c>
    </row>
    <row r="1213" spans="1:23" x14ac:dyDescent="0.25">
      <c r="A1213" t="s">
        <v>671</v>
      </c>
      <c r="B1213" t="s">
        <v>26</v>
      </c>
      <c r="C1213" t="s">
        <v>94</v>
      </c>
      <c r="D1213" t="s">
        <v>31</v>
      </c>
      <c r="E1213" t="s">
        <v>74</v>
      </c>
      <c r="F1213" s="1">
        <v>46371</v>
      </c>
      <c r="G1213">
        <v>46401</v>
      </c>
      <c r="H1213" t="s">
        <v>8</v>
      </c>
      <c r="I1213">
        <v>36123.78</v>
      </c>
      <c r="J1213" t="s">
        <v>84</v>
      </c>
      <c r="K1213" t="s">
        <v>672</v>
      </c>
      <c r="L1213">
        <v>30</v>
      </c>
      <c r="M1213" t="s">
        <v>26</v>
      </c>
      <c r="N1213">
        <v>1.1176999999999999</v>
      </c>
      <c r="O1213">
        <v>1.320456022210408</v>
      </c>
      <c r="P1213">
        <v>6.3200452360757699E-3</v>
      </c>
      <c r="Q1213">
        <v>1.320456022210408</v>
      </c>
      <c r="R1213">
        <v>47699.862846003889</v>
      </c>
      <c r="S1213" t="s">
        <v>23</v>
      </c>
      <c r="T1213">
        <v>1.3149999999999999</v>
      </c>
      <c r="U1213">
        <v>47502.770699999994</v>
      </c>
      <c r="V1213">
        <v>197.09214600389532</v>
      </c>
      <c r="W1213">
        <v>4.1490663197019653E-3</v>
      </c>
    </row>
    <row r="1214" spans="1:23" x14ac:dyDescent="0.25">
      <c r="A1214" t="s">
        <v>669</v>
      </c>
      <c r="B1214" t="s">
        <v>22</v>
      </c>
      <c r="C1214" t="s">
        <v>127</v>
      </c>
      <c r="D1214" t="s">
        <v>31</v>
      </c>
      <c r="E1214" t="s">
        <v>124</v>
      </c>
      <c r="F1214" s="1">
        <v>46015</v>
      </c>
      <c r="G1214">
        <v>46075</v>
      </c>
      <c r="H1214" t="s">
        <v>9</v>
      </c>
      <c r="I1214">
        <v>3610222.04</v>
      </c>
      <c r="J1214" t="s">
        <v>75</v>
      </c>
      <c r="K1214" t="s">
        <v>670</v>
      </c>
      <c r="L1214">
        <v>60</v>
      </c>
      <c r="M1214" t="s">
        <v>22</v>
      </c>
      <c r="N1214">
        <v>1.1787000000000001</v>
      </c>
      <c r="O1214">
        <v>1.350326497880628</v>
      </c>
      <c r="P1214">
        <v>6.4119023010390033E-3</v>
      </c>
      <c r="Q1214">
        <v>6.4119023010390033E-3</v>
      </c>
      <c r="R1214">
        <v>23148.391005537724</v>
      </c>
      <c r="S1214" t="s">
        <v>14</v>
      </c>
      <c r="T1214">
        <v>6.9800000000000001E-3</v>
      </c>
      <c r="U1214">
        <v>25199.3498392</v>
      </c>
      <c r="V1214">
        <v>-2050.9588336622764</v>
      </c>
      <c r="W1214">
        <v>-8.1389355152005294E-2</v>
      </c>
    </row>
    <row r="1215" spans="1:23" x14ac:dyDescent="0.25">
      <c r="A1215" t="s">
        <v>667</v>
      </c>
      <c r="B1215" t="s">
        <v>30</v>
      </c>
      <c r="C1215" t="s">
        <v>103</v>
      </c>
      <c r="D1215" t="s">
        <v>31</v>
      </c>
      <c r="E1215" t="s">
        <v>74</v>
      </c>
      <c r="F1215" s="1">
        <v>45847</v>
      </c>
      <c r="G1215">
        <v>45877</v>
      </c>
      <c r="H1215" t="s">
        <v>9</v>
      </c>
      <c r="I1215">
        <v>2452158.31</v>
      </c>
      <c r="J1215" t="s">
        <v>75</v>
      </c>
      <c r="K1215" t="s">
        <v>668</v>
      </c>
      <c r="L1215">
        <v>30</v>
      </c>
      <c r="M1215" t="s">
        <v>30</v>
      </c>
      <c r="N1215">
        <v>1.1698</v>
      </c>
      <c r="O1215">
        <v>1.3581794961105307</v>
      </c>
      <c r="P1215">
        <v>6.815824739264697E-3</v>
      </c>
      <c r="Q1215">
        <v>6.815824739264697E-3</v>
      </c>
      <c r="R1215">
        <v>16713.48127389151</v>
      </c>
      <c r="S1215" t="s">
        <v>13</v>
      </c>
      <c r="T1215">
        <v>6.8399999999999997E-3</v>
      </c>
      <c r="U1215">
        <v>16772.762840399999</v>
      </c>
      <c r="V1215">
        <v>-59.28156650848905</v>
      </c>
      <c r="W1215">
        <v>-3.5343948443424898E-3</v>
      </c>
    </row>
    <row r="1216" spans="1:23" x14ac:dyDescent="0.25">
      <c r="A1216" t="s">
        <v>665</v>
      </c>
      <c r="B1216" t="s">
        <v>30</v>
      </c>
      <c r="C1216" t="s">
        <v>103</v>
      </c>
      <c r="D1216" t="s">
        <v>31</v>
      </c>
      <c r="E1216" t="s">
        <v>74</v>
      </c>
      <c r="F1216" s="1">
        <v>46283</v>
      </c>
      <c r="G1216">
        <v>46313</v>
      </c>
      <c r="H1216" t="s">
        <v>9</v>
      </c>
      <c r="I1216">
        <v>3839562.82</v>
      </c>
      <c r="J1216" t="s">
        <v>75</v>
      </c>
      <c r="K1216" t="s">
        <v>666</v>
      </c>
      <c r="L1216">
        <v>30</v>
      </c>
      <c r="M1216" t="s">
        <v>30</v>
      </c>
      <c r="N1216">
        <v>1.1459999999999999</v>
      </c>
      <c r="O1216">
        <v>1.3344201210992082</v>
      </c>
      <c r="P1216">
        <v>6.3335912457168119E-3</v>
      </c>
      <c r="Q1216">
        <v>6.3335912457168119E-3</v>
      </c>
      <c r="R1216">
        <v>24318.221464131755</v>
      </c>
      <c r="S1216" t="s">
        <v>21</v>
      </c>
      <c r="T1216">
        <v>6.7400000000000003E-3</v>
      </c>
      <c r="U1216">
        <v>25878.6534068</v>
      </c>
      <c r="V1216">
        <v>-1560.431942668245</v>
      </c>
      <c r="W1216">
        <v>-6.0298034760116935E-2</v>
      </c>
    </row>
    <row r="1217" spans="1:23" x14ac:dyDescent="0.25">
      <c r="A1217" t="s">
        <v>663</v>
      </c>
      <c r="B1217" t="s">
        <v>26</v>
      </c>
      <c r="C1217" t="s">
        <v>94</v>
      </c>
      <c r="D1217" t="s">
        <v>31</v>
      </c>
      <c r="E1217" t="s">
        <v>74</v>
      </c>
      <c r="F1217" s="1">
        <v>46046</v>
      </c>
      <c r="G1217">
        <v>46076</v>
      </c>
      <c r="H1217" t="s">
        <v>8</v>
      </c>
      <c r="I1217">
        <v>31609.21</v>
      </c>
      <c r="J1217" t="s">
        <v>75</v>
      </c>
      <c r="K1217" t="s">
        <v>664</v>
      </c>
      <c r="L1217">
        <v>30</v>
      </c>
      <c r="M1217" t="s">
        <v>26</v>
      </c>
      <c r="N1217">
        <v>1.1555</v>
      </c>
      <c r="O1217">
        <v>1.3367963164349013</v>
      </c>
      <c r="P1217">
        <v>6.2983756677204832E-3</v>
      </c>
      <c r="Q1217">
        <v>1.3367963164349013</v>
      </c>
      <c r="R1217">
        <v>42255.075493417244</v>
      </c>
      <c r="S1217" t="s">
        <v>16</v>
      </c>
      <c r="T1217">
        <v>1.2490000000000001</v>
      </c>
      <c r="U1217">
        <v>39479.903290000002</v>
      </c>
      <c r="V1217">
        <v>2775.1722034172417</v>
      </c>
      <c r="W1217">
        <v>7.0293287778143435E-2</v>
      </c>
    </row>
    <row r="1218" spans="1:23" x14ac:dyDescent="0.25">
      <c r="A1218" t="s">
        <v>661</v>
      </c>
      <c r="B1218" t="s">
        <v>43</v>
      </c>
      <c r="C1218" t="s">
        <v>215</v>
      </c>
      <c r="D1218" t="s">
        <v>35</v>
      </c>
      <c r="E1218" t="s">
        <v>152</v>
      </c>
      <c r="F1218" s="1">
        <v>45924</v>
      </c>
      <c r="G1218">
        <v>45954</v>
      </c>
      <c r="H1218" t="s">
        <v>6</v>
      </c>
      <c r="I1218">
        <v>9777.81</v>
      </c>
      <c r="J1218" t="s">
        <v>75</v>
      </c>
      <c r="K1218" t="s">
        <v>662</v>
      </c>
      <c r="L1218">
        <v>30</v>
      </c>
      <c r="M1218" t="s">
        <v>43</v>
      </c>
      <c r="N1218">
        <v>1.1756</v>
      </c>
      <c r="O1218">
        <v>1.3464666132172718</v>
      </c>
      <c r="P1218">
        <v>6.7365767004756178E-3</v>
      </c>
      <c r="Q1218">
        <v>1.1756</v>
      </c>
      <c r="R1218">
        <v>11494.793436</v>
      </c>
      <c r="S1218" t="s">
        <v>13</v>
      </c>
      <c r="T1218">
        <v>1.0880000000000001</v>
      </c>
      <c r="U1218">
        <v>10638.25728</v>
      </c>
      <c r="V1218">
        <v>856.53615600000012</v>
      </c>
      <c r="W1218">
        <v>8.051470588235296E-2</v>
      </c>
    </row>
    <row r="1219" spans="1:23" x14ac:dyDescent="0.25">
      <c r="A1219" t="s">
        <v>659</v>
      </c>
      <c r="B1219" t="s">
        <v>25</v>
      </c>
      <c r="C1219" t="s">
        <v>169</v>
      </c>
      <c r="D1219" t="s">
        <v>31</v>
      </c>
      <c r="E1219" t="s">
        <v>124</v>
      </c>
      <c r="F1219" s="1">
        <v>46217</v>
      </c>
      <c r="G1219">
        <v>46277</v>
      </c>
      <c r="H1219" t="s">
        <v>6</v>
      </c>
      <c r="I1219">
        <v>37820.660000000003</v>
      </c>
      <c r="J1219" t="s">
        <v>75</v>
      </c>
      <c r="K1219" t="s">
        <v>660</v>
      </c>
      <c r="L1219">
        <v>60</v>
      </c>
      <c r="M1219" t="s">
        <v>25</v>
      </c>
      <c r="N1219">
        <v>1.1405000000000001</v>
      </c>
      <c r="O1219">
        <v>1.338379393299302</v>
      </c>
      <c r="P1219">
        <v>6.164531646938004E-3</v>
      </c>
      <c r="Q1219">
        <v>1.1405000000000001</v>
      </c>
      <c r="R1219">
        <v>43134.462730000007</v>
      </c>
      <c r="S1219" t="s">
        <v>21</v>
      </c>
      <c r="T1219">
        <v>1.101</v>
      </c>
      <c r="U1219">
        <v>41640.54666</v>
      </c>
      <c r="V1219">
        <v>1493.9160700000066</v>
      </c>
      <c r="W1219">
        <v>3.5876475930971999E-2</v>
      </c>
    </row>
    <row r="1220" spans="1:23" x14ac:dyDescent="0.25">
      <c r="A1220" t="s">
        <v>657</v>
      </c>
      <c r="B1220" t="s">
        <v>26</v>
      </c>
      <c r="C1220" t="s">
        <v>94</v>
      </c>
      <c r="D1220" t="s">
        <v>31</v>
      </c>
      <c r="E1220" t="s">
        <v>74</v>
      </c>
      <c r="F1220" s="1">
        <v>46089</v>
      </c>
      <c r="G1220">
        <v>46119</v>
      </c>
      <c r="H1220" t="s">
        <v>8</v>
      </c>
      <c r="I1220">
        <v>22175.29</v>
      </c>
      <c r="J1220" t="s">
        <v>75</v>
      </c>
      <c r="K1220" t="s">
        <v>658</v>
      </c>
      <c r="L1220">
        <v>30</v>
      </c>
      <c r="M1220" t="s">
        <v>26</v>
      </c>
      <c r="N1220">
        <v>1.1555</v>
      </c>
      <c r="O1220">
        <v>1.3367963164349013</v>
      </c>
      <c r="P1220">
        <v>6.2983756677204832E-3</v>
      </c>
      <c r="Q1220">
        <v>1.3367963164349013</v>
      </c>
      <c r="R1220">
        <v>29643.845987875702</v>
      </c>
      <c r="S1220" t="s">
        <v>16</v>
      </c>
      <c r="T1220">
        <v>1.2490000000000001</v>
      </c>
      <c r="U1220">
        <v>27696.937210000004</v>
      </c>
      <c r="V1220">
        <v>1946.9087778756984</v>
      </c>
      <c r="W1220">
        <v>7.0293287778143407E-2</v>
      </c>
    </row>
    <row r="1221" spans="1:23" x14ac:dyDescent="0.25">
      <c r="A1221" t="s">
        <v>655</v>
      </c>
      <c r="B1221" t="s">
        <v>25</v>
      </c>
      <c r="C1221" t="s">
        <v>169</v>
      </c>
      <c r="D1221" t="s">
        <v>31</v>
      </c>
      <c r="E1221" t="s">
        <v>124</v>
      </c>
      <c r="F1221" s="1">
        <v>46335</v>
      </c>
      <c r="G1221">
        <v>46395</v>
      </c>
      <c r="H1221" t="s">
        <v>6</v>
      </c>
      <c r="I1221">
        <v>72033.210000000006</v>
      </c>
      <c r="J1221" t="s">
        <v>84</v>
      </c>
      <c r="K1221" t="s">
        <v>656</v>
      </c>
      <c r="L1221">
        <v>60</v>
      </c>
      <c r="M1221" t="s">
        <v>25</v>
      </c>
      <c r="N1221">
        <v>1.1176999999999999</v>
      </c>
      <c r="O1221">
        <v>1.320456022210408</v>
      </c>
      <c r="P1221">
        <v>6.3200452360757699E-3</v>
      </c>
      <c r="Q1221">
        <v>1.1176999999999999</v>
      </c>
      <c r="R1221">
        <v>80511.518817000004</v>
      </c>
      <c r="S1221" t="s">
        <v>23</v>
      </c>
      <c r="T1221">
        <v>1.119</v>
      </c>
      <c r="U1221">
        <v>80605.161990000008</v>
      </c>
      <c r="V1221">
        <v>-93.643173000004026</v>
      </c>
      <c r="W1221">
        <v>-1.1617515638963859E-3</v>
      </c>
    </row>
    <row r="1222" spans="1:23" x14ac:dyDescent="0.25">
      <c r="A1222" t="s">
        <v>653</v>
      </c>
      <c r="B1222" t="s">
        <v>26</v>
      </c>
      <c r="C1222" t="s">
        <v>94</v>
      </c>
      <c r="D1222" t="s">
        <v>31</v>
      </c>
      <c r="E1222" t="s">
        <v>74</v>
      </c>
      <c r="F1222" s="1">
        <v>46166</v>
      </c>
      <c r="G1222">
        <v>46196</v>
      </c>
      <c r="H1222" t="s">
        <v>8</v>
      </c>
      <c r="I1222">
        <v>30359.47</v>
      </c>
      <c r="J1222" t="s">
        <v>75</v>
      </c>
      <c r="K1222" t="s">
        <v>654</v>
      </c>
      <c r="L1222">
        <v>30</v>
      </c>
      <c r="M1222" t="s">
        <v>26</v>
      </c>
      <c r="N1222">
        <v>1.1595</v>
      </c>
      <c r="O1222">
        <v>1.3417343608970353</v>
      </c>
      <c r="P1222">
        <v>6.2835311331490814E-3</v>
      </c>
      <c r="Q1222">
        <v>1.3417343608970353</v>
      </c>
      <c r="R1222">
        <v>40734.344077622722</v>
      </c>
      <c r="S1222" t="s">
        <v>19</v>
      </c>
      <c r="T1222">
        <v>1.2709999999999999</v>
      </c>
      <c r="U1222">
        <v>38586.88637</v>
      </c>
      <c r="V1222">
        <v>2147.4577076227215</v>
      </c>
      <c r="W1222">
        <v>5.5652526276188413E-2</v>
      </c>
    </row>
    <row r="1223" spans="1:23" x14ac:dyDescent="0.25">
      <c r="A1223" t="s">
        <v>651</v>
      </c>
      <c r="B1223" t="s">
        <v>34</v>
      </c>
      <c r="C1223" t="s">
        <v>177</v>
      </c>
      <c r="D1223" t="s">
        <v>31</v>
      </c>
      <c r="E1223" t="s">
        <v>74</v>
      </c>
      <c r="F1223" s="1">
        <v>46036</v>
      </c>
      <c r="G1223">
        <v>46096</v>
      </c>
      <c r="H1223" t="s">
        <v>8</v>
      </c>
      <c r="I1223">
        <v>6408.87</v>
      </c>
      <c r="J1223" t="s">
        <v>75</v>
      </c>
      <c r="K1223" t="s">
        <v>652</v>
      </c>
      <c r="L1223">
        <v>60</v>
      </c>
      <c r="M1223" t="s">
        <v>34</v>
      </c>
      <c r="N1223">
        <v>1.1651</v>
      </c>
      <c r="O1223">
        <v>1.3441393631748961</v>
      </c>
      <c r="P1223">
        <v>6.3039714316632401E-3</v>
      </c>
      <c r="Q1223">
        <v>1.3441393631748961</v>
      </c>
      <c r="R1223">
        <v>8614.4144404706967</v>
      </c>
      <c r="S1223" t="s">
        <v>16</v>
      </c>
      <c r="T1223">
        <v>1.2490000000000001</v>
      </c>
      <c r="U1223">
        <v>8004.6786300000003</v>
      </c>
      <c r="V1223">
        <v>609.73581047069638</v>
      </c>
      <c r="W1223">
        <v>7.6172428482703045E-2</v>
      </c>
    </row>
    <row r="1224" spans="1:23" x14ac:dyDescent="0.25">
      <c r="A1224" t="s">
        <v>649</v>
      </c>
      <c r="B1224" t="s">
        <v>24</v>
      </c>
      <c r="C1224" t="s">
        <v>73</v>
      </c>
      <c r="D1224" t="s">
        <v>31</v>
      </c>
      <c r="E1224" t="s">
        <v>74</v>
      </c>
      <c r="F1224" s="1">
        <v>45938</v>
      </c>
      <c r="G1224">
        <v>45968</v>
      </c>
      <c r="H1224" t="s">
        <v>6</v>
      </c>
      <c r="I1224">
        <v>41501.9</v>
      </c>
      <c r="J1224" t="s">
        <v>75</v>
      </c>
      <c r="K1224" t="s">
        <v>650</v>
      </c>
      <c r="L1224">
        <v>30</v>
      </c>
      <c r="M1224" t="s">
        <v>24</v>
      </c>
      <c r="N1224">
        <v>1.1627000000000001</v>
      </c>
      <c r="O1224">
        <v>1.3409064698420021</v>
      </c>
      <c r="P1224">
        <v>6.5493156086295279E-3</v>
      </c>
      <c r="Q1224">
        <v>1.1627000000000001</v>
      </c>
      <c r="R1224">
        <v>48254.259130000006</v>
      </c>
      <c r="S1224" t="s">
        <v>14</v>
      </c>
      <c r="T1224">
        <v>1.1060000000000001</v>
      </c>
      <c r="U1224">
        <v>45901.101400000007</v>
      </c>
      <c r="V1224">
        <v>2353.157729999999</v>
      </c>
      <c r="W1224">
        <v>5.1265822784810094E-2</v>
      </c>
    </row>
    <row r="1225" spans="1:23" x14ac:dyDescent="0.25">
      <c r="A1225" t="s">
        <v>647</v>
      </c>
      <c r="B1225" t="s">
        <v>42</v>
      </c>
      <c r="C1225" t="s">
        <v>151</v>
      </c>
      <c r="D1225" t="s">
        <v>35</v>
      </c>
      <c r="E1225" t="s">
        <v>152</v>
      </c>
      <c r="F1225" s="1">
        <v>45764</v>
      </c>
      <c r="G1225">
        <v>45794</v>
      </c>
      <c r="H1225" t="s">
        <v>8</v>
      </c>
      <c r="I1225">
        <v>6487.03</v>
      </c>
      <c r="J1225" t="s">
        <v>75</v>
      </c>
      <c r="K1225" t="s">
        <v>648</v>
      </c>
      <c r="L1225">
        <v>30</v>
      </c>
      <c r="M1225" t="s">
        <v>42</v>
      </c>
      <c r="N1225">
        <v>1.1359999999999999</v>
      </c>
      <c r="O1225">
        <v>1.322883793509019</v>
      </c>
      <c r="P1225">
        <v>7.0132115075935298E-3</v>
      </c>
      <c r="Q1225">
        <v>1.322883793509019</v>
      </c>
      <c r="R1225">
        <v>8581.5868550068117</v>
      </c>
      <c r="S1225" t="s">
        <v>12</v>
      </c>
      <c r="T1225">
        <v>1.26</v>
      </c>
      <c r="U1225">
        <v>8173.6578</v>
      </c>
      <c r="V1225">
        <v>407.92905500681172</v>
      </c>
      <c r="W1225">
        <v>4.9907772626205583E-2</v>
      </c>
    </row>
    <row r="1226" spans="1:23" x14ac:dyDescent="0.25">
      <c r="A1226" t="s">
        <v>645</v>
      </c>
      <c r="B1226" t="s">
        <v>26</v>
      </c>
      <c r="C1226" t="s">
        <v>94</v>
      </c>
      <c r="D1226" t="s">
        <v>31</v>
      </c>
      <c r="E1226" t="s">
        <v>74</v>
      </c>
      <c r="F1226" s="1">
        <v>45761</v>
      </c>
      <c r="G1226">
        <v>45791</v>
      </c>
      <c r="H1226" t="s">
        <v>8</v>
      </c>
      <c r="I1226">
        <v>4096.4799999999996</v>
      </c>
      <c r="J1226" t="s">
        <v>75</v>
      </c>
      <c r="K1226" t="s">
        <v>646</v>
      </c>
      <c r="L1226">
        <v>30</v>
      </c>
      <c r="M1226" t="s">
        <v>26</v>
      </c>
      <c r="N1226">
        <v>1.1376999999999999</v>
      </c>
      <c r="O1226">
        <v>1.3170415475267123</v>
      </c>
      <c r="P1226">
        <v>6.981039455114438E-3</v>
      </c>
      <c r="Q1226">
        <v>1.3170415475267123</v>
      </c>
      <c r="R1226">
        <v>5395.2343586122261</v>
      </c>
      <c r="S1226" t="s">
        <v>12</v>
      </c>
      <c r="T1226">
        <v>1.26</v>
      </c>
      <c r="U1226">
        <v>5161.5647999999992</v>
      </c>
      <c r="V1226">
        <v>233.66955861222687</v>
      </c>
      <c r="W1226">
        <v>4.5271069465644777E-2</v>
      </c>
    </row>
    <row r="1227" spans="1:23" x14ac:dyDescent="0.25">
      <c r="A1227" t="s">
        <v>643</v>
      </c>
      <c r="B1227" t="s">
        <v>37</v>
      </c>
      <c r="C1227" t="s">
        <v>91</v>
      </c>
      <c r="D1227" t="s">
        <v>31</v>
      </c>
      <c r="E1227" t="s">
        <v>74</v>
      </c>
      <c r="F1227" s="1">
        <v>46272</v>
      </c>
      <c r="G1227">
        <v>46302</v>
      </c>
      <c r="H1227" t="s">
        <v>6</v>
      </c>
      <c r="I1227">
        <v>16921.79</v>
      </c>
      <c r="J1227" t="s">
        <v>75</v>
      </c>
      <c r="K1227" t="s">
        <v>644</v>
      </c>
      <c r="L1227">
        <v>30</v>
      </c>
      <c r="M1227" t="s">
        <v>37</v>
      </c>
      <c r="N1227">
        <v>1.1621999999999999</v>
      </c>
      <c r="O1227">
        <v>1.3530630777469903</v>
      </c>
      <c r="P1227">
        <v>6.4620517097581315E-3</v>
      </c>
      <c r="Q1227">
        <v>1.1621999999999999</v>
      </c>
      <c r="R1227">
        <v>19666.504337999999</v>
      </c>
      <c r="S1227" t="s">
        <v>21</v>
      </c>
      <c r="T1227">
        <v>1.101</v>
      </c>
      <c r="U1227">
        <v>18630.890790000001</v>
      </c>
      <c r="V1227">
        <v>1035.6135479999975</v>
      </c>
      <c r="W1227">
        <v>5.5585831062670163E-2</v>
      </c>
    </row>
    <row r="1228" spans="1:23" x14ac:dyDescent="0.25">
      <c r="A1228" t="s">
        <v>641</v>
      </c>
      <c r="B1228" t="s">
        <v>38</v>
      </c>
      <c r="C1228" t="s">
        <v>87</v>
      </c>
      <c r="D1228" t="s">
        <v>33</v>
      </c>
      <c r="E1228" t="s">
        <v>88</v>
      </c>
      <c r="F1228" s="1">
        <v>46109</v>
      </c>
      <c r="G1228">
        <v>46139</v>
      </c>
      <c r="H1228" t="s">
        <v>6</v>
      </c>
      <c r="I1228">
        <v>11001.74</v>
      </c>
      <c r="J1228" t="s">
        <v>75</v>
      </c>
      <c r="K1228" t="s">
        <v>642</v>
      </c>
      <c r="L1228">
        <v>30</v>
      </c>
      <c r="M1228" t="s">
        <v>38</v>
      </c>
      <c r="N1228">
        <v>1.1516999999999999</v>
      </c>
      <c r="O1228">
        <v>1.3280673431734318</v>
      </c>
      <c r="P1228">
        <v>6.2538010425716769E-3</v>
      </c>
      <c r="Q1228">
        <v>1.1516999999999999</v>
      </c>
      <c r="R1228">
        <v>12670.703958</v>
      </c>
      <c r="S1228" t="s">
        <v>16</v>
      </c>
      <c r="T1228">
        <v>1.0649999999999999</v>
      </c>
      <c r="U1228">
        <v>11716.853099999998</v>
      </c>
      <c r="V1228">
        <v>953.85085800000161</v>
      </c>
      <c r="W1228">
        <v>8.1408450704225505E-2</v>
      </c>
    </row>
    <row r="1229" spans="1:23" x14ac:dyDescent="0.25">
      <c r="A1229" t="s">
        <v>639</v>
      </c>
      <c r="B1229" t="s">
        <v>37</v>
      </c>
      <c r="C1229" t="s">
        <v>91</v>
      </c>
      <c r="D1229" t="s">
        <v>31</v>
      </c>
      <c r="E1229" t="s">
        <v>74</v>
      </c>
      <c r="F1229" s="1">
        <v>45947</v>
      </c>
      <c r="G1229">
        <v>45977</v>
      </c>
      <c r="H1229" t="s">
        <v>6</v>
      </c>
      <c r="I1229">
        <v>8458.9500000000007</v>
      </c>
      <c r="J1229" t="s">
        <v>75</v>
      </c>
      <c r="K1229" t="s">
        <v>640</v>
      </c>
      <c r="L1229">
        <v>30</v>
      </c>
      <c r="M1229" t="s">
        <v>37</v>
      </c>
      <c r="N1229">
        <v>1.1680999999999999</v>
      </c>
      <c r="O1229">
        <v>1.3434157561817135</v>
      </c>
      <c r="P1229">
        <v>6.6482640865110987E-3</v>
      </c>
      <c r="Q1229">
        <v>1.1680999999999999</v>
      </c>
      <c r="R1229">
        <v>9880.8994949999997</v>
      </c>
      <c r="S1229" t="s">
        <v>14</v>
      </c>
      <c r="T1229">
        <v>1.1060000000000001</v>
      </c>
      <c r="U1229">
        <v>9355.5987000000023</v>
      </c>
      <c r="V1229">
        <v>525.30079499999738</v>
      </c>
      <c r="W1229">
        <v>5.614828209764889E-2</v>
      </c>
    </row>
    <row r="1230" spans="1:23" x14ac:dyDescent="0.25">
      <c r="A1230" t="s">
        <v>637</v>
      </c>
      <c r="B1230" t="s">
        <v>22</v>
      </c>
      <c r="C1230" t="s">
        <v>127</v>
      </c>
      <c r="D1230" t="s">
        <v>31</v>
      </c>
      <c r="E1230" t="s">
        <v>124</v>
      </c>
      <c r="F1230" s="1">
        <v>45815</v>
      </c>
      <c r="G1230">
        <v>45875</v>
      </c>
      <c r="H1230" t="s">
        <v>9</v>
      </c>
      <c r="I1230">
        <v>4780895.83</v>
      </c>
      <c r="J1230" t="s">
        <v>75</v>
      </c>
      <c r="K1230" t="s">
        <v>638</v>
      </c>
      <c r="L1230">
        <v>60</v>
      </c>
      <c r="M1230" t="s">
        <v>22</v>
      </c>
      <c r="N1230">
        <v>1.1638999999999999</v>
      </c>
      <c r="O1230">
        <v>1.3449272012941993</v>
      </c>
      <c r="P1230">
        <v>6.7633215178104474E-3</v>
      </c>
      <c r="Q1230">
        <v>6.7633215178104474E-3</v>
      </c>
      <c r="R1230">
        <v>32334.735641449239</v>
      </c>
      <c r="S1230" t="s">
        <v>12</v>
      </c>
      <c r="T1230">
        <v>6.7000000000000002E-3</v>
      </c>
      <c r="U1230">
        <v>32032.002061000003</v>
      </c>
      <c r="V1230">
        <v>302.73358044923589</v>
      </c>
      <c r="W1230">
        <v>9.4509728075293734E-3</v>
      </c>
    </row>
    <row r="1231" spans="1:23" x14ac:dyDescent="0.25">
      <c r="A1231" t="s">
        <v>635</v>
      </c>
      <c r="B1231" t="s">
        <v>24</v>
      </c>
      <c r="C1231" t="s">
        <v>73</v>
      </c>
      <c r="D1231" t="s">
        <v>31</v>
      </c>
      <c r="E1231" t="s">
        <v>74</v>
      </c>
      <c r="F1231" s="1">
        <v>45725</v>
      </c>
      <c r="G1231">
        <v>45755</v>
      </c>
      <c r="H1231" t="s">
        <v>6</v>
      </c>
      <c r="I1231">
        <v>17516.009999999998</v>
      </c>
      <c r="J1231" t="s">
        <v>75</v>
      </c>
      <c r="K1231" t="s">
        <v>636</v>
      </c>
      <c r="L1231">
        <v>30</v>
      </c>
      <c r="M1231" t="s">
        <v>24</v>
      </c>
      <c r="N1231">
        <v>1.1376999999999999</v>
      </c>
      <c r="O1231">
        <v>1.3170415475267123</v>
      </c>
      <c r="P1231">
        <v>6.981039455114438E-3</v>
      </c>
      <c r="Q1231">
        <v>1.1376999999999999</v>
      </c>
      <c r="R1231">
        <v>19927.964576999999</v>
      </c>
      <c r="S1231" t="s">
        <v>11</v>
      </c>
      <c r="T1231">
        <v>1.052</v>
      </c>
      <c r="U1231">
        <v>18426.842519999998</v>
      </c>
      <c r="V1231">
        <v>1501.1220570000005</v>
      </c>
      <c r="W1231">
        <v>8.1463878326996225E-2</v>
      </c>
    </row>
    <row r="1232" spans="1:23" x14ac:dyDescent="0.25">
      <c r="A1232" t="s">
        <v>633</v>
      </c>
      <c r="B1232" t="s">
        <v>26</v>
      </c>
      <c r="C1232" t="s">
        <v>94</v>
      </c>
      <c r="D1232" t="s">
        <v>31</v>
      </c>
      <c r="E1232" t="s">
        <v>74</v>
      </c>
      <c r="F1232" s="1">
        <v>46315</v>
      </c>
      <c r="G1232">
        <v>46345</v>
      </c>
      <c r="H1232" t="s">
        <v>8</v>
      </c>
      <c r="I1232">
        <v>17386.09</v>
      </c>
      <c r="J1232" t="s">
        <v>84</v>
      </c>
      <c r="K1232" t="s">
        <v>634</v>
      </c>
      <c r="L1232">
        <v>30</v>
      </c>
      <c r="M1232" t="s">
        <v>26</v>
      </c>
      <c r="N1232">
        <v>1.1176999999999999</v>
      </c>
      <c r="O1232">
        <v>1.320456022210408</v>
      </c>
      <c r="P1232">
        <v>6.3200452360757699E-3</v>
      </c>
      <c r="Q1232">
        <v>1.320456022210408</v>
      </c>
      <c r="R1232">
        <v>22957.567243192152</v>
      </c>
      <c r="S1232" t="s">
        <v>23</v>
      </c>
      <c r="T1232">
        <v>1.3149999999999999</v>
      </c>
      <c r="U1232">
        <v>22862.708350000001</v>
      </c>
      <c r="V1232">
        <v>94.858893192151299</v>
      </c>
      <c r="W1232">
        <v>4.1490663197018517E-3</v>
      </c>
    </row>
    <row r="1233" spans="1:23" x14ac:dyDescent="0.25">
      <c r="A1233" t="s">
        <v>631</v>
      </c>
      <c r="B1233" t="s">
        <v>44</v>
      </c>
      <c r="C1233" t="s">
        <v>138</v>
      </c>
      <c r="D1233" t="s">
        <v>33</v>
      </c>
      <c r="E1233" t="s">
        <v>88</v>
      </c>
      <c r="F1233" s="1">
        <v>46123</v>
      </c>
      <c r="G1233">
        <v>46168</v>
      </c>
      <c r="H1233" t="s">
        <v>9</v>
      </c>
      <c r="I1233">
        <v>1147404.6100000001</v>
      </c>
      <c r="J1233" t="s">
        <v>75</v>
      </c>
      <c r="K1233" t="s">
        <v>632</v>
      </c>
      <c r="L1233">
        <v>45</v>
      </c>
      <c r="M1233" t="s">
        <v>44</v>
      </c>
      <c r="N1233">
        <v>1.1711</v>
      </c>
      <c r="O1233">
        <v>1.3444693186384249</v>
      </c>
      <c r="P1233">
        <v>6.2817143163653921E-3</v>
      </c>
      <c r="Q1233">
        <v>6.2817143163653921E-3</v>
      </c>
      <c r="R1233">
        <v>7207.6679653006504</v>
      </c>
      <c r="S1233" t="s">
        <v>19</v>
      </c>
      <c r="T1233">
        <v>6.6E-3</v>
      </c>
      <c r="U1233">
        <v>7572.8704260000004</v>
      </c>
      <c r="V1233">
        <v>-365.20246069935001</v>
      </c>
      <c r="W1233">
        <v>-4.8225103581001107E-2</v>
      </c>
    </row>
    <row r="1234" spans="1:23" x14ac:dyDescent="0.25">
      <c r="A1234" t="s">
        <v>629</v>
      </c>
      <c r="B1234" t="s">
        <v>30</v>
      </c>
      <c r="C1234" t="s">
        <v>103</v>
      </c>
      <c r="D1234" t="s">
        <v>31</v>
      </c>
      <c r="E1234" t="s">
        <v>74</v>
      </c>
      <c r="F1234" s="1">
        <v>45978</v>
      </c>
      <c r="G1234">
        <v>46008</v>
      </c>
      <c r="H1234" t="s">
        <v>9</v>
      </c>
      <c r="I1234">
        <v>2653155.1</v>
      </c>
      <c r="J1234" t="s">
        <v>75</v>
      </c>
      <c r="K1234" t="s">
        <v>630</v>
      </c>
      <c r="L1234">
        <v>30</v>
      </c>
      <c r="M1234" t="s">
        <v>30</v>
      </c>
      <c r="N1234">
        <v>1.1593</v>
      </c>
      <c r="O1234">
        <v>1.3181353041500854</v>
      </c>
      <c r="P1234">
        <v>6.4559781700729525E-3</v>
      </c>
      <c r="Q1234">
        <v>6.4559781700729525E-3</v>
      </c>
      <c r="R1234">
        <v>17128.711407417723</v>
      </c>
      <c r="S1234" t="s">
        <v>14</v>
      </c>
      <c r="T1234">
        <v>6.9800000000000001E-3</v>
      </c>
      <c r="U1234">
        <v>18519.022598</v>
      </c>
      <c r="V1234">
        <v>-1390.311190582277</v>
      </c>
      <c r="W1234">
        <v>-7.5074760734533938E-2</v>
      </c>
    </row>
    <row r="1235" spans="1:23" x14ac:dyDescent="0.25">
      <c r="A1235" t="s">
        <v>627</v>
      </c>
      <c r="B1235" t="s">
        <v>36</v>
      </c>
      <c r="C1235" t="s">
        <v>116</v>
      </c>
      <c r="D1235" t="s">
        <v>31</v>
      </c>
      <c r="E1235" t="s">
        <v>74</v>
      </c>
      <c r="F1235" s="1">
        <v>46220</v>
      </c>
      <c r="G1235">
        <v>46265</v>
      </c>
      <c r="H1235" t="s">
        <v>6</v>
      </c>
      <c r="I1235">
        <v>17065.990000000002</v>
      </c>
      <c r="J1235" t="s">
        <v>75</v>
      </c>
      <c r="K1235" t="s">
        <v>628</v>
      </c>
      <c r="L1235">
        <v>45</v>
      </c>
      <c r="M1235" t="s">
        <v>36</v>
      </c>
      <c r="N1235">
        <v>1.1435</v>
      </c>
      <c r="O1235">
        <v>1.3437448588685985</v>
      </c>
      <c r="P1235">
        <v>6.1594398060867217E-3</v>
      </c>
      <c r="Q1235">
        <v>1.1435</v>
      </c>
      <c r="R1235">
        <v>19514.959565000001</v>
      </c>
      <c r="S1235" t="s">
        <v>21</v>
      </c>
      <c r="T1235">
        <v>1.101</v>
      </c>
      <c r="U1235">
        <v>18789.654990000003</v>
      </c>
      <c r="V1235">
        <v>725.30457499999829</v>
      </c>
      <c r="W1235">
        <v>3.8601271571298723E-2</v>
      </c>
    </row>
    <row r="1236" spans="1:23" x14ac:dyDescent="0.25">
      <c r="A1236" t="s">
        <v>625</v>
      </c>
      <c r="B1236" t="s">
        <v>37</v>
      </c>
      <c r="C1236" t="s">
        <v>91</v>
      </c>
      <c r="D1236" t="s">
        <v>31</v>
      </c>
      <c r="E1236" t="s">
        <v>74</v>
      </c>
      <c r="F1236" s="1">
        <v>45892</v>
      </c>
      <c r="G1236">
        <v>45922</v>
      </c>
      <c r="H1236" t="s">
        <v>6</v>
      </c>
      <c r="I1236">
        <v>3306.26</v>
      </c>
      <c r="J1236" t="s">
        <v>75</v>
      </c>
      <c r="K1236" t="s">
        <v>626</v>
      </c>
      <c r="L1236">
        <v>30</v>
      </c>
      <c r="M1236" t="s">
        <v>37</v>
      </c>
      <c r="N1236">
        <v>1.1655</v>
      </c>
      <c r="O1236">
        <v>1.3326091927738395</v>
      </c>
      <c r="P1236">
        <v>6.4289260301174916E-3</v>
      </c>
      <c r="Q1236">
        <v>1.1655</v>
      </c>
      <c r="R1236">
        <v>3853.4460300000001</v>
      </c>
      <c r="S1236" t="s">
        <v>13</v>
      </c>
      <c r="T1236">
        <v>1.0880000000000001</v>
      </c>
      <c r="U1236">
        <v>3597.2108800000005</v>
      </c>
      <c r="V1236">
        <v>256.23514999999952</v>
      </c>
      <c r="W1236">
        <v>7.1231617647058681E-2</v>
      </c>
    </row>
    <row r="1237" spans="1:23" x14ac:dyDescent="0.25">
      <c r="A1237" t="s">
        <v>623</v>
      </c>
      <c r="B1237" t="s">
        <v>34</v>
      </c>
      <c r="C1237" t="s">
        <v>177</v>
      </c>
      <c r="D1237" t="s">
        <v>31</v>
      </c>
      <c r="E1237" t="s">
        <v>74</v>
      </c>
      <c r="F1237" s="1">
        <v>45810</v>
      </c>
      <c r="G1237">
        <v>45870</v>
      </c>
      <c r="H1237" t="s">
        <v>8</v>
      </c>
      <c r="I1237">
        <v>2732.74</v>
      </c>
      <c r="J1237" t="s">
        <v>75</v>
      </c>
      <c r="K1237" t="s">
        <v>624</v>
      </c>
      <c r="L1237">
        <v>60</v>
      </c>
      <c r="M1237" t="s">
        <v>34</v>
      </c>
      <c r="N1237">
        <v>1.1418999999999999</v>
      </c>
      <c r="O1237">
        <v>1.3539245909414275</v>
      </c>
      <c r="P1237">
        <v>7.0063811510614801E-3</v>
      </c>
      <c r="Q1237">
        <v>1.3539245909414275</v>
      </c>
      <c r="R1237">
        <v>3699.923886649276</v>
      </c>
      <c r="S1237" t="s">
        <v>12</v>
      </c>
      <c r="T1237">
        <v>1.26</v>
      </c>
      <c r="U1237">
        <v>3443.2523999999999</v>
      </c>
      <c r="V1237">
        <v>256.67148664927618</v>
      </c>
      <c r="W1237">
        <v>7.4543326143989966E-2</v>
      </c>
    </row>
    <row r="1238" spans="1:23" x14ac:dyDescent="0.25">
      <c r="A1238" t="s">
        <v>621</v>
      </c>
      <c r="B1238" t="s">
        <v>34</v>
      </c>
      <c r="C1238" t="s">
        <v>177</v>
      </c>
      <c r="D1238" t="s">
        <v>31</v>
      </c>
      <c r="E1238" t="s">
        <v>74</v>
      </c>
      <c r="F1238" s="1">
        <v>46324</v>
      </c>
      <c r="G1238">
        <v>46384</v>
      </c>
      <c r="H1238" t="s">
        <v>8</v>
      </c>
      <c r="I1238">
        <v>7943.55</v>
      </c>
      <c r="J1238" t="s">
        <v>84</v>
      </c>
      <c r="K1238" t="s">
        <v>622</v>
      </c>
      <c r="L1238">
        <v>60</v>
      </c>
      <c r="M1238" t="s">
        <v>34</v>
      </c>
      <c r="N1238">
        <v>1.1176999999999999</v>
      </c>
      <c r="O1238">
        <v>1.320456022210408</v>
      </c>
      <c r="P1238">
        <v>6.3200452360757699E-3</v>
      </c>
      <c r="Q1238">
        <v>1.320456022210408</v>
      </c>
      <c r="R1238">
        <v>10489.108435229487</v>
      </c>
      <c r="S1238" t="s">
        <v>23</v>
      </c>
      <c r="T1238">
        <v>1.3149999999999999</v>
      </c>
      <c r="U1238">
        <v>10445.768249999999</v>
      </c>
      <c r="V1238">
        <v>43.34018522948827</v>
      </c>
      <c r="W1238">
        <v>4.1490663197020737E-3</v>
      </c>
    </row>
    <row r="1239" spans="1:23" x14ac:dyDescent="0.25">
      <c r="A1239" t="s">
        <v>619</v>
      </c>
      <c r="B1239" t="s">
        <v>26</v>
      </c>
      <c r="C1239" t="s">
        <v>94</v>
      </c>
      <c r="D1239" t="s">
        <v>31</v>
      </c>
      <c r="E1239" t="s">
        <v>74</v>
      </c>
      <c r="F1239" s="1">
        <v>46151</v>
      </c>
      <c r="G1239">
        <v>46181</v>
      </c>
      <c r="H1239" t="s">
        <v>8</v>
      </c>
      <c r="I1239">
        <v>23468.77</v>
      </c>
      <c r="J1239" t="s">
        <v>75</v>
      </c>
      <c r="K1239" t="s">
        <v>620</v>
      </c>
      <c r="L1239">
        <v>30</v>
      </c>
      <c r="M1239" t="s">
        <v>26</v>
      </c>
      <c r="N1239">
        <v>1.1760999999999999</v>
      </c>
      <c r="O1239">
        <v>1.3610693206804767</v>
      </c>
      <c r="P1239">
        <v>6.3790204480121491E-3</v>
      </c>
      <c r="Q1239">
        <v>1.3610693206804767</v>
      </c>
      <c r="R1239">
        <v>31942.622841106353</v>
      </c>
      <c r="S1239" t="s">
        <v>19</v>
      </c>
      <c r="T1239">
        <v>1.2709999999999999</v>
      </c>
      <c r="U1239">
        <v>29828.806669999998</v>
      </c>
      <c r="V1239">
        <v>2113.8161711063549</v>
      </c>
      <c r="W1239">
        <v>7.086492579109116E-2</v>
      </c>
    </row>
    <row r="1240" spans="1:23" x14ac:dyDescent="0.25">
      <c r="A1240" t="s">
        <v>617</v>
      </c>
      <c r="B1240" t="s">
        <v>37</v>
      </c>
      <c r="C1240" t="s">
        <v>91</v>
      </c>
      <c r="D1240" t="s">
        <v>31</v>
      </c>
      <c r="E1240" t="s">
        <v>74</v>
      </c>
      <c r="F1240" s="1">
        <v>46099</v>
      </c>
      <c r="G1240">
        <v>46129</v>
      </c>
      <c r="H1240" t="s">
        <v>6</v>
      </c>
      <c r="I1240">
        <v>8523.14</v>
      </c>
      <c r="J1240" t="s">
        <v>75</v>
      </c>
      <c r="K1240" t="s">
        <v>618</v>
      </c>
      <c r="L1240">
        <v>30</v>
      </c>
      <c r="M1240" t="s">
        <v>37</v>
      </c>
      <c r="N1240">
        <v>1.1499999999999999</v>
      </c>
      <c r="O1240">
        <v>1.3311263644045235</v>
      </c>
      <c r="P1240">
        <v>6.267371518883862E-3</v>
      </c>
      <c r="Q1240">
        <v>1.1499999999999999</v>
      </c>
      <c r="R1240">
        <v>9801.610999999999</v>
      </c>
      <c r="S1240" t="s">
        <v>16</v>
      </c>
      <c r="T1240">
        <v>1.0649999999999999</v>
      </c>
      <c r="U1240">
        <v>9077.1440999999995</v>
      </c>
      <c r="V1240">
        <v>724.46689999999944</v>
      </c>
      <c r="W1240">
        <v>7.9812206572769898E-2</v>
      </c>
    </row>
    <row r="1241" spans="1:23" x14ac:dyDescent="0.25">
      <c r="A1241" t="s">
        <v>615</v>
      </c>
      <c r="B1241" t="s">
        <v>40</v>
      </c>
      <c r="C1241" t="s">
        <v>78</v>
      </c>
      <c r="D1241" t="s">
        <v>33</v>
      </c>
      <c r="E1241" t="s">
        <v>79</v>
      </c>
      <c r="F1241" s="1">
        <v>45708</v>
      </c>
      <c r="G1241">
        <v>45738</v>
      </c>
      <c r="H1241" t="s">
        <v>9</v>
      </c>
      <c r="I1241">
        <v>1824412.16</v>
      </c>
      <c r="J1241" t="s">
        <v>75</v>
      </c>
      <c r="K1241" t="s">
        <v>616</v>
      </c>
      <c r="L1241">
        <v>30</v>
      </c>
      <c r="M1241" t="s">
        <v>40</v>
      </c>
      <c r="N1241">
        <v>1.0443</v>
      </c>
      <c r="O1241">
        <v>1.2608816391582047</v>
      </c>
      <c r="P1241">
        <v>6.6685823754789276E-3</v>
      </c>
      <c r="Q1241">
        <v>6.6685823754789276E-3</v>
      </c>
      <c r="R1241">
        <v>12166.24277578544</v>
      </c>
      <c r="S1241" t="s">
        <v>11</v>
      </c>
      <c r="T1241">
        <v>6.5599999999999999E-3</v>
      </c>
      <c r="U1241">
        <v>11968.143769599999</v>
      </c>
      <c r="V1241">
        <v>198.09900618544089</v>
      </c>
      <c r="W1241">
        <v>1.6552191383982829E-2</v>
      </c>
    </row>
    <row r="1242" spans="1:23" x14ac:dyDescent="0.25">
      <c r="A1242" t="s">
        <v>613</v>
      </c>
      <c r="B1242" t="s">
        <v>32</v>
      </c>
      <c r="C1242" t="s">
        <v>106</v>
      </c>
      <c r="D1242" t="s">
        <v>31</v>
      </c>
      <c r="E1242" t="s">
        <v>74</v>
      </c>
      <c r="F1242" s="1">
        <v>45850</v>
      </c>
      <c r="G1242">
        <v>45880</v>
      </c>
      <c r="H1242" t="s">
        <v>6</v>
      </c>
      <c r="I1242">
        <v>6614.98</v>
      </c>
      <c r="J1242" t="s">
        <v>75</v>
      </c>
      <c r="K1242" t="s">
        <v>614</v>
      </c>
      <c r="L1242">
        <v>30</v>
      </c>
      <c r="M1242" t="s">
        <v>32</v>
      </c>
      <c r="N1242">
        <v>1.1611</v>
      </c>
      <c r="O1242">
        <v>1.3372106414833584</v>
      </c>
      <c r="P1242">
        <v>6.5450958286358508E-3</v>
      </c>
      <c r="Q1242">
        <v>1.1611</v>
      </c>
      <c r="R1242">
        <v>7680.6532779999998</v>
      </c>
      <c r="S1242" t="s">
        <v>13</v>
      </c>
      <c r="T1242">
        <v>1.0880000000000001</v>
      </c>
      <c r="U1242">
        <v>7197.0982400000003</v>
      </c>
      <c r="V1242">
        <v>483.55503799999951</v>
      </c>
      <c r="W1242">
        <v>6.7187499999999928E-2</v>
      </c>
    </row>
    <row r="1243" spans="1:23" x14ac:dyDescent="0.25">
      <c r="A1243" t="s">
        <v>611</v>
      </c>
      <c r="B1243" t="s">
        <v>38</v>
      </c>
      <c r="C1243" t="s">
        <v>87</v>
      </c>
      <c r="D1243" t="s">
        <v>33</v>
      </c>
      <c r="E1243" t="s">
        <v>88</v>
      </c>
      <c r="F1243" s="1">
        <v>45869</v>
      </c>
      <c r="G1243">
        <v>45899</v>
      </c>
      <c r="H1243" t="s">
        <v>6</v>
      </c>
      <c r="I1243">
        <v>11988.67</v>
      </c>
      <c r="J1243" t="s">
        <v>75</v>
      </c>
      <c r="K1243" t="s">
        <v>612</v>
      </c>
      <c r="L1243">
        <v>30</v>
      </c>
      <c r="M1243" t="s">
        <v>38</v>
      </c>
      <c r="N1243">
        <v>1.1446000000000001</v>
      </c>
      <c r="O1243">
        <v>1.3233899872817667</v>
      </c>
      <c r="P1243">
        <v>6.6732742537313431E-3</v>
      </c>
      <c r="Q1243">
        <v>1.1446000000000001</v>
      </c>
      <c r="R1243">
        <v>13722.231682000001</v>
      </c>
      <c r="S1243" t="s">
        <v>13</v>
      </c>
      <c r="T1243">
        <v>1.0880000000000001</v>
      </c>
      <c r="U1243">
        <v>13043.672960000002</v>
      </c>
      <c r="V1243">
        <v>678.55872199999976</v>
      </c>
      <c r="W1243">
        <v>5.2022058823529387E-2</v>
      </c>
    </row>
    <row r="1244" spans="1:23" x14ac:dyDescent="0.25">
      <c r="A1244" t="s">
        <v>609</v>
      </c>
      <c r="B1244" t="s">
        <v>41</v>
      </c>
      <c r="C1244" t="s">
        <v>172</v>
      </c>
      <c r="D1244" t="s">
        <v>33</v>
      </c>
      <c r="E1244" t="s">
        <v>83</v>
      </c>
      <c r="F1244" s="1">
        <v>46163</v>
      </c>
      <c r="G1244">
        <v>46193</v>
      </c>
      <c r="H1244" t="s">
        <v>9</v>
      </c>
      <c r="I1244">
        <v>968246.57</v>
      </c>
      <c r="J1244" t="s">
        <v>75</v>
      </c>
      <c r="K1244" t="s">
        <v>610</v>
      </c>
      <c r="L1244">
        <v>30</v>
      </c>
      <c r="M1244" t="s">
        <v>41</v>
      </c>
      <c r="N1244">
        <v>1.1598999999999999</v>
      </c>
      <c r="O1244">
        <v>1.3419642960443348</v>
      </c>
      <c r="P1244">
        <v>6.2836556693211983E-3</v>
      </c>
      <c r="Q1244">
        <v>6.2836556693211983E-3</v>
      </c>
      <c r="R1244">
        <v>6084.1280488813045</v>
      </c>
      <c r="S1244" t="s">
        <v>19</v>
      </c>
      <c r="T1244">
        <v>6.6E-3</v>
      </c>
      <c r="U1244">
        <v>6390.4273619999994</v>
      </c>
      <c r="V1244">
        <v>-306.29931311869495</v>
      </c>
      <c r="W1244">
        <v>-4.7930959193757748E-2</v>
      </c>
    </row>
    <row r="1245" spans="1:23" x14ac:dyDescent="0.25">
      <c r="A1245" t="s">
        <v>607</v>
      </c>
      <c r="B1245" t="s">
        <v>43</v>
      </c>
      <c r="C1245" t="s">
        <v>215</v>
      </c>
      <c r="D1245" t="s">
        <v>35</v>
      </c>
      <c r="E1245" t="s">
        <v>152</v>
      </c>
      <c r="F1245" s="1">
        <v>45951</v>
      </c>
      <c r="G1245">
        <v>45981</v>
      </c>
      <c r="H1245" t="s">
        <v>6</v>
      </c>
      <c r="I1245">
        <v>7269.7</v>
      </c>
      <c r="J1245" t="s">
        <v>75</v>
      </c>
      <c r="K1245" t="s">
        <v>608</v>
      </c>
      <c r="L1245">
        <v>30</v>
      </c>
      <c r="M1245" t="s">
        <v>43</v>
      </c>
      <c r="N1245">
        <v>1.1607000000000001</v>
      </c>
      <c r="O1245">
        <v>1.3375201659368519</v>
      </c>
      <c r="P1245">
        <v>6.5780674412014746E-3</v>
      </c>
      <c r="Q1245">
        <v>1.1607000000000001</v>
      </c>
      <c r="R1245">
        <v>8437.9407900000006</v>
      </c>
      <c r="S1245" t="s">
        <v>14</v>
      </c>
      <c r="T1245">
        <v>1.1060000000000001</v>
      </c>
      <c r="U1245">
        <v>8040.2882000000009</v>
      </c>
      <c r="V1245">
        <v>397.65258999999969</v>
      </c>
      <c r="W1245">
        <v>4.9457504520795614E-2</v>
      </c>
    </row>
    <row r="1246" spans="1:23" x14ac:dyDescent="0.25">
      <c r="A1246" t="s">
        <v>605</v>
      </c>
      <c r="B1246" t="s">
        <v>26</v>
      </c>
      <c r="C1246" t="s">
        <v>94</v>
      </c>
      <c r="D1246" t="s">
        <v>31</v>
      </c>
      <c r="E1246" t="s">
        <v>74</v>
      </c>
      <c r="F1246" s="1">
        <v>45796</v>
      </c>
      <c r="G1246">
        <v>45826</v>
      </c>
      <c r="H1246" t="s">
        <v>8</v>
      </c>
      <c r="I1246">
        <v>10140.66</v>
      </c>
      <c r="J1246" t="s">
        <v>75</v>
      </c>
      <c r="K1246" t="s">
        <v>606</v>
      </c>
      <c r="L1246">
        <v>30</v>
      </c>
      <c r="M1246" t="s">
        <v>26</v>
      </c>
      <c r="N1246">
        <v>1.1262000000000001</v>
      </c>
      <c r="O1246">
        <v>1.337688561586887</v>
      </c>
      <c r="P1246">
        <v>6.8981991914737239E-3</v>
      </c>
      <c r="Q1246">
        <v>1.337688561586887</v>
      </c>
      <c r="R1246">
        <v>13565.04488894168</v>
      </c>
      <c r="S1246" t="s">
        <v>12</v>
      </c>
      <c r="T1246">
        <v>1.26</v>
      </c>
      <c r="U1246">
        <v>12777.231599999999</v>
      </c>
      <c r="V1246">
        <v>787.81328894168109</v>
      </c>
      <c r="W1246">
        <v>6.1657588561021402E-2</v>
      </c>
    </row>
    <row r="1247" spans="1:23" x14ac:dyDescent="0.25">
      <c r="A1247" t="s">
        <v>603</v>
      </c>
      <c r="B1247" t="s">
        <v>36</v>
      </c>
      <c r="C1247" t="s">
        <v>116</v>
      </c>
      <c r="D1247" t="s">
        <v>31</v>
      </c>
      <c r="E1247" t="s">
        <v>74</v>
      </c>
      <c r="F1247" s="1">
        <v>45694</v>
      </c>
      <c r="G1247">
        <v>45739</v>
      </c>
      <c r="H1247" t="s">
        <v>6</v>
      </c>
      <c r="I1247">
        <v>31031.439999999999</v>
      </c>
      <c r="J1247" t="s">
        <v>75</v>
      </c>
      <c r="K1247" t="s">
        <v>604</v>
      </c>
      <c r="L1247">
        <v>45</v>
      </c>
      <c r="M1247" t="s">
        <v>36</v>
      </c>
      <c r="N1247">
        <v>1.036</v>
      </c>
      <c r="O1247">
        <v>1.2379313641143295</v>
      </c>
      <c r="P1247">
        <v>6.5590376701487822E-3</v>
      </c>
      <c r="Q1247">
        <v>1.036</v>
      </c>
      <c r="R1247">
        <v>32148.571840000001</v>
      </c>
      <c r="S1247" t="s">
        <v>11</v>
      </c>
      <c r="T1247">
        <v>1.052</v>
      </c>
      <c r="U1247">
        <v>32645.07488</v>
      </c>
      <c r="V1247">
        <v>-496.5030399999996</v>
      </c>
      <c r="W1247">
        <v>-1.5209125475285159E-2</v>
      </c>
    </row>
    <row r="1248" spans="1:23" x14ac:dyDescent="0.25">
      <c r="A1248" t="s">
        <v>601</v>
      </c>
      <c r="B1248" t="s">
        <v>20</v>
      </c>
      <c r="C1248" t="s">
        <v>123</v>
      </c>
      <c r="D1248" t="s">
        <v>31</v>
      </c>
      <c r="E1248" t="s">
        <v>124</v>
      </c>
      <c r="F1248" s="1">
        <v>46318</v>
      </c>
      <c r="G1248">
        <v>46363</v>
      </c>
      <c r="H1248" t="s">
        <v>6</v>
      </c>
      <c r="I1248">
        <v>24189.27</v>
      </c>
      <c r="J1248" t="s">
        <v>84</v>
      </c>
      <c r="K1248" t="s">
        <v>602</v>
      </c>
      <c r="L1248">
        <v>45</v>
      </c>
      <c r="M1248" t="s">
        <v>20</v>
      </c>
      <c r="N1248">
        <v>1.1176999999999999</v>
      </c>
      <c r="O1248">
        <v>1.320456022210408</v>
      </c>
      <c r="P1248">
        <v>6.3200452360757699E-3</v>
      </c>
      <c r="Q1248">
        <v>1.1176999999999999</v>
      </c>
      <c r="R1248">
        <v>27036.347078999999</v>
      </c>
      <c r="S1248" t="s">
        <v>23</v>
      </c>
      <c r="T1248">
        <v>1.119</v>
      </c>
      <c r="U1248">
        <v>27067.793130000002</v>
      </c>
      <c r="V1248">
        <v>-31.446051000002626</v>
      </c>
      <c r="W1248">
        <v>-1.1617515638964329E-3</v>
      </c>
    </row>
    <row r="1249" spans="1:23" x14ac:dyDescent="0.25">
      <c r="A1249" t="s">
        <v>598</v>
      </c>
      <c r="B1249" t="s">
        <v>24</v>
      </c>
      <c r="C1249" t="s">
        <v>73</v>
      </c>
      <c r="D1249" t="s">
        <v>31</v>
      </c>
      <c r="E1249" t="s">
        <v>74</v>
      </c>
      <c r="F1249" s="1">
        <v>46245</v>
      </c>
      <c r="G1249">
        <v>46275</v>
      </c>
      <c r="H1249" t="s">
        <v>6</v>
      </c>
      <c r="I1249">
        <v>21253.33</v>
      </c>
      <c r="J1249" t="s">
        <v>75</v>
      </c>
      <c r="K1249" t="s">
        <v>599</v>
      </c>
      <c r="L1249">
        <v>30</v>
      </c>
      <c r="M1249" t="s">
        <v>24</v>
      </c>
      <c r="N1249">
        <v>1.1539999999999999</v>
      </c>
      <c r="O1249">
        <v>1.3499760186235858</v>
      </c>
      <c r="P1249">
        <v>6.2812976268234264E-3</v>
      </c>
      <c r="Q1249">
        <v>1.1539999999999999</v>
      </c>
      <c r="R1249">
        <v>24526.342820000002</v>
      </c>
      <c r="S1249" t="s">
        <v>21</v>
      </c>
      <c r="T1249">
        <v>1.101</v>
      </c>
      <c r="U1249">
        <v>23399.91633</v>
      </c>
      <c r="V1249">
        <v>1126.4264900000016</v>
      </c>
      <c r="W1249">
        <v>4.8138056312443306E-2</v>
      </c>
    </row>
    <row r="1250" spans="1:23" x14ac:dyDescent="0.25">
      <c r="A1250" t="s">
        <v>598</v>
      </c>
      <c r="B1250" t="s">
        <v>26</v>
      </c>
      <c r="C1250" t="s">
        <v>94</v>
      </c>
      <c r="D1250" t="s">
        <v>31</v>
      </c>
      <c r="E1250" t="s">
        <v>74</v>
      </c>
      <c r="F1250" s="1">
        <v>45769</v>
      </c>
      <c r="G1250">
        <v>45799</v>
      </c>
      <c r="H1250" t="s">
        <v>8</v>
      </c>
      <c r="I1250">
        <v>12125.7</v>
      </c>
      <c r="J1250" t="s">
        <v>75</v>
      </c>
      <c r="K1250" t="s">
        <v>600</v>
      </c>
      <c r="L1250">
        <v>30</v>
      </c>
      <c r="M1250" t="s">
        <v>26</v>
      </c>
      <c r="N1250">
        <v>1.1476</v>
      </c>
      <c r="O1250">
        <v>1.3366255910922686</v>
      </c>
      <c r="P1250">
        <v>7.1257373486494869E-3</v>
      </c>
      <c r="Q1250">
        <v>1.3366255910922686</v>
      </c>
      <c r="R1250">
        <v>16207.520929907523</v>
      </c>
      <c r="S1250" t="s">
        <v>12</v>
      </c>
      <c r="T1250">
        <v>1.26</v>
      </c>
      <c r="U1250">
        <v>15278.382000000001</v>
      </c>
      <c r="V1250">
        <v>929.13892990752174</v>
      </c>
      <c r="W1250">
        <v>6.0813961184340175E-2</v>
      </c>
    </row>
    <row r="1251" spans="1:23" x14ac:dyDescent="0.25">
      <c r="A1251" t="s">
        <v>596</v>
      </c>
      <c r="B1251" t="s">
        <v>30</v>
      </c>
      <c r="C1251" t="s">
        <v>103</v>
      </c>
      <c r="D1251" t="s">
        <v>31</v>
      </c>
      <c r="E1251" t="s">
        <v>74</v>
      </c>
      <c r="F1251" s="1">
        <v>45983</v>
      </c>
      <c r="G1251">
        <v>46013</v>
      </c>
      <c r="H1251" t="s">
        <v>9</v>
      </c>
      <c r="I1251">
        <v>4771842.43</v>
      </c>
      <c r="J1251" t="s">
        <v>75</v>
      </c>
      <c r="K1251" t="s">
        <v>597</v>
      </c>
      <c r="L1251">
        <v>30</v>
      </c>
      <c r="M1251" t="s">
        <v>30</v>
      </c>
      <c r="N1251">
        <v>1.1555</v>
      </c>
      <c r="O1251">
        <v>1.3367963164349013</v>
      </c>
      <c r="P1251">
        <v>6.2983756677204832E-3</v>
      </c>
      <c r="Q1251">
        <v>6.2983756677204832E-3</v>
      </c>
      <c r="R1251">
        <v>30054.856251308182</v>
      </c>
      <c r="S1251" t="s">
        <v>14</v>
      </c>
      <c r="T1251">
        <v>6.9800000000000001E-3</v>
      </c>
      <c r="U1251">
        <v>33307.460161399998</v>
      </c>
      <c r="V1251">
        <v>-3252.6039100918169</v>
      </c>
      <c r="W1251">
        <v>-9.7653915799357713E-2</v>
      </c>
    </row>
    <row r="1252" spans="1:23" x14ac:dyDescent="0.25">
      <c r="A1252" t="s">
        <v>594</v>
      </c>
      <c r="B1252" t="s">
        <v>38</v>
      </c>
      <c r="C1252" t="s">
        <v>87</v>
      </c>
      <c r="D1252" t="s">
        <v>33</v>
      </c>
      <c r="E1252" t="s">
        <v>88</v>
      </c>
      <c r="F1252" s="1">
        <v>45817</v>
      </c>
      <c r="G1252">
        <v>45847</v>
      </c>
      <c r="H1252" t="s">
        <v>6</v>
      </c>
      <c r="I1252">
        <v>6761.92</v>
      </c>
      <c r="J1252" t="s">
        <v>75</v>
      </c>
      <c r="K1252" t="s">
        <v>595</v>
      </c>
      <c r="L1252">
        <v>30</v>
      </c>
      <c r="M1252" t="s">
        <v>38</v>
      </c>
      <c r="N1252">
        <v>1.141</v>
      </c>
      <c r="O1252">
        <v>1.354463437796771</v>
      </c>
      <c r="P1252">
        <v>6.9201843765162542E-3</v>
      </c>
      <c r="Q1252">
        <v>1.141</v>
      </c>
      <c r="R1252">
        <v>7715.3507200000004</v>
      </c>
      <c r="S1252" t="s">
        <v>12</v>
      </c>
      <c r="T1252">
        <v>1.07</v>
      </c>
      <c r="U1252">
        <v>7235.2544000000007</v>
      </c>
      <c r="V1252">
        <v>480.09631999999965</v>
      </c>
      <c r="W1252">
        <v>6.6355140186915837E-2</v>
      </c>
    </row>
    <row r="1253" spans="1:23" x14ac:dyDescent="0.25">
      <c r="A1253" t="s">
        <v>592</v>
      </c>
      <c r="B1253" t="s">
        <v>30</v>
      </c>
      <c r="C1253" t="s">
        <v>103</v>
      </c>
      <c r="D1253" t="s">
        <v>31</v>
      </c>
      <c r="E1253" t="s">
        <v>74</v>
      </c>
      <c r="F1253" s="1">
        <v>45857</v>
      </c>
      <c r="G1253">
        <v>45887</v>
      </c>
      <c r="H1253" t="s">
        <v>9</v>
      </c>
      <c r="I1253">
        <v>669495.13</v>
      </c>
      <c r="J1253" t="s">
        <v>75</v>
      </c>
      <c r="K1253" t="s">
        <v>593</v>
      </c>
      <c r="L1253">
        <v>30</v>
      </c>
      <c r="M1253" t="s">
        <v>30</v>
      </c>
      <c r="N1253">
        <v>1.1655</v>
      </c>
      <c r="O1253">
        <v>1.3410424577148774</v>
      </c>
      <c r="P1253">
        <v>6.6330886119173637E-3</v>
      </c>
      <c r="Q1253">
        <v>6.6330886119173637E-3</v>
      </c>
      <c r="R1253">
        <v>4440.8205225371348</v>
      </c>
      <c r="S1253" t="s">
        <v>13</v>
      </c>
      <c r="T1253">
        <v>6.8399999999999997E-3</v>
      </c>
      <c r="U1253">
        <v>4579.3466891999997</v>
      </c>
      <c r="V1253">
        <v>-138.52616666286485</v>
      </c>
      <c r="W1253">
        <v>-3.0250202936057898E-2</v>
      </c>
    </row>
    <row r="1254" spans="1:23" x14ac:dyDescent="0.25">
      <c r="A1254" t="s">
        <v>590</v>
      </c>
      <c r="B1254" t="s">
        <v>44</v>
      </c>
      <c r="C1254" t="s">
        <v>138</v>
      </c>
      <c r="D1254" t="s">
        <v>33</v>
      </c>
      <c r="E1254" t="s">
        <v>88</v>
      </c>
      <c r="F1254" s="1">
        <v>45749</v>
      </c>
      <c r="G1254">
        <v>45794</v>
      </c>
      <c r="H1254" t="s">
        <v>9</v>
      </c>
      <c r="I1254">
        <v>277381.71999999997</v>
      </c>
      <c r="J1254" t="s">
        <v>75</v>
      </c>
      <c r="K1254" t="s">
        <v>591</v>
      </c>
      <c r="L1254">
        <v>45</v>
      </c>
      <c r="M1254" t="s">
        <v>44</v>
      </c>
      <c r="N1254">
        <v>1.0803</v>
      </c>
      <c r="O1254">
        <v>1.2944700736924091</v>
      </c>
      <c r="P1254">
        <v>6.7007815407517683E-3</v>
      </c>
      <c r="Q1254">
        <v>6.7007815407517683E-3</v>
      </c>
      <c r="R1254">
        <v>1858.6743091179753</v>
      </c>
      <c r="S1254" t="s">
        <v>12</v>
      </c>
      <c r="T1254">
        <v>6.7000000000000002E-3</v>
      </c>
      <c r="U1254">
        <v>1858.4575239999999</v>
      </c>
      <c r="V1254">
        <v>0.21678511797540523</v>
      </c>
      <c r="W1254">
        <v>1.1664787339815749E-4</v>
      </c>
    </row>
    <row r="1255" spans="1:23" x14ac:dyDescent="0.25">
      <c r="A1255" t="s">
        <v>588</v>
      </c>
      <c r="B1255" t="s">
        <v>42</v>
      </c>
      <c r="C1255" t="s">
        <v>151</v>
      </c>
      <c r="D1255" t="s">
        <v>35</v>
      </c>
      <c r="E1255" t="s">
        <v>152</v>
      </c>
      <c r="F1255" s="1">
        <v>46093</v>
      </c>
      <c r="G1255">
        <v>46123</v>
      </c>
      <c r="H1255" t="s">
        <v>8</v>
      </c>
      <c r="I1255">
        <v>3556.08</v>
      </c>
      <c r="J1255" t="s">
        <v>75</v>
      </c>
      <c r="K1255" t="s">
        <v>589</v>
      </c>
      <c r="L1255">
        <v>30</v>
      </c>
      <c r="M1255" t="s">
        <v>42</v>
      </c>
      <c r="N1255">
        <v>1.1547000000000001</v>
      </c>
      <c r="O1255">
        <v>1.338891272335146</v>
      </c>
      <c r="P1255">
        <v>6.2950444311181382E-3</v>
      </c>
      <c r="Q1255">
        <v>1.338891272335146</v>
      </c>
      <c r="R1255">
        <v>4761.2044757255662</v>
      </c>
      <c r="S1255" t="s">
        <v>16</v>
      </c>
      <c r="T1255">
        <v>1.2490000000000001</v>
      </c>
      <c r="U1255">
        <v>4441.5439200000001</v>
      </c>
      <c r="V1255">
        <v>319.66055572556616</v>
      </c>
      <c r="W1255">
        <v>7.1970594343591709E-2</v>
      </c>
    </row>
    <row r="1256" spans="1:23" x14ac:dyDescent="0.25">
      <c r="A1256" t="s">
        <v>586</v>
      </c>
      <c r="B1256" t="s">
        <v>32</v>
      </c>
      <c r="C1256" t="s">
        <v>106</v>
      </c>
      <c r="D1256" t="s">
        <v>31</v>
      </c>
      <c r="E1256" t="s">
        <v>74</v>
      </c>
      <c r="F1256" s="1">
        <v>46167</v>
      </c>
      <c r="G1256">
        <v>46197</v>
      </c>
      <c r="H1256" t="s">
        <v>6</v>
      </c>
      <c r="I1256">
        <v>16031.59</v>
      </c>
      <c r="J1256" t="s">
        <v>75</v>
      </c>
      <c r="K1256" t="s">
        <v>587</v>
      </c>
      <c r="L1256">
        <v>30</v>
      </c>
      <c r="M1256" t="s">
        <v>32</v>
      </c>
      <c r="N1256">
        <v>1.1642999999999999</v>
      </c>
      <c r="O1256">
        <v>1.3498347921859601</v>
      </c>
      <c r="P1256">
        <v>6.2921530479896235E-3</v>
      </c>
      <c r="Q1256">
        <v>1.1642999999999999</v>
      </c>
      <c r="R1256">
        <v>18665.580236999998</v>
      </c>
      <c r="S1256" t="s">
        <v>19</v>
      </c>
      <c r="T1256">
        <v>1.083</v>
      </c>
      <c r="U1256">
        <v>17362.21197</v>
      </c>
      <c r="V1256">
        <v>1303.368266999998</v>
      </c>
      <c r="W1256">
        <v>7.506925207756221E-2</v>
      </c>
    </row>
    <row r="1257" spans="1:23" x14ac:dyDescent="0.25">
      <c r="A1257" t="s">
        <v>584</v>
      </c>
      <c r="B1257" t="s">
        <v>26</v>
      </c>
      <c r="C1257" t="s">
        <v>94</v>
      </c>
      <c r="D1257" t="s">
        <v>31</v>
      </c>
      <c r="E1257" t="s">
        <v>74</v>
      </c>
      <c r="F1257" s="1">
        <v>45888</v>
      </c>
      <c r="G1257">
        <v>45918</v>
      </c>
      <c r="H1257" t="s">
        <v>8</v>
      </c>
      <c r="I1257">
        <v>21002.83</v>
      </c>
      <c r="J1257" t="s">
        <v>75</v>
      </c>
      <c r="K1257" t="s">
        <v>585</v>
      </c>
      <c r="L1257">
        <v>30</v>
      </c>
      <c r="M1257" t="s">
        <v>26</v>
      </c>
      <c r="N1257">
        <v>1.1681999999999999</v>
      </c>
      <c r="O1257">
        <v>1.3520833333333333</v>
      </c>
      <c r="P1257">
        <v>6.7655064574042969E-3</v>
      </c>
      <c r="Q1257">
        <v>1.3520833333333333</v>
      </c>
      <c r="R1257">
        <v>28397.576395833334</v>
      </c>
      <c r="S1257" t="s">
        <v>13</v>
      </c>
      <c r="T1257">
        <v>1.282</v>
      </c>
      <c r="U1257">
        <v>26925.628060000003</v>
      </c>
      <c r="V1257">
        <v>1471.9483358333309</v>
      </c>
      <c r="W1257">
        <v>5.4667186687467402E-2</v>
      </c>
    </row>
    <row r="1258" spans="1:23" x14ac:dyDescent="0.25">
      <c r="A1258" t="s">
        <v>582</v>
      </c>
      <c r="B1258" t="s">
        <v>24</v>
      </c>
      <c r="C1258" t="s">
        <v>73</v>
      </c>
      <c r="D1258" t="s">
        <v>31</v>
      </c>
      <c r="E1258" t="s">
        <v>74</v>
      </c>
      <c r="F1258" s="1">
        <v>45852</v>
      </c>
      <c r="G1258">
        <v>45882</v>
      </c>
      <c r="H1258" t="s">
        <v>6</v>
      </c>
      <c r="I1258">
        <v>46085.52</v>
      </c>
      <c r="J1258" t="s">
        <v>75</v>
      </c>
      <c r="K1258" t="s">
        <v>583</v>
      </c>
      <c r="L1258">
        <v>30</v>
      </c>
      <c r="M1258" t="s">
        <v>24</v>
      </c>
      <c r="N1258">
        <v>1.169</v>
      </c>
      <c r="O1258">
        <v>1.3487942771431869</v>
      </c>
      <c r="P1258">
        <v>6.7858594067452252E-3</v>
      </c>
      <c r="Q1258">
        <v>1.169</v>
      </c>
      <c r="R1258">
        <v>53873.972880000001</v>
      </c>
      <c r="S1258" t="s">
        <v>13</v>
      </c>
      <c r="T1258">
        <v>1.0880000000000001</v>
      </c>
      <c r="U1258">
        <v>50141.045760000001</v>
      </c>
      <c r="V1258">
        <v>3732.9271200000003</v>
      </c>
      <c r="W1258">
        <v>7.4448529411764705E-2</v>
      </c>
    </row>
    <row r="1259" spans="1:23" x14ac:dyDescent="0.25">
      <c r="A1259" t="s">
        <v>580</v>
      </c>
      <c r="B1259" t="s">
        <v>28</v>
      </c>
      <c r="C1259" t="s">
        <v>111</v>
      </c>
      <c r="D1259" t="s">
        <v>31</v>
      </c>
      <c r="E1259" t="s">
        <v>74</v>
      </c>
      <c r="F1259" s="1">
        <v>46325</v>
      </c>
      <c r="G1259">
        <v>46370</v>
      </c>
      <c r="H1259" t="s">
        <v>9</v>
      </c>
      <c r="I1259">
        <v>1828174.94</v>
      </c>
      <c r="J1259" t="s">
        <v>84</v>
      </c>
      <c r="K1259" t="s">
        <v>581</v>
      </c>
      <c r="L1259">
        <v>45</v>
      </c>
      <c r="M1259" t="s">
        <v>28</v>
      </c>
      <c r="N1259">
        <v>1.1176999999999999</v>
      </c>
      <c r="O1259">
        <v>1.320456022210408</v>
      </c>
      <c r="P1259">
        <v>6.3200452360757699E-3</v>
      </c>
      <c r="Q1259">
        <v>6.3200452360757699E-3</v>
      </c>
      <c r="R1259">
        <v>11554.148320260107</v>
      </c>
      <c r="S1259" t="s">
        <v>23</v>
      </c>
      <c r="T1259">
        <v>6.8799999999999998E-3</v>
      </c>
      <c r="U1259">
        <v>12577.843587199999</v>
      </c>
      <c r="V1259">
        <v>-1023.6952669398925</v>
      </c>
      <c r="W1259">
        <v>-8.1388773826196151E-2</v>
      </c>
    </row>
    <row r="1260" spans="1:23" x14ac:dyDescent="0.25">
      <c r="A1260" t="s">
        <v>578</v>
      </c>
      <c r="B1260" t="s">
        <v>20</v>
      </c>
      <c r="C1260" t="s">
        <v>123</v>
      </c>
      <c r="D1260" t="s">
        <v>31</v>
      </c>
      <c r="E1260" t="s">
        <v>124</v>
      </c>
      <c r="F1260" s="1">
        <v>45736</v>
      </c>
      <c r="G1260">
        <v>45781</v>
      </c>
      <c r="H1260" t="s">
        <v>6</v>
      </c>
      <c r="I1260">
        <v>29191.33</v>
      </c>
      <c r="J1260" t="s">
        <v>75</v>
      </c>
      <c r="K1260" t="s">
        <v>579</v>
      </c>
      <c r="L1260">
        <v>45</v>
      </c>
      <c r="M1260" t="s">
        <v>20</v>
      </c>
      <c r="N1260">
        <v>1.0832999999999999</v>
      </c>
      <c r="O1260">
        <v>1.2944198829011828</v>
      </c>
      <c r="P1260">
        <v>6.7348461299347219E-3</v>
      </c>
      <c r="Q1260">
        <v>1.0832999999999999</v>
      </c>
      <c r="R1260">
        <v>31622.967788999998</v>
      </c>
      <c r="S1260" t="s">
        <v>11</v>
      </c>
      <c r="T1260">
        <v>1.052</v>
      </c>
      <c r="U1260">
        <v>30709.279160000002</v>
      </c>
      <c r="V1260">
        <v>913.68862899999658</v>
      </c>
      <c r="W1260">
        <v>2.9752851711026502E-2</v>
      </c>
    </row>
    <row r="1261" spans="1:23" x14ac:dyDescent="0.25">
      <c r="A1261" t="s">
        <v>576</v>
      </c>
      <c r="B1261" t="s">
        <v>37</v>
      </c>
      <c r="C1261" t="s">
        <v>91</v>
      </c>
      <c r="D1261" t="s">
        <v>31</v>
      </c>
      <c r="E1261" t="s">
        <v>74</v>
      </c>
      <c r="F1261" s="1">
        <v>45784</v>
      </c>
      <c r="G1261">
        <v>45814</v>
      </c>
      <c r="H1261" t="s">
        <v>6</v>
      </c>
      <c r="I1261">
        <v>4133.1499999999996</v>
      </c>
      <c r="J1261" t="s">
        <v>75</v>
      </c>
      <c r="K1261" t="s">
        <v>577</v>
      </c>
      <c r="L1261">
        <v>30</v>
      </c>
      <c r="M1261" t="s">
        <v>37</v>
      </c>
      <c r="N1261">
        <v>1.1359999999999999</v>
      </c>
      <c r="O1261">
        <v>1.3347432734108799</v>
      </c>
      <c r="P1261">
        <v>6.9740315550371416E-3</v>
      </c>
      <c r="Q1261">
        <v>1.1359999999999999</v>
      </c>
      <c r="R1261">
        <v>4695.2583999999988</v>
      </c>
      <c r="S1261" t="s">
        <v>12</v>
      </c>
      <c r="T1261">
        <v>1.07</v>
      </c>
      <c r="U1261">
        <v>4422.4704999999994</v>
      </c>
      <c r="V1261">
        <v>272.78789999999935</v>
      </c>
      <c r="W1261">
        <v>6.1682242990654064E-2</v>
      </c>
    </row>
    <row r="1262" spans="1:23" x14ac:dyDescent="0.25">
      <c r="A1262" t="s">
        <v>574</v>
      </c>
      <c r="B1262" t="s">
        <v>43</v>
      </c>
      <c r="C1262" t="s">
        <v>215</v>
      </c>
      <c r="D1262" t="s">
        <v>35</v>
      </c>
      <c r="E1262" t="s">
        <v>152</v>
      </c>
      <c r="F1262" s="1">
        <v>46138</v>
      </c>
      <c r="G1262">
        <v>46168</v>
      </c>
      <c r="H1262" t="s">
        <v>6</v>
      </c>
      <c r="I1262">
        <v>4221.0600000000004</v>
      </c>
      <c r="J1262" t="s">
        <v>75</v>
      </c>
      <c r="K1262" t="s">
        <v>575</v>
      </c>
      <c r="L1262">
        <v>30</v>
      </c>
      <c r="M1262" t="s">
        <v>43</v>
      </c>
      <c r="N1262">
        <v>1.1712</v>
      </c>
      <c r="O1262">
        <v>1.3492621222768799</v>
      </c>
      <c r="P1262">
        <v>6.2728295217181727E-3</v>
      </c>
      <c r="Q1262">
        <v>1.1712</v>
      </c>
      <c r="R1262">
        <v>4943.7054720000006</v>
      </c>
      <c r="S1262" t="s">
        <v>19</v>
      </c>
      <c r="T1262">
        <v>1.083</v>
      </c>
      <c r="U1262">
        <v>4571.40798</v>
      </c>
      <c r="V1262">
        <v>372.2974920000006</v>
      </c>
      <c r="W1262">
        <v>8.1440443213296534E-2</v>
      </c>
    </row>
    <row r="1263" spans="1:23" x14ac:dyDescent="0.25">
      <c r="A1263" t="s">
        <v>572</v>
      </c>
      <c r="B1263" t="s">
        <v>30</v>
      </c>
      <c r="C1263" t="s">
        <v>103</v>
      </c>
      <c r="D1263" t="s">
        <v>31</v>
      </c>
      <c r="E1263" t="s">
        <v>74</v>
      </c>
      <c r="F1263" s="1">
        <v>45795</v>
      </c>
      <c r="G1263">
        <v>45825</v>
      </c>
      <c r="H1263" t="s">
        <v>9</v>
      </c>
      <c r="I1263">
        <v>1027781.15</v>
      </c>
      <c r="J1263" t="s">
        <v>75</v>
      </c>
      <c r="K1263" t="s">
        <v>573</v>
      </c>
      <c r="L1263">
        <v>30</v>
      </c>
      <c r="M1263" t="s">
        <v>30</v>
      </c>
      <c r="N1263">
        <v>1.1756</v>
      </c>
      <c r="O1263">
        <v>1.355158501440922</v>
      </c>
      <c r="P1263">
        <v>6.8261525955173614E-3</v>
      </c>
      <c r="Q1263">
        <v>6.8261525955173614E-3</v>
      </c>
      <c r="R1263">
        <v>7015.790964696319</v>
      </c>
      <c r="S1263" t="s">
        <v>12</v>
      </c>
      <c r="T1263">
        <v>6.7000000000000002E-3</v>
      </c>
      <c r="U1263">
        <v>6886.1337050000002</v>
      </c>
      <c r="V1263">
        <v>129.65725969631876</v>
      </c>
      <c r="W1263">
        <v>1.8828745599606209E-2</v>
      </c>
    </row>
    <row r="1264" spans="1:23" x14ac:dyDescent="0.25">
      <c r="A1264" t="s">
        <v>570</v>
      </c>
      <c r="B1264" t="s">
        <v>38</v>
      </c>
      <c r="C1264" t="s">
        <v>87</v>
      </c>
      <c r="D1264" t="s">
        <v>33</v>
      </c>
      <c r="E1264" t="s">
        <v>88</v>
      </c>
      <c r="F1264" s="1">
        <v>46171</v>
      </c>
      <c r="G1264">
        <v>46201</v>
      </c>
      <c r="H1264" t="s">
        <v>6</v>
      </c>
      <c r="I1264">
        <v>4417.8500000000004</v>
      </c>
      <c r="J1264" t="s">
        <v>75</v>
      </c>
      <c r="K1264" t="s">
        <v>571</v>
      </c>
      <c r="L1264">
        <v>30</v>
      </c>
      <c r="M1264" t="s">
        <v>38</v>
      </c>
      <c r="N1264">
        <v>1.1644000000000001</v>
      </c>
      <c r="O1264">
        <v>1.3426657288147321</v>
      </c>
      <c r="P1264">
        <v>6.2787813426799684E-3</v>
      </c>
      <c r="Q1264">
        <v>1.1644000000000001</v>
      </c>
      <c r="R1264">
        <v>5144.1445400000011</v>
      </c>
      <c r="S1264" t="s">
        <v>19</v>
      </c>
      <c r="T1264">
        <v>1.083</v>
      </c>
      <c r="U1264">
        <v>4784.5315500000006</v>
      </c>
      <c r="V1264">
        <v>359.61299000000054</v>
      </c>
      <c r="W1264">
        <v>7.5161588180978872E-2</v>
      </c>
    </row>
    <row r="1265" spans="1:23" x14ac:dyDescent="0.25">
      <c r="A1265" t="s">
        <v>568</v>
      </c>
      <c r="B1265" t="s">
        <v>44</v>
      </c>
      <c r="C1265" t="s">
        <v>138</v>
      </c>
      <c r="D1265" t="s">
        <v>33</v>
      </c>
      <c r="E1265" t="s">
        <v>88</v>
      </c>
      <c r="F1265" s="1">
        <v>46064</v>
      </c>
      <c r="G1265">
        <v>46109</v>
      </c>
      <c r="H1265" t="s">
        <v>9</v>
      </c>
      <c r="I1265">
        <v>519155.84</v>
      </c>
      <c r="J1265" t="s">
        <v>75</v>
      </c>
      <c r="K1265" t="s">
        <v>569</v>
      </c>
      <c r="L1265">
        <v>45</v>
      </c>
      <c r="M1265" t="s">
        <v>44</v>
      </c>
      <c r="N1265">
        <v>1.19</v>
      </c>
      <c r="O1265">
        <v>1.3679733302678467</v>
      </c>
      <c r="P1265">
        <v>6.5102029651512667E-3</v>
      </c>
      <c r="Q1265">
        <v>6.5102029651512667E-3</v>
      </c>
      <c r="R1265">
        <v>3379.8098889435969</v>
      </c>
      <c r="S1265" t="s">
        <v>16</v>
      </c>
      <c r="T1265">
        <v>6.4599999999999996E-3</v>
      </c>
      <c r="U1265">
        <v>3353.7467264000002</v>
      </c>
      <c r="V1265">
        <v>26.063162543596718</v>
      </c>
      <c r="W1265">
        <v>7.7713568345614461E-3</v>
      </c>
    </row>
    <row r="1266" spans="1:23" x14ac:dyDescent="0.25">
      <c r="A1266" t="s">
        <v>566</v>
      </c>
      <c r="B1266" t="s">
        <v>44</v>
      </c>
      <c r="C1266" t="s">
        <v>138</v>
      </c>
      <c r="D1266" t="s">
        <v>33</v>
      </c>
      <c r="E1266" t="s">
        <v>88</v>
      </c>
      <c r="F1266" s="1">
        <v>45850</v>
      </c>
      <c r="G1266">
        <v>45895</v>
      </c>
      <c r="H1266" t="s">
        <v>9</v>
      </c>
      <c r="I1266">
        <v>128042.27</v>
      </c>
      <c r="J1266" t="s">
        <v>75</v>
      </c>
      <c r="K1266" t="s">
        <v>567</v>
      </c>
      <c r="L1266">
        <v>45</v>
      </c>
      <c r="M1266" t="s">
        <v>44</v>
      </c>
      <c r="N1266">
        <v>1.1611</v>
      </c>
      <c r="O1266">
        <v>1.3372106414833584</v>
      </c>
      <c r="P1266">
        <v>6.5450958286358508E-3</v>
      </c>
      <c r="Q1266">
        <v>6.5450958286358508E-3</v>
      </c>
      <c r="R1266">
        <v>838.04892726606533</v>
      </c>
      <c r="S1266" t="s">
        <v>13</v>
      </c>
      <c r="T1266">
        <v>6.8399999999999997E-3</v>
      </c>
      <c r="U1266">
        <v>875.80912679999994</v>
      </c>
      <c r="V1266">
        <v>-37.76019953393461</v>
      </c>
      <c r="W1266">
        <v>-4.3114644936279069E-2</v>
      </c>
    </row>
    <row r="1267" spans="1:23" x14ac:dyDescent="0.25">
      <c r="A1267" t="s">
        <v>564</v>
      </c>
      <c r="B1267" t="s">
        <v>40</v>
      </c>
      <c r="C1267" t="s">
        <v>78</v>
      </c>
      <c r="D1267" t="s">
        <v>33</v>
      </c>
      <c r="E1267" t="s">
        <v>79</v>
      </c>
      <c r="F1267" s="1">
        <v>45717</v>
      </c>
      <c r="G1267">
        <v>45747</v>
      </c>
      <c r="H1267" t="s">
        <v>9</v>
      </c>
      <c r="I1267">
        <v>2744034.26</v>
      </c>
      <c r="J1267" t="s">
        <v>75</v>
      </c>
      <c r="K1267" t="s">
        <v>565</v>
      </c>
      <c r="L1267">
        <v>30</v>
      </c>
      <c r="M1267" t="s">
        <v>40</v>
      </c>
      <c r="N1267">
        <v>1.0803</v>
      </c>
      <c r="O1267">
        <v>1.2944700736924091</v>
      </c>
      <c r="P1267">
        <v>6.7007815407517683E-3</v>
      </c>
      <c r="Q1267">
        <v>6.7007815407517683E-3</v>
      </c>
      <c r="R1267">
        <v>18387.174116598439</v>
      </c>
      <c r="S1267" t="s">
        <v>11</v>
      </c>
      <c r="T1267">
        <v>6.5599999999999999E-3</v>
      </c>
      <c r="U1267">
        <v>18000.8647456</v>
      </c>
      <c r="V1267">
        <v>386.30937099843868</v>
      </c>
      <c r="W1267">
        <v>2.146060072435494E-2</v>
      </c>
    </row>
    <row r="1268" spans="1:23" x14ac:dyDescent="0.25">
      <c r="A1268" t="s">
        <v>562</v>
      </c>
      <c r="B1268" t="s">
        <v>30</v>
      </c>
      <c r="C1268" t="s">
        <v>103</v>
      </c>
      <c r="D1268" t="s">
        <v>31</v>
      </c>
      <c r="E1268" t="s">
        <v>74</v>
      </c>
      <c r="F1268" s="1">
        <v>45783</v>
      </c>
      <c r="G1268">
        <v>45813</v>
      </c>
      <c r="H1268" t="s">
        <v>9</v>
      </c>
      <c r="I1268">
        <v>635264.03</v>
      </c>
      <c r="J1268" t="s">
        <v>75</v>
      </c>
      <c r="K1268" t="s">
        <v>563</v>
      </c>
      <c r="L1268">
        <v>30</v>
      </c>
      <c r="M1268" t="s">
        <v>30</v>
      </c>
      <c r="N1268">
        <v>1.1325000000000001</v>
      </c>
      <c r="O1268">
        <v>1.3372298972724053</v>
      </c>
      <c r="P1268">
        <v>7.0063103192279149E-3</v>
      </c>
      <c r="Q1268">
        <v>7.0063103192279149E-3</v>
      </c>
      <c r="R1268">
        <v>4450.856928823312</v>
      </c>
      <c r="S1268" t="s">
        <v>12</v>
      </c>
      <c r="T1268">
        <v>6.7000000000000002E-3</v>
      </c>
      <c r="U1268">
        <v>4256.2690010000006</v>
      </c>
      <c r="V1268">
        <v>194.58792782331147</v>
      </c>
      <c r="W1268">
        <v>4.5717958093718578E-2</v>
      </c>
    </row>
    <row r="1269" spans="1:23" x14ac:dyDescent="0.25">
      <c r="A1269" t="s">
        <v>560</v>
      </c>
      <c r="B1269" t="s">
        <v>40</v>
      </c>
      <c r="C1269" t="s">
        <v>78</v>
      </c>
      <c r="D1269" t="s">
        <v>33</v>
      </c>
      <c r="E1269" t="s">
        <v>79</v>
      </c>
      <c r="F1269" s="1">
        <v>45953</v>
      </c>
      <c r="G1269">
        <v>45983</v>
      </c>
      <c r="H1269" t="s">
        <v>9</v>
      </c>
      <c r="I1269">
        <v>1441004.29</v>
      </c>
      <c r="J1269" t="s">
        <v>75</v>
      </c>
      <c r="K1269" t="s">
        <v>561</v>
      </c>
      <c r="L1269">
        <v>30</v>
      </c>
      <c r="M1269" t="s">
        <v>40</v>
      </c>
      <c r="N1269">
        <v>1.1593</v>
      </c>
      <c r="O1269">
        <v>1.3339086411230008</v>
      </c>
      <c r="P1269">
        <v>6.5519385102294561E-3</v>
      </c>
      <c r="Q1269">
        <v>6.5519385102294561E-3</v>
      </c>
      <c r="R1269">
        <v>9441.3715010568558</v>
      </c>
      <c r="S1269" t="s">
        <v>14</v>
      </c>
      <c r="T1269">
        <v>6.9800000000000001E-3</v>
      </c>
      <c r="U1269">
        <v>10058.2099442</v>
      </c>
      <c r="V1269">
        <v>-616.8384431431441</v>
      </c>
      <c r="W1269">
        <v>-6.1326860998645184E-2</v>
      </c>
    </row>
    <row r="1270" spans="1:23" x14ac:dyDescent="0.25">
      <c r="A1270" t="s">
        <v>558</v>
      </c>
      <c r="B1270" t="s">
        <v>24</v>
      </c>
      <c r="C1270" t="s">
        <v>73</v>
      </c>
      <c r="D1270" t="s">
        <v>31</v>
      </c>
      <c r="E1270" t="s">
        <v>74</v>
      </c>
      <c r="F1270" s="1">
        <v>46234</v>
      </c>
      <c r="G1270">
        <v>46264</v>
      </c>
      <c r="H1270" t="s">
        <v>6</v>
      </c>
      <c r="I1270">
        <v>34319.64</v>
      </c>
      <c r="J1270" t="s">
        <v>75</v>
      </c>
      <c r="K1270" t="s">
        <v>559</v>
      </c>
      <c r="L1270">
        <v>30</v>
      </c>
      <c r="M1270" t="s">
        <v>24</v>
      </c>
      <c r="N1270">
        <v>1.1485000000000001</v>
      </c>
      <c r="O1270">
        <v>1.3421289425402874</v>
      </c>
      <c r="P1270">
        <v>6.2408302994077054E-3</v>
      </c>
      <c r="Q1270">
        <v>1.1485000000000001</v>
      </c>
      <c r="R1270">
        <v>39416.106540000001</v>
      </c>
      <c r="S1270" t="s">
        <v>21</v>
      </c>
      <c r="T1270">
        <v>1.101</v>
      </c>
      <c r="U1270">
        <v>37785.923640000001</v>
      </c>
      <c r="V1270">
        <v>1630.1828999999998</v>
      </c>
      <c r="W1270">
        <v>4.3142597638510437E-2</v>
      </c>
    </row>
    <row r="1271" spans="1:23" x14ac:dyDescent="0.25">
      <c r="A1271" t="s">
        <v>556</v>
      </c>
      <c r="B1271" t="s">
        <v>28</v>
      </c>
      <c r="C1271" t="s">
        <v>111</v>
      </c>
      <c r="D1271" t="s">
        <v>31</v>
      </c>
      <c r="E1271" t="s">
        <v>74</v>
      </c>
      <c r="F1271" s="1">
        <v>45830</v>
      </c>
      <c r="G1271">
        <v>45875</v>
      </c>
      <c r="H1271" t="s">
        <v>9</v>
      </c>
      <c r="I1271">
        <v>667468.22</v>
      </c>
      <c r="J1271" t="s">
        <v>75</v>
      </c>
      <c r="K1271" t="s">
        <v>557</v>
      </c>
      <c r="L1271">
        <v>45</v>
      </c>
      <c r="M1271" t="s">
        <v>28</v>
      </c>
      <c r="N1271">
        <v>1.1685000000000001</v>
      </c>
      <c r="O1271">
        <v>1.3513357233722678</v>
      </c>
      <c r="P1271">
        <v>6.7590236001850998E-3</v>
      </c>
      <c r="Q1271">
        <v>6.7590236001850998E-3</v>
      </c>
      <c r="R1271">
        <v>4511.4334513535405</v>
      </c>
      <c r="S1271" t="s">
        <v>12</v>
      </c>
      <c r="T1271">
        <v>6.7000000000000002E-3</v>
      </c>
      <c r="U1271">
        <v>4472.0370739999998</v>
      </c>
      <c r="V1271">
        <v>39.396377353540629</v>
      </c>
      <c r="W1271">
        <v>8.809492564940357E-3</v>
      </c>
    </row>
    <row r="1272" spans="1:23" x14ac:dyDescent="0.25">
      <c r="A1272" t="s">
        <v>554</v>
      </c>
      <c r="B1272" t="s">
        <v>43</v>
      </c>
      <c r="C1272" t="s">
        <v>215</v>
      </c>
      <c r="D1272" t="s">
        <v>35</v>
      </c>
      <c r="E1272" t="s">
        <v>152</v>
      </c>
      <c r="F1272" s="1">
        <v>46387</v>
      </c>
      <c r="G1272">
        <v>46417</v>
      </c>
      <c r="H1272" t="s">
        <v>6</v>
      </c>
      <c r="I1272">
        <v>6825.07</v>
      </c>
      <c r="J1272" t="s">
        <v>84</v>
      </c>
      <c r="K1272" t="s">
        <v>555</v>
      </c>
      <c r="L1272">
        <v>30</v>
      </c>
      <c r="M1272" t="s">
        <v>43</v>
      </c>
      <c r="N1272">
        <v>1.1176999999999999</v>
      </c>
      <c r="O1272">
        <v>1.320456022210408</v>
      </c>
      <c r="P1272">
        <v>6.3200452360757699E-3</v>
      </c>
      <c r="Q1272">
        <v>1.1176999999999999</v>
      </c>
      <c r="R1272">
        <v>7628.3807389999993</v>
      </c>
      <c r="S1272" t="s">
        <v>23</v>
      </c>
      <c r="T1272">
        <v>1.119</v>
      </c>
      <c r="U1272">
        <v>7637.2533299999996</v>
      </c>
      <c r="V1272">
        <v>-8.8725910000002841</v>
      </c>
      <c r="W1272">
        <v>-1.1617515638963733E-3</v>
      </c>
    </row>
    <row r="1273" spans="1:23" x14ac:dyDescent="0.25">
      <c r="A1273" t="s">
        <v>552</v>
      </c>
      <c r="B1273" t="s">
        <v>28</v>
      </c>
      <c r="C1273" t="s">
        <v>111</v>
      </c>
      <c r="D1273" t="s">
        <v>31</v>
      </c>
      <c r="E1273" t="s">
        <v>74</v>
      </c>
      <c r="F1273" s="1">
        <v>45937</v>
      </c>
      <c r="G1273">
        <v>45982</v>
      </c>
      <c r="H1273" t="s">
        <v>9</v>
      </c>
      <c r="I1273">
        <v>3427851.17</v>
      </c>
      <c r="J1273" t="s">
        <v>75</v>
      </c>
      <c r="K1273" t="s">
        <v>553</v>
      </c>
      <c r="L1273">
        <v>45</v>
      </c>
      <c r="M1273" t="s">
        <v>28</v>
      </c>
      <c r="N1273">
        <v>1.1666000000000001</v>
      </c>
      <c r="O1273">
        <v>1.3404573135700335</v>
      </c>
      <c r="P1273">
        <v>6.6265265549559785E-3</v>
      </c>
      <c r="Q1273">
        <v>6.6265265549559785E-3</v>
      </c>
      <c r="R1273">
        <v>22714.746804441918</v>
      </c>
      <c r="S1273" t="s">
        <v>14</v>
      </c>
      <c r="T1273">
        <v>6.9800000000000001E-3</v>
      </c>
      <c r="U1273">
        <v>23926.401166600001</v>
      </c>
      <c r="V1273">
        <v>-1211.6543621580822</v>
      </c>
      <c r="W1273">
        <v>-5.0640894705447304E-2</v>
      </c>
    </row>
    <row r="1274" spans="1:23" x14ac:dyDescent="0.25">
      <c r="A1274" t="s">
        <v>550</v>
      </c>
      <c r="B1274" t="s">
        <v>37</v>
      </c>
      <c r="C1274" t="s">
        <v>91</v>
      </c>
      <c r="D1274" t="s">
        <v>31</v>
      </c>
      <c r="E1274" t="s">
        <v>74</v>
      </c>
      <c r="F1274" s="1">
        <v>45832</v>
      </c>
      <c r="G1274">
        <v>45862</v>
      </c>
      <c r="H1274" t="s">
        <v>6</v>
      </c>
      <c r="I1274">
        <v>5280.72</v>
      </c>
      <c r="J1274" t="s">
        <v>75</v>
      </c>
      <c r="K1274" t="s">
        <v>551</v>
      </c>
      <c r="L1274">
        <v>30</v>
      </c>
      <c r="M1274" t="s">
        <v>37</v>
      </c>
      <c r="N1274">
        <v>1.1607000000000001</v>
      </c>
      <c r="O1274">
        <v>1.3612055822680897</v>
      </c>
      <c r="P1274">
        <v>6.8978427527188451E-3</v>
      </c>
      <c r="Q1274">
        <v>1.1607000000000001</v>
      </c>
      <c r="R1274">
        <v>6129.3317040000011</v>
      </c>
      <c r="S1274" t="s">
        <v>12</v>
      </c>
      <c r="T1274">
        <v>1.07</v>
      </c>
      <c r="U1274">
        <v>5650.3704000000007</v>
      </c>
      <c r="V1274">
        <v>478.96130400000038</v>
      </c>
      <c r="W1274">
        <v>8.4766355140186975E-2</v>
      </c>
    </row>
    <row r="1275" spans="1:23" x14ac:dyDescent="0.25">
      <c r="A1275" t="s">
        <v>548</v>
      </c>
      <c r="B1275" t="s">
        <v>22</v>
      </c>
      <c r="C1275" t="s">
        <v>127</v>
      </c>
      <c r="D1275" t="s">
        <v>31</v>
      </c>
      <c r="E1275" t="s">
        <v>124</v>
      </c>
      <c r="F1275" s="1">
        <v>46175</v>
      </c>
      <c r="G1275">
        <v>46235</v>
      </c>
      <c r="H1275" t="s">
        <v>9</v>
      </c>
      <c r="I1275">
        <v>9766897.0099999998</v>
      </c>
      <c r="J1275" t="s">
        <v>75</v>
      </c>
      <c r="K1275" t="s">
        <v>549</v>
      </c>
      <c r="L1275">
        <v>60</v>
      </c>
      <c r="M1275" t="s">
        <v>22</v>
      </c>
      <c r="N1275">
        <v>1.1649</v>
      </c>
      <c r="O1275">
        <v>1.3472503325044816</v>
      </c>
      <c r="P1275">
        <v>6.2598742543930356E-3</v>
      </c>
      <c r="Q1275">
        <v>6.2598742543930356E-3</v>
      </c>
      <c r="R1275">
        <v>61139.547138207316</v>
      </c>
      <c r="S1275" t="s">
        <v>19</v>
      </c>
      <c r="T1275">
        <v>6.6E-3</v>
      </c>
      <c r="U1275">
        <v>64461.520266</v>
      </c>
      <c r="V1275">
        <v>-3321.973127792684</v>
      </c>
      <c r="W1275">
        <v>-5.1534203879843136E-2</v>
      </c>
    </row>
    <row r="1276" spans="1:23" x14ac:dyDescent="0.25">
      <c r="A1276" t="s">
        <v>546</v>
      </c>
      <c r="B1276" t="s">
        <v>22</v>
      </c>
      <c r="C1276" t="s">
        <v>127</v>
      </c>
      <c r="D1276" t="s">
        <v>31</v>
      </c>
      <c r="E1276" t="s">
        <v>124</v>
      </c>
      <c r="F1276" s="1">
        <v>45787</v>
      </c>
      <c r="G1276">
        <v>45847</v>
      </c>
      <c r="H1276" t="s">
        <v>9</v>
      </c>
      <c r="I1276">
        <v>16507999.01</v>
      </c>
      <c r="J1276" t="s">
        <v>75</v>
      </c>
      <c r="K1276" t="s">
        <v>547</v>
      </c>
      <c r="L1276">
        <v>60</v>
      </c>
      <c r="M1276" t="s">
        <v>22</v>
      </c>
      <c r="N1276">
        <v>1.169</v>
      </c>
      <c r="O1276">
        <v>1.3487942771431869</v>
      </c>
      <c r="P1276">
        <v>6.7858594067452252E-3</v>
      </c>
      <c r="Q1276">
        <v>6.7858594067452252E-3</v>
      </c>
      <c r="R1276">
        <v>112020.96036854936</v>
      </c>
      <c r="S1276" t="s">
        <v>12</v>
      </c>
      <c r="T1276">
        <v>6.7000000000000002E-3</v>
      </c>
      <c r="U1276">
        <v>110603.59336700001</v>
      </c>
      <c r="V1276">
        <v>1417.3670015493553</v>
      </c>
      <c r="W1276">
        <v>1.2814836827645464E-2</v>
      </c>
    </row>
    <row r="1277" spans="1:23" x14ac:dyDescent="0.25">
      <c r="A1277" t="s">
        <v>544</v>
      </c>
      <c r="B1277" t="s">
        <v>37</v>
      </c>
      <c r="C1277" t="s">
        <v>91</v>
      </c>
      <c r="D1277" t="s">
        <v>31</v>
      </c>
      <c r="E1277" t="s">
        <v>74</v>
      </c>
      <c r="F1277" s="1">
        <v>46000</v>
      </c>
      <c r="G1277">
        <v>46030</v>
      </c>
      <c r="H1277" t="s">
        <v>6</v>
      </c>
      <c r="I1277">
        <v>12654.34</v>
      </c>
      <c r="J1277" t="s">
        <v>75</v>
      </c>
      <c r="K1277" t="s">
        <v>545</v>
      </c>
      <c r="L1277">
        <v>30</v>
      </c>
      <c r="M1277" t="s">
        <v>37</v>
      </c>
      <c r="N1277">
        <v>1.1637</v>
      </c>
      <c r="O1277">
        <v>1.3322266742987978</v>
      </c>
      <c r="P1277">
        <v>6.3953616179380076E-3</v>
      </c>
      <c r="Q1277">
        <v>1.1637</v>
      </c>
      <c r="R1277">
        <v>14725.855458</v>
      </c>
      <c r="S1277" t="s">
        <v>14</v>
      </c>
      <c r="T1277">
        <v>1.1060000000000001</v>
      </c>
      <c r="U1277">
        <v>13995.700040000002</v>
      </c>
      <c r="V1277">
        <v>730.15541799999846</v>
      </c>
      <c r="W1277">
        <v>5.2169981916817244E-2</v>
      </c>
    </row>
    <row r="1278" spans="1:23" x14ac:dyDescent="0.25">
      <c r="A1278" t="s">
        <v>542</v>
      </c>
      <c r="B1278" t="s">
        <v>28</v>
      </c>
      <c r="C1278" t="s">
        <v>111</v>
      </c>
      <c r="D1278" t="s">
        <v>31</v>
      </c>
      <c r="E1278" t="s">
        <v>74</v>
      </c>
      <c r="F1278" s="1">
        <v>45729</v>
      </c>
      <c r="G1278">
        <v>45774</v>
      </c>
      <c r="H1278" t="s">
        <v>9</v>
      </c>
      <c r="I1278">
        <v>5176259.58</v>
      </c>
      <c r="J1278" t="s">
        <v>75</v>
      </c>
      <c r="K1278" t="s">
        <v>543</v>
      </c>
      <c r="L1278">
        <v>45</v>
      </c>
      <c r="M1278" t="s">
        <v>28</v>
      </c>
      <c r="N1278">
        <v>1.083</v>
      </c>
      <c r="O1278">
        <v>1.2927021413736304</v>
      </c>
      <c r="P1278">
        <v>6.741782868525897E-3</v>
      </c>
      <c r="Q1278">
        <v>6.741782868525897E-3</v>
      </c>
      <c r="R1278">
        <v>34897.218159487056</v>
      </c>
      <c r="S1278" t="s">
        <v>11</v>
      </c>
      <c r="T1278">
        <v>6.5599999999999999E-3</v>
      </c>
      <c r="U1278">
        <v>33956.262844800003</v>
      </c>
      <c r="V1278">
        <v>940.95531468705303</v>
      </c>
      <c r="W1278">
        <v>2.7710803128947657E-2</v>
      </c>
    </row>
    <row r="1279" spans="1:23" x14ac:dyDescent="0.25">
      <c r="A1279" t="s">
        <v>540</v>
      </c>
      <c r="B1279" t="s">
        <v>25</v>
      </c>
      <c r="C1279" t="s">
        <v>169</v>
      </c>
      <c r="D1279" t="s">
        <v>31</v>
      </c>
      <c r="E1279" t="s">
        <v>124</v>
      </c>
      <c r="F1279" s="1">
        <v>45901</v>
      </c>
      <c r="G1279">
        <v>45961</v>
      </c>
      <c r="H1279" t="s">
        <v>6</v>
      </c>
      <c r="I1279">
        <v>17057.650000000001</v>
      </c>
      <c r="J1279" t="s">
        <v>75</v>
      </c>
      <c r="K1279" t="s">
        <v>541</v>
      </c>
      <c r="L1279">
        <v>60</v>
      </c>
      <c r="M1279" t="s">
        <v>25</v>
      </c>
      <c r="N1279">
        <v>1.1715</v>
      </c>
      <c r="O1279">
        <v>1.3524590163934427</v>
      </c>
      <c r="P1279">
        <v>6.7924856496782045E-3</v>
      </c>
      <c r="Q1279">
        <v>1.1715</v>
      </c>
      <c r="R1279">
        <v>19983.036975000003</v>
      </c>
      <c r="S1279" t="s">
        <v>13</v>
      </c>
      <c r="T1279">
        <v>1.0880000000000001</v>
      </c>
      <c r="U1279">
        <v>18558.723200000004</v>
      </c>
      <c r="V1279">
        <v>1424.3137749999987</v>
      </c>
      <c r="W1279">
        <v>7.6746323529411672E-2</v>
      </c>
    </row>
    <row r="1280" spans="1:23" x14ac:dyDescent="0.25">
      <c r="A1280" t="s">
        <v>538</v>
      </c>
      <c r="B1280" t="s">
        <v>26</v>
      </c>
      <c r="C1280" t="s">
        <v>94</v>
      </c>
      <c r="D1280" t="s">
        <v>31</v>
      </c>
      <c r="E1280" t="s">
        <v>74</v>
      </c>
      <c r="F1280" s="1">
        <v>46035</v>
      </c>
      <c r="G1280">
        <v>46065</v>
      </c>
      <c r="H1280" t="s">
        <v>8</v>
      </c>
      <c r="I1280">
        <v>8690.43</v>
      </c>
      <c r="J1280" t="s">
        <v>75</v>
      </c>
      <c r="K1280" t="s">
        <v>539</v>
      </c>
      <c r="L1280">
        <v>30</v>
      </c>
      <c r="M1280" t="s">
        <v>26</v>
      </c>
      <c r="N1280">
        <v>1.1654</v>
      </c>
      <c r="O1280">
        <v>1.3457274826789838</v>
      </c>
      <c r="P1280">
        <v>6.2953759723422646E-3</v>
      </c>
      <c r="Q1280">
        <v>1.3457274826789838</v>
      </c>
      <c r="R1280">
        <v>11694.950487297921</v>
      </c>
      <c r="S1280" t="s">
        <v>16</v>
      </c>
      <c r="T1280">
        <v>1.2490000000000001</v>
      </c>
      <c r="U1280">
        <v>10854.347070000002</v>
      </c>
      <c r="V1280">
        <v>840.6034172979198</v>
      </c>
      <c r="W1280">
        <v>7.7443941296223881E-2</v>
      </c>
    </row>
    <row r="1281" spans="1:23" x14ac:dyDescent="0.25">
      <c r="A1281" t="s">
        <v>536</v>
      </c>
      <c r="B1281" t="s">
        <v>25</v>
      </c>
      <c r="C1281" t="s">
        <v>169</v>
      </c>
      <c r="D1281" t="s">
        <v>31</v>
      </c>
      <c r="E1281" t="s">
        <v>124</v>
      </c>
      <c r="F1281" s="1">
        <v>45898</v>
      </c>
      <c r="G1281">
        <v>45958</v>
      </c>
      <c r="H1281" t="s">
        <v>6</v>
      </c>
      <c r="I1281">
        <v>37139.82</v>
      </c>
      <c r="J1281" t="s">
        <v>75</v>
      </c>
      <c r="K1281" t="s">
        <v>537</v>
      </c>
      <c r="L1281">
        <v>60</v>
      </c>
      <c r="M1281" t="s">
        <v>25</v>
      </c>
      <c r="N1281">
        <v>1.1657999999999999</v>
      </c>
      <c r="O1281">
        <v>1.3449469312413473</v>
      </c>
      <c r="P1281">
        <v>6.7889587700908456E-3</v>
      </c>
      <c r="Q1281">
        <v>1.1657999999999999</v>
      </c>
      <c r="R1281">
        <v>43297.602156000001</v>
      </c>
      <c r="S1281" t="s">
        <v>13</v>
      </c>
      <c r="T1281">
        <v>1.0880000000000001</v>
      </c>
      <c r="U1281">
        <v>40408.124159999999</v>
      </c>
      <c r="V1281">
        <v>2889.4779960000014</v>
      </c>
      <c r="W1281">
        <v>7.1507352941176508E-2</v>
      </c>
    </row>
    <row r="1282" spans="1:23" x14ac:dyDescent="0.25">
      <c r="A1282" t="s">
        <v>534</v>
      </c>
      <c r="B1282" t="s">
        <v>38</v>
      </c>
      <c r="C1282" t="s">
        <v>87</v>
      </c>
      <c r="D1282" t="s">
        <v>33</v>
      </c>
      <c r="E1282" t="s">
        <v>88</v>
      </c>
      <c r="F1282" s="1">
        <v>46133</v>
      </c>
      <c r="G1282">
        <v>46163</v>
      </c>
      <c r="H1282" t="s">
        <v>6</v>
      </c>
      <c r="I1282">
        <v>4077.56</v>
      </c>
      <c r="J1282" t="s">
        <v>75</v>
      </c>
      <c r="K1282" t="s">
        <v>535</v>
      </c>
      <c r="L1282">
        <v>30</v>
      </c>
      <c r="M1282" t="s">
        <v>38</v>
      </c>
      <c r="N1282">
        <v>1.1767000000000001</v>
      </c>
      <c r="O1282">
        <v>1.351984833687597</v>
      </c>
      <c r="P1282">
        <v>6.2878059207010801E-3</v>
      </c>
      <c r="Q1282">
        <v>1.1767000000000001</v>
      </c>
      <c r="R1282">
        <v>4798.0648520000004</v>
      </c>
      <c r="S1282" t="s">
        <v>19</v>
      </c>
      <c r="T1282">
        <v>1.083</v>
      </c>
      <c r="U1282">
        <v>4415.99748</v>
      </c>
      <c r="V1282">
        <v>382.06737200000043</v>
      </c>
      <c r="W1282">
        <v>8.651892890120047E-2</v>
      </c>
    </row>
    <row r="1283" spans="1:23" x14ac:dyDescent="0.25">
      <c r="A1283" t="s">
        <v>532</v>
      </c>
      <c r="B1283" t="s">
        <v>20</v>
      </c>
      <c r="C1283" t="s">
        <v>123</v>
      </c>
      <c r="D1283" t="s">
        <v>31</v>
      </c>
      <c r="E1283" t="s">
        <v>124</v>
      </c>
      <c r="F1283" s="1">
        <v>45858</v>
      </c>
      <c r="G1283">
        <v>45903</v>
      </c>
      <c r="H1283" t="s">
        <v>6</v>
      </c>
      <c r="I1283">
        <v>74522.149999999994</v>
      </c>
      <c r="J1283" t="s">
        <v>75</v>
      </c>
      <c r="K1283" t="s">
        <v>533</v>
      </c>
      <c r="L1283">
        <v>45</v>
      </c>
      <c r="M1283" t="s">
        <v>20</v>
      </c>
      <c r="N1283">
        <v>1.1607000000000001</v>
      </c>
      <c r="O1283">
        <v>1.3375201659368519</v>
      </c>
      <c r="P1283">
        <v>6.5780674412014746E-3</v>
      </c>
      <c r="Q1283">
        <v>1.1607000000000001</v>
      </c>
      <c r="R1283">
        <v>86497.859505</v>
      </c>
      <c r="S1283" t="s">
        <v>13</v>
      </c>
      <c r="T1283">
        <v>1.0880000000000001</v>
      </c>
      <c r="U1283">
        <v>81080.099199999997</v>
      </c>
      <c r="V1283">
        <v>5417.7603050000034</v>
      </c>
      <c r="W1283">
        <v>6.6819852941176511E-2</v>
      </c>
    </row>
    <row r="1284" spans="1:23" x14ac:dyDescent="0.25">
      <c r="A1284" t="s">
        <v>530</v>
      </c>
      <c r="B1284" t="s">
        <v>36</v>
      </c>
      <c r="C1284" t="s">
        <v>116</v>
      </c>
      <c r="D1284" t="s">
        <v>31</v>
      </c>
      <c r="E1284" t="s">
        <v>74</v>
      </c>
      <c r="F1284" s="1">
        <v>46093</v>
      </c>
      <c r="G1284">
        <v>46138</v>
      </c>
      <c r="H1284" t="s">
        <v>6</v>
      </c>
      <c r="I1284">
        <v>16012.43</v>
      </c>
      <c r="J1284" t="s">
        <v>75</v>
      </c>
      <c r="K1284" t="s">
        <v>531</v>
      </c>
      <c r="L1284">
        <v>45</v>
      </c>
      <c r="M1284" t="s">
        <v>36</v>
      </c>
      <c r="N1284">
        <v>1.1547000000000001</v>
      </c>
      <c r="O1284">
        <v>1.338891272335146</v>
      </c>
      <c r="P1284">
        <v>6.2950444311181382E-3</v>
      </c>
      <c r="Q1284">
        <v>1.1547000000000001</v>
      </c>
      <c r="R1284">
        <v>18489.552921000002</v>
      </c>
      <c r="S1284" t="s">
        <v>16</v>
      </c>
      <c r="T1284">
        <v>1.0649999999999999</v>
      </c>
      <c r="U1284">
        <v>17053.237949999999</v>
      </c>
      <c r="V1284">
        <v>1436.3149710000034</v>
      </c>
      <c r="W1284">
        <v>8.4225352112676261E-2</v>
      </c>
    </row>
    <row r="1285" spans="1:23" x14ac:dyDescent="0.25">
      <c r="A1285" t="s">
        <v>528</v>
      </c>
      <c r="B1285" t="s">
        <v>24</v>
      </c>
      <c r="C1285" t="s">
        <v>73</v>
      </c>
      <c r="D1285" t="s">
        <v>31</v>
      </c>
      <c r="E1285" t="s">
        <v>74</v>
      </c>
      <c r="F1285" s="1">
        <v>46023</v>
      </c>
      <c r="G1285">
        <v>46053</v>
      </c>
      <c r="H1285" t="s">
        <v>6</v>
      </c>
      <c r="I1285">
        <v>41558.6</v>
      </c>
      <c r="J1285" t="s">
        <v>75</v>
      </c>
      <c r="K1285" t="s">
        <v>529</v>
      </c>
      <c r="L1285">
        <v>30</v>
      </c>
      <c r="M1285" t="s">
        <v>24</v>
      </c>
      <c r="N1285">
        <v>1.1555</v>
      </c>
      <c r="O1285">
        <v>1.3367963164349013</v>
      </c>
      <c r="P1285">
        <v>6.2983756677204832E-3</v>
      </c>
      <c r="Q1285">
        <v>1.1555</v>
      </c>
      <c r="R1285">
        <v>48020.962299999999</v>
      </c>
      <c r="S1285" t="s">
        <v>16</v>
      </c>
      <c r="T1285">
        <v>1.0649999999999999</v>
      </c>
      <c r="U1285">
        <v>44259.909</v>
      </c>
      <c r="V1285">
        <v>3761.0532999999996</v>
      </c>
      <c r="W1285">
        <v>8.4976525821596233E-2</v>
      </c>
    </row>
    <row r="1286" spans="1:23" x14ac:dyDescent="0.25">
      <c r="A1286" t="s">
        <v>526</v>
      </c>
      <c r="B1286" t="s">
        <v>44</v>
      </c>
      <c r="C1286" t="s">
        <v>138</v>
      </c>
      <c r="D1286" t="s">
        <v>33</v>
      </c>
      <c r="E1286" t="s">
        <v>88</v>
      </c>
      <c r="F1286" s="1">
        <v>46159</v>
      </c>
      <c r="G1286">
        <v>46204</v>
      </c>
      <c r="H1286" t="s">
        <v>9</v>
      </c>
      <c r="I1286">
        <v>491914.96</v>
      </c>
      <c r="J1286" t="s">
        <v>75</v>
      </c>
      <c r="K1286" t="s">
        <v>527</v>
      </c>
      <c r="L1286">
        <v>45</v>
      </c>
      <c r="M1286" t="s">
        <v>44</v>
      </c>
      <c r="N1286">
        <v>1.1628000000000001</v>
      </c>
      <c r="O1286">
        <v>1.3357840321654222</v>
      </c>
      <c r="P1286">
        <v>6.3072249945758298E-3</v>
      </c>
      <c r="Q1286">
        <v>6.3072249945758298E-3</v>
      </c>
      <c r="R1286">
        <v>3102.6183309177695</v>
      </c>
      <c r="S1286" t="s">
        <v>19</v>
      </c>
      <c r="T1286">
        <v>6.6E-3</v>
      </c>
      <c r="U1286">
        <v>3246.6387360000003</v>
      </c>
      <c r="V1286">
        <v>-144.02040508223081</v>
      </c>
      <c r="W1286">
        <v>-4.4359849306692553E-2</v>
      </c>
    </row>
    <row r="1287" spans="1:23" x14ac:dyDescent="0.25">
      <c r="A1287" t="s">
        <v>524</v>
      </c>
      <c r="B1287" t="s">
        <v>30</v>
      </c>
      <c r="C1287" t="s">
        <v>103</v>
      </c>
      <c r="D1287" t="s">
        <v>31</v>
      </c>
      <c r="E1287" t="s">
        <v>74</v>
      </c>
      <c r="F1287" s="1">
        <v>45780</v>
      </c>
      <c r="G1287">
        <v>45810</v>
      </c>
      <c r="H1287" t="s">
        <v>9</v>
      </c>
      <c r="I1287">
        <v>786020.85</v>
      </c>
      <c r="J1287" t="s">
        <v>75</v>
      </c>
      <c r="K1287" t="s">
        <v>525</v>
      </c>
      <c r="L1287">
        <v>30</v>
      </c>
      <c r="M1287" t="s">
        <v>30</v>
      </c>
      <c r="N1287">
        <v>1.1781999999999999</v>
      </c>
      <c r="O1287">
        <v>1.3653957584888168</v>
      </c>
      <c r="P1287">
        <v>6.9477532727916019E-3</v>
      </c>
      <c r="Q1287">
        <v>6.9477532727916019E-3</v>
      </c>
      <c r="R1287">
        <v>5461.0789330699363</v>
      </c>
      <c r="S1287" t="s">
        <v>12</v>
      </c>
      <c r="T1287">
        <v>6.7000000000000002E-3</v>
      </c>
      <c r="U1287">
        <v>5266.3396949999997</v>
      </c>
      <c r="V1287">
        <v>194.73923806993662</v>
      </c>
      <c r="W1287">
        <v>3.6978100416656966E-2</v>
      </c>
    </row>
    <row r="1288" spans="1:23" x14ac:dyDescent="0.25">
      <c r="A1288" t="s">
        <v>522</v>
      </c>
      <c r="B1288" t="s">
        <v>36</v>
      </c>
      <c r="C1288" t="s">
        <v>116</v>
      </c>
      <c r="D1288" t="s">
        <v>31</v>
      </c>
      <c r="E1288" t="s">
        <v>74</v>
      </c>
      <c r="F1288" s="1">
        <v>46362</v>
      </c>
      <c r="G1288">
        <v>46407</v>
      </c>
      <c r="H1288" t="s">
        <v>6</v>
      </c>
      <c r="I1288">
        <v>9715.17</v>
      </c>
      <c r="J1288" t="s">
        <v>84</v>
      </c>
      <c r="K1288" t="s">
        <v>523</v>
      </c>
      <c r="L1288">
        <v>45</v>
      </c>
      <c r="M1288" t="s">
        <v>36</v>
      </c>
      <c r="N1288">
        <v>1.1176999999999999</v>
      </c>
      <c r="O1288">
        <v>1.320456022210408</v>
      </c>
      <c r="P1288">
        <v>6.3200452360757699E-3</v>
      </c>
      <c r="Q1288">
        <v>1.1176999999999999</v>
      </c>
      <c r="R1288">
        <v>10858.645509</v>
      </c>
      <c r="S1288" t="s">
        <v>23</v>
      </c>
      <c r="T1288">
        <v>1.119</v>
      </c>
      <c r="U1288">
        <v>10871.275229999999</v>
      </c>
      <c r="V1288">
        <v>-12.629720999999336</v>
      </c>
      <c r="W1288">
        <v>-1.1617515638962749E-3</v>
      </c>
    </row>
    <row r="1289" spans="1:23" x14ac:dyDescent="0.25">
      <c r="A1289" t="s">
        <v>520</v>
      </c>
      <c r="B1289" t="s">
        <v>38</v>
      </c>
      <c r="C1289" t="s">
        <v>87</v>
      </c>
      <c r="D1289" t="s">
        <v>33</v>
      </c>
      <c r="E1289" t="s">
        <v>88</v>
      </c>
      <c r="F1289" s="1">
        <v>46344</v>
      </c>
      <c r="G1289">
        <v>46374</v>
      </c>
      <c r="H1289" t="s">
        <v>6</v>
      </c>
      <c r="I1289">
        <v>6166.32</v>
      </c>
      <c r="J1289" t="s">
        <v>84</v>
      </c>
      <c r="K1289" t="s">
        <v>521</v>
      </c>
      <c r="L1289">
        <v>30</v>
      </c>
      <c r="M1289" t="s">
        <v>38</v>
      </c>
      <c r="N1289">
        <v>1.1176999999999999</v>
      </c>
      <c r="O1289">
        <v>1.320456022210408</v>
      </c>
      <c r="P1289">
        <v>6.3200452360757699E-3</v>
      </c>
      <c r="Q1289">
        <v>1.1176999999999999</v>
      </c>
      <c r="R1289">
        <v>6892.095863999999</v>
      </c>
      <c r="S1289" t="s">
        <v>23</v>
      </c>
      <c r="T1289">
        <v>1.119</v>
      </c>
      <c r="U1289">
        <v>6900.1120799999999</v>
      </c>
      <c r="V1289">
        <v>-8.0162160000008953</v>
      </c>
      <c r="W1289">
        <v>-1.1617515638964657E-3</v>
      </c>
    </row>
    <row r="1290" spans="1:23" x14ac:dyDescent="0.25">
      <c r="A1290" t="s">
        <v>518</v>
      </c>
      <c r="B1290" t="s">
        <v>37</v>
      </c>
      <c r="C1290" t="s">
        <v>91</v>
      </c>
      <c r="D1290" t="s">
        <v>31</v>
      </c>
      <c r="E1290" t="s">
        <v>74</v>
      </c>
      <c r="F1290" s="1">
        <v>46219</v>
      </c>
      <c r="G1290">
        <v>46249</v>
      </c>
      <c r="H1290" t="s">
        <v>6</v>
      </c>
      <c r="I1290">
        <v>7285.15</v>
      </c>
      <c r="J1290" t="s">
        <v>75</v>
      </c>
      <c r="K1290" t="s">
        <v>519</v>
      </c>
      <c r="L1290">
        <v>30</v>
      </c>
      <c r="M1290" t="s">
        <v>37</v>
      </c>
      <c r="N1290">
        <v>1.1467000000000001</v>
      </c>
      <c r="O1290">
        <v>1.3510774922531312</v>
      </c>
      <c r="P1290">
        <v>6.1653852357653636E-3</v>
      </c>
      <c r="Q1290">
        <v>1.1467000000000001</v>
      </c>
      <c r="R1290">
        <v>8353.8815049999994</v>
      </c>
      <c r="S1290" t="s">
        <v>21</v>
      </c>
      <c r="T1290">
        <v>1.101</v>
      </c>
      <c r="U1290">
        <v>8020.9501499999997</v>
      </c>
      <c r="V1290">
        <v>332.93135499999971</v>
      </c>
      <c r="W1290">
        <v>4.1507720254314227E-2</v>
      </c>
    </row>
    <row r="1291" spans="1:23" x14ac:dyDescent="0.25">
      <c r="A1291" t="s">
        <v>516</v>
      </c>
      <c r="B1291" t="s">
        <v>39</v>
      </c>
      <c r="C1291" t="s">
        <v>82</v>
      </c>
      <c r="D1291" t="s">
        <v>33</v>
      </c>
      <c r="E1291" t="s">
        <v>83</v>
      </c>
      <c r="F1291" s="1">
        <v>46237</v>
      </c>
      <c r="G1291">
        <v>46282</v>
      </c>
      <c r="H1291" t="s">
        <v>8</v>
      </c>
      <c r="I1291">
        <v>13333.54</v>
      </c>
      <c r="J1291" t="s">
        <v>75</v>
      </c>
      <c r="K1291" t="s">
        <v>517</v>
      </c>
      <c r="L1291">
        <v>45</v>
      </c>
      <c r="M1291" t="s">
        <v>39</v>
      </c>
      <c r="N1291">
        <v>1.1535</v>
      </c>
      <c r="O1291">
        <v>1.3470274310137447</v>
      </c>
      <c r="P1291">
        <v>6.3824489570076916E-3</v>
      </c>
      <c r="Q1291">
        <v>1.3470274310137447</v>
      </c>
      <c r="R1291">
        <v>17960.644132519006</v>
      </c>
      <c r="S1291" t="s">
        <v>21</v>
      </c>
      <c r="T1291">
        <v>1.2929999999999999</v>
      </c>
      <c r="U1291">
        <v>17240.267220000002</v>
      </c>
      <c r="V1291">
        <v>720.37691251900469</v>
      </c>
      <c r="W1291">
        <v>4.1784556081782394E-2</v>
      </c>
    </row>
    <row r="1292" spans="1:23" x14ac:dyDescent="0.25">
      <c r="A1292" t="s">
        <v>514</v>
      </c>
      <c r="B1292" t="s">
        <v>32</v>
      </c>
      <c r="C1292" t="s">
        <v>106</v>
      </c>
      <c r="D1292" t="s">
        <v>31</v>
      </c>
      <c r="E1292" t="s">
        <v>74</v>
      </c>
      <c r="F1292" s="1">
        <v>45750</v>
      </c>
      <c r="G1292">
        <v>45780</v>
      </c>
      <c r="H1292" t="s">
        <v>6</v>
      </c>
      <c r="I1292">
        <v>13265.77</v>
      </c>
      <c r="J1292" t="s">
        <v>75</v>
      </c>
      <c r="K1292" t="s">
        <v>515</v>
      </c>
      <c r="L1292">
        <v>30</v>
      </c>
      <c r="M1292" t="s">
        <v>32</v>
      </c>
      <c r="N1292">
        <v>1.1096999999999999</v>
      </c>
      <c r="O1292">
        <v>1.3185128857098725</v>
      </c>
      <c r="P1292">
        <v>6.8428192637355863E-3</v>
      </c>
      <c r="Q1292">
        <v>1.1096999999999999</v>
      </c>
      <c r="R1292">
        <v>14721.024969</v>
      </c>
      <c r="S1292" t="s">
        <v>12</v>
      </c>
      <c r="T1292">
        <v>1.07</v>
      </c>
      <c r="U1292">
        <v>14194.373900000001</v>
      </c>
      <c r="V1292">
        <v>526.65106899999955</v>
      </c>
      <c r="W1292">
        <v>3.7102803738317723E-2</v>
      </c>
    </row>
    <row r="1293" spans="1:23" x14ac:dyDescent="0.25">
      <c r="A1293" t="s">
        <v>512</v>
      </c>
      <c r="B1293" t="s">
        <v>26</v>
      </c>
      <c r="C1293" t="s">
        <v>94</v>
      </c>
      <c r="D1293" t="s">
        <v>31</v>
      </c>
      <c r="E1293" t="s">
        <v>74</v>
      </c>
      <c r="F1293" s="1">
        <v>46337</v>
      </c>
      <c r="G1293">
        <v>46367</v>
      </c>
      <c r="H1293" t="s">
        <v>8</v>
      </c>
      <c r="I1293">
        <v>27932.39</v>
      </c>
      <c r="J1293" t="s">
        <v>84</v>
      </c>
      <c r="K1293" t="s">
        <v>513</v>
      </c>
      <c r="L1293">
        <v>30</v>
      </c>
      <c r="M1293" t="s">
        <v>26</v>
      </c>
      <c r="N1293">
        <v>1.1176999999999999</v>
      </c>
      <c r="O1293">
        <v>1.320456022210408</v>
      </c>
      <c r="P1293">
        <v>6.3200452360757699E-3</v>
      </c>
      <c r="Q1293">
        <v>1.320456022210408</v>
      </c>
      <c r="R1293">
        <v>36883.492590229776</v>
      </c>
      <c r="S1293" t="s">
        <v>23</v>
      </c>
      <c r="T1293">
        <v>1.3149999999999999</v>
      </c>
      <c r="U1293">
        <v>36731.092850000001</v>
      </c>
      <c r="V1293">
        <v>152.39974022977549</v>
      </c>
      <c r="W1293">
        <v>4.1490663197018239E-3</v>
      </c>
    </row>
    <row r="1294" spans="1:23" x14ac:dyDescent="0.25">
      <c r="A1294" t="s">
        <v>510</v>
      </c>
      <c r="B1294" t="s">
        <v>28</v>
      </c>
      <c r="C1294" t="s">
        <v>111</v>
      </c>
      <c r="D1294" t="s">
        <v>31</v>
      </c>
      <c r="E1294" t="s">
        <v>74</v>
      </c>
      <c r="F1294" s="1">
        <v>46244</v>
      </c>
      <c r="G1294">
        <v>46289</v>
      </c>
      <c r="H1294" t="s">
        <v>9</v>
      </c>
      <c r="I1294">
        <v>2136672.86</v>
      </c>
      <c r="J1294" t="s">
        <v>75</v>
      </c>
      <c r="K1294" t="s">
        <v>511</v>
      </c>
      <c r="L1294">
        <v>45</v>
      </c>
      <c r="M1294" t="s">
        <v>28</v>
      </c>
      <c r="N1294">
        <v>1.1555</v>
      </c>
      <c r="O1294">
        <v>1.3504353415532051</v>
      </c>
      <c r="P1294">
        <v>6.3035295401232885E-3</v>
      </c>
      <c r="Q1294">
        <v>6.3035295401232885E-3</v>
      </c>
      <c r="R1294">
        <v>13468.580490589711</v>
      </c>
      <c r="S1294" t="s">
        <v>21</v>
      </c>
      <c r="T1294">
        <v>6.7400000000000003E-3</v>
      </c>
      <c r="U1294">
        <v>14401.175076399999</v>
      </c>
      <c r="V1294">
        <v>-932.59458581028775</v>
      </c>
      <c r="W1294">
        <v>-6.4758228468354787E-2</v>
      </c>
    </row>
    <row r="1295" spans="1:23" x14ac:dyDescent="0.25">
      <c r="A1295" t="s">
        <v>508</v>
      </c>
      <c r="B1295" t="s">
        <v>32</v>
      </c>
      <c r="C1295" t="s">
        <v>106</v>
      </c>
      <c r="D1295" t="s">
        <v>31</v>
      </c>
      <c r="E1295" t="s">
        <v>74</v>
      </c>
      <c r="F1295" s="1">
        <v>45693</v>
      </c>
      <c r="G1295">
        <v>45723</v>
      </c>
      <c r="H1295" t="s">
        <v>6</v>
      </c>
      <c r="I1295">
        <v>17678.93</v>
      </c>
      <c r="J1295" t="s">
        <v>75</v>
      </c>
      <c r="K1295" t="s">
        <v>509</v>
      </c>
      <c r="L1295">
        <v>30</v>
      </c>
      <c r="M1295" t="s">
        <v>32</v>
      </c>
      <c r="N1295">
        <v>1.0422</v>
      </c>
      <c r="O1295">
        <v>1.2543780465788048</v>
      </c>
      <c r="P1295">
        <v>6.5444270015698591E-3</v>
      </c>
      <c r="Q1295">
        <v>1.0422</v>
      </c>
      <c r="R1295">
        <v>18424.980846000002</v>
      </c>
      <c r="S1295" t="s">
        <v>11</v>
      </c>
      <c r="T1295">
        <v>1.052</v>
      </c>
      <c r="U1295">
        <v>18598.234360000002</v>
      </c>
      <c r="V1295">
        <v>-173.253514</v>
      </c>
      <c r="W1295">
        <v>-9.3155893536121664E-3</v>
      </c>
    </row>
    <row r="1296" spans="1:23" x14ac:dyDescent="0.25">
      <c r="A1296" t="s">
        <v>506</v>
      </c>
      <c r="B1296" t="s">
        <v>34</v>
      </c>
      <c r="C1296" t="s">
        <v>177</v>
      </c>
      <c r="D1296" t="s">
        <v>31</v>
      </c>
      <c r="E1296" t="s">
        <v>74</v>
      </c>
      <c r="F1296" s="1">
        <v>45815</v>
      </c>
      <c r="G1296">
        <v>45875</v>
      </c>
      <c r="H1296" t="s">
        <v>8</v>
      </c>
      <c r="I1296">
        <v>9039.24</v>
      </c>
      <c r="J1296" t="s">
        <v>75</v>
      </c>
      <c r="K1296" t="s">
        <v>507</v>
      </c>
      <c r="L1296">
        <v>60</v>
      </c>
      <c r="M1296" t="s">
        <v>34</v>
      </c>
      <c r="N1296">
        <v>1.1638999999999999</v>
      </c>
      <c r="O1296">
        <v>1.3449272012941993</v>
      </c>
      <c r="P1296">
        <v>6.7633215178104474E-3</v>
      </c>
      <c r="Q1296">
        <v>1.3449272012941993</v>
      </c>
      <c r="R1296">
        <v>12157.119755026577</v>
      </c>
      <c r="S1296" t="s">
        <v>12</v>
      </c>
      <c r="T1296">
        <v>1.26</v>
      </c>
      <c r="U1296">
        <v>11389.4424</v>
      </c>
      <c r="V1296">
        <v>767.67735502657706</v>
      </c>
      <c r="W1296">
        <v>6.7402540709681893E-2</v>
      </c>
    </row>
    <row r="1297" spans="1:23" x14ac:dyDescent="0.25">
      <c r="A1297" t="s">
        <v>504</v>
      </c>
      <c r="B1297" t="s">
        <v>42</v>
      </c>
      <c r="C1297" t="s">
        <v>151</v>
      </c>
      <c r="D1297" t="s">
        <v>35</v>
      </c>
      <c r="E1297" t="s">
        <v>152</v>
      </c>
      <c r="F1297" s="1">
        <v>45973</v>
      </c>
      <c r="G1297">
        <v>46003</v>
      </c>
      <c r="H1297" t="s">
        <v>8</v>
      </c>
      <c r="I1297">
        <v>2391.33</v>
      </c>
      <c r="J1297" t="s">
        <v>75</v>
      </c>
      <c r="K1297" t="s">
        <v>505</v>
      </c>
      <c r="L1297">
        <v>30</v>
      </c>
      <c r="M1297" t="s">
        <v>42</v>
      </c>
      <c r="N1297">
        <v>1.1576</v>
      </c>
      <c r="O1297">
        <v>1.312025388189958</v>
      </c>
      <c r="P1297">
        <v>6.4601819297951894E-3</v>
      </c>
      <c r="Q1297">
        <v>1.312025388189958</v>
      </c>
      <c r="R1297">
        <v>3137.4856715402921</v>
      </c>
      <c r="S1297" t="s">
        <v>14</v>
      </c>
      <c r="T1297">
        <v>1.304</v>
      </c>
      <c r="U1297">
        <v>3118.29432</v>
      </c>
      <c r="V1297">
        <v>19.191351540292089</v>
      </c>
      <c r="W1297">
        <v>6.1544387959800049E-3</v>
      </c>
    </row>
    <row r="1298" spans="1:23" x14ac:dyDescent="0.25">
      <c r="A1298" t="s">
        <v>502</v>
      </c>
      <c r="B1298" t="s">
        <v>40</v>
      </c>
      <c r="C1298" t="s">
        <v>78</v>
      </c>
      <c r="D1298" t="s">
        <v>33</v>
      </c>
      <c r="E1298" t="s">
        <v>79</v>
      </c>
      <c r="F1298" s="1">
        <v>46218</v>
      </c>
      <c r="G1298">
        <v>46248</v>
      </c>
      <c r="H1298" t="s">
        <v>9</v>
      </c>
      <c r="I1298">
        <v>1818382.37</v>
      </c>
      <c r="J1298" t="s">
        <v>75</v>
      </c>
      <c r="K1298" t="s">
        <v>503</v>
      </c>
      <c r="L1298">
        <v>30</v>
      </c>
      <c r="M1298" t="s">
        <v>40</v>
      </c>
      <c r="N1298">
        <v>1.1406000000000001</v>
      </c>
      <c r="O1298">
        <v>1.3404157803814651</v>
      </c>
      <c r="P1298">
        <v>6.1580822805312602E-3</v>
      </c>
      <c r="Q1298">
        <v>6.1580822805312602E-3</v>
      </c>
      <c r="R1298">
        <v>11197.748251927438</v>
      </c>
      <c r="S1298" t="s">
        <v>21</v>
      </c>
      <c r="T1298">
        <v>6.7400000000000003E-3</v>
      </c>
      <c r="U1298">
        <v>12255.897173800002</v>
      </c>
      <c r="V1298">
        <v>-1058.1489218725637</v>
      </c>
      <c r="W1298">
        <v>-8.6337940573997116E-2</v>
      </c>
    </row>
    <row r="1299" spans="1:23" x14ac:dyDescent="0.25">
      <c r="A1299" t="s">
        <v>500</v>
      </c>
      <c r="B1299" t="s">
        <v>22</v>
      </c>
      <c r="C1299" t="s">
        <v>127</v>
      </c>
      <c r="D1299" t="s">
        <v>31</v>
      </c>
      <c r="E1299" t="s">
        <v>124</v>
      </c>
      <c r="F1299" s="1">
        <v>45791</v>
      </c>
      <c r="G1299">
        <v>45851</v>
      </c>
      <c r="H1299" t="s">
        <v>9</v>
      </c>
      <c r="I1299">
        <v>8474925.3399999999</v>
      </c>
      <c r="J1299" t="s">
        <v>75</v>
      </c>
      <c r="K1299" t="s">
        <v>501</v>
      </c>
      <c r="L1299">
        <v>60</v>
      </c>
      <c r="M1299" t="s">
        <v>22</v>
      </c>
      <c r="N1299">
        <v>1.1214</v>
      </c>
      <c r="O1299">
        <v>1.3326203208556149</v>
      </c>
      <c r="P1299">
        <v>6.8373879641485278E-3</v>
      </c>
      <c r="Q1299">
        <v>6.8373879641485278E-3</v>
      </c>
      <c r="R1299">
        <v>57946.352516773368</v>
      </c>
      <c r="S1299" t="s">
        <v>12</v>
      </c>
      <c r="T1299">
        <v>6.7000000000000002E-3</v>
      </c>
      <c r="U1299">
        <v>56781.999777999998</v>
      </c>
      <c r="V1299">
        <v>1164.3527387733702</v>
      </c>
      <c r="W1299">
        <v>2.0505666290825054E-2</v>
      </c>
    </row>
    <row r="1300" spans="1:23" x14ac:dyDescent="0.25">
      <c r="A1300" t="s">
        <v>498</v>
      </c>
      <c r="B1300" t="s">
        <v>32</v>
      </c>
      <c r="C1300" t="s">
        <v>106</v>
      </c>
      <c r="D1300" t="s">
        <v>31</v>
      </c>
      <c r="E1300" t="s">
        <v>74</v>
      </c>
      <c r="F1300" s="1">
        <v>45960</v>
      </c>
      <c r="G1300">
        <v>45990</v>
      </c>
      <c r="H1300" t="s">
        <v>6</v>
      </c>
      <c r="I1300">
        <v>8451.6299999999992</v>
      </c>
      <c r="J1300" t="s">
        <v>75</v>
      </c>
      <c r="K1300" t="s">
        <v>499</v>
      </c>
      <c r="L1300">
        <v>30</v>
      </c>
      <c r="M1300" t="s">
        <v>32</v>
      </c>
      <c r="N1300">
        <v>1.155</v>
      </c>
      <c r="O1300">
        <v>1.312350869219407</v>
      </c>
      <c r="P1300">
        <v>6.4753041430733868E-3</v>
      </c>
      <c r="Q1300">
        <v>1.155</v>
      </c>
      <c r="R1300">
        <v>9761.6326499999996</v>
      </c>
      <c r="S1300" t="s">
        <v>14</v>
      </c>
      <c r="T1300">
        <v>1.1060000000000001</v>
      </c>
      <c r="U1300">
        <v>9347.5027800000007</v>
      </c>
      <c r="V1300">
        <v>414.12986999999885</v>
      </c>
      <c r="W1300">
        <v>4.4303797468354306E-2</v>
      </c>
    </row>
    <row r="1301" spans="1:23" x14ac:dyDescent="0.25">
      <c r="A1301" t="s">
        <v>496</v>
      </c>
      <c r="B1301" t="s">
        <v>20</v>
      </c>
      <c r="C1301" t="s">
        <v>123</v>
      </c>
      <c r="D1301" t="s">
        <v>31</v>
      </c>
      <c r="E1301" t="s">
        <v>124</v>
      </c>
      <c r="F1301" s="1">
        <v>46323</v>
      </c>
      <c r="G1301">
        <v>46368</v>
      </c>
      <c r="H1301" t="s">
        <v>6</v>
      </c>
      <c r="I1301">
        <v>48769.97</v>
      </c>
      <c r="J1301" t="s">
        <v>84</v>
      </c>
      <c r="K1301" t="s">
        <v>497</v>
      </c>
      <c r="L1301">
        <v>45</v>
      </c>
      <c r="M1301" t="s">
        <v>20</v>
      </c>
      <c r="N1301">
        <v>1.1176999999999999</v>
      </c>
      <c r="O1301">
        <v>1.320456022210408</v>
      </c>
      <c r="P1301">
        <v>6.3200452360757699E-3</v>
      </c>
      <c r="Q1301">
        <v>1.1176999999999999</v>
      </c>
      <c r="R1301">
        <v>54510.195468999998</v>
      </c>
      <c r="S1301" t="s">
        <v>23</v>
      </c>
      <c r="T1301">
        <v>1.119</v>
      </c>
      <c r="U1301">
        <v>54573.596429999998</v>
      </c>
      <c r="V1301">
        <v>-63.40096099999937</v>
      </c>
      <c r="W1301">
        <v>-1.1617515638963245E-3</v>
      </c>
    </row>
    <row r="1302" spans="1:23" x14ac:dyDescent="0.25">
      <c r="A1302" t="s">
        <v>494</v>
      </c>
      <c r="B1302" t="s">
        <v>40</v>
      </c>
      <c r="C1302" t="s">
        <v>78</v>
      </c>
      <c r="D1302" t="s">
        <v>33</v>
      </c>
      <c r="E1302" t="s">
        <v>79</v>
      </c>
      <c r="F1302" s="1">
        <v>45707</v>
      </c>
      <c r="G1302">
        <v>45737</v>
      </c>
      <c r="H1302" t="s">
        <v>9</v>
      </c>
      <c r="I1302">
        <v>1824977.12</v>
      </c>
      <c r="J1302" t="s">
        <v>75</v>
      </c>
      <c r="K1302" t="s">
        <v>495</v>
      </c>
      <c r="L1302">
        <v>30</v>
      </c>
      <c r="M1302" t="s">
        <v>40</v>
      </c>
      <c r="N1302">
        <v>1.0434000000000001</v>
      </c>
      <c r="O1302">
        <v>1.2595668654482244</v>
      </c>
      <c r="P1302">
        <v>6.5867053847610641E-3</v>
      </c>
      <c r="Q1302">
        <v>6.5867053847610641E-3</v>
      </c>
      <c r="R1302">
        <v>12020.58662336974</v>
      </c>
      <c r="S1302" t="s">
        <v>11</v>
      </c>
      <c r="T1302">
        <v>6.5599999999999999E-3</v>
      </c>
      <c r="U1302">
        <v>11971.849907200001</v>
      </c>
      <c r="V1302">
        <v>48.736716169738429</v>
      </c>
      <c r="W1302">
        <v>4.0709427989426795E-3</v>
      </c>
    </row>
    <row r="1303" spans="1:23" x14ac:dyDescent="0.25">
      <c r="A1303" t="s">
        <v>492</v>
      </c>
      <c r="B1303" t="s">
        <v>25</v>
      </c>
      <c r="C1303" t="s">
        <v>169</v>
      </c>
      <c r="D1303" t="s">
        <v>31</v>
      </c>
      <c r="E1303" t="s">
        <v>124</v>
      </c>
      <c r="F1303" s="1">
        <v>46047</v>
      </c>
      <c r="G1303">
        <v>46107</v>
      </c>
      <c r="H1303" t="s">
        <v>6</v>
      </c>
      <c r="I1303">
        <v>73927.63</v>
      </c>
      <c r="J1303" t="s">
        <v>75</v>
      </c>
      <c r="K1303" t="s">
        <v>493</v>
      </c>
      <c r="L1303">
        <v>60</v>
      </c>
      <c r="M1303" t="s">
        <v>25</v>
      </c>
      <c r="N1303">
        <v>1.1555</v>
      </c>
      <c r="O1303">
        <v>1.3367963164349013</v>
      </c>
      <c r="P1303">
        <v>6.2983756677204832E-3</v>
      </c>
      <c r="Q1303">
        <v>1.1555</v>
      </c>
      <c r="R1303">
        <v>85423.376465000008</v>
      </c>
      <c r="S1303" t="s">
        <v>16</v>
      </c>
      <c r="T1303">
        <v>1.0649999999999999</v>
      </c>
      <c r="U1303">
        <v>78732.925950000004</v>
      </c>
      <c r="V1303">
        <v>6690.4505150000041</v>
      </c>
      <c r="W1303">
        <v>8.4976525821596288E-2</v>
      </c>
    </row>
    <row r="1304" spans="1:23" x14ac:dyDescent="0.25">
      <c r="A1304" t="s">
        <v>490</v>
      </c>
      <c r="B1304" t="s">
        <v>32</v>
      </c>
      <c r="C1304" t="s">
        <v>106</v>
      </c>
      <c r="D1304" t="s">
        <v>31</v>
      </c>
      <c r="E1304" t="s">
        <v>74</v>
      </c>
      <c r="F1304" s="1">
        <v>45983</v>
      </c>
      <c r="G1304">
        <v>46013</v>
      </c>
      <c r="H1304" t="s">
        <v>6</v>
      </c>
      <c r="I1304">
        <v>9337.57</v>
      </c>
      <c r="J1304" t="s">
        <v>75</v>
      </c>
      <c r="K1304" t="s">
        <v>491</v>
      </c>
      <c r="L1304">
        <v>30</v>
      </c>
      <c r="M1304" t="s">
        <v>32</v>
      </c>
      <c r="N1304">
        <v>1.1555</v>
      </c>
      <c r="O1304">
        <v>1.3367963164349013</v>
      </c>
      <c r="P1304">
        <v>6.2983756677204832E-3</v>
      </c>
      <c r="Q1304">
        <v>1.1555</v>
      </c>
      <c r="R1304">
        <v>10789.562135</v>
      </c>
      <c r="S1304" t="s">
        <v>14</v>
      </c>
      <c r="T1304">
        <v>1.1060000000000001</v>
      </c>
      <c r="U1304">
        <v>10327.352420000001</v>
      </c>
      <c r="V1304">
        <v>462.20971499999905</v>
      </c>
      <c r="W1304">
        <v>4.4755877034357953E-2</v>
      </c>
    </row>
    <row r="1305" spans="1:23" x14ac:dyDescent="0.25">
      <c r="A1305" t="s">
        <v>488</v>
      </c>
      <c r="B1305" t="s">
        <v>34</v>
      </c>
      <c r="C1305" t="s">
        <v>177</v>
      </c>
      <c r="D1305" t="s">
        <v>31</v>
      </c>
      <c r="E1305" t="s">
        <v>74</v>
      </c>
      <c r="F1305" s="1">
        <v>46169</v>
      </c>
      <c r="G1305">
        <v>46229</v>
      </c>
      <c r="H1305" t="s">
        <v>8</v>
      </c>
      <c r="I1305">
        <v>10731.89</v>
      </c>
      <c r="J1305" t="s">
        <v>75</v>
      </c>
      <c r="K1305" t="s">
        <v>489</v>
      </c>
      <c r="L1305">
        <v>60</v>
      </c>
      <c r="M1305" t="s">
        <v>34</v>
      </c>
      <c r="N1305">
        <v>1.1637</v>
      </c>
      <c r="O1305">
        <v>1.3434851878362466</v>
      </c>
      <c r="P1305">
        <v>6.2726390685640355E-3</v>
      </c>
      <c r="Q1305">
        <v>1.3434851878362466</v>
      </c>
      <c r="R1305">
        <v>14418.135252487935</v>
      </c>
      <c r="S1305" t="s">
        <v>19</v>
      </c>
      <c r="T1305">
        <v>1.2709999999999999</v>
      </c>
      <c r="U1305">
        <v>13640.232189999999</v>
      </c>
      <c r="V1305">
        <v>777.90306248793604</v>
      </c>
      <c r="W1305">
        <v>5.7030045504521294E-2</v>
      </c>
    </row>
    <row r="1306" spans="1:23" x14ac:dyDescent="0.25">
      <c r="A1306" t="s">
        <v>486</v>
      </c>
      <c r="B1306" t="s">
        <v>32</v>
      </c>
      <c r="C1306" t="s">
        <v>106</v>
      </c>
      <c r="D1306" t="s">
        <v>31</v>
      </c>
      <c r="E1306" t="s">
        <v>74</v>
      </c>
      <c r="F1306" s="1">
        <v>46050</v>
      </c>
      <c r="G1306">
        <v>46080</v>
      </c>
      <c r="H1306" t="s">
        <v>6</v>
      </c>
      <c r="I1306">
        <v>11789.89</v>
      </c>
      <c r="J1306" t="s">
        <v>75</v>
      </c>
      <c r="K1306" t="s">
        <v>487</v>
      </c>
      <c r="L1306">
        <v>30</v>
      </c>
      <c r="M1306" t="s">
        <v>32</v>
      </c>
      <c r="N1306">
        <v>1.1974</v>
      </c>
      <c r="O1306">
        <v>1.3786989061600461</v>
      </c>
      <c r="P1306">
        <v>6.5517618734952949E-3</v>
      </c>
      <c r="Q1306">
        <v>1.1974</v>
      </c>
      <c r="R1306">
        <v>14117.214286</v>
      </c>
      <c r="S1306" t="s">
        <v>16</v>
      </c>
      <c r="T1306">
        <v>1.0649999999999999</v>
      </c>
      <c r="U1306">
        <v>12556.232849999999</v>
      </c>
      <c r="V1306">
        <v>1560.9814360000018</v>
      </c>
      <c r="W1306">
        <v>0.12431924882629124</v>
      </c>
    </row>
    <row r="1307" spans="1:23" x14ac:dyDescent="0.25">
      <c r="A1307" t="s">
        <v>484</v>
      </c>
      <c r="B1307" t="s">
        <v>24</v>
      </c>
      <c r="C1307" t="s">
        <v>73</v>
      </c>
      <c r="D1307" t="s">
        <v>31</v>
      </c>
      <c r="E1307" t="s">
        <v>74</v>
      </c>
      <c r="F1307" s="1">
        <v>45666</v>
      </c>
      <c r="G1307">
        <v>45696</v>
      </c>
      <c r="H1307" t="s">
        <v>6</v>
      </c>
      <c r="I1307">
        <v>24837.32</v>
      </c>
      <c r="J1307" t="s">
        <v>75</v>
      </c>
      <c r="K1307" t="s">
        <v>485</v>
      </c>
      <c r="L1307">
        <v>30</v>
      </c>
      <c r="M1307" t="s">
        <v>24</v>
      </c>
      <c r="N1307">
        <v>1.0305</v>
      </c>
      <c r="O1307">
        <v>1.2295962199312713</v>
      </c>
      <c r="P1307">
        <v>6.339197834645669E-3</v>
      </c>
      <c r="Q1307">
        <v>1.0305</v>
      </c>
      <c r="R1307">
        <v>25594.858259999997</v>
      </c>
      <c r="S1307" t="s">
        <v>11</v>
      </c>
      <c r="T1307">
        <v>1.052</v>
      </c>
      <c r="U1307">
        <v>26128.860640000003</v>
      </c>
      <c r="V1307">
        <v>-534.00238000000536</v>
      </c>
      <c r="W1307">
        <v>-2.0437262357414651E-2</v>
      </c>
    </row>
    <row r="1308" spans="1:23" x14ac:dyDescent="0.25">
      <c r="A1308" t="s">
        <v>482</v>
      </c>
      <c r="B1308" t="s">
        <v>34</v>
      </c>
      <c r="C1308" t="s">
        <v>177</v>
      </c>
      <c r="D1308" t="s">
        <v>31</v>
      </c>
      <c r="E1308" t="s">
        <v>74</v>
      </c>
      <c r="F1308" s="1">
        <v>45780</v>
      </c>
      <c r="G1308">
        <v>45840</v>
      </c>
      <c r="H1308" t="s">
        <v>8</v>
      </c>
      <c r="I1308">
        <v>13166.07</v>
      </c>
      <c r="J1308" t="s">
        <v>75</v>
      </c>
      <c r="K1308" t="s">
        <v>483</v>
      </c>
      <c r="L1308">
        <v>60</v>
      </c>
      <c r="M1308" t="s">
        <v>34</v>
      </c>
      <c r="N1308">
        <v>1.1781999999999999</v>
      </c>
      <c r="O1308">
        <v>1.3653957584888168</v>
      </c>
      <c r="P1308">
        <v>6.9477532727916019E-3</v>
      </c>
      <c r="Q1308">
        <v>1.3653957584888168</v>
      </c>
      <c r="R1308">
        <v>17976.896133966857</v>
      </c>
      <c r="S1308" t="s">
        <v>12</v>
      </c>
      <c r="T1308">
        <v>1.26</v>
      </c>
      <c r="U1308">
        <v>16589.248199999998</v>
      </c>
      <c r="V1308">
        <v>1387.6479339668585</v>
      </c>
      <c r="W1308">
        <v>8.3647427372076977E-2</v>
      </c>
    </row>
    <row r="1309" spans="1:23" x14ac:dyDescent="0.25">
      <c r="A1309" t="s">
        <v>480</v>
      </c>
      <c r="B1309" t="s">
        <v>44</v>
      </c>
      <c r="C1309" t="s">
        <v>138</v>
      </c>
      <c r="D1309" t="s">
        <v>33</v>
      </c>
      <c r="E1309" t="s">
        <v>88</v>
      </c>
      <c r="F1309" s="1">
        <v>45843</v>
      </c>
      <c r="G1309">
        <v>45888</v>
      </c>
      <c r="H1309" t="s">
        <v>9</v>
      </c>
      <c r="I1309">
        <v>677996.53</v>
      </c>
      <c r="J1309" t="s">
        <v>75</v>
      </c>
      <c r="K1309" t="s">
        <v>481</v>
      </c>
      <c r="L1309">
        <v>45</v>
      </c>
      <c r="M1309" t="s">
        <v>44</v>
      </c>
      <c r="N1309">
        <v>1.1740999999999999</v>
      </c>
      <c r="O1309">
        <v>1.344286695672086</v>
      </c>
      <c r="P1309">
        <v>6.7570211786372007E-3</v>
      </c>
      <c r="Q1309">
        <v>6.7570211786372007E-3</v>
      </c>
      <c r="R1309">
        <v>4581.2369122525324</v>
      </c>
      <c r="S1309" t="s">
        <v>13</v>
      </c>
      <c r="T1309">
        <v>6.8399999999999997E-3</v>
      </c>
      <c r="U1309">
        <v>4637.4962652000004</v>
      </c>
      <c r="V1309">
        <v>-56.25935294746796</v>
      </c>
      <c r="W1309">
        <v>-1.2131406631988235E-2</v>
      </c>
    </row>
    <row r="1310" spans="1:23" x14ac:dyDescent="0.25">
      <c r="A1310" t="s">
        <v>478</v>
      </c>
      <c r="B1310" t="s">
        <v>24</v>
      </c>
      <c r="C1310" t="s">
        <v>73</v>
      </c>
      <c r="D1310" t="s">
        <v>31</v>
      </c>
      <c r="E1310" t="s">
        <v>74</v>
      </c>
      <c r="F1310" s="1">
        <v>45707</v>
      </c>
      <c r="G1310">
        <v>45737</v>
      </c>
      <c r="H1310" t="s">
        <v>6</v>
      </c>
      <c r="I1310">
        <v>23774.240000000002</v>
      </c>
      <c r="J1310" t="s">
        <v>75</v>
      </c>
      <c r="K1310" t="s">
        <v>479</v>
      </c>
      <c r="L1310">
        <v>30</v>
      </c>
      <c r="M1310" t="s">
        <v>24</v>
      </c>
      <c r="N1310">
        <v>1.0434000000000001</v>
      </c>
      <c r="O1310">
        <v>1.2595668654482244</v>
      </c>
      <c r="P1310">
        <v>6.5867053847610641E-3</v>
      </c>
      <c r="Q1310">
        <v>1.0434000000000001</v>
      </c>
      <c r="R1310">
        <v>24806.042016000003</v>
      </c>
      <c r="S1310" t="s">
        <v>11</v>
      </c>
      <c r="T1310">
        <v>1.052</v>
      </c>
      <c r="U1310">
        <v>25010.500480000002</v>
      </c>
      <c r="V1310">
        <v>-204.45846399999937</v>
      </c>
      <c r="W1310">
        <v>-8.1749049429657526E-3</v>
      </c>
    </row>
    <row r="1311" spans="1:23" x14ac:dyDescent="0.25">
      <c r="A1311" t="s">
        <v>476</v>
      </c>
      <c r="B1311" t="s">
        <v>42</v>
      </c>
      <c r="C1311" t="s">
        <v>151</v>
      </c>
      <c r="D1311" t="s">
        <v>35</v>
      </c>
      <c r="E1311" t="s">
        <v>152</v>
      </c>
      <c r="F1311" s="1">
        <v>45916</v>
      </c>
      <c r="G1311">
        <v>45946</v>
      </c>
      <c r="H1311" t="s">
        <v>8</v>
      </c>
      <c r="I1311">
        <v>3870.29</v>
      </c>
      <c r="J1311" t="s">
        <v>75</v>
      </c>
      <c r="K1311" t="s">
        <v>477</v>
      </c>
      <c r="L1311">
        <v>30</v>
      </c>
      <c r="M1311" t="s">
        <v>42</v>
      </c>
      <c r="N1311">
        <v>1.1807000000000001</v>
      </c>
      <c r="O1311">
        <v>1.3640249537892792</v>
      </c>
      <c r="P1311">
        <v>6.8032267358110058E-3</v>
      </c>
      <c r="Q1311">
        <v>1.3640249537892792</v>
      </c>
      <c r="R1311">
        <v>5279.1721384011098</v>
      </c>
      <c r="S1311" t="s">
        <v>13</v>
      </c>
      <c r="T1311">
        <v>1.282</v>
      </c>
      <c r="U1311">
        <v>4961.7117799999996</v>
      </c>
      <c r="V1311">
        <v>317.46035840111017</v>
      </c>
      <c r="W1311">
        <v>6.3982023236567404E-2</v>
      </c>
    </row>
    <row r="1312" spans="1:23" x14ac:dyDescent="0.25">
      <c r="A1312" t="s">
        <v>473</v>
      </c>
      <c r="B1312" t="s">
        <v>38</v>
      </c>
      <c r="C1312" t="s">
        <v>87</v>
      </c>
      <c r="D1312" t="s">
        <v>33</v>
      </c>
      <c r="E1312" t="s">
        <v>88</v>
      </c>
      <c r="F1312" s="1">
        <v>46253</v>
      </c>
      <c r="G1312">
        <v>46283</v>
      </c>
      <c r="H1312" t="s">
        <v>6</v>
      </c>
      <c r="I1312">
        <v>6438.88</v>
      </c>
      <c r="J1312" t="s">
        <v>75</v>
      </c>
      <c r="K1312" t="s">
        <v>474</v>
      </c>
      <c r="L1312">
        <v>30</v>
      </c>
      <c r="M1312" t="s">
        <v>38</v>
      </c>
      <c r="N1312">
        <v>1.1605000000000001</v>
      </c>
      <c r="O1312">
        <v>1.3555976077002152</v>
      </c>
      <c r="P1312">
        <v>6.2858845195536781E-3</v>
      </c>
      <c r="Q1312">
        <v>1.1605000000000001</v>
      </c>
      <c r="R1312">
        <v>7472.3202400000009</v>
      </c>
      <c r="S1312" t="s">
        <v>21</v>
      </c>
      <c r="T1312">
        <v>1.101</v>
      </c>
      <c r="U1312">
        <v>7089.2068799999997</v>
      </c>
      <c r="V1312">
        <v>383.11336000000119</v>
      </c>
      <c r="W1312">
        <v>5.404178019981852E-2</v>
      </c>
    </row>
    <row r="1313" spans="1:23" x14ac:dyDescent="0.25">
      <c r="A1313" t="s">
        <v>473</v>
      </c>
      <c r="B1313" t="s">
        <v>20</v>
      </c>
      <c r="C1313" t="s">
        <v>123</v>
      </c>
      <c r="D1313" t="s">
        <v>31</v>
      </c>
      <c r="E1313" t="s">
        <v>124</v>
      </c>
      <c r="F1313" s="1">
        <v>46028</v>
      </c>
      <c r="G1313">
        <v>46073</v>
      </c>
      <c r="H1313" t="s">
        <v>6</v>
      </c>
      <c r="I1313">
        <v>16852.86</v>
      </c>
      <c r="J1313" t="s">
        <v>75</v>
      </c>
      <c r="K1313" t="s">
        <v>475</v>
      </c>
      <c r="L1313">
        <v>45</v>
      </c>
      <c r="M1313" t="s">
        <v>20</v>
      </c>
      <c r="N1313">
        <v>1.1707000000000001</v>
      </c>
      <c r="O1313">
        <v>1.3513794297587443</v>
      </c>
      <c r="P1313">
        <v>6.3923774161843408E-3</v>
      </c>
      <c r="Q1313">
        <v>1.1707000000000001</v>
      </c>
      <c r="R1313">
        <v>19729.643202000003</v>
      </c>
      <c r="S1313" t="s">
        <v>16</v>
      </c>
      <c r="T1313">
        <v>1.0649999999999999</v>
      </c>
      <c r="U1313">
        <v>17948.295900000001</v>
      </c>
      <c r="V1313">
        <v>1781.3473020000019</v>
      </c>
      <c r="W1313">
        <v>9.9248826291079909E-2</v>
      </c>
    </row>
    <row r="1314" spans="1:23" x14ac:dyDescent="0.25">
      <c r="A1314" t="s">
        <v>471</v>
      </c>
      <c r="B1314" t="s">
        <v>28</v>
      </c>
      <c r="C1314" t="s">
        <v>111</v>
      </c>
      <c r="D1314" t="s">
        <v>31</v>
      </c>
      <c r="E1314" t="s">
        <v>74</v>
      </c>
      <c r="F1314" s="1">
        <v>46238</v>
      </c>
      <c r="G1314">
        <v>46283</v>
      </c>
      <c r="H1314" t="s">
        <v>9</v>
      </c>
      <c r="I1314">
        <v>3850722.83</v>
      </c>
      <c r="J1314" t="s">
        <v>75</v>
      </c>
      <c r="K1314" t="s">
        <v>472</v>
      </c>
      <c r="L1314">
        <v>45</v>
      </c>
      <c r="M1314" t="s">
        <v>28</v>
      </c>
      <c r="N1314">
        <v>1.1515</v>
      </c>
      <c r="O1314">
        <v>1.3445976716215742</v>
      </c>
      <c r="P1314">
        <v>6.352752951561293E-3</v>
      </c>
      <c r="Q1314">
        <v>6.352752951561293E-3</v>
      </c>
      <c r="R1314">
        <v>24462.690823926954</v>
      </c>
      <c r="S1314" t="s">
        <v>21</v>
      </c>
      <c r="T1314">
        <v>6.7400000000000003E-3</v>
      </c>
      <c r="U1314">
        <v>25953.871874200002</v>
      </c>
      <c r="V1314">
        <v>-1491.1810502730477</v>
      </c>
      <c r="W1314">
        <v>-5.7455051697137639E-2</v>
      </c>
    </row>
    <row r="1315" spans="1:23" x14ac:dyDescent="0.25">
      <c r="A1315" t="s">
        <v>469</v>
      </c>
      <c r="B1315" t="s">
        <v>32</v>
      </c>
      <c r="C1315" t="s">
        <v>106</v>
      </c>
      <c r="D1315" t="s">
        <v>31</v>
      </c>
      <c r="E1315" t="s">
        <v>74</v>
      </c>
      <c r="F1315" s="1">
        <v>46201</v>
      </c>
      <c r="G1315">
        <v>46231</v>
      </c>
      <c r="H1315" t="s">
        <v>6</v>
      </c>
      <c r="I1315">
        <v>20500.900000000001</v>
      </c>
      <c r="J1315" t="s">
        <v>75</v>
      </c>
      <c r="K1315" t="s">
        <v>470</v>
      </c>
      <c r="L1315">
        <v>30</v>
      </c>
      <c r="M1315" t="s">
        <v>32</v>
      </c>
      <c r="N1315">
        <v>1.1400999999999999</v>
      </c>
      <c r="O1315">
        <v>1.3218090964951943</v>
      </c>
      <c r="P1315">
        <v>6.1861096039066733E-3</v>
      </c>
      <c r="Q1315">
        <v>1.1400999999999999</v>
      </c>
      <c r="R1315">
        <v>23373.076089999999</v>
      </c>
      <c r="S1315" t="s">
        <v>19</v>
      </c>
      <c r="T1315">
        <v>1.083</v>
      </c>
      <c r="U1315">
        <v>22202.474700000002</v>
      </c>
      <c r="V1315">
        <v>1170.6013899999962</v>
      </c>
      <c r="W1315">
        <v>5.2723915050784678E-2</v>
      </c>
    </row>
    <row r="1316" spans="1:23" x14ac:dyDescent="0.25">
      <c r="A1316" t="s">
        <v>467</v>
      </c>
      <c r="B1316" t="s">
        <v>20</v>
      </c>
      <c r="C1316" t="s">
        <v>123</v>
      </c>
      <c r="D1316" t="s">
        <v>31</v>
      </c>
      <c r="E1316" t="s">
        <v>124</v>
      </c>
      <c r="F1316" s="1">
        <v>46174</v>
      </c>
      <c r="G1316">
        <v>46219</v>
      </c>
      <c r="H1316" t="s">
        <v>6</v>
      </c>
      <c r="I1316">
        <v>33328.5</v>
      </c>
      <c r="J1316" t="s">
        <v>75</v>
      </c>
      <c r="K1316" t="s">
        <v>468</v>
      </c>
      <c r="L1316">
        <v>45</v>
      </c>
      <c r="M1316" t="s">
        <v>20</v>
      </c>
      <c r="N1316">
        <v>1.1646000000000001</v>
      </c>
      <c r="O1316">
        <v>1.3464673441781416</v>
      </c>
      <c r="P1316">
        <v>6.2700549154732421E-3</v>
      </c>
      <c r="Q1316">
        <v>1.1646000000000001</v>
      </c>
      <c r="R1316">
        <v>38814.371100000004</v>
      </c>
      <c r="S1316" t="s">
        <v>19</v>
      </c>
      <c r="T1316">
        <v>1.083</v>
      </c>
      <c r="U1316">
        <v>36094.765500000001</v>
      </c>
      <c r="V1316">
        <v>2719.6056000000026</v>
      </c>
      <c r="W1316">
        <v>7.5346260387811698E-2</v>
      </c>
    </row>
    <row r="1317" spans="1:23" x14ac:dyDescent="0.25">
      <c r="A1317" t="s">
        <v>465</v>
      </c>
      <c r="B1317" t="s">
        <v>44</v>
      </c>
      <c r="C1317" t="s">
        <v>138</v>
      </c>
      <c r="D1317" t="s">
        <v>33</v>
      </c>
      <c r="E1317" t="s">
        <v>88</v>
      </c>
      <c r="F1317" s="1">
        <v>46258</v>
      </c>
      <c r="G1317">
        <v>46303</v>
      </c>
      <c r="H1317" t="s">
        <v>9</v>
      </c>
      <c r="I1317">
        <v>1028798.79</v>
      </c>
      <c r="J1317" t="s">
        <v>75</v>
      </c>
      <c r="K1317" t="s">
        <v>466</v>
      </c>
      <c r="L1317">
        <v>45</v>
      </c>
      <c r="M1317" t="s">
        <v>44</v>
      </c>
      <c r="N1317">
        <v>1.1664000000000001</v>
      </c>
      <c r="O1317">
        <v>1.3634132086499124</v>
      </c>
      <c r="P1317">
        <v>6.2844827586206907E-3</v>
      </c>
      <c r="Q1317">
        <v>6.2844827586206907E-3</v>
      </c>
      <c r="R1317">
        <v>6465.4682578448292</v>
      </c>
      <c r="S1317" t="s">
        <v>21</v>
      </c>
      <c r="T1317">
        <v>6.7400000000000003E-3</v>
      </c>
      <c r="U1317">
        <v>6934.1038446000002</v>
      </c>
      <c r="V1317">
        <v>-468.63558675517106</v>
      </c>
      <c r="W1317">
        <v>-6.7584160442033983E-2</v>
      </c>
    </row>
    <row r="1318" spans="1:23" x14ac:dyDescent="0.25">
      <c r="A1318" t="s">
        <v>463</v>
      </c>
      <c r="B1318" t="s">
        <v>28</v>
      </c>
      <c r="C1318" t="s">
        <v>111</v>
      </c>
      <c r="D1318" t="s">
        <v>31</v>
      </c>
      <c r="E1318" t="s">
        <v>74</v>
      </c>
      <c r="F1318" s="1">
        <v>46004</v>
      </c>
      <c r="G1318">
        <v>46049</v>
      </c>
      <c r="H1318" t="s">
        <v>9</v>
      </c>
      <c r="I1318">
        <v>2020818.06</v>
      </c>
      <c r="J1318" t="s">
        <v>75</v>
      </c>
      <c r="K1318" t="s">
        <v>464</v>
      </c>
      <c r="L1318">
        <v>45</v>
      </c>
      <c r="M1318" t="s">
        <v>28</v>
      </c>
      <c r="N1318">
        <v>1.1555</v>
      </c>
      <c r="O1318">
        <v>1.3367963164349013</v>
      </c>
      <c r="P1318">
        <v>6.2983756677204832E-3</v>
      </c>
      <c r="Q1318">
        <v>6.2983756677204832E-3</v>
      </c>
      <c r="R1318">
        <v>12727.871297994112</v>
      </c>
      <c r="S1318" t="s">
        <v>14</v>
      </c>
      <c r="T1318">
        <v>6.9800000000000001E-3</v>
      </c>
      <c r="U1318">
        <v>14105.3100588</v>
      </c>
      <c r="V1318">
        <v>-1377.4387608058878</v>
      </c>
      <c r="W1318">
        <v>-9.7653915799357657E-2</v>
      </c>
    </row>
    <row r="1319" spans="1:23" x14ac:dyDescent="0.25">
      <c r="A1319" t="s">
        <v>461</v>
      </c>
      <c r="B1319" t="s">
        <v>41</v>
      </c>
      <c r="C1319" t="s">
        <v>172</v>
      </c>
      <c r="D1319" t="s">
        <v>33</v>
      </c>
      <c r="E1319" t="s">
        <v>83</v>
      </c>
      <c r="F1319" s="1">
        <v>46227</v>
      </c>
      <c r="G1319">
        <v>46257</v>
      </c>
      <c r="H1319" t="s">
        <v>9</v>
      </c>
      <c r="I1319">
        <v>1494290.56</v>
      </c>
      <c r="J1319" t="s">
        <v>75</v>
      </c>
      <c r="K1319" t="s">
        <v>462</v>
      </c>
      <c r="L1319">
        <v>30</v>
      </c>
      <c r="M1319" t="s">
        <v>41</v>
      </c>
      <c r="N1319">
        <v>1.1376999999999999</v>
      </c>
      <c r="O1319">
        <v>1.3323886260364455</v>
      </c>
      <c r="P1319">
        <v>6.1041957291554884E-3</v>
      </c>
      <c r="Q1319">
        <v>6.1041957291554884E-3</v>
      </c>
      <c r="R1319">
        <v>9121.4420544693639</v>
      </c>
      <c r="S1319" t="s">
        <v>21</v>
      </c>
      <c r="T1319">
        <v>6.7400000000000003E-3</v>
      </c>
      <c r="U1319">
        <v>10071.518374400001</v>
      </c>
      <c r="V1319">
        <v>-950.0763199306366</v>
      </c>
      <c r="W1319">
        <v>-9.4332977870105542E-2</v>
      </c>
    </row>
    <row r="1320" spans="1:23" x14ac:dyDescent="0.25">
      <c r="A1320" t="s">
        <v>459</v>
      </c>
      <c r="B1320" t="s">
        <v>42</v>
      </c>
      <c r="C1320" t="s">
        <v>151</v>
      </c>
      <c r="D1320" t="s">
        <v>35</v>
      </c>
      <c r="E1320" t="s">
        <v>152</v>
      </c>
      <c r="F1320" s="1">
        <v>45930</v>
      </c>
      <c r="G1320">
        <v>45960</v>
      </c>
      <c r="H1320" t="s">
        <v>8</v>
      </c>
      <c r="I1320">
        <v>4803.07</v>
      </c>
      <c r="J1320" t="s">
        <v>75</v>
      </c>
      <c r="K1320" t="s">
        <v>460</v>
      </c>
      <c r="L1320">
        <v>30</v>
      </c>
      <c r="M1320" t="s">
        <v>42</v>
      </c>
      <c r="N1320">
        <v>1.1740999999999999</v>
      </c>
      <c r="O1320">
        <v>1.344286695672086</v>
      </c>
      <c r="P1320">
        <v>6.7570211786372007E-3</v>
      </c>
      <c r="Q1320">
        <v>1.344286695672086</v>
      </c>
      <c r="R1320">
        <v>6456.7030993817261</v>
      </c>
      <c r="S1320" t="s">
        <v>13</v>
      </c>
      <c r="T1320">
        <v>1.282</v>
      </c>
      <c r="U1320">
        <v>6157.5357399999994</v>
      </c>
      <c r="V1320">
        <v>299.16735938172678</v>
      </c>
      <c r="W1320">
        <v>4.8585566046869068E-2</v>
      </c>
    </row>
    <row r="1321" spans="1:23" x14ac:dyDescent="0.25">
      <c r="A1321" t="s">
        <v>457</v>
      </c>
      <c r="B1321" t="s">
        <v>24</v>
      </c>
      <c r="C1321" t="s">
        <v>73</v>
      </c>
      <c r="D1321" t="s">
        <v>31</v>
      </c>
      <c r="E1321" t="s">
        <v>74</v>
      </c>
      <c r="F1321" s="1">
        <v>45884</v>
      </c>
      <c r="G1321">
        <v>45914</v>
      </c>
      <c r="H1321" t="s">
        <v>6</v>
      </c>
      <c r="I1321">
        <v>20551.939999999999</v>
      </c>
      <c r="J1321" t="s">
        <v>75</v>
      </c>
      <c r="K1321" t="s">
        <v>458</v>
      </c>
      <c r="L1321">
        <v>30</v>
      </c>
      <c r="M1321" t="s">
        <v>24</v>
      </c>
      <c r="N1321">
        <v>1.1688000000000001</v>
      </c>
      <c r="O1321">
        <v>1.3556019485038275</v>
      </c>
      <c r="P1321">
        <v>6.8028636284267509E-3</v>
      </c>
      <c r="Q1321">
        <v>1.1688000000000001</v>
      </c>
      <c r="R1321">
        <v>24021.107472</v>
      </c>
      <c r="S1321" t="s">
        <v>13</v>
      </c>
      <c r="T1321">
        <v>1.0880000000000001</v>
      </c>
      <c r="U1321">
        <v>22360.510719999998</v>
      </c>
      <c r="V1321">
        <v>1660.5967520000013</v>
      </c>
      <c r="W1321">
        <v>7.426470588235301E-2</v>
      </c>
    </row>
    <row r="1322" spans="1:23" x14ac:dyDescent="0.25">
      <c r="A1322" t="s">
        <v>455</v>
      </c>
      <c r="B1322" t="s">
        <v>40</v>
      </c>
      <c r="C1322" t="s">
        <v>78</v>
      </c>
      <c r="D1322" t="s">
        <v>33</v>
      </c>
      <c r="E1322" t="s">
        <v>79</v>
      </c>
      <c r="F1322" s="1">
        <v>45809</v>
      </c>
      <c r="G1322">
        <v>45839</v>
      </c>
      <c r="H1322" t="s">
        <v>9</v>
      </c>
      <c r="I1322">
        <v>1834402.22</v>
      </c>
      <c r="J1322" t="s">
        <v>75</v>
      </c>
      <c r="K1322" t="s">
        <v>456</v>
      </c>
      <c r="L1322">
        <v>30</v>
      </c>
      <c r="M1322" t="s">
        <v>40</v>
      </c>
      <c r="N1322">
        <v>1.1711</v>
      </c>
      <c r="O1322">
        <v>1.3568532035685321</v>
      </c>
      <c r="P1322">
        <v>6.790166405751725E-3</v>
      </c>
      <c r="Q1322">
        <v>6.790166405751725E-3</v>
      </c>
      <c r="R1322">
        <v>12455.896328880384</v>
      </c>
      <c r="S1322" t="s">
        <v>12</v>
      </c>
      <c r="T1322">
        <v>6.7000000000000002E-3</v>
      </c>
      <c r="U1322">
        <v>12290.494874</v>
      </c>
      <c r="V1322">
        <v>165.40145488038434</v>
      </c>
      <c r="W1322">
        <v>1.34576725002574E-2</v>
      </c>
    </row>
    <row r="1323" spans="1:23" x14ac:dyDescent="0.25">
      <c r="A1323" t="s">
        <v>453</v>
      </c>
      <c r="B1323" t="s">
        <v>34</v>
      </c>
      <c r="C1323" t="s">
        <v>177</v>
      </c>
      <c r="D1323" t="s">
        <v>31</v>
      </c>
      <c r="E1323" t="s">
        <v>74</v>
      </c>
      <c r="F1323" s="1">
        <v>46140</v>
      </c>
      <c r="G1323">
        <v>46200</v>
      </c>
      <c r="H1323" t="s">
        <v>8</v>
      </c>
      <c r="I1323">
        <v>2365.29</v>
      </c>
      <c r="J1323" t="s">
        <v>75</v>
      </c>
      <c r="K1323" t="s">
        <v>454</v>
      </c>
      <c r="L1323">
        <v>60</v>
      </c>
      <c r="M1323" t="s">
        <v>34</v>
      </c>
      <c r="N1323">
        <v>1.1679999999999999</v>
      </c>
      <c r="O1323">
        <v>1.3469411289857578</v>
      </c>
      <c r="P1323">
        <v>6.2600493086075668E-3</v>
      </c>
      <c r="Q1323">
        <v>1.3469411289857578</v>
      </c>
      <c r="R1323">
        <v>3185.9063829787228</v>
      </c>
      <c r="S1323" t="s">
        <v>19</v>
      </c>
      <c r="T1323">
        <v>1.2709999999999999</v>
      </c>
      <c r="U1323">
        <v>3006.2835899999995</v>
      </c>
      <c r="V1323">
        <v>179.62279297872328</v>
      </c>
      <c r="W1323">
        <v>5.9749118006103781E-2</v>
      </c>
    </row>
    <row r="1324" spans="1:23" x14ac:dyDescent="0.25">
      <c r="A1324" t="s">
        <v>451</v>
      </c>
      <c r="B1324" t="s">
        <v>20</v>
      </c>
      <c r="C1324" t="s">
        <v>123</v>
      </c>
      <c r="D1324" t="s">
        <v>31</v>
      </c>
      <c r="E1324" t="s">
        <v>124</v>
      </c>
      <c r="F1324" s="1">
        <v>46225</v>
      </c>
      <c r="G1324">
        <v>46270</v>
      </c>
      <c r="H1324" t="s">
        <v>6</v>
      </c>
      <c r="I1324">
        <v>27683.27</v>
      </c>
      <c r="J1324" t="s">
        <v>75</v>
      </c>
      <c r="K1324" t="s">
        <v>452</v>
      </c>
      <c r="L1324">
        <v>45</v>
      </c>
      <c r="M1324" t="s">
        <v>20</v>
      </c>
      <c r="N1324">
        <v>1.1408</v>
      </c>
      <c r="O1324">
        <v>1.3367705647996251</v>
      </c>
      <c r="P1324">
        <v>6.132344245551793E-3</v>
      </c>
      <c r="Q1324">
        <v>1.1408</v>
      </c>
      <c r="R1324">
        <v>31581.074416000003</v>
      </c>
      <c r="S1324" t="s">
        <v>21</v>
      </c>
      <c r="T1324">
        <v>1.101</v>
      </c>
      <c r="U1324">
        <v>30479.280269999999</v>
      </c>
      <c r="V1324">
        <v>1101.7941460000038</v>
      </c>
      <c r="W1324">
        <v>3.6148955495004666E-2</v>
      </c>
    </row>
    <row r="1325" spans="1:23" x14ac:dyDescent="0.25">
      <c r="A1325" t="s">
        <v>449</v>
      </c>
      <c r="B1325" t="s">
        <v>30</v>
      </c>
      <c r="C1325" t="s">
        <v>103</v>
      </c>
      <c r="D1325" t="s">
        <v>31</v>
      </c>
      <c r="E1325" t="s">
        <v>74</v>
      </c>
      <c r="F1325" s="1">
        <v>45711</v>
      </c>
      <c r="G1325">
        <v>45741</v>
      </c>
      <c r="H1325" t="s">
        <v>9</v>
      </c>
      <c r="I1325">
        <v>3195095.69</v>
      </c>
      <c r="J1325" t="s">
        <v>75</v>
      </c>
      <c r="K1325" t="s">
        <v>450</v>
      </c>
      <c r="L1325">
        <v>30</v>
      </c>
      <c r="M1325" t="s">
        <v>30</v>
      </c>
      <c r="N1325">
        <v>1.0825</v>
      </c>
      <c r="O1325">
        <v>1.2953987913600191</v>
      </c>
      <c r="P1325">
        <v>6.6689255791030069E-3</v>
      </c>
      <c r="Q1325">
        <v>6.6689255791030069E-3</v>
      </c>
      <c r="R1325">
        <v>21307.855374722771</v>
      </c>
      <c r="S1325" t="s">
        <v>11</v>
      </c>
      <c r="T1325">
        <v>6.5599999999999999E-3</v>
      </c>
      <c r="U1325">
        <v>20959.827726399999</v>
      </c>
      <c r="V1325">
        <v>348.02764832277171</v>
      </c>
      <c r="W1325">
        <v>1.6604509009604727E-2</v>
      </c>
    </row>
    <row r="1326" spans="1:23" x14ac:dyDescent="0.25">
      <c r="A1326" t="s">
        <v>447</v>
      </c>
      <c r="B1326" t="s">
        <v>40</v>
      </c>
      <c r="C1326" t="s">
        <v>78</v>
      </c>
      <c r="D1326" t="s">
        <v>33</v>
      </c>
      <c r="E1326" t="s">
        <v>79</v>
      </c>
      <c r="F1326" s="1">
        <v>46315</v>
      </c>
      <c r="G1326">
        <v>46345</v>
      </c>
      <c r="H1326" t="s">
        <v>9</v>
      </c>
      <c r="I1326">
        <v>2161423.46</v>
      </c>
      <c r="J1326" t="s">
        <v>84</v>
      </c>
      <c r="K1326" t="s">
        <v>448</v>
      </c>
      <c r="L1326">
        <v>30</v>
      </c>
      <c r="M1326" t="s">
        <v>40</v>
      </c>
      <c r="N1326">
        <v>1.1176999999999999</v>
      </c>
      <c r="O1326">
        <v>1.320456022210408</v>
      </c>
      <c r="P1326">
        <v>6.3200452360757699E-3</v>
      </c>
      <c r="Q1326">
        <v>6.3200452360757699E-3</v>
      </c>
      <c r="R1326">
        <v>13660.294041515406</v>
      </c>
      <c r="S1326" t="s">
        <v>23</v>
      </c>
      <c r="T1326">
        <v>6.8799999999999998E-3</v>
      </c>
      <c r="U1326">
        <v>14870.5934048</v>
      </c>
      <c r="V1326">
        <v>-1210.2993632845937</v>
      </c>
      <c r="W1326">
        <v>-8.1388773826196317E-2</v>
      </c>
    </row>
    <row r="1327" spans="1:23" x14ac:dyDescent="0.25">
      <c r="A1327" t="s">
        <v>445</v>
      </c>
      <c r="B1327" t="s">
        <v>32</v>
      </c>
      <c r="C1327" t="s">
        <v>106</v>
      </c>
      <c r="D1327" t="s">
        <v>31</v>
      </c>
      <c r="E1327" t="s">
        <v>74</v>
      </c>
      <c r="F1327" s="1">
        <v>46163</v>
      </c>
      <c r="G1327">
        <v>46193</v>
      </c>
      <c r="H1327" t="s">
        <v>6</v>
      </c>
      <c r="I1327">
        <v>8185.07</v>
      </c>
      <c r="J1327" t="s">
        <v>75</v>
      </c>
      <c r="K1327" t="s">
        <v>446</v>
      </c>
      <c r="L1327">
        <v>30</v>
      </c>
      <c r="M1327" t="s">
        <v>32</v>
      </c>
      <c r="N1327">
        <v>1.1598999999999999</v>
      </c>
      <c r="O1327">
        <v>1.3419642960443348</v>
      </c>
      <c r="P1327">
        <v>6.2836556693211983E-3</v>
      </c>
      <c r="Q1327">
        <v>1.1598999999999999</v>
      </c>
      <c r="R1327">
        <v>9493.8626929999991</v>
      </c>
      <c r="S1327" t="s">
        <v>19</v>
      </c>
      <c r="T1327">
        <v>1.083</v>
      </c>
      <c r="U1327">
        <v>8864.4308099999998</v>
      </c>
      <c r="V1327">
        <v>629.43188299999929</v>
      </c>
      <c r="W1327">
        <v>7.1006463527239078E-2</v>
      </c>
    </row>
    <row r="1328" spans="1:23" x14ac:dyDescent="0.25">
      <c r="A1328" t="s">
        <v>443</v>
      </c>
      <c r="B1328" t="s">
        <v>30</v>
      </c>
      <c r="C1328" t="s">
        <v>103</v>
      </c>
      <c r="D1328" t="s">
        <v>31</v>
      </c>
      <c r="E1328" t="s">
        <v>74</v>
      </c>
      <c r="F1328" s="1">
        <v>45820</v>
      </c>
      <c r="G1328">
        <v>45850</v>
      </c>
      <c r="H1328" t="s">
        <v>9</v>
      </c>
      <c r="I1328">
        <v>1453590.99</v>
      </c>
      <c r="J1328" t="s">
        <v>75</v>
      </c>
      <c r="K1328" t="s">
        <v>444</v>
      </c>
      <c r="L1328">
        <v>30</v>
      </c>
      <c r="M1328" t="s">
        <v>30</v>
      </c>
      <c r="N1328">
        <v>1.1594</v>
      </c>
      <c r="O1328">
        <v>1.3579292574373389</v>
      </c>
      <c r="P1328">
        <v>6.9575132021123384E-3</v>
      </c>
      <c r="Q1328">
        <v>6.9575132021123384E-3</v>
      </c>
      <c r="R1328">
        <v>10113.378503396543</v>
      </c>
      <c r="S1328" t="s">
        <v>12</v>
      </c>
      <c r="T1328">
        <v>6.7000000000000002E-3</v>
      </c>
      <c r="U1328">
        <v>9739.0596330000008</v>
      </c>
      <c r="V1328">
        <v>374.31887039654248</v>
      </c>
      <c r="W1328">
        <v>3.8434806285423478E-2</v>
      </c>
    </row>
    <row r="1329" spans="1:23" x14ac:dyDescent="0.25">
      <c r="A1329" t="s">
        <v>441</v>
      </c>
      <c r="B1329" t="s">
        <v>43</v>
      </c>
      <c r="C1329" t="s">
        <v>215</v>
      </c>
      <c r="D1329" t="s">
        <v>35</v>
      </c>
      <c r="E1329" t="s">
        <v>152</v>
      </c>
      <c r="F1329" s="1">
        <v>46252</v>
      </c>
      <c r="G1329">
        <v>46282</v>
      </c>
      <c r="H1329" t="s">
        <v>6</v>
      </c>
      <c r="I1329">
        <v>1096.93</v>
      </c>
      <c r="J1329" t="s">
        <v>75</v>
      </c>
      <c r="K1329" t="s">
        <v>442</v>
      </c>
      <c r="L1329">
        <v>30</v>
      </c>
      <c r="M1329" t="s">
        <v>43</v>
      </c>
      <c r="N1329">
        <v>1.1576</v>
      </c>
      <c r="O1329">
        <v>1.3525734649763392</v>
      </c>
      <c r="P1329">
        <v>6.2616974089901006E-3</v>
      </c>
      <c r="Q1329">
        <v>1.1576</v>
      </c>
      <c r="R1329">
        <v>1269.8061680000001</v>
      </c>
      <c r="S1329" t="s">
        <v>21</v>
      </c>
      <c r="T1329">
        <v>1.101</v>
      </c>
      <c r="U1329">
        <v>1207.71993</v>
      </c>
      <c r="V1329">
        <v>62.086238000000094</v>
      </c>
      <c r="W1329">
        <v>5.1407811080835683E-2</v>
      </c>
    </row>
    <row r="1330" spans="1:23" x14ac:dyDescent="0.25">
      <c r="A1330" t="s">
        <v>439</v>
      </c>
      <c r="B1330" t="s">
        <v>36</v>
      </c>
      <c r="C1330" t="s">
        <v>116</v>
      </c>
      <c r="D1330" t="s">
        <v>31</v>
      </c>
      <c r="E1330" t="s">
        <v>74</v>
      </c>
      <c r="F1330" s="1">
        <v>46157</v>
      </c>
      <c r="G1330">
        <v>46202</v>
      </c>
      <c r="H1330" t="s">
        <v>6</v>
      </c>
      <c r="I1330">
        <v>3256.51</v>
      </c>
      <c r="J1330" t="s">
        <v>75</v>
      </c>
      <c r="K1330" t="s">
        <v>440</v>
      </c>
      <c r="L1330">
        <v>45</v>
      </c>
      <c r="M1330" t="s">
        <v>36</v>
      </c>
      <c r="N1330">
        <v>1.1628000000000001</v>
      </c>
      <c r="O1330">
        <v>1.3357840321654222</v>
      </c>
      <c r="P1330">
        <v>6.3072249945758298E-3</v>
      </c>
      <c r="Q1330">
        <v>1.1628000000000001</v>
      </c>
      <c r="R1330">
        <v>3786.6698280000005</v>
      </c>
      <c r="S1330" t="s">
        <v>19</v>
      </c>
      <c r="T1330">
        <v>1.083</v>
      </c>
      <c r="U1330">
        <v>3526.80033</v>
      </c>
      <c r="V1330">
        <v>259.86949800000048</v>
      </c>
      <c r="W1330">
        <v>7.3684210526315921E-2</v>
      </c>
    </row>
    <row r="1331" spans="1:23" x14ac:dyDescent="0.25">
      <c r="A1331" t="s">
        <v>437</v>
      </c>
      <c r="B1331" t="s">
        <v>37</v>
      </c>
      <c r="C1331" t="s">
        <v>91</v>
      </c>
      <c r="D1331" t="s">
        <v>31</v>
      </c>
      <c r="E1331" t="s">
        <v>74</v>
      </c>
      <c r="F1331" s="1">
        <v>46044</v>
      </c>
      <c r="G1331">
        <v>46074</v>
      </c>
      <c r="H1331" t="s">
        <v>6</v>
      </c>
      <c r="I1331">
        <v>29267.05</v>
      </c>
      <c r="J1331" t="s">
        <v>75</v>
      </c>
      <c r="K1331" t="s">
        <v>438</v>
      </c>
      <c r="L1331">
        <v>30</v>
      </c>
      <c r="M1331" t="s">
        <v>37</v>
      </c>
      <c r="N1331">
        <v>1.1706000000000001</v>
      </c>
      <c r="O1331">
        <v>1.3421233662004128</v>
      </c>
      <c r="P1331">
        <v>6.2976113621691417E-3</v>
      </c>
      <c r="Q1331">
        <v>1.1706000000000001</v>
      </c>
      <c r="R1331">
        <v>34260.008730000001</v>
      </c>
      <c r="S1331" t="s">
        <v>16</v>
      </c>
      <c r="T1331">
        <v>1.0649999999999999</v>
      </c>
      <c r="U1331">
        <v>31169.408249999997</v>
      </c>
      <c r="V1331">
        <v>3090.6004800000046</v>
      </c>
      <c r="W1331">
        <v>9.9154929577464954E-2</v>
      </c>
    </row>
    <row r="1332" spans="1:23" x14ac:dyDescent="0.25">
      <c r="A1332" t="s">
        <v>435</v>
      </c>
      <c r="B1332" t="s">
        <v>30</v>
      </c>
      <c r="C1332" t="s">
        <v>103</v>
      </c>
      <c r="D1332" t="s">
        <v>31</v>
      </c>
      <c r="E1332" t="s">
        <v>74</v>
      </c>
      <c r="F1332" s="1">
        <v>46013</v>
      </c>
      <c r="G1332">
        <v>46043</v>
      </c>
      <c r="H1332" t="s">
        <v>9</v>
      </c>
      <c r="I1332">
        <v>1055336.8600000001</v>
      </c>
      <c r="J1332" t="s">
        <v>75</v>
      </c>
      <c r="K1332" t="s">
        <v>436</v>
      </c>
      <c r="L1332">
        <v>30</v>
      </c>
      <c r="M1332" t="s">
        <v>30</v>
      </c>
      <c r="N1332">
        <v>1.1745000000000001</v>
      </c>
      <c r="O1332">
        <v>1.3435140700068635</v>
      </c>
      <c r="P1332">
        <v>6.3565513882123722E-3</v>
      </c>
      <c r="Q1332">
        <v>6.3565513882123722E-3</v>
      </c>
      <c r="R1332">
        <v>6708.3029824646865</v>
      </c>
      <c r="S1332" t="s">
        <v>14</v>
      </c>
      <c r="T1332">
        <v>6.9800000000000001E-3</v>
      </c>
      <c r="U1332">
        <v>7366.2512828000008</v>
      </c>
      <c r="V1332">
        <v>-657.94830033531434</v>
      </c>
      <c r="W1332">
        <v>-8.9319285356393691E-2</v>
      </c>
    </row>
    <row r="1333" spans="1:23" x14ac:dyDescent="0.25">
      <c r="A1333" t="s">
        <v>433</v>
      </c>
      <c r="B1333" t="s">
        <v>37</v>
      </c>
      <c r="C1333" t="s">
        <v>91</v>
      </c>
      <c r="D1333" t="s">
        <v>31</v>
      </c>
      <c r="E1333" t="s">
        <v>74</v>
      </c>
      <c r="F1333" s="1">
        <v>45813</v>
      </c>
      <c r="G1333">
        <v>45843</v>
      </c>
      <c r="H1333" t="s">
        <v>6</v>
      </c>
      <c r="I1333">
        <v>10845.57</v>
      </c>
      <c r="J1333" t="s">
        <v>75</v>
      </c>
      <c r="K1333" t="s">
        <v>434</v>
      </c>
      <c r="L1333">
        <v>30</v>
      </c>
      <c r="M1333" t="s">
        <v>37</v>
      </c>
      <c r="N1333">
        <v>1.1423000000000001</v>
      </c>
      <c r="O1333">
        <v>1.3568119729183989</v>
      </c>
      <c r="P1333">
        <v>6.9797140413051456E-3</v>
      </c>
      <c r="Q1333">
        <v>1.1423000000000001</v>
      </c>
      <c r="R1333">
        <v>12388.894611000002</v>
      </c>
      <c r="S1333" t="s">
        <v>12</v>
      </c>
      <c r="T1333">
        <v>1.07</v>
      </c>
      <c r="U1333">
        <v>11604.759900000001</v>
      </c>
      <c r="V1333">
        <v>784.13471100000061</v>
      </c>
      <c r="W1333">
        <v>6.7570093457943972E-2</v>
      </c>
    </row>
    <row r="1334" spans="1:23" x14ac:dyDescent="0.25">
      <c r="A1334" t="s">
        <v>431</v>
      </c>
      <c r="B1334" t="s">
        <v>38</v>
      </c>
      <c r="C1334" t="s">
        <v>87</v>
      </c>
      <c r="D1334" t="s">
        <v>33</v>
      </c>
      <c r="E1334" t="s">
        <v>88</v>
      </c>
      <c r="F1334" s="1">
        <v>45852</v>
      </c>
      <c r="G1334">
        <v>45882</v>
      </c>
      <c r="H1334" t="s">
        <v>6</v>
      </c>
      <c r="I1334">
        <v>5741.86</v>
      </c>
      <c r="J1334" t="s">
        <v>75</v>
      </c>
      <c r="K1334" t="s">
        <v>432</v>
      </c>
      <c r="L1334">
        <v>30</v>
      </c>
      <c r="M1334" t="s">
        <v>38</v>
      </c>
      <c r="N1334">
        <v>1.169</v>
      </c>
      <c r="O1334">
        <v>1.3487942771431869</v>
      </c>
      <c r="P1334">
        <v>6.7858594067452252E-3</v>
      </c>
      <c r="Q1334">
        <v>1.169</v>
      </c>
      <c r="R1334">
        <v>6712.23434</v>
      </c>
      <c r="S1334" t="s">
        <v>13</v>
      </c>
      <c r="T1334">
        <v>1.0880000000000001</v>
      </c>
      <c r="U1334">
        <v>6247.1436800000001</v>
      </c>
      <c r="V1334">
        <v>465.09065999999984</v>
      </c>
      <c r="W1334">
        <v>7.4448529411764677E-2</v>
      </c>
    </row>
    <row r="1335" spans="1:23" x14ac:dyDescent="0.25">
      <c r="A1335" t="s">
        <v>429</v>
      </c>
      <c r="B1335" t="s">
        <v>28</v>
      </c>
      <c r="C1335" t="s">
        <v>111</v>
      </c>
      <c r="D1335" t="s">
        <v>31</v>
      </c>
      <c r="E1335" t="s">
        <v>74</v>
      </c>
      <c r="F1335" s="1">
        <v>46283</v>
      </c>
      <c r="G1335">
        <v>46328</v>
      </c>
      <c r="H1335" t="s">
        <v>9</v>
      </c>
      <c r="I1335">
        <v>1406493.3</v>
      </c>
      <c r="J1335" t="s">
        <v>75</v>
      </c>
      <c r="K1335" t="s">
        <v>430</v>
      </c>
      <c r="L1335">
        <v>45</v>
      </c>
      <c r="M1335" t="s">
        <v>28</v>
      </c>
      <c r="N1335">
        <v>1.1459999999999999</v>
      </c>
      <c r="O1335">
        <v>1.3344201210992082</v>
      </c>
      <c r="P1335">
        <v>6.3335912457168119E-3</v>
      </c>
      <c r="Q1335">
        <v>6.3335912457168119E-3</v>
      </c>
      <c r="R1335">
        <v>8908.1536520393493</v>
      </c>
      <c r="S1335" t="s">
        <v>21</v>
      </c>
      <c r="T1335">
        <v>6.7400000000000003E-3</v>
      </c>
      <c r="U1335">
        <v>9479.7648420000005</v>
      </c>
      <c r="V1335">
        <v>-571.61118996065125</v>
      </c>
      <c r="W1335">
        <v>-6.0298034760117018E-2</v>
      </c>
    </row>
    <row r="1336" spans="1:23" x14ac:dyDescent="0.25">
      <c r="A1336" t="s">
        <v>427</v>
      </c>
      <c r="B1336" t="s">
        <v>42</v>
      </c>
      <c r="C1336" t="s">
        <v>151</v>
      </c>
      <c r="D1336" t="s">
        <v>35</v>
      </c>
      <c r="E1336" t="s">
        <v>152</v>
      </c>
      <c r="F1336" s="1">
        <v>46251</v>
      </c>
      <c r="G1336">
        <v>46281</v>
      </c>
      <c r="H1336" t="s">
        <v>8</v>
      </c>
      <c r="I1336">
        <v>1606.73</v>
      </c>
      <c r="J1336" t="s">
        <v>75</v>
      </c>
      <c r="K1336" t="s">
        <v>428</v>
      </c>
      <c r="L1336">
        <v>30</v>
      </c>
      <c r="M1336" t="s">
        <v>42</v>
      </c>
      <c r="N1336">
        <v>1.1593</v>
      </c>
      <c r="O1336">
        <v>1.3559064327485379</v>
      </c>
      <c r="P1336">
        <v>6.2804052223847445E-3</v>
      </c>
      <c r="Q1336">
        <v>1.3559064327485379</v>
      </c>
      <c r="R1336">
        <v>2178.5755426900582</v>
      </c>
      <c r="S1336" t="s">
        <v>21</v>
      </c>
      <c r="T1336">
        <v>1.2929999999999999</v>
      </c>
      <c r="U1336">
        <v>2077.50189</v>
      </c>
      <c r="V1336">
        <v>101.07365269005822</v>
      </c>
      <c r="W1336">
        <v>4.8651533448211798E-2</v>
      </c>
    </row>
    <row r="1337" spans="1:23" x14ac:dyDescent="0.25">
      <c r="A1337" t="s">
        <v>425</v>
      </c>
      <c r="B1337" t="s">
        <v>30</v>
      </c>
      <c r="C1337" t="s">
        <v>103</v>
      </c>
      <c r="D1337" t="s">
        <v>31</v>
      </c>
      <c r="E1337" t="s">
        <v>74</v>
      </c>
      <c r="F1337" s="1">
        <v>45689</v>
      </c>
      <c r="G1337">
        <v>45719</v>
      </c>
      <c r="H1337" t="s">
        <v>9</v>
      </c>
      <c r="I1337">
        <v>4829555.3899999997</v>
      </c>
      <c r="J1337" t="s">
        <v>75</v>
      </c>
      <c r="K1337" t="s">
        <v>426</v>
      </c>
      <c r="L1337">
        <v>30</v>
      </c>
      <c r="M1337" t="s">
        <v>30</v>
      </c>
      <c r="N1337">
        <v>1.0465</v>
      </c>
      <c r="O1337">
        <v>1.2644997583373609</v>
      </c>
      <c r="P1337">
        <v>6.6461323510732884E-3</v>
      </c>
      <c r="Q1337">
        <v>6.6461323510732884E-3</v>
      </c>
      <c r="R1337">
        <v>32097.864318779371</v>
      </c>
      <c r="S1337" t="s">
        <v>11</v>
      </c>
      <c r="T1337">
        <v>6.5599999999999999E-3</v>
      </c>
      <c r="U1337">
        <v>31681.883358399999</v>
      </c>
      <c r="V1337">
        <v>415.98096037937285</v>
      </c>
      <c r="W1337">
        <v>1.3129931566050079E-2</v>
      </c>
    </row>
    <row r="1338" spans="1:23" x14ac:dyDescent="0.25">
      <c r="A1338" t="s">
        <v>423</v>
      </c>
      <c r="B1338" t="s">
        <v>32</v>
      </c>
      <c r="C1338" t="s">
        <v>106</v>
      </c>
      <c r="D1338" t="s">
        <v>31</v>
      </c>
      <c r="E1338" t="s">
        <v>74</v>
      </c>
      <c r="F1338" s="1">
        <v>45785</v>
      </c>
      <c r="G1338">
        <v>45815</v>
      </c>
      <c r="H1338" t="s">
        <v>6</v>
      </c>
      <c r="I1338">
        <v>3718.98</v>
      </c>
      <c r="J1338" t="s">
        <v>75</v>
      </c>
      <c r="K1338" t="s">
        <v>424</v>
      </c>
      <c r="L1338">
        <v>30</v>
      </c>
      <c r="M1338" t="s">
        <v>32</v>
      </c>
      <c r="N1338">
        <v>1.1296999999999999</v>
      </c>
      <c r="O1338">
        <v>1.3328220858895705</v>
      </c>
      <c r="P1338">
        <v>6.9115937595594984E-3</v>
      </c>
      <c r="Q1338">
        <v>1.1296999999999999</v>
      </c>
      <c r="R1338">
        <v>4201.3317059999999</v>
      </c>
      <c r="S1338" t="s">
        <v>12</v>
      </c>
      <c r="T1338">
        <v>1.07</v>
      </c>
      <c r="U1338">
        <v>3979.3086000000003</v>
      </c>
      <c r="V1338">
        <v>222.02310599999964</v>
      </c>
      <c r="W1338">
        <v>5.5794392523364392E-2</v>
      </c>
    </row>
    <row r="1339" spans="1:23" x14ac:dyDescent="0.25">
      <c r="A1339" t="s">
        <v>421</v>
      </c>
      <c r="B1339" t="s">
        <v>28</v>
      </c>
      <c r="C1339" t="s">
        <v>111</v>
      </c>
      <c r="D1339" t="s">
        <v>31</v>
      </c>
      <c r="E1339" t="s">
        <v>74</v>
      </c>
      <c r="F1339" s="1">
        <v>46019</v>
      </c>
      <c r="G1339">
        <v>46064</v>
      </c>
      <c r="H1339" t="s">
        <v>9</v>
      </c>
      <c r="I1339">
        <v>2649314.91</v>
      </c>
      <c r="J1339" t="s">
        <v>75</v>
      </c>
      <c r="K1339" t="s">
        <v>422</v>
      </c>
      <c r="L1339">
        <v>45</v>
      </c>
      <c r="M1339" t="s">
        <v>28</v>
      </c>
      <c r="N1339">
        <v>1.1555</v>
      </c>
      <c r="O1339">
        <v>1.3367963164349013</v>
      </c>
      <c r="P1339">
        <v>6.2983756677204832E-3</v>
      </c>
      <c r="Q1339">
        <v>6.2983756677204832E-3</v>
      </c>
      <c r="R1339">
        <v>16686.380565273084</v>
      </c>
      <c r="S1339" t="s">
        <v>14</v>
      </c>
      <c r="T1339">
        <v>6.9800000000000001E-3</v>
      </c>
      <c r="U1339">
        <v>18492.218071800002</v>
      </c>
      <c r="V1339">
        <v>-1805.8375065269174</v>
      </c>
      <c r="W1339">
        <v>-9.7653915799357657E-2</v>
      </c>
    </row>
    <row r="1340" spans="1:23" x14ac:dyDescent="0.25">
      <c r="A1340" t="s">
        <v>419</v>
      </c>
      <c r="B1340" t="s">
        <v>24</v>
      </c>
      <c r="C1340" t="s">
        <v>73</v>
      </c>
      <c r="D1340" t="s">
        <v>31</v>
      </c>
      <c r="E1340" t="s">
        <v>74</v>
      </c>
      <c r="F1340" s="1">
        <v>46028</v>
      </c>
      <c r="G1340">
        <v>46058</v>
      </c>
      <c r="H1340" t="s">
        <v>6</v>
      </c>
      <c r="I1340">
        <v>23671.439999999999</v>
      </c>
      <c r="J1340" t="s">
        <v>75</v>
      </c>
      <c r="K1340" t="s">
        <v>420</v>
      </c>
      <c r="L1340">
        <v>30</v>
      </c>
      <c r="M1340" t="s">
        <v>24</v>
      </c>
      <c r="N1340">
        <v>1.1707000000000001</v>
      </c>
      <c r="O1340">
        <v>1.3513794297587443</v>
      </c>
      <c r="P1340">
        <v>6.3923774161843408E-3</v>
      </c>
      <c r="Q1340">
        <v>1.1707000000000001</v>
      </c>
      <c r="R1340">
        <v>27712.154807999999</v>
      </c>
      <c r="S1340" t="s">
        <v>16</v>
      </c>
      <c r="T1340">
        <v>1.0649999999999999</v>
      </c>
      <c r="U1340">
        <v>25210.083599999998</v>
      </c>
      <c r="V1340">
        <v>2502.0712080000012</v>
      </c>
      <c r="W1340">
        <v>9.9248826291079867E-2</v>
      </c>
    </row>
    <row r="1341" spans="1:23" x14ac:dyDescent="0.25">
      <c r="A1341" t="s">
        <v>417</v>
      </c>
      <c r="B1341" t="s">
        <v>43</v>
      </c>
      <c r="C1341" t="s">
        <v>215</v>
      </c>
      <c r="D1341" t="s">
        <v>35</v>
      </c>
      <c r="E1341" t="s">
        <v>152</v>
      </c>
      <c r="F1341" s="1">
        <v>46206</v>
      </c>
      <c r="G1341">
        <v>46236</v>
      </c>
      <c r="H1341" t="s">
        <v>6</v>
      </c>
      <c r="I1341">
        <v>3485.19</v>
      </c>
      <c r="J1341" t="s">
        <v>75</v>
      </c>
      <c r="K1341" t="s">
        <v>418</v>
      </c>
      <c r="L1341">
        <v>30</v>
      </c>
      <c r="M1341" t="s">
        <v>43</v>
      </c>
      <c r="N1341">
        <v>1.1448</v>
      </c>
      <c r="O1341">
        <v>1.3355109659356044</v>
      </c>
      <c r="P1341">
        <v>6.2055507372072863E-3</v>
      </c>
      <c r="Q1341">
        <v>1.1448</v>
      </c>
      <c r="R1341">
        <v>3989.8455120000003</v>
      </c>
      <c r="S1341" t="s">
        <v>21</v>
      </c>
      <c r="T1341">
        <v>1.101</v>
      </c>
      <c r="U1341">
        <v>3837.1941900000002</v>
      </c>
      <c r="V1341">
        <v>152.65132200000016</v>
      </c>
      <c r="W1341">
        <v>3.9782016348773881E-2</v>
      </c>
    </row>
    <row r="1342" spans="1:23" x14ac:dyDescent="0.25">
      <c r="A1342" t="s">
        <v>415</v>
      </c>
      <c r="B1342" t="s">
        <v>34</v>
      </c>
      <c r="C1342" t="s">
        <v>177</v>
      </c>
      <c r="D1342" t="s">
        <v>31</v>
      </c>
      <c r="E1342" t="s">
        <v>74</v>
      </c>
      <c r="F1342" s="1">
        <v>46156</v>
      </c>
      <c r="G1342">
        <v>46216</v>
      </c>
      <c r="H1342" t="s">
        <v>8</v>
      </c>
      <c r="I1342">
        <v>27303.84</v>
      </c>
      <c r="J1342" t="s">
        <v>75</v>
      </c>
      <c r="K1342" t="s">
        <v>416</v>
      </c>
      <c r="L1342">
        <v>60</v>
      </c>
      <c r="M1342" t="s">
        <v>34</v>
      </c>
      <c r="N1342">
        <v>1.1701999999999999</v>
      </c>
      <c r="O1342">
        <v>1.3509894017409776</v>
      </c>
      <c r="P1342">
        <v>6.3312232862630519E-3</v>
      </c>
      <c r="Q1342">
        <v>1.3509894017409776</v>
      </c>
      <c r="R1342">
        <v>36887.198466831374</v>
      </c>
      <c r="S1342" t="s">
        <v>19</v>
      </c>
      <c r="T1342">
        <v>1.2709999999999999</v>
      </c>
      <c r="U1342">
        <v>34703.180639999999</v>
      </c>
      <c r="V1342">
        <v>2184.0178268313757</v>
      </c>
      <c r="W1342">
        <v>6.293422638943956E-2</v>
      </c>
    </row>
    <row r="1343" spans="1:23" x14ac:dyDescent="0.25">
      <c r="A1343" t="s">
        <v>413</v>
      </c>
      <c r="B1343" t="s">
        <v>36</v>
      </c>
      <c r="C1343" t="s">
        <v>116</v>
      </c>
      <c r="D1343" t="s">
        <v>31</v>
      </c>
      <c r="E1343" t="s">
        <v>74</v>
      </c>
      <c r="F1343" s="1">
        <v>45784</v>
      </c>
      <c r="G1343">
        <v>45829</v>
      </c>
      <c r="H1343" t="s">
        <v>6</v>
      </c>
      <c r="I1343">
        <v>26897.79</v>
      </c>
      <c r="J1343" t="s">
        <v>75</v>
      </c>
      <c r="K1343" t="s">
        <v>414</v>
      </c>
      <c r="L1343">
        <v>45</v>
      </c>
      <c r="M1343" t="s">
        <v>36</v>
      </c>
      <c r="N1343">
        <v>1.1359999999999999</v>
      </c>
      <c r="O1343">
        <v>1.3347432734108799</v>
      </c>
      <c r="P1343">
        <v>6.9740315550371416E-3</v>
      </c>
      <c r="Q1343">
        <v>1.1359999999999999</v>
      </c>
      <c r="R1343">
        <v>30555.889439999999</v>
      </c>
      <c r="S1343" t="s">
        <v>12</v>
      </c>
      <c r="T1343">
        <v>1.07</v>
      </c>
      <c r="U1343">
        <v>28780.635300000002</v>
      </c>
      <c r="V1343">
        <v>1775.2541399999973</v>
      </c>
      <c r="W1343">
        <v>6.1682242990654106E-2</v>
      </c>
    </row>
    <row r="1344" spans="1:23" x14ac:dyDescent="0.25">
      <c r="A1344" t="s">
        <v>411</v>
      </c>
      <c r="B1344" t="s">
        <v>43</v>
      </c>
      <c r="C1344" t="s">
        <v>215</v>
      </c>
      <c r="D1344" t="s">
        <v>35</v>
      </c>
      <c r="E1344" t="s">
        <v>152</v>
      </c>
      <c r="F1344" s="1">
        <v>46210</v>
      </c>
      <c r="G1344">
        <v>46240</v>
      </c>
      <c r="H1344" t="s">
        <v>6</v>
      </c>
      <c r="I1344">
        <v>9227.0300000000007</v>
      </c>
      <c r="J1344" t="s">
        <v>75</v>
      </c>
      <c r="K1344" t="s">
        <v>412</v>
      </c>
      <c r="L1344">
        <v>30</v>
      </c>
      <c r="M1344" t="s">
        <v>43</v>
      </c>
      <c r="N1344">
        <v>1.1433</v>
      </c>
      <c r="O1344">
        <v>1.3385863647539544</v>
      </c>
      <c r="P1344">
        <v>6.176994975417364E-3</v>
      </c>
      <c r="Q1344">
        <v>1.1433</v>
      </c>
      <c r="R1344">
        <v>10549.263399000001</v>
      </c>
      <c r="S1344" t="s">
        <v>21</v>
      </c>
      <c r="T1344">
        <v>1.101</v>
      </c>
      <c r="U1344">
        <v>10158.96003</v>
      </c>
      <c r="V1344">
        <v>390.30336900000111</v>
      </c>
      <c r="W1344">
        <v>3.8419618528610464E-2</v>
      </c>
    </row>
    <row r="1345" spans="1:23" x14ac:dyDescent="0.25">
      <c r="A1345" t="s">
        <v>409</v>
      </c>
      <c r="B1345" t="s">
        <v>39</v>
      </c>
      <c r="C1345" t="s">
        <v>82</v>
      </c>
      <c r="D1345" t="s">
        <v>33</v>
      </c>
      <c r="E1345" t="s">
        <v>83</v>
      </c>
      <c r="F1345" s="1">
        <v>45850</v>
      </c>
      <c r="G1345">
        <v>45895</v>
      </c>
      <c r="H1345" t="s">
        <v>8</v>
      </c>
      <c r="I1345">
        <v>13119.31</v>
      </c>
      <c r="J1345" t="s">
        <v>75</v>
      </c>
      <c r="K1345" t="s">
        <v>410</v>
      </c>
      <c r="L1345">
        <v>45</v>
      </c>
      <c r="M1345" t="s">
        <v>39</v>
      </c>
      <c r="N1345">
        <v>1.1611</v>
      </c>
      <c r="O1345">
        <v>1.3372106414833584</v>
      </c>
      <c r="P1345">
        <v>6.5450958286358508E-3</v>
      </c>
      <c r="Q1345">
        <v>1.3372106414833584</v>
      </c>
      <c r="R1345">
        <v>17543.280940919038</v>
      </c>
      <c r="S1345" t="s">
        <v>13</v>
      </c>
      <c r="T1345">
        <v>1.282</v>
      </c>
      <c r="U1345">
        <v>16818.955419999998</v>
      </c>
      <c r="V1345">
        <v>724.32552091903926</v>
      </c>
      <c r="W1345">
        <v>4.3066022997939504E-2</v>
      </c>
    </row>
    <row r="1346" spans="1:23" x14ac:dyDescent="0.25">
      <c r="A1346" t="s">
        <v>407</v>
      </c>
      <c r="B1346" t="s">
        <v>40</v>
      </c>
      <c r="C1346" t="s">
        <v>78</v>
      </c>
      <c r="D1346" t="s">
        <v>33</v>
      </c>
      <c r="E1346" t="s">
        <v>79</v>
      </c>
      <c r="F1346" s="1">
        <v>46289</v>
      </c>
      <c r="G1346">
        <v>46319</v>
      </c>
      <c r="H1346" t="s">
        <v>9</v>
      </c>
      <c r="I1346">
        <v>2470445.9700000002</v>
      </c>
      <c r="J1346" t="s">
        <v>75</v>
      </c>
      <c r="K1346" t="s">
        <v>408</v>
      </c>
      <c r="L1346">
        <v>30</v>
      </c>
      <c r="M1346" t="s">
        <v>40</v>
      </c>
      <c r="N1346">
        <v>1.1367</v>
      </c>
      <c r="O1346">
        <v>1.3219593887377017</v>
      </c>
      <c r="P1346">
        <v>6.2950656255191901E-3</v>
      </c>
      <c r="Q1346">
        <v>6.2950656255191901E-3</v>
      </c>
      <c r="R1346">
        <v>15551.619505449413</v>
      </c>
      <c r="S1346" t="s">
        <v>21</v>
      </c>
      <c r="T1346">
        <v>6.7400000000000003E-3</v>
      </c>
      <c r="U1346">
        <v>16650.805837800002</v>
      </c>
      <c r="V1346">
        <v>-1099.1863323505895</v>
      </c>
      <c r="W1346">
        <v>-6.6014002148488224E-2</v>
      </c>
    </row>
    <row r="1347" spans="1:23" x14ac:dyDescent="0.25">
      <c r="A1347" t="s">
        <v>405</v>
      </c>
      <c r="B1347" t="s">
        <v>39</v>
      </c>
      <c r="C1347" t="s">
        <v>82</v>
      </c>
      <c r="D1347" t="s">
        <v>33</v>
      </c>
      <c r="E1347" t="s">
        <v>83</v>
      </c>
      <c r="F1347" s="1">
        <v>46148</v>
      </c>
      <c r="G1347">
        <v>46193</v>
      </c>
      <c r="H1347" t="s">
        <v>8</v>
      </c>
      <c r="I1347">
        <v>9159.8700000000008</v>
      </c>
      <c r="J1347" t="s">
        <v>75</v>
      </c>
      <c r="K1347" t="s">
        <v>406</v>
      </c>
      <c r="L1347">
        <v>45</v>
      </c>
      <c r="M1347" t="s">
        <v>39</v>
      </c>
      <c r="N1347">
        <v>1.1761999999999999</v>
      </c>
      <c r="O1347">
        <v>1.3618154451777236</v>
      </c>
      <c r="P1347">
        <v>6.4014368128877753E-3</v>
      </c>
      <c r="Q1347">
        <v>1.3618154451777236</v>
      </c>
      <c r="R1347">
        <v>12474.052441820077</v>
      </c>
      <c r="S1347" t="s">
        <v>19</v>
      </c>
      <c r="T1347">
        <v>1.2709999999999999</v>
      </c>
      <c r="U1347">
        <v>11642.19477</v>
      </c>
      <c r="V1347">
        <v>831.85767182007658</v>
      </c>
      <c r="W1347">
        <v>7.1451963161072982E-2</v>
      </c>
    </row>
    <row r="1348" spans="1:23" x14ac:dyDescent="0.25">
      <c r="A1348" t="s">
        <v>403</v>
      </c>
      <c r="B1348" t="s">
        <v>39</v>
      </c>
      <c r="C1348" t="s">
        <v>82</v>
      </c>
      <c r="D1348" t="s">
        <v>33</v>
      </c>
      <c r="E1348" t="s">
        <v>83</v>
      </c>
      <c r="F1348" s="1">
        <v>46196</v>
      </c>
      <c r="G1348">
        <v>46241</v>
      </c>
      <c r="H1348" t="s">
        <v>8</v>
      </c>
      <c r="I1348">
        <v>14623.21</v>
      </c>
      <c r="J1348" t="s">
        <v>75</v>
      </c>
      <c r="K1348" t="s">
        <v>404</v>
      </c>
      <c r="L1348">
        <v>45</v>
      </c>
      <c r="M1348" t="s">
        <v>39</v>
      </c>
      <c r="N1348">
        <v>1.1392</v>
      </c>
      <c r="O1348">
        <v>1.3215777262180974</v>
      </c>
      <c r="P1348">
        <v>6.1906314531029235E-3</v>
      </c>
      <c r="Q1348">
        <v>1.3215777262180974</v>
      </c>
      <c r="R1348">
        <v>19325.708621809743</v>
      </c>
      <c r="S1348" t="s">
        <v>19</v>
      </c>
      <c r="T1348">
        <v>1.2709999999999999</v>
      </c>
      <c r="U1348">
        <v>18586.099909999997</v>
      </c>
      <c r="V1348">
        <v>739.60871180974573</v>
      </c>
      <c r="W1348">
        <v>3.9793647693231723E-2</v>
      </c>
    </row>
    <row r="1349" spans="1:23" x14ac:dyDescent="0.25">
      <c r="A1349" t="s">
        <v>401</v>
      </c>
      <c r="B1349" t="s">
        <v>43</v>
      </c>
      <c r="C1349" t="s">
        <v>215</v>
      </c>
      <c r="D1349" t="s">
        <v>35</v>
      </c>
      <c r="E1349" t="s">
        <v>152</v>
      </c>
      <c r="F1349" s="1">
        <v>46188</v>
      </c>
      <c r="G1349">
        <v>46218</v>
      </c>
      <c r="H1349" t="s">
        <v>6</v>
      </c>
      <c r="I1349">
        <v>3602.79</v>
      </c>
      <c r="J1349" t="s">
        <v>75</v>
      </c>
      <c r="K1349" t="s">
        <v>402</v>
      </c>
      <c r="L1349">
        <v>30</v>
      </c>
      <c r="M1349" t="s">
        <v>43</v>
      </c>
      <c r="N1349">
        <v>1.1607000000000001</v>
      </c>
      <c r="O1349">
        <v>1.3421134789496203</v>
      </c>
      <c r="P1349">
        <v>6.2426719733232935E-3</v>
      </c>
      <c r="Q1349">
        <v>1.1607000000000001</v>
      </c>
      <c r="R1349">
        <v>4181.7583530000002</v>
      </c>
      <c r="S1349" t="s">
        <v>19</v>
      </c>
      <c r="T1349">
        <v>1.083</v>
      </c>
      <c r="U1349">
        <v>3901.8215699999996</v>
      </c>
      <c r="V1349">
        <v>279.93678300000056</v>
      </c>
      <c r="W1349">
        <v>7.1745152354570782E-2</v>
      </c>
    </row>
    <row r="1350" spans="1:23" x14ac:dyDescent="0.25">
      <c r="A1350" t="s">
        <v>399</v>
      </c>
      <c r="B1350" t="s">
        <v>43</v>
      </c>
      <c r="C1350" t="s">
        <v>215</v>
      </c>
      <c r="D1350" t="s">
        <v>35</v>
      </c>
      <c r="E1350" t="s">
        <v>152</v>
      </c>
      <c r="F1350" s="1">
        <v>45946</v>
      </c>
      <c r="G1350">
        <v>45976</v>
      </c>
      <c r="H1350" t="s">
        <v>6</v>
      </c>
      <c r="I1350">
        <v>5576.93</v>
      </c>
      <c r="J1350" t="s">
        <v>75</v>
      </c>
      <c r="K1350" t="s">
        <v>400</v>
      </c>
      <c r="L1350">
        <v>30</v>
      </c>
      <c r="M1350" t="s">
        <v>43</v>
      </c>
      <c r="N1350">
        <v>1.1649</v>
      </c>
      <c r="O1350">
        <v>1.3426694329183955</v>
      </c>
      <c r="P1350">
        <v>6.6101117857345522E-3</v>
      </c>
      <c r="Q1350">
        <v>1.1649</v>
      </c>
      <c r="R1350">
        <v>6496.5657570000003</v>
      </c>
      <c r="S1350" t="s">
        <v>14</v>
      </c>
      <c r="T1350">
        <v>1.1060000000000001</v>
      </c>
      <c r="U1350">
        <v>6168.0845800000006</v>
      </c>
      <c r="V1350">
        <v>328.48117699999966</v>
      </c>
      <c r="W1350">
        <v>5.325497287522598E-2</v>
      </c>
    </row>
    <row r="1351" spans="1:23" x14ac:dyDescent="0.25">
      <c r="A1351" t="s">
        <v>397</v>
      </c>
      <c r="B1351" t="s">
        <v>24</v>
      </c>
      <c r="C1351" t="s">
        <v>73</v>
      </c>
      <c r="D1351" t="s">
        <v>31</v>
      </c>
      <c r="E1351" t="s">
        <v>74</v>
      </c>
      <c r="F1351" s="1">
        <v>46017</v>
      </c>
      <c r="G1351">
        <v>46047</v>
      </c>
      <c r="H1351" t="s">
        <v>6</v>
      </c>
      <c r="I1351">
        <v>36286.94</v>
      </c>
      <c r="J1351" t="s">
        <v>75</v>
      </c>
      <c r="K1351" t="s">
        <v>398</v>
      </c>
      <c r="L1351">
        <v>30</v>
      </c>
      <c r="M1351" t="s">
        <v>24</v>
      </c>
      <c r="N1351">
        <v>1.1555</v>
      </c>
      <c r="O1351">
        <v>1.3367963164349013</v>
      </c>
      <c r="P1351">
        <v>6.2983756677204832E-3</v>
      </c>
      <c r="Q1351">
        <v>1.1555</v>
      </c>
      <c r="R1351">
        <v>41929.55917</v>
      </c>
      <c r="S1351" t="s">
        <v>14</v>
      </c>
      <c r="T1351">
        <v>1.1060000000000001</v>
      </c>
      <c r="U1351">
        <v>40133.355640000009</v>
      </c>
      <c r="V1351">
        <v>1796.2035299999916</v>
      </c>
      <c r="W1351">
        <v>4.4755877034357829E-2</v>
      </c>
    </row>
    <row r="1352" spans="1:23" x14ac:dyDescent="0.25">
      <c r="A1352" t="s">
        <v>395</v>
      </c>
      <c r="B1352" t="s">
        <v>42</v>
      </c>
      <c r="C1352" t="s">
        <v>151</v>
      </c>
      <c r="D1352" t="s">
        <v>35</v>
      </c>
      <c r="E1352" t="s">
        <v>152</v>
      </c>
      <c r="F1352" s="1">
        <v>45721</v>
      </c>
      <c r="G1352">
        <v>45751</v>
      </c>
      <c r="H1352" t="s">
        <v>8</v>
      </c>
      <c r="I1352">
        <v>6152.68</v>
      </c>
      <c r="J1352" t="s">
        <v>75</v>
      </c>
      <c r="K1352" t="s">
        <v>396</v>
      </c>
      <c r="L1352">
        <v>30</v>
      </c>
      <c r="M1352" t="s">
        <v>42</v>
      </c>
      <c r="N1352">
        <v>1.0693999999999999</v>
      </c>
      <c r="O1352">
        <v>1.2807185628742515</v>
      </c>
      <c r="P1352">
        <v>6.6799925042163779E-3</v>
      </c>
      <c r="Q1352">
        <v>1.2807185628742515</v>
      </c>
      <c r="R1352">
        <v>7879.8514874251496</v>
      </c>
      <c r="S1352" t="s">
        <v>11</v>
      </c>
      <c r="T1352">
        <v>1.238</v>
      </c>
      <c r="U1352">
        <v>7617.0178400000004</v>
      </c>
      <c r="V1352">
        <v>262.83364742514914</v>
      </c>
      <c r="W1352">
        <v>3.4506108945275768E-2</v>
      </c>
    </row>
    <row r="1353" spans="1:23" x14ac:dyDescent="0.25">
      <c r="A1353" t="s">
        <v>393</v>
      </c>
      <c r="B1353" t="s">
        <v>38</v>
      </c>
      <c r="C1353" t="s">
        <v>87</v>
      </c>
      <c r="D1353" t="s">
        <v>33</v>
      </c>
      <c r="E1353" t="s">
        <v>88</v>
      </c>
      <c r="F1353" s="1">
        <v>46358</v>
      </c>
      <c r="G1353">
        <v>46388</v>
      </c>
      <c r="H1353" t="s">
        <v>6</v>
      </c>
      <c r="I1353">
        <v>9237.74</v>
      </c>
      <c r="J1353" t="s">
        <v>84</v>
      </c>
      <c r="K1353" t="s">
        <v>394</v>
      </c>
      <c r="L1353">
        <v>30</v>
      </c>
      <c r="M1353" t="s">
        <v>38</v>
      </c>
      <c r="N1353">
        <v>1.1176999999999999</v>
      </c>
      <c r="O1353">
        <v>1.320456022210408</v>
      </c>
      <c r="P1353">
        <v>6.3200452360757699E-3</v>
      </c>
      <c r="Q1353">
        <v>1.1176999999999999</v>
      </c>
      <c r="R1353">
        <v>10325.021997999998</v>
      </c>
      <c r="S1353" t="s">
        <v>23</v>
      </c>
      <c r="T1353">
        <v>1.119</v>
      </c>
      <c r="U1353">
        <v>10337.031059999999</v>
      </c>
      <c r="V1353">
        <v>-12.009062000000995</v>
      </c>
      <c r="W1353">
        <v>-1.1617515638964323E-3</v>
      </c>
    </row>
    <row r="1354" spans="1:23" x14ac:dyDescent="0.25">
      <c r="A1354" t="s">
        <v>391</v>
      </c>
      <c r="B1354" t="s">
        <v>41</v>
      </c>
      <c r="C1354" t="s">
        <v>172</v>
      </c>
      <c r="D1354" t="s">
        <v>33</v>
      </c>
      <c r="E1354" t="s">
        <v>83</v>
      </c>
      <c r="F1354" s="1">
        <v>46252</v>
      </c>
      <c r="G1354">
        <v>46282</v>
      </c>
      <c r="H1354" t="s">
        <v>9</v>
      </c>
      <c r="I1354">
        <v>621625.68000000005</v>
      </c>
      <c r="J1354" t="s">
        <v>75</v>
      </c>
      <c r="K1354" t="s">
        <v>392</v>
      </c>
      <c r="L1354">
        <v>30</v>
      </c>
      <c r="M1354" t="s">
        <v>41</v>
      </c>
      <c r="N1354">
        <v>1.1576</v>
      </c>
      <c r="O1354">
        <v>1.3525734649763392</v>
      </c>
      <c r="P1354">
        <v>6.2616974089901006E-3</v>
      </c>
      <c r="Q1354">
        <v>6.2616974089901006E-3</v>
      </c>
      <c r="R1354">
        <v>3892.4319098177098</v>
      </c>
      <c r="S1354" t="s">
        <v>21</v>
      </c>
      <c r="T1354">
        <v>6.7400000000000003E-3</v>
      </c>
      <c r="U1354">
        <v>4189.7570832000001</v>
      </c>
      <c r="V1354">
        <v>-297.32517338229036</v>
      </c>
      <c r="W1354">
        <v>-7.0964776114228342E-2</v>
      </c>
    </row>
    <row r="1355" spans="1:23" x14ac:dyDescent="0.25">
      <c r="A1355" t="s">
        <v>389</v>
      </c>
      <c r="B1355" t="s">
        <v>28</v>
      </c>
      <c r="C1355" t="s">
        <v>111</v>
      </c>
      <c r="D1355" t="s">
        <v>31</v>
      </c>
      <c r="E1355" t="s">
        <v>74</v>
      </c>
      <c r="F1355" s="1">
        <v>46351</v>
      </c>
      <c r="G1355">
        <v>46396</v>
      </c>
      <c r="H1355" t="s">
        <v>9</v>
      </c>
      <c r="I1355">
        <v>5356815.1900000004</v>
      </c>
      <c r="J1355" t="s">
        <v>84</v>
      </c>
      <c r="K1355" t="s">
        <v>390</v>
      </c>
      <c r="L1355">
        <v>45</v>
      </c>
      <c r="M1355" t="s">
        <v>28</v>
      </c>
      <c r="N1355">
        <v>1.1176999999999999</v>
      </c>
      <c r="O1355">
        <v>1.320456022210408</v>
      </c>
      <c r="P1355">
        <v>6.3200452360757699E-3</v>
      </c>
      <c r="Q1355">
        <v>6.3200452360757699E-3</v>
      </c>
      <c r="R1355">
        <v>33855.314322097824</v>
      </c>
      <c r="S1355" t="s">
        <v>23</v>
      </c>
      <c r="T1355">
        <v>6.8799999999999998E-3</v>
      </c>
      <c r="U1355">
        <v>36854.888507200005</v>
      </c>
      <c r="V1355">
        <v>-2999.5741851021812</v>
      </c>
      <c r="W1355">
        <v>-8.1388773826196262E-2</v>
      </c>
    </row>
    <row r="1356" spans="1:23" x14ac:dyDescent="0.25">
      <c r="A1356" t="s">
        <v>387</v>
      </c>
      <c r="B1356" t="s">
        <v>24</v>
      </c>
      <c r="C1356" t="s">
        <v>73</v>
      </c>
      <c r="D1356" t="s">
        <v>31</v>
      </c>
      <c r="E1356" t="s">
        <v>74</v>
      </c>
      <c r="F1356" s="1">
        <v>46337</v>
      </c>
      <c r="G1356">
        <v>46367</v>
      </c>
      <c r="H1356" t="s">
        <v>6</v>
      </c>
      <c r="I1356">
        <v>22298.29</v>
      </c>
      <c r="J1356" t="s">
        <v>84</v>
      </c>
      <c r="K1356" t="s">
        <v>388</v>
      </c>
      <c r="L1356">
        <v>30</v>
      </c>
      <c r="M1356" t="s">
        <v>24</v>
      </c>
      <c r="N1356">
        <v>1.1176999999999999</v>
      </c>
      <c r="O1356">
        <v>1.320456022210408</v>
      </c>
      <c r="P1356">
        <v>6.3200452360757699E-3</v>
      </c>
      <c r="Q1356">
        <v>1.1176999999999999</v>
      </c>
      <c r="R1356">
        <v>24922.798733</v>
      </c>
      <c r="S1356" t="s">
        <v>23</v>
      </c>
      <c r="T1356">
        <v>1.119</v>
      </c>
      <c r="U1356">
        <v>24951.786510000002</v>
      </c>
      <c r="V1356">
        <v>-28.987777000002097</v>
      </c>
      <c r="W1356">
        <v>-1.1617515638964199E-3</v>
      </c>
    </row>
    <row r="1357" spans="1:23" x14ac:dyDescent="0.25">
      <c r="A1357" t="s">
        <v>385</v>
      </c>
      <c r="B1357" t="s">
        <v>44</v>
      </c>
      <c r="C1357" t="s">
        <v>138</v>
      </c>
      <c r="D1357" t="s">
        <v>33</v>
      </c>
      <c r="E1357" t="s">
        <v>88</v>
      </c>
      <c r="F1357" s="1">
        <v>46164</v>
      </c>
      <c r="G1357">
        <v>46209</v>
      </c>
      <c r="H1357" t="s">
        <v>9</v>
      </c>
      <c r="I1357">
        <v>833276.54</v>
      </c>
      <c r="J1357" t="s">
        <v>75</v>
      </c>
      <c r="K1357" t="s">
        <v>386</v>
      </c>
      <c r="L1357">
        <v>45</v>
      </c>
      <c r="M1357" t="s">
        <v>44</v>
      </c>
      <c r="N1357">
        <v>1.1595</v>
      </c>
      <c r="O1357">
        <v>1.3417343608970353</v>
      </c>
      <c r="P1357">
        <v>6.2835311331490814E-3</v>
      </c>
      <c r="Q1357">
        <v>6.2835311331490814E-3</v>
      </c>
      <c r="R1357">
        <v>5235.9190816127457</v>
      </c>
      <c r="S1357" t="s">
        <v>19</v>
      </c>
      <c r="T1357">
        <v>6.6E-3</v>
      </c>
      <c r="U1357">
        <v>5499.625164</v>
      </c>
      <c r="V1357">
        <v>-263.70608238725436</v>
      </c>
      <c r="W1357">
        <v>-4.7949828310745277E-2</v>
      </c>
    </row>
    <row r="1358" spans="1:23" x14ac:dyDescent="0.25">
      <c r="A1358" t="s">
        <v>383</v>
      </c>
      <c r="B1358" t="s">
        <v>44</v>
      </c>
      <c r="C1358" t="s">
        <v>138</v>
      </c>
      <c r="D1358" t="s">
        <v>33</v>
      </c>
      <c r="E1358" t="s">
        <v>88</v>
      </c>
      <c r="F1358" s="1">
        <v>46007</v>
      </c>
      <c r="G1358">
        <v>46052</v>
      </c>
      <c r="H1358" t="s">
        <v>9</v>
      </c>
      <c r="I1358">
        <v>1407204.91</v>
      </c>
      <c r="J1358" t="s">
        <v>75</v>
      </c>
      <c r="K1358" t="s">
        <v>384</v>
      </c>
      <c r="L1358">
        <v>45</v>
      </c>
      <c r="M1358" t="s">
        <v>44</v>
      </c>
      <c r="N1358">
        <v>1.1776</v>
      </c>
      <c r="O1358">
        <v>1.3436786855317207</v>
      </c>
      <c r="P1358">
        <v>6.4678420387762952E-3</v>
      </c>
      <c r="Q1358">
        <v>6.4678420387762952E-3</v>
      </c>
      <c r="R1358">
        <v>9101.5790740704124</v>
      </c>
      <c r="S1358" t="s">
        <v>14</v>
      </c>
      <c r="T1358">
        <v>6.9800000000000001E-3</v>
      </c>
      <c r="U1358">
        <v>9822.2902717999987</v>
      </c>
      <c r="V1358">
        <v>-720.71119772958627</v>
      </c>
      <c r="W1358">
        <v>-7.337506607789461E-2</v>
      </c>
    </row>
    <row r="1359" spans="1:23" x14ac:dyDescent="0.25">
      <c r="A1359" t="s">
        <v>381</v>
      </c>
      <c r="B1359" t="s">
        <v>42</v>
      </c>
      <c r="C1359" t="s">
        <v>151</v>
      </c>
      <c r="D1359" t="s">
        <v>35</v>
      </c>
      <c r="E1359" t="s">
        <v>152</v>
      </c>
      <c r="F1359" s="1">
        <v>45855</v>
      </c>
      <c r="G1359">
        <v>45885</v>
      </c>
      <c r="H1359" t="s">
        <v>8</v>
      </c>
      <c r="I1359">
        <v>4549.79</v>
      </c>
      <c r="J1359" t="s">
        <v>75</v>
      </c>
      <c r="K1359" t="s">
        <v>382</v>
      </c>
      <c r="L1359">
        <v>30</v>
      </c>
      <c r="M1359" t="s">
        <v>42</v>
      </c>
      <c r="N1359">
        <v>1.1578999999999999</v>
      </c>
      <c r="O1359">
        <v>1.3395418787598334</v>
      </c>
      <c r="P1359">
        <v>6.7210355235662869E-3</v>
      </c>
      <c r="Q1359">
        <v>1.3395418787598334</v>
      </c>
      <c r="R1359">
        <v>6094.6342445627024</v>
      </c>
      <c r="S1359" t="s">
        <v>13</v>
      </c>
      <c r="T1359">
        <v>1.282</v>
      </c>
      <c r="U1359">
        <v>5832.8307800000002</v>
      </c>
      <c r="V1359">
        <v>261.80346456270217</v>
      </c>
      <c r="W1359">
        <v>4.4884460811102457E-2</v>
      </c>
    </row>
    <row r="1360" spans="1:23" x14ac:dyDescent="0.25">
      <c r="A1360" t="s">
        <v>379</v>
      </c>
      <c r="B1360" t="s">
        <v>39</v>
      </c>
      <c r="C1360" t="s">
        <v>82</v>
      </c>
      <c r="D1360" t="s">
        <v>33</v>
      </c>
      <c r="E1360" t="s">
        <v>83</v>
      </c>
      <c r="F1360" s="1">
        <v>45807</v>
      </c>
      <c r="G1360">
        <v>45852</v>
      </c>
      <c r="H1360" t="s">
        <v>8</v>
      </c>
      <c r="I1360">
        <v>11792.17</v>
      </c>
      <c r="J1360" t="s">
        <v>75</v>
      </c>
      <c r="K1360" t="s">
        <v>380</v>
      </c>
      <c r="L1360">
        <v>45</v>
      </c>
      <c r="M1360" t="s">
        <v>39</v>
      </c>
      <c r="N1360">
        <v>1.1338999999999999</v>
      </c>
      <c r="O1360">
        <v>1.3479553019495958</v>
      </c>
      <c r="P1360">
        <v>6.9581492390770735E-3</v>
      </c>
      <c r="Q1360">
        <v>1.3479553019495958</v>
      </c>
      <c r="R1360">
        <v>15895.318072990965</v>
      </c>
      <c r="S1360" t="s">
        <v>12</v>
      </c>
      <c r="T1360">
        <v>1.26</v>
      </c>
      <c r="U1360">
        <v>14858.1342</v>
      </c>
      <c r="V1360">
        <v>1037.183872990965</v>
      </c>
      <c r="W1360">
        <v>6.9805795198091894E-2</v>
      </c>
    </row>
    <row r="1361" spans="1:23" x14ac:dyDescent="0.25">
      <c r="A1361" t="s">
        <v>377</v>
      </c>
      <c r="B1361" t="s">
        <v>20</v>
      </c>
      <c r="C1361" t="s">
        <v>123</v>
      </c>
      <c r="D1361" t="s">
        <v>31</v>
      </c>
      <c r="E1361" t="s">
        <v>124</v>
      </c>
      <c r="F1361" s="1">
        <v>46055</v>
      </c>
      <c r="G1361">
        <v>46100</v>
      </c>
      <c r="H1361" t="s">
        <v>6</v>
      </c>
      <c r="I1361">
        <v>16743.650000000001</v>
      </c>
      <c r="J1361" t="s">
        <v>75</v>
      </c>
      <c r="K1361" t="s">
        <v>378</v>
      </c>
      <c r="L1361">
        <v>45</v>
      </c>
      <c r="M1361" t="s">
        <v>20</v>
      </c>
      <c r="N1361">
        <v>1.1839999999999999</v>
      </c>
      <c r="O1361">
        <v>1.3675213675213673</v>
      </c>
      <c r="P1361">
        <v>6.4491530039762508E-3</v>
      </c>
      <c r="Q1361">
        <v>1.1839999999999999</v>
      </c>
      <c r="R1361">
        <v>19824.481599999999</v>
      </c>
      <c r="S1361" t="s">
        <v>16</v>
      </c>
      <c r="T1361">
        <v>1.0649999999999999</v>
      </c>
      <c r="U1361">
        <v>17831.987250000002</v>
      </c>
      <c r="V1361">
        <v>1992.4943499999972</v>
      </c>
      <c r="W1361">
        <v>0.11173708920187776</v>
      </c>
    </row>
    <row r="1362" spans="1:23" x14ac:dyDescent="0.25">
      <c r="A1362" t="s">
        <v>375</v>
      </c>
      <c r="B1362" t="s">
        <v>37</v>
      </c>
      <c r="C1362" t="s">
        <v>91</v>
      </c>
      <c r="D1362" t="s">
        <v>31</v>
      </c>
      <c r="E1362" t="s">
        <v>74</v>
      </c>
      <c r="F1362" s="1">
        <v>46187</v>
      </c>
      <c r="G1362">
        <v>46217</v>
      </c>
      <c r="H1362" t="s">
        <v>6</v>
      </c>
      <c r="I1362">
        <v>4962.32</v>
      </c>
      <c r="J1362" t="s">
        <v>75</v>
      </c>
      <c r="K1362" t="s">
        <v>376</v>
      </c>
      <c r="L1362">
        <v>30</v>
      </c>
      <c r="M1362" t="s">
        <v>37</v>
      </c>
      <c r="N1362">
        <v>1.1567000000000001</v>
      </c>
      <c r="O1362">
        <v>1.3402467991425759</v>
      </c>
      <c r="P1362">
        <v>6.2423097679438749E-3</v>
      </c>
      <c r="Q1362">
        <v>1.1567000000000001</v>
      </c>
      <c r="R1362">
        <v>5739.9155440000004</v>
      </c>
      <c r="S1362" t="s">
        <v>19</v>
      </c>
      <c r="T1362">
        <v>1.083</v>
      </c>
      <c r="U1362">
        <v>5374.1925599999995</v>
      </c>
      <c r="V1362">
        <v>365.72298400000091</v>
      </c>
      <c r="W1362">
        <v>6.8051708217913384E-2</v>
      </c>
    </row>
    <row r="1363" spans="1:23" x14ac:dyDescent="0.25">
      <c r="A1363" t="s">
        <v>373</v>
      </c>
      <c r="B1363" t="s">
        <v>32</v>
      </c>
      <c r="C1363" t="s">
        <v>106</v>
      </c>
      <c r="D1363" t="s">
        <v>31</v>
      </c>
      <c r="E1363" t="s">
        <v>74</v>
      </c>
      <c r="F1363" s="1">
        <v>46132</v>
      </c>
      <c r="G1363">
        <v>46162</v>
      </c>
      <c r="H1363" t="s">
        <v>6</v>
      </c>
      <c r="I1363">
        <v>26339.11</v>
      </c>
      <c r="J1363" t="s">
        <v>75</v>
      </c>
      <c r="K1363" t="s">
        <v>374</v>
      </c>
      <c r="L1363">
        <v>30</v>
      </c>
      <c r="M1363" t="s">
        <v>32</v>
      </c>
      <c r="N1363">
        <v>1.1759999999999999</v>
      </c>
      <c r="O1363">
        <v>1.3510253317249699</v>
      </c>
      <c r="P1363">
        <v>6.2928082191780824E-3</v>
      </c>
      <c r="Q1363">
        <v>1.1759999999999999</v>
      </c>
      <c r="R1363">
        <v>30974.79336</v>
      </c>
      <c r="S1363" t="s">
        <v>19</v>
      </c>
      <c r="T1363">
        <v>1.083</v>
      </c>
      <c r="U1363">
        <v>28525.256129999998</v>
      </c>
      <c r="V1363">
        <v>2449.5372300000017</v>
      </c>
      <c r="W1363">
        <v>8.5872576177285387E-2</v>
      </c>
    </row>
    <row r="1364" spans="1:23" x14ac:dyDescent="0.25">
      <c r="A1364" t="s">
        <v>371</v>
      </c>
      <c r="B1364" t="s">
        <v>20</v>
      </c>
      <c r="C1364" t="s">
        <v>123</v>
      </c>
      <c r="D1364" t="s">
        <v>31</v>
      </c>
      <c r="E1364" t="s">
        <v>124</v>
      </c>
      <c r="F1364" s="1">
        <v>46190</v>
      </c>
      <c r="G1364">
        <v>46235</v>
      </c>
      <c r="H1364" t="s">
        <v>6</v>
      </c>
      <c r="I1364">
        <v>51832.31</v>
      </c>
      <c r="J1364" t="s">
        <v>75</v>
      </c>
      <c r="K1364" t="s">
        <v>372</v>
      </c>
      <c r="L1364">
        <v>45</v>
      </c>
      <c r="M1364" t="s">
        <v>20</v>
      </c>
      <c r="N1364">
        <v>1.1591</v>
      </c>
      <c r="O1364">
        <v>1.3405734244705827</v>
      </c>
      <c r="P1364">
        <v>6.2377569691098918E-3</v>
      </c>
      <c r="Q1364">
        <v>1.1591</v>
      </c>
      <c r="R1364">
        <v>60078.830520999996</v>
      </c>
      <c r="S1364" t="s">
        <v>19</v>
      </c>
      <c r="T1364">
        <v>1.083</v>
      </c>
      <c r="U1364">
        <v>56134.391729999996</v>
      </c>
      <c r="V1364">
        <v>3944.4387910000005</v>
      </c>
      <c r="W1364">
        <v>7.0267774699907679E-2</v>
      </c>
    </row>
    <row r="1365" spans="1:23" x14ac:dyDescent="0.25">
      <c r="A1365" t="s">
        <v>369</v>
      </c>
      <c r="B1365" t="s">
        <v>43</v>
      </c>
      <c r="C1365" t="s">
        <v>215</v>
      </c>
      <c r="D1365" t="s">
        <v>35</v>
      </c>
      <c r="E1365" t="s">
        <v>152</v>
      </c>
      <c r="F1365" s="1">
        <v>46248</v>
      </c>
      <c r="G1365">
        <v>46278</v>
      </c>
      <c r="H1365" t="s">
        <v>6</v>
      </c>
      <c r="I1365">
        <v>1880.89</v>
      </c>
      <c r="J1365" t="s">
        <v>75</v>
      </c>
      <c r="K1365" t="s">
        <v>370</v>
      </c>
      <c r="L1365">
        <v>30</v>
      </c>
      <c r="M1365" t="s">
        <v>43</v>
      </c>
      <c r="N1365">
        <v>1.1567000000000001</v>
      </c>
      <c r="O1365">
        <v>1.3536571094207139</v>
      </c>
      <c r="P1365">
        <v>6.2888055238405913E-3</v>
      </c>
      <c r="Q1365">
        <v>1.1567000000000001</v>
      </c>
      <c r="R1365">
        <v>2175.6254630000003</v>
      </c>
      <c r="S1365" t="s">
        <v>21</v>
      </c>
      <c r="T1365">
        <v>1.101</v>
      </c>
      <c r="U1365">
        <v>2070.8598900000002</v>
      </c>
      <c r="V1365">
        <v>104.76557300000013</v>
      </c>
      <c r="W1365">
        <v>5.0590372388737571E-2</v>
      </c>
    </row>
    <row r="1366" spans="1:23" x14ac:dyDescent="0.25">
      <c r="A1366" t="s">
        <v>367</v>
      </c>
      <c r="B1366" t="s">
        <v>28</v>
      </c>
      <c r="C1366" t="s">
        <v>111</v>
      </c>
      <c r="D1366" t="s">
        <v>31</v>
      </c>
      <c r="E1366" t="s">
        <v>74</v>
      </c>
      <c r="F1366" s="1">
        <v>45665</v>
      </c>
      <c r="G1366">
        <v>45710</v>
      </c>
      <c r="H1366" t="s">
        <v>9</v>
      </c>
      <c r="I1366">
        <v>2192089.7200000002</v>
      </c>
      <c r="J1366" t="s">
        <v>75</v>
      </c>
      <c r="K1366" t="s">
        <v>368</v>
      </c>
      <c r="L1366">
        <v>45</v>
      </c>
      <c r="M1366" t="s">
        <v>28</v>
      </c>
      <c r="N1366">
        <v>1.0286</v>
      </c>
      <c r="O1366">
        <v>1.2332889704207282</v>
      </c>
      <c r="P1366">
        <v>6.3127531606726401E-3</v>
      </c>
      <c r="Q1366">
        <v>6.3127531606726401E-3</v>
      </c>
      <c r="R1366">
        <v>13838.121308408005</v>
      </c>
      <c r="S1366" t="s">
        <v>11</v>
      </c>
      <c r="T1366">
        <v>6.5599999999999999E-3</v>
      </c>
      <c r="U1366">
        <v>14380.108563200001</v>
      </c>
      <c r="V1366">
        <v>-541.98725479199675</v>
      </c>
      <c r="W1366">
        <v>-3.7690066970634088E-2</v>
      </c>
    </row>
    <row r="1367" spans="1:23" x14ac:dyDescent="0.25">
      <c r="A1367" t="s">
        <v>365</v>
      </c>
      <c r="B1367" t="s">
        <v>28</v>
      </c>
      <c r="C1367" t="s">
        <v>111</v>
      </c>
      <c r="D1367" t="s">
        <v>31</v>
      </c>
      <c r="E1367" t="s">
        <v>74</v>
      </c>
      <c r="F1367" s="1">
        <v>46331</v>
      </c>
      <c r="G1367">
        <v>46376</v>
      </c>
      <c r="H1367" t="s">
        <v>9</v>
      </c>
      <c r="I1367">
        <v>3294453.19</v>
      </c>
      <c r="J1367" t="s">
        <v>84</v>
      </c>
      <c r="K1367" t="s">
        <v>366</v>
      </c>
      <c r="L1367">
        <v>45</v>
      </c>
      <c r="M1367" t="s">
        <v>28</v>
      </c>
      <c r="N1367">
        <v>1.1176999999999999</v>
      </c>
      <c r="O1367">
        <v>1.320456022210408</v>
      </c>
      <c r="P1367">
        <v>6.3200452360757699E-3</v>
      </c>
      <c r="Q1367">
        <v>6.3200452360757699E-3</v>
      </c>
      <c r="R1367">
        <v>20821.093188934123</v>
      </c>
      <c r="S1367" t="s">
        <v>23</v>
      </c>
      <c r="T1367">
        <v>6.8799999999999998E-3</v>
      </c>
      <c r="U1367">
        <v>22665.837947199998</v>
      </c>
      <c r="V1367">
        <v>-1844.7447582658751</v>
      </c>
      <c r="W1367">
        <v>-8.1388773826196165E-2</v>
      </c>
    </row>
    <row r="1368" spans="1:23" x14ac:dyDescent="0.25">
      <c r="A1368" t="s">
        <v>363</v>
      </c>
      <c r="B1368" t="s">
        <v>26</v>
      </c>
      <c r="C1368" t="s">
        <v>94</v>
      </c>
      <c r="D1368" t="s">
        <v>31</v>
      </c>
      <c r="E1368" t="s">
        <v>74</v>
      </c>
      <c r="F1368" s="1">
        <v>45718</v>
      </c>
      <c r="G1368">
        <v>45748</v>
      </c>
      <c r="H1368" t="s">
        <v>8</v>
      </c>
      <c r="I1368">
        <v>15477.98</v>
      </c>
      <c r="J1368" t="s">
        <v>75</v>
      </c>
      <c r="K1368" t="s">
        <v>364</v>
      </c>
      <c r="L1368">
        <v>30</v>
      </c>
      <c r="M1368" t="s">
        <v>26</v>
      </c>
      <c r="N1368">
        <v>1.1096999999999999</v>
      </c>
      <c r="O1368">
        <v>1.3185128857098725</v>
      </c>
      <c r="P1368">
        <v>6.8428192637355863E-3</v>
      </c>
      <c r="Q1368">
        <v>1.3185128857098725</v>
      </c>
      <c r="R1368">
        <v>20407.916074759691</v>
      </c>
      <c r="S1368" t="s">
        <v>11</v>
      </c>
      <c r="T1368">
        <v>1.238</v>
      </c>
      <c r="U1368">
        <v>19161.739239999999</v>
      </c>
      <c r="V1368">
        <v>1246.1768347596917</v>
      </c>
      <c r="W1368">
        <v>6.5034641122675652E-2</v>
      </c>
    </row>
    <row r="1369" spans="1:23" x14ac:dyDescent="0.25">
      <c r="A1369" t="s">
        <v>361</v>
      </c>
      <c r="B1369" t="s">
        <v>22</v>
      </c>
      <c r="C1369" t="s">
        <v>127</v>
      </c>
      <c r="D1369" t="s">
        <v>31</v>
      </c>
      <c r="E1369" t="s">
        <v>124</v>
      </c>
      <c r="F1369" s="1">
        <v>45774</v>
      </c>
      <c r="G1369">
        <v>45834</v>
      </c>
      <c r="H1369" t="s">
        <v>9</v>
      </c>
      <c r="I1369">
        <v>13193857.470000001</v>
      </c>
      <c r="J1369" t="s">
        <v>75</v>
      </c>
      <c r="K1369" t="s">
        <v>362</v>
      </c>
      <c r="L1369">
        <v>60</v>
      </c>
      <c r="M1369" t="s">
        <v>22</v>
      </c>
      <c r="N1369">
        <v>1.1597999999999999</v>
      </c>
      <c r="O1369">
        <v>1.3603096410978184</v>
      </c>
      <c r="P1369">
        <v>6.8598805228603536E-3</v>
      </c>
      <c r="Q1369">
        <v>6.8598805228603536E-3</v>
      </c>
      <c r="R1369">
        <v>90508.285879848583</v>
      </c>
      <c r="S1369" t="s">
        <v>12</v>
      </c>
      <c r="T1369">
        <v>6.7000000000000002E-3</v>
      </c>
      <c r="U1369">
        <v>88398.84504900001</v>
      </c>
      <c r="V1369">
        <v>2109.4408308485727</v>
      </c>
      <c r="W1369">
        <v>2.3862764606022817E-2</v>
      </c>
    </row>
    <row r="1370" spans="1:23" x14ac:dyDescent="0.25">
      <c r="A1370" t="s">
        <v>359</v>
      </c>
      <c r="B1370" t="s">
        <v>42</v>
      </c>
      <c r="C1370" t="s">
        <v>151</v>
      </c>
      <c r="D1370" t="s">
        <v>35</v>
      </c>
      <c r="E1370" t="s">
        <v>152</v>
      </c>
      <c r="F1370" s="1">
        <v>46005</v>
      </c>
      <c r="G1370">
        <v>46035</v>
      </c>
      <c r="H1370" t="s">
        <v>8</v>
      </c>
      <c r="I1370">
        <v>4929.68</v>
      </c>
      <c r="J1370" t="s">
        <v>75</v>
      </c>
      <c r="K1370" t="s">
        <v>360</v>
      </c>
      <c r="L1370">
        <v>30</v>
      </c>
      <c r="M1370" t="s">
        <v>42</v>
      </c>
      <c r="N1370">
        <v>1.1555</v>
      </c>
      <c r="O1370">
        <v>1.3367963164349013</v>
      </c>
      <c r="P1370">
        <v>6.2983756677204832E-3</v>
      </c>
      <c r="Q1370">
        <v>1.3367963164349013</v>
      </c>
      <c r="R1370">
        <v>6589.9780652028048</v>
      </c>
      <c r="S1370" t="s">
        <v>14</v>
      </c>
      <c r="T1370">
        <v>1.304</v>
      </c>
      <c r="U1370">
        <v>6428.3027200000006</v>
      </c>
      <c r="V1370">
        <v>161.67534520280424</v>
      </c>
      <c r="W1370">
        <v>2.5150549413267866E-2</v>
      </c>
    </row>
    <row r="1371" spans="1:23" x14ac:dyDescent="0.25">
      <c r="A1371" t="s">
        <v>357</v>
      </c>
      <c r="B1371" t="s">
        <v>38</v>
      </c>
      <c r="C1371" t="s">
        <v>87</v>
      </c>
      <c r="D1371" t="s">
        <v>33</v>
      </c>
      <c r="E1371" t="s">
        <v>88</v>
      </c>
      <c r="F1371" s="1">
        <v>45844</v>
      </c>
      <c r="G1371">
        <v>45874</v>
      </c>
      <c r="H1371" t="s">
        <v>6</v>
      </c>
      <c r="I1371">
        <v>8667.16</v>
      </c>
      <c r="J1371" t="s">
        <v>75</v>
      </c>
      <c r="K1371" t="s">
        <v>358</v>
      </c>
      <c r="L1371">
        <v>30</v>
      </c>
      <c r="M1371" t="s">
        <v>38</v>
      </c>
      <c r="N1371">
        <v>1.1724000000000001</v>
      </c>
      <c r="O1371">
        <v>1.3469669117647061</v>
      </c>
      <c r="P1371">
        <v>6.7977039485127852E-3</v>
      </c>
      <c r="Q1371">
        <v>1.1724000000000001</v>
      </c>
      <c r="R1371">
        <v>10161.378384000001</v>
      </c>
      <c r="S1371" t="s">
        <v>13</v>
      </c>
      <c r="T1371">
        <v>1.0880000000000001</v>
      </c>
      <c r="U1371">
        <v>9429.8700800000006</v>
      </c>
      <c r="V1371">
        <v>731.50830400000086</v>
      </c>
      <c r="W1371">
        <v>7.7573529411764791E-2</v>
      </c>
    </row>
    <row r="1372" spans="1:23" x14ac:dyDescent="0.25">
      <c r="A1372" t="s">
        <v>355</v>
      </c>
      <c r="B1372" t="s">
        <v>30</v>
      </c>
      <c r="C1372" t="s">
        <v>103</v>
      </c>
      <c r="D1372" t="s">
        <v>31</v>
      </c>
      <c r="E1372" t="s">
        <v>74</v>
      </c>
      <c r="F1372" s="1">
        <v>46253</v>
      </c>
      <c r="G1372">
        <v>46283</v>
      </c>
      <c r="H1372" t="s">
        <v>9</v>
      </c>
      <c r="I1372">
        <v>2220417.69</v>
      </c>
      <c r="J1372" t="s">
        <v>75</v>
      </c>
      <c r="K1372" t="s">
        <v>356</v>
      </c>
      <c r="L1372">
        <v>30</v>
      </c>
      <c r="M1372" t="s">
        <v>30</v>
      </c>
      <c r="N1372">
        <v>1.1605000000000001</v>
      </c>
      <c r="O1372">
        <v>1.3555976077002152</v>
      </c>
      <c r="P1372">
        <v>6.2858845195536781E-3</v>
      </c>
      <c r="Q1372">
        <v>6.2858845195536781E-3</v>
      </c>
      <c r="R1372">
        <v>13957.289184514137</v>
      </c>
      <c r="S1372" t="s">
        <v>21</v>
      </c>
      <c r="T1372">
        <v>6.7400000000000003E-3</v>
      </c>
      <c r="U1372">
        <v>14965.6152306</v>
      </c>
      <c r="V1372">
        <v>-1008.3260460858637</v>
      </c>
      <c r="W1372">
        <v>-6.7376184042481094E-2</v>
      </c>
    </row>
    <row r="1373" spans="1:23" x14ac:dyDescent="0.25">
      <c r="A1373" t="s">
        <v>353</v>
      </c>
      <c r="B1373" t="s">
        <v>20</v>
      </c>
      <c r="C1373" t="s">
        <v>123</v>
      </c>
      <c r="D1373" t="s">
        <v>31</v>
      </c>
      <c r="E1373" t="s">
        <v>124</v>
      </c>
      <c r="F1373" s="1">
        <v>46255</v>
      </c>
      <c r="G1373">
        <v>46300</v>
      </c>
      <c r="H1373" t="s">
        <v>6</v>
      </c>
      <c r="I1373">
        <v>63201.35</v>
      </c>
      <c r="J1373" t="s">
        <v>75</v>
      </c>
      <c r="K1373" t="s">
        <v>354</v>
      </c>
      <c r="L1373">
        <v>45</v>
      </c>
      <c r="M1373" t="s">
        <v>20</v>
      </c>
      <c r="N1373">
        <v>1.1698999999999999</v>
      </c>
      <c r="O1373">
        <v>1.3655888875919224</v>
      </c>
      <c r="P1373">
        <v>6.3013034579338578E-3</v>
      </c>
      <c r="Q1373">
        <v>1.1698999999999999</v>
      </c>
      <c r="R1373">
        <v>73939.259364999991</v>
      </c>
      <c r="S1373" t="s">
        <v>21</v>
      </c>
      <c r="T1373">
        <v>1.101</v>
      </c>
      <c r="U1373">
        <v>69584.686350000004</v>
      </c>
      <c r="V1373">
        <v>4354.5730149999872</v>
      </c>
      <c r="W1373">
        <v>6.2579473206176017E-2</v>
      </c>
    </row>
    <row r="1374" spans="1:23" x14ac:dyDescent="0.25">
      <c r="A1374" t="s">
        <v>351</v>
      </c>
      <c r="B1374" t="s">
        <v>38</v>
      </c>
      <c r="C1374" t="s">
        <v>87</v>
      </c>
      <c r="D1374" t="s">
        <v>33</v>
      </c>
      <c r="E1374" t="s">
        <v>88</v>
      </c>
      <c r="F1374" s="1">
        <v>46067</v>
      </c>
      <c r="G1374">
        <v>46097</v>
      </c>
      <c r="H1374" t="s">
        <v>6</v>
      </c>
      <c r="I1374">
        <v>7978.19</v>
      </c>
      <c r="J1374" t="s">
        <v>75</v>
      </c>
      <c r="K1374" t="s">
        <v>352</v>
      </c>
      <c r="L1374">
        <v>30</v>
      </c>
      <c r="M1374" t="s">
        <v>38</v>
      </c>
      <c r="N1374">
        <v>1.1555</v>
      </c>
      <c r="O1374">
        <v>1.3367963164349013</v>
      </c>
      <c r="P1374">
        <v>6.2983756677204832E-3</v>
      </c>
      <c r="Q1374">
        <v>1.1555</v>
      </c>
      <c r="R1374">
        <v>9218.7985449999996</v>
      </c>
      <c r="S1374" t="s">
        <v>16</v>
      </c>
      <c r="T1374">
        <v>1.0649999999999999</v>
      </c>
      <c r="U1374">
        <v>8496.7723499999993</v>
      </c>
      <c r="V1374">
        <v>722.02619500000037</v>
      </c>
      <c r="W1374">
        <v>8.4976525821596288E-2</v>
      </c>
    </row>
    <row r="1375" spans="1:23" x14ac:dyDescent="0.25">
      <c r="A1375" t="s">
        <v>349</v>
      </c>
      <c r="B1375" t="s">
        <v>32</v>
      </c>
      <c r="C1375" t="s">
        <v>106</v>
      </c>
      <c r="D1375" t="s">
        <v>31</v>
      </c>
      <c r="E1375" t="s">
        <v>74</v>
      </c>
      <c r="F1375" s="1">
        <v>46068</v>
      </c>
      <c r="G1375">
        <v>46098</v>
      </c>
      <c r="H1375" t="s">
        <v>6</v>
      </c>
      <c r="I1375">
        <v>13601.8</v>
      </c>
      <c r="J1375" t="s">
        <v>75</v>
      </c>
      <c r="K1375" t="s">
        <v>350</v>
      </c>
      <c r="L1375">
        <v>30</v>
      </c>
      <c r="M1375" t="s">
        <v>32</v>
      </c>
      <c r="N1375">
        <v>1.1555</v>
      </c>
      <c r="O1375">
        <v>1.3367963164349013</v>
      </c>
      <c r="P1375">
        <v>6.2983756677204832E-3</v>
      </c>
      <c r="Q1375">
        <v>1.1555</v>
      </c>
      <c r="R1375">
        <v>15716.879899999998</v>
      </c>
      <c r="S1375" t="s">
        <v>16</v>
      </c>
      <c r="T1375">
        <v>1.0649999999999999</v>
      </c>
      <c r="U1375">
        <v>14485.916999999998</v>
      </c>
      <c r="V1375">
        <v>1230.9629000000004</v>
      </c>
      <c r="W1375">
        <v>8.4976525821596288E-2</v>
      </c>
    </row>
    <row r="1376" spans="1:23" x14ac:dyDescent="0.25">
      <c r="A1376" t="s">
        <v>347</v>
      </c>
      <c r="B1376" t="s">
        <v>20</v>
      </c>
      <c r="C1376" t="s">
        <v>123</v>
      </c>
      <c r="D1376" t="s">
        <v>31</v>
      </c>
      <c r="E1376" t="s">
        <v>124</v>
      </c>
      <c r="F1376" s="1">
        <v>46331</v>
      </c>
      <c r="G1376">
        <v>46376</v>
      </c>
      <c r="H1376" t="s">
        <v>6</v>
      </c>
      <c r="I1376">
        <v>35332.79</v>
      </c>
      <c r="J1376" t="s">
        <v>84</v>
      </c>
      <c r="K1376" t="s">
        <v>348</v>
      </c>
      <c r="L1376">
        <v>45</v>
      </c>
      <c r="M1376" t="s">
        <v>20</v>
      </c>
      <c r="N1376">
        <v>1.1176999999999999</v>
      </c>
      <c r="O1376">
        <v>1.320456022210408</v>
      </c>
      <c r="P1376">
        <v>6.3200452360757699E-3</v>
      </c>
      <c r="Q1376">
        <v>1.1176999999999999</v>
      </c>
      <c r="R1376">
        <v>39491.459383000001</v>
      </c>
      <c r="S1376" t="s">
        <v>23</v>
      </c>
      <c r="T1376">
        <v>1.119</v>
      </c>
      <c r="U1376">
        <v>39537.392010000003</v>
      </c>
      <c r="V1376">
        <v>-45.932627000001958</v>
      </c>
      <c r="W1376">
        <v>-1.1617515638963855E-3</v>
      </c>
    </row>
    <row r="1377" spans="1:23" x14ac:dyDescent="0.25">
      <c r="A1377" t="s">
        <v>345</v>
      </c>
      <c r="B1377" t="s">
        <v>28</v>
      </c>
      <c r="C1377" t="s">
        <v>111</v>
      </c>
      <c r="D1377" t="s">
        <v>31</v>
      </c>
      <c r="E1377" t="s">
        <v>74</v>
      </c>
      <c r="F1377" s="1">
        <v>45775</v>
      </c>
      <c r="G1377">
        <v>45820</v>
      </c>
      <c r="H1377" t="s">
        <v>9</v>
      </c>
      <c r="I1377">
        <v>1910461.6</v>
      </c>
      <c r="J1377" t="s">
        <v>75</v>
      </c>
      <c r="K1377" t="s">
        <v>346</v>
      </c>
      <c r="L1377">
        <v>45</v>
      </c>
      <c r="M1377" t="s">
        <v>28</v>
      </c>
      <c r="N1377">
        <v>1.1357999999999999</v>
      </c>
      <c r="O1377">
        <v>1.3340380549682873</v>
      </c>
      <c r="P1377">
        <v>6.9766584766584759E-3</v>
      </c>
      <c r="Q1377">
        <v>6.9766584766584759E-3</v>
      </c>
      <c r="R1377">
        <v>13328.638115970514</v>
      </c>
      <c r="S1377" t="s">
        <v>12</v>
      </c>
      <c r="T1377">
        <v>6.7000000000000002E-3</v>
      </c>
      <c r="U1377">
        <v>12800.092720000001</v>
      </c>
      <c r="V1377">
        <v>528.54539597051371</v>
      </c>
      <c r="W1377">
        <v>4.129230994902619E-2</v>
      </c>
    </row>
    <row r="1378" spans="1:23" x14ac:dyDescent="0.25">
      <c r="A1378" t="s">
        <v>343</v>
      </c>
      <c r="B1378" t="s">
        <v>20</v>
      </c>
      <c r="C1378" t="s">
        <v>123</v>
      </c>
      <c r="D1378" t="s">
        <v>31</v>
      </c>
      <c r="E1378" t="s">
        <v>124</v>
      </c>
      <c r="F1378" s="1">
        <v>45794</v>
      </c>
      <c r="G1378">
        <v>45839</v>
      </c>
      <c r="H1378" t="s">
        <v>6</v>
      </c>
      <c r="I1378">
        <v>42049.13</v>
      </c>
      <c r="J1378" t="s">
        <v>75</v>
      </c>
      <c r="K1378" t="s">
        <v>344</v>
      </c>
      <c r="L1378">
        <v>45</v>
      </c>
      <c r="M1378" t="s">
        <v>20</v>
      </c>
      <c r="N1378">
        <v>1.1726000000000001</v>
      </c>
      <c r="O1378">
        <v>1.353260242354299</v>
      </c>
      <c r="P1378">
        <v>6.8361219611729734E-3</v>
      </c>
      <c r="Q1378">
        <v>1.1726000000000001</v>
      </c>
      <c r="R1378">
        <v>49306.809838000001</v>
      </c>
      <c r="S1378" t="s">
        <v>12</v>
      </c>
      <c r="T1378">
        <v>1.07</v>
      </c>
      <c r="U1378">
        <v>44992.569100000001</v>
      </c>
      <c r="V1378">
        <v>4314.2407380000004</v>
      </c>
      <c r="W1378">
        <v>9.5887850467289731E-2</v>
      </c>
    </row>
    <row r="1379" spans="1:23" x14ac:dyDescent="0.25">
      <c r="A1379" t="s">
        <v>341</v>
      </c>
      <c r="B1379" t="s">
        <v>43</v>
      </c>
      <c r="C1379" t="s">
        <v>215</v>
      </c>
      <c r="D1379" t="s">
        <v>35</v>
      </c>
      <c r="E1379" t="s">
        <v>152</v>
      </c>
      <c r="F1379" s="1">
        <v>46290</v>
      </c>
      <c r="G1379">
        <v>46320</v>
      </c>
      <c r="H1379" t="s">
        <v>6</v>
      </c>
      <c r="I1379">
        <v>8623.2800000000007</v>
      </c>
      <c r="J1379" t="s">
        <v>75</v>
      </c>
      <c r="K1379" t="s">
        <v>342</v>
      </c>
      <c r="L1379">
        <v>30</v>
      </c>
      <c r="M1379" t="s">
        <v>43</v>
      </c>
      <c r="N1379">
        <v>1.1403000000000001</v>
      </c>
      <c r="O1379">
        <v>1.3252367947004475</v>
      </c>
      <c r="P1379">
        <v>6.3455759599332232E-3</v>
      </c>
      <c r="Q1379">
        <v>1.1403000000000001</v>
      </c>
      <c r="R1379">
        <v>9833.1261840000006</v>
      </c>
      <c r="S1379" t="s">
        <v>21</v>
      </c>
      <c r="T1379">
        <v>1.101</v>
      </c>
      <c r="U1379">
        <v>9494.23128</v>
      </c>
      <c r="V1379">
        <v>338.89490400000068</v>
      </c>
      <c r="W1379">
        <v>3.5694822888283448E-2</v>
      </c>
    </row>
    <row r="1380" spans="1:23" x14ac:dyDescent="0.25">
      <c r="A1380" t="s">
        <v>339</v>
      </c>
      <c r="B1380" t="s">
        <v>30</v>
      </c>
      <c r="C1380" t="s">
        <v>103</v>
      </c>
      <c r="D1380" t="s">
        <v>31</v>
      </c>
      <c r="E1380" t="s">
        <v>74</v>
      </c>
      <c r="F1380" s="1">
        <v>45658</v>
      </c>
      <c r="G1380">
        <v>45688</v>
      </c>
      <c r="H1380" t="s">
        <v>9</v>
      </c>
      <c r="I1380">
        <v>4968613.84</v>
      </c>
      <c r="J1380" t="s">
        <v>75</v>
      </c>
      <c r="K1380" t="s">
        <v>340</v>
      </c>
      <c r="L1380">
        <v>30</v>
      </c>
      <c r="M1380" t="s">
        <v>30</v>
      </c>
      <c r="N1380">
        <v>1.0305</v>
      </c>
      <c r="O1380">
        <v>1.2295962199312713</v>
      </c>
      <c r="P1380">
        <v>6.339197834645669E-3</v>
      </c>
      <c r="Q1380">
        <v>6.339197834645669E-3</v>
      </c>
      <c r="R1380">
        <v>31497.026095718502</v>
      </c>
      <c r="S1380" t="s">
        <v>11</v>
      </c>
      <c r="T1380">
        <v>6.5599999999999999E-3</v>
      </c>
      <c r="U1380">
        <v>32594.106790399997</v>
      </c>
      <c r="V1380">
        <v>-1097.0806946814955</v>
      </c>
      <c r="W1380">
        <v>-3.365886666986747E-2</v>
      </c>
    </row>
    <row r="1381" spans="1:23" x14ac:dyDescent="0.25">
      <c r="A1381" t="s">
        <v>337</v>
      </c>
      <c r="B1381" t="s">
        <v>41</v>
      </c>
      <c r="C1381" t="s">
        <v>172</v>
      </c>
      <c r="D1381" t="s">
        <v>33</v>
      </c>
      <c r="E1381" t="s">
        <v>83</v>
      </c>
      <c r="F1381" s="1">
        <v>45803</v>
      </c>
      <c r="G1381">
        <v>45833</v>
      </c>
      <c r="H1381" t="s">
        <v>9</v>
      </c>
      <c r="I1381">
        <v>304795.78000000003</v>
      </c>
      <c r="J1381" t="s">
        <v>75</v>
      </c>
      <c r="K1381" t="s">
        <v>338</v>
      </c>
      <c r="L1381">
        <v>30</v>
      </c>
      <c r="M1381" t="s">
        <v>41</v>
      </c>
      <c r="N1381">
        <v>1.1380999999999999</v>
      </c>
      <c r="O1381">
        <v>1.3561725452812201</v>
      </c>
      <c r="P1381">
        <v>6.9980938326262062E-3</v>
      </c>
      <c r="Q1381">
        <v>6.9980938326262062E-3</v>
      </c>
      <c r="R1381">
        <v>2132.9894682284944</v>
      </c>
      <c r="S1381" t="s">
        <v>12</v>
      </c>
      <c r="T1381">
        <v>6.7000000000000002E-3</v>
      </c>
      <c r="U1381">
        <v>2042.1317260000003</v>
      </c>
      <c r="V1381">
        <v>90.857742228494089</v>
      </c>
      <c r="W1381">
        <v>4.4491616809881576E-2</v>
      </c>
    </row>
    <row r="1382" spans="1:23" x14ac:dyDescent="0.25">
      <c r="A1382" t="s">
        <v>335</v>
      </c>
      <c r="B1382" t="s">
        <v>30</v>
      </c>
      <c r="C1382" t="s">
        <v>103</v>
      </c>
      <c r="D1382" t="s">
        <v>31</v>
      </c>
      <c r="E1382" t="s">
        <v>74</v>
      </c>
      <c r="F1382" s="1">
        <v>46145</v>
      </c>
      <c r="G1382">
        <v>46175</v>
      </c>
      <c r="H1382" t="s">
        <v>9</v>
      </c>
      <c r="I1382">
        <v>2431242.6800000002</v>
      </c>
      <c r="J1382" t="s">
        <v>75</v>
      </c>
      <c r="K1382" t="s">
        <v>336</v>
      </c>
      <c r="L1382">
        <v>30</v>
      </c>
      <c r="M1382" t="s">
        <v>30</v>
      </c>
      <c r="N1382">
        <v>1.1701999999999999</v>
      </c>
      <c r="O1382">
        <v>1.3508802308802308</v>
      </c>
      <c r="P1382">
        <v>6.3872059385404719E-3</v>
      </c>
      <c r="Q1382">
        <v>6.3872059385404719E-3</v>
      </c>
      <c r="R1382">
        <v>15528.847683729053</v>
      </c>
      <c r="S1382" t="s">
        <v>19</v>
      </c>
      <c r="T1382">
        <v>6.6E-3</v>
      </c>
      <c r="U1382">
        <v>16046.201688000001</v>
      </c>
      <c r="V1382">
        <v>-517.35400427094828</v>
      </c>
      <c r="W1382">
        <v>-3.2241524463564888E-2</v>
      </c>
    </row>
    <row r="1383" spans="1:23" x14ac:dyDescent="0.25">
      <c r="A1383" t="s">
        <v>333</v>
      </c>
      <c r="B1383" t="s">
        <v>25</v>
      </c>
      <c r="C1383" t="s">
        <v>169</v>
      </c>
      <c r="D1383" t="s">
        <v>31</v>
      </c>
      <c r="E1383" t="s">
        <v>124</v>
      </c>
      <c r="F1383" s="1">
        <v>45844</v>
      </c>
      <c r="G1383">
        <v>45904</v>
      </c>
      <c r="H1383" t="s">
        <v>6</v>
      </c>
      <c r="I1383">
        <v>50847.13</v>
      </c>
      <c r="J1383" t="s">
        <v>75</v>
      </c>
      <c r="K1383" t="s">
        <v>334</v>
      </c>
      <c r="L1383">
        <v>60</v>
      </c>
      <c r="M1383" t="s">
        <v>25</v>
      </c>
      <c r="N1383">
        <v>1.1724000000000001</v>
      </c>
      <c r="O1383">
        <v>1.3469669117647061</v>
      </c>
      <c r="P1383">
        <v>6.7977039485127852E-3</v>
      </c>
      <c r="Q1383">
        <v>1.1724000000000001</v>
      </c>
      <c r="R1383">
        <v>59613.175212000002</v>
      </c>
      <c r="S1383" t="s">
        <v>13</v>
      </c>
      <c r="T1383">
        <v>1.0880000000000001</v>
      </c>
      <c r="U1383">
        <v>55321.677439999999</v>
      </c>
      <c r="V1383">
        <v>4291.4977720000024</v>
      </c>
      <c r="W1383">
        <v>7.7573529411764749E-2</v>
      </c>
    </row>
    <row r="1384" spans="1:23" x14ac:dyDescent="0.25">
      <c r="A1384" t="s">
        <v>331</v>
      </c>
      <c r="B1384" t="s">
        <v>28</v>
      </c>
      <c r="C1384" t="s">
        <v>111</v>
      </c>
      <c r="D1384" t="s">
        <v>31</v>
      </c>
      <c r="E1384" t="s">
        <v>74</v>
      </c>
      <c r="F1384" s="1">
        <v>46155</v>
      </c>
      <c r="G1384">
        <v>46200</v>
      </c>
      <c r="H1384" t="s">
        <v>9</v>
      </c>
      <c r="I1384">
        <v>1040345.3</v>
      </c>
      <c r="J1384" t="s">
        <v>75</v>
      </c>
      <c r="K1384" t="s">
        <v>332</v>
      </c>
      <c r="L1384">
        <v>45</v>
      </c>
      <c r="M1384" t="s">
        <v>28</v>
      </c>
      <c r="N1384">
        <v>1.1715</v>
      </c>
      <c r="O1384">
        <v>1.3510084993022962</v>
      </c>
      <c r="P1384">
        <v>6.3382567764973217E-3</v>
      </c>
      <c r="Q1384">
        <v>6.3382567764973217E-3</v>
      </c>
      <c r="R1384">
        <v>6593.9756476221391</v>
      </c>
      <c r="S1384" t="s">
        <v>19</v>
      </c>
      <c r="T1384">
        <v>6.6E-3</v>
      </c>
      <c r="U1384">
        <v>6866.27898</v>
      </c>
      <c r="V1384">
        <v>-272.3033323778609</v>
      </c>
      <c r="W1384">
        <v>-3.9658064167072467E-2</v>
      </c>
    </row>
    <row r="1385" spans="1:23" x14ac:dyDescent="0.25">
      <c r="A1385" t="s">
        <v>329</v>
      </c>
      <c r="B1385" t="s">
        <v>26</v>
      </c>
      <c r="C1385" t="s">
        <v>94</v>
      </c>
      <c r="D1385" t="s">
        <v>31</v>
      </c>
      <c r="E1385" t="s">
        <v>74</v>
      </c>
      <c r="F1385" s="1">
        <v>45804</v>
      </c>
      <c r="G1385">
        <v>45834</v>
      </c>
      <c r="H1385" t="s">
        <v>8</v>
      </c>
      <c r="I1385">
        <v>14805.7</v>
      </c>
      <c r="J1385" t="s">
        <v>75</v>
      </c>
      <c r="K1385" t="s">
        <v>330</v>
      </c>
      <c r="L1385">
        <v>30</v>
      </c>
      <c r="M1385" t="s">
        <v>26</v>
      </c>
      <c r="N1385">
        <v>1.1355999999999999</v>
      </c>
      <c r="O1385">
        <v>1.3549695740365111</v>
      </c>
      <c r="P1385">
        <v>6.9362325922306374E-3</v>
      </c>
      <c r="Q1385">
        <v>1.3549695740365111</v>
      </c>
      <c r="R1385">
        <v>20061.273022312373</v>
      </c>
      <c r="S1385" t="s">
        <v>12</v>
      </c>
      <c r="T1385">
        <v>1.26</v>
      </c>
      <c r="U1385">
        <v>18655.182000000001</v>
      </c>
      <c r="V1385">
        <v>1406.0910223123719</v>
      </c>
      <c r="W1385">
        <v>7.5372677806754815E-2</v>
      </c>
    </row>
    <row r="1386" spans="1:23" x14ac:dyDescent="0.25">
      <c r="A1386" t="s">
        <v>327</v>
      </c>
      <c r="B1386" t="s">
        <v>20</v>
      </c>
      <c r="C1386" t="s">
        <v>123</v>
      </c>
      <c r="D1386" t="s">
        <v>31</v>
      </c>
      <c r="E1386" t="s">
        <v>124</v>
      </c>
      <c r="F1386" s="1">
        <v>46307</v>
      </c>
      <c r="G1386">
        <v>46352</v>
      </c>
      <c r="H1386" t="s">
        <v>6</v>
      </c>
      <c r="I1386">
        <v>66506.45</v>
      </c>
      <c r="J1386" t="s">
        <v>84</v>
      </c>
      <c r="K1386" t="s">
        <v>328</v>
      </c>
      <c r="L1386">
        <v>45</v>
      </c>
      <c r="M1386" t="s">
        <v>20</v>
      </c>
      <c r="N1386">
        <v>1.1176999999999999</v>
      </c>
      <c r="O1386">
        <v>1.320456022210408</v>
      </c>
      <c r="P1386">
        <v>6.3200452360757699E-3</v>
      </c>
      <c r="Q1386">
        <v>1.1176999999999999</v>
      </c>
      <c r="R1386">
        <v>74334.259164999996</v>
      </c>
      <c r="S1386" t="s">
        <v>23</v>
      </c>
      <c r="T1386">
        <v>1.119</v>
      </c>
      <c r="U1386">
        <v>74420.717550000001</v>
      </c>
      <c r="V1386">
        <v>-86.458385000005364</v>
      </c>
      <c r="W1386">
        <v>-1.161751563896408E-3</v>
      </c>
    </row>
    <row r="1387" spans="1:23" x14ac:dyDescent="0.25">
      <c r="A1387" t="s">
        <v>325</v>
      </c>
      <c r="B1387" t="s">
        <v>20</v>
      </c>
      <c r="C1387" t="s">
        <v>123</v>
      </c>
      <c r="D1387" t="s">
        <v>31</v>
      </c>
      <c r="E1387" t="s">
        <v>124</v>
      </c>
      <c r="F1387" s="1">
        <v>45759</v>
      </c>
      <c r="G1387">
        <v>45804</v>
      </c>
      <c r="H1387" t="s">
        <v>6</v>
      </c>
      <c r="I1387">
        <v>22106.82</v>
      </c>
      <c r="J1387" t="s">
        <v>75</v>
      </c>
      <c r="K1387" t="s">
        <v>326</v>
      </c>
      <c r="L1387">
        <v>45</v>
      </c>
      <c r="M1387" t="s">
        <v>20</v>
      </c>
      <c r="N1387">
        <v>1.1384000000000001</v>
      </c>
      <c r="O1387">
        <v>1.3518584491153072</v>
      </c>
      <c r="P1387">
        <v>6.9351203167834297E-3</v>
      </c>
      <c r="Q1387">
        <v>1.1384000000000001</v>
      </c>
      <c r="R1387">
        <v>25166.403888000001</v>
      </c>
      <c r="S1387" t="s">
        <v>12</v>
      </c>
      <c r="T1387">
        <v>1.07</v>
      </c>
      <c r="U1387">
        <v>23654.297399999999</v>
      </c>
      <c r="V1387">
        <v>1512.1064880000013</v>
      </c>
      <c r="W1387">
        <v>6.3925233644859872E-2</v>
      </c>
    </row>
    <row r="1388" spans="1:23" x14ac:dyDescent="0.25">
      <c r="A1388" t="s">
        <v>323</v>
      </c>
      <c r="B1388" t="s">
        <v>42</v>
      </c>
      <c r="C1388" t="s">
        <v>151</v>
      </c>
      <c r="D1388" t="s">
        <v>35</v>
      </c>
      <c r="E1388" t="s">
        <v>152</v>
      </c>
      <c r="F1388" s="1">
        <v>46025</v>
      </c>
      <c r="G1388">
        <v>46055</v>
      </c>
      <c r="H1388" t="s">
        <v>8</v>
      </c>
      <c r="I1388">
        <v>7301.56</v>
      </c>
      <c r="J1388" t="s">
        <v>75</v>
      </c>
      <c r="K1388" t="s">
        <v>324</v>
      </c>
      <c r="L1388">
        <v>30</v>
      </c>
      <c r="M1388" t="s">
        <v>42</v>
      </c>
      <c r="N1388">
        <v>1.1555</v>
      </c>
      <c r="O1388">
        <v>1.3367963164349013</v>
      </c>
      <c r="P1388">
        <v>6.2983756677204832E-3</v>
      </c>
      <c r="Q1388">
        <v>1.3367963164349013</v>
      </c>
      <c r="R1388">
        <v>9760.6985122284186</v>
      </c>
      <c r="S1388" t="s">
        <v>16</v>
      </c>
      <c r="T1388">
        <v>1.2490000000000001</v>
      </c>
      <c r="U1388">
        <v>9119.6484400000008</v>
      </c>
      <c r="V1388">
        <v>641.05007222841778</v>
      </c>
      <c r="W1388">
        <v>7.0293287778143532E-2</v>
      </c>
    </row>
    <row r="1389" spans="1:23" x14ac:dyDescent="0.25">
      <c r="A1389" t="s">
        <v>321</v>
      </c>
      <c r="B1389" t="s">
        <v>26</v>
      </c>
      <c r="C1389" t="s">
        <v>94</v>
      </c>
      <c r="D1389" t="s">
        <v>31</v>
      </c>
      <c r="E1389" t="s">
        <v>74</v>
      </c>
      <c r="F1389" s="1">
        <v>46240</v>
      </c>
      <c r="G1389">
        <v>46270</v>
      </c>
      <c r="H1389" t="s">
        <v>8</v>
      </c>
      <c r="I1389">
        <v>26345.61</v>
      </c>
      <c r="J1389" t="s">
        <v>75</v>
      </c>
      <c r="K1389" t="s">
        <v>322</v>
      </c>
      <c r="L1389">
        <v>30</v>
      </c>
      <c r="M1389" t="s">
        <v>26</v>
      </c>
      <c r="N1389">
        <v>1.1541999999999999</v>
      </c>
      <c r="O1389">
        <v>1.3467125605273904</v>
      </c>
      <c r="P1389">
        <v>6.3358401493110832E-3</v>
      </c>
      <c r="Q1389">
        <v>1.3467125605273904</v>
      </c>
      <c r="R1389">
        <v>35479.963901756026</v>
      </c>
      <c r="S1389" t="s">
        <v>21</v>
      </c>
      <c r="T1389">
        <v>1.2929999999999999</v>
      </c>
      <c r="U1389">
        <v>34064.873729999999</v>
      </c>
      <c r="V1389">
        <v>1415.0901717560264</v>
      </c>
      <c r="W1389">
        <v>4.1541036757455976E-2</v>
      </c>
    </row>
    <row r="1390" spans="1:23" x14ac:dyDescent="0.25">
      <c r="A1390" t="s">
        <v>319</v>
      </c>
      <c r="B1390" t="s">
        <v>37</v>
      </c>
      <c r="C1390" t="s">
        <v>91</v>
      </c>
      <c r="D1390" t="s">
        <v>31</v>
      </c>
      <c r="E1390" t="s">
        <v>74</v>
      </c>
      <c r="F1390" s="1">
        <v>46250</v>
      </c>
      <c r="G1390">
        <v>46280</v>
      </c>
      <c r="H1390" t="s">
        <v>6</v>
      </c>
      <c r="I1390">
        <v>15829.9</v>
      </c>
      <c r="J1390" t="s">
        <v>75</v>
      </c>
      <c r="K1390" t="s">
        <v>320</v>
      </c>
      <c r="L1390">
        <v>30</v>
      </c>
      <c r="M1390" t="s">
        <v>37</v>
      </c>
      <c r="N1390">
        <v>1.1567000000000001</v>
      </c>
      <c r="O1390">
        <v>1.3536571094207139</v>
      </c>
      <c r="P1390">
        <v>6.2888055238405913E-3</v>
      </c>
      <c r="Q1390">
        <v>1.1567000000000001</v>
      </c>
      <c r="R1390">
        <v>18310.445330000002</v>
      </c>
      <c r="S1390" t="s">
        <v>21</v>
      </c>
      <c r="T1390">
        <v>1.101</v>
      </c>
      <c r="U1390">
        <v>17428.7199</v>
      </c>
      <c r="V1390">
        <v>881.72543000000223</v>
      </c>
      <c r="W1390">
        <v>5.0590372388737641E-2</v>
      </c>
    </row>
    <row r="1391" spans="1:23" x14ac:dyDescent="0.25">
      <c r="A1391" t="s">
        <v>317</v>
      </c>
      <c r="B1391" t="s">
        <v>37</v>
      </c>
      <c r="C1391" t="s">
        <v>91</v>
      </c>
      <c r="D1391" t="s">
        <v>31</v>
      </c>
      <c r="E1391" t="s">
        <v>74</v>
      </c>
      <c r="F1391" s="1">
        <v>45967</v>
      </c>
      <c r="G1391">
        <v>45997</v>
      </c>
      <c r="H1391" t="s">
        <v>6</v>
      </c>
      <c r="I1391">
        <v>13212.6</v>
      </c>
      <c r="J1391" t="s">
        <v>75</v>
      </c>
      <c r="K1391" t="s">
        <v>318</v>
      </c>
      <c r="L1391">
        <v>30</v>
      </c>
      <c r="M1391" t="s">
        <v>37</v>
      </c>
      <c r="N1391">
        <v>1.1533</v>
      </c>
      <c r="O1391">
        <v>1.3095265130010219</v>
      </c>
      <c r="P1391">
        <v>6.5103020039514537E-3</v>
      </c>
      <c r="Q1391">
        <v>1.1533</v>
      </c>
      <c r="R1391">
        <v>15238.09158</v>
      </c>
      <c r="S1391" t="s">
        <v>14</v>
      </c>
      <c r="T1391">
        <v>1.1060000000000001</v>
      </c>
      <c r="U1391">
        <v>14613.135600000001</v>
      </c>
      <c r="V1391">
        <v>624.95597999999882</v>
      </c>
      <c r="W1391">
        <v>4.2766726943942047E-2</v>
      </c>
    </row>
    <row r="1392" spans="1:23" x14ac:dyDescent="0.25">
      <c r="A1392" t="s">
        <v>315</v>
      </c>
      <c r="B1392" t="s">
        <v>40</v>
      </c>
      <c r="C1392" t="s">
        <v>78</v>
      </c>
      <c r="D1392" t="s">
        <v>33</v>
      </c>
      <c r="E1392" t="s">
        <v>79</v>
      </c>
      <c r="F1392" s="1">
        <v>46105</v>
      </c>
      <c r="G1392">
        <v>46135</v>
      </c>
      <c r="H1392" t="s">
        <v>9</v>
      </c>
      <c r="I1392">
        <v>299126.59000000003</v>
      </c>
      <c r="J1392" t="s">
        <v>75</v>
      </c>
      <c r="K1392" t="s">
        <v>316</v>
      </c>
      <c r="L1392">
        <v>30</v>
      </c>
      <c r="M1392" t="s">
        <v>40</v>
      </c>
      <c r="N1392">
        <v>1.1572</v>
      </c>
      <c r="O1392">
        <v>1.3371696652453751</v>
      </c>
      <c r="P1392">
        <v>6.2922081452884563E-3</v>
      </c>
      <c r="Q1392">
        <v>6.2922081452884563E-3</v>
      </c>
      <c r="R1392">
        <v>1882.1667660703606</v>
      </c>
      <c r="S1392" t="s">
        <v>16</v>
      </c>
      <c r="T1392">
        <v>6.4599999999999996E-3</v>
      </c>
      <c r="U1392">
        <v>1932.3577714</v>
      </c>
      <c r="V1392">
        <v>-50.191005329639438</v>
      </c>
      <c r="W1392">
        <v>-2.5973971317576391E-2</v>
      </c>
    </row>
    <row r="1393" spans="1:23" x14ac:dyDescent="0.25">
      <c r="A1393" t="s">
        <v>313</v>
      </c>
      <c r="B1393" t="s">
        <v>38</v>
      </c>
      <c r="C1393" t="s">
        <v>87</v>
      </c>
      <c r="D1393" t="s">
        <v>33</v>
      </c>
      <c r="E1393" t="s">
        <v>88</v>
      </c>
      <c r="F1393" s="1">
        <v>45919</v>
      </c>
      <c r="G1393">
        <v>45949</v>
      </c>
      <c r="H1393" t="s">
        <v>6</v>
      </c>
      <c r="I1393">
        <v>6207.52</v>
      </c>
      <c r="J1393" t="s">
        <v>75</v>
      </c>
      <c r="K1393" t="s">
        <v>314</v>
      </c>
      <c r="L1393">
        <v>30</v>
      </c>
      <c r="M1393" t="s">
        <v>38</v>
      </c>
      <c r="N1393">
        <v>1.1736</v>
      </c>
      <c r="O1393">
        <v>1.3477262287551677</v>
      </c>
      <c r="P1393">
        <v>6.7529777317452098E-3</v>
      </c>
      <c r="Q1393">
        <v>1.1736</v>
      </c>
      <c r="R1393">
        <v>7285.1454720000002</v>
      </c>
      <c r="S1393" t="s">
        <v>13</v>
      </c>
      <c r="T1393">
        <v>1.0880000000000001</v>
      </c>
      <c r="U1393">
        <v>6753.7817600000008</v>
      </c>
      <c r="V1393">
        <v>531.3637119999994</v>
      </c>
      <c r="W1393">
        <v>7.8676470588235195E-2</v>
      </c>
    </row>
    <row r="1394" spans="1:23" x14ac:dyDescent="0.25">
      <c r="A1394" t="s">
        <v>311</v>
      </c>
      <c r="B1394" t="s">
        <v>22</v>
      </c>
      <c r="C1394" t="s">
        <v>127</v>
      </c>
      <c r="D1394" t="s">
        <v>31</v>
      </c>
      <c r="E1394" t="s">
        <v>124</v>
      </c>
      <c r="F1394" s="1">
        <v>46109</v>
      </c>
      <c r="G1394">
        <v>46169</v>
      </c>
      <c r="H1394" t="s">
        <v>9</v>
      </c>
      <c r="I1394">
        <v>11933164.77</v>
      </c>
      <c r="J1394" t="s">
        <v>75</v>
      </c>
      <c r="K1394" t="s">
        <v>312</v>
      </c>
      <c r="L1394">
        <v>60</v>
      </c>
      <c r="M1394" t="s">
        <v>22</v>
      </c>
      <c r="N1394">
        <v>1.1516999999999999</v>
      </c>
      <c r="O1394">
        <v>1.3280673431734318</v>
      </c>
      <c r="P1394">
        <v>6.2538010425716769E-3</v>
      </c>
      <c r="Q1394">
        <v>6.2538010425716769E-3</v>
      </c>
      <c r="R1394">
        <v>74627.6382798056</v>
      </c>
      <c r="S1394" t="s">
        <v>16</v>
      </c>
      <c r="T1394">
        <v>6.4599999999999996E-3</v>
      </c>
      <c r="U1394">
        <v>77088.244414199988</v>
      </c>
      <c r="V1394">
        <v>-2460.6061343943875</v>
      </c>
      <c r="W1394">
        <v>-3.1919343255158279E-2</v>
      </c>
    </row>
    <row r="1395" spans="1:23" x14ac:dyDescent="0.25">
      <c r="A1395" t="s">
        <v>309</v>
      </c>
      <c r="B1395" t="s">
        <v>32</v>
      </c>
      <c r="C1395" t="s">
        <v>106</v>
      </c>
      <c r="D1395" t="s">
        <v>31</v>
      </c>
      <c r="E1395" t="s">
        <v>74</v>
      </c>
      <c r="F1395" s="1">
        <v>46174</v>
      </c>
      <c r="G1395">
        <v>46204</v>
      </c>
      <c r="H1395" t="s">
        <v>6</v>
      </c>
      <c r="I1395">
        <v>8162.37</v>
      </c>
      <c r="J1395" t="s">
        <v>75</v>
      </c>
      <c r="K1395" t="s">
        <v>310</v>
      </c>
      <c r="L1395">
        <v>30</v>
      </c>
      <c r="M1395" t="s">
        <v>32</v>
      </c>
      <c r="N1395">
        <v>1.1646000000000001</v>
      </c>
      <c r="O1395">
        <v>1.3464673441781416</v>
      </c>
      <c r="P1395">
        <v>6.2700549154732421E-3</v>
      </c>
      <c r="Q1395">
        <v>1.1646000000000001</v>
      </c>
      <c r="R1395">
        <v>9505.8961020000006</v>
      </c>
      <c r="S1395" t="s">
        <v>19</v>
      </c>
      <c r="T1395">
        <v>1.083</v>
      </c>
      <c r="U1395">
        <v>8839.8467099999998</v>
      </c>
      <c r="V1395">
        <v>666.04939200000081</v>
      </c>
      <c r="W1395">
        <v>7.5346260387811725E-2</v>
      </c>
    </row>
    <row r="1396" spans="1:23" x14ac:dyDescent="0.25">
      <c r="A1396" t="s">
        <v>307</v>
      </c>
      <c r="B1396" t="s">
        <v>32</v>
      </c>
      <c r="C1396" t="s">
        <v>106</v>
      </c>
      <c r="D1396" t="s">
        <v>31</v>
      </c>
      <c r="E1396" t="s">
        <v>74</v>
      </c>
      <c r="F1396" s="1">
        <v>45712</v>
      </c>
      <c r="G1396">
        <v>45742</v>
      </c>
      <c r="H1396" t="s">
        <v>6</v>
      </c>
      <c r="I1396">
        <v>4413.0600000000004</v>
      </c>
      <c r="J1396" t="s">
        <v>75</v>
      </c>
      <c r="K1396" t="s">
        <v>308</v>
      </c>
      <c r="L1396">
        <v>30</v>
      </c>
      <c r="M1396" t="s">
        <v>32</v>
      </c>
      <c r="N1396">
        <v>1.0466</v>
      </c>
      <c r="O1396">
        <v>1.2635518531932874</v>
      </c>
      <c r="P1396">
        <v>6.6743192398443976E-3</v>
      </c>
      <c r="Q1396">
        <v>1.0466</v>
      </c>
      <c r="R1396">
        <v>4618.7085960000004</v>
      </c>
      <c r="S1396" t="s">
        <v>11</v>
      </c>
      <c r="T1396">
        <v>1.052</v>
      </c>
      <c r="U1396">
        <v>4642.5391200000004</v>
      </c>
      <c r="V1396">
        <v>-23.830523999999969</v>
      </c>
      <c r="W1396">
        <v>-5.1330798479087385E-3</v>
      </c>
    </row>
    <row r="1397" spans="1:23" x14ac:dyDescent="0.25">
      <c r="A1397" t="s">
        <v>305</v>
      </c>
      <c r="B1397" t="s">
        <v>43</v>
      </c>
      <c r="C1397" t="s">
        <v>215</v>
      </c>
      <c r="D1397" t="s">
        <v>35</v>
      </c>
      <c r="E1397" t="s">
        <v>152</v>
      </c>
      <c r="F1397" s="1">
        <v>45717</v>
      </c>
      <c r="G1397">
        <v>45747</v>
      </c>
      <c r="H1397" t="s">
        <v>6</v>
      </c>
      <c r="I1397">
        <v>12269.19</v>
      </c>
      <c r="J1397" t="s">
        <v>75</v>
      </c>
      <c r="K1397" t="s">
        <v>306</v>
      </c>
      <c r="L1397">
        <v>30</v>
      </c>
      <c r="M1397" t="s">
        <v>43</v>
      </c>
      <c r="N1397">
        <v>1.0803</v>
      </c>
      <c r="O1397">
        <v>1.2944700736924091</v>
      </c>
      <c r="P1397">
        <v>6.7007815407517683E-3</v>
      </c>
      <c r="Q1397">
        <v>1.0803</v>
      </c>
      <c r="R1397">
        <v>13254.405957000001</v>
      </c>
      <c r="S1397" t="s">
        <v>11</v>
      </c>
      <c r="T1397">
        <v>1.052</v>
      </c>
      <c r="U1397">
        <v>12907.187880000001</v>
      </c>
      <c r="V1397">
        <v>347.21807699999954</v>
      </c>
      <c r="W1397">
        <v>2.6901140684410609E-2</v>
      </c>
    </row>
    <row r="1398" spans="1:23" x14ac:dyDescent="0.25">
      <c r="A1398" t="s">
        <v>303</v>
      </c>
      <c r="B1398" t="s">
        <v>40</v>
      </c>
      <c r="C1398" t="s">
        <v>78</v>
      </c>
      <c r="D1398" t="s">
        <v>33</v>
      </c>
      <c r="E1398" t="s">
        <v>79</v>
      </c>
      <c r="F1398" s="1">
        <v>45817</v>
      </c>
      <c r="G1398">
        <v>45847</v>
      </c>
      <c r="H1398" t="s">
        <v>9</v>
      </c>
      <c r="I1398">
        <v>1327372.2</v>
      </c>
      <c r="J1398" t="s">
        <v>75</v>
      </c>
      <c r="K1398" t="s">
        <v>304</v>
      </c>
      <c r="L1398">
        <v>30</v>
      </c>
      <c r="M1398" t="s">
        <v>40</v>
      </c>
      <c r="N1398">
        <v>1.141</v>
      </c>
      <c r="O1398">
        <v>1.354463437796771</v>
      </c>
      <c r="P1398">
        <v>6.9201843765162542E-3</v>
      </c>
      <c r="Q1398">
        <v>6.9201843765162542E-3</v>
      </c>
      <c r="R1398">
        <v>9185.6603602620089</v>
      </c>
      <c r="S1398" t="s">
        <v>12</v>
      </c>
      <c r="T1398">
        <v>6.7000000000000002E-3</v>
      </c>
      <c r="U1398">
        <v>8893.3937399999995</v>
      </c>
      <c r="V1398">
        <v>292.26662026200938</v>
      </c>
      <c r="W1398">
        <v>3.2863339778545483E-2</v>
      </c>
    </row>
    <row r="1399" spans="1:23" x14ac:dyDescent="0.25">
      <c r="A1399" t="s">
        <v>301</v>
      </c>
      <c r="B1399" t="s">
        <v>25</v>
      </c>
      <c r="C1399" t="s">
        <v>169</v>
      </c>
      <c r="D1399" t="s">
        <v>31</v>
      </c>
      <c r="E1399" t="s">
        <v>124</v>
      </c>
      <c r="F1399" s="1">
        <v>46203</v>
      </c>
      <c r="G1399">
        <v>46263</v>
      </c>
      <c r="H1399" t="s">
        <v>6</v>
      </c>
      <c r="I1399">
        <v>15097.73</v>
      </c>
      <c r="J1399" t="s">
        <v>75</v>
      </c>
      <c r="K1399" t="s">
        <v>302</v>
      </c>
      <c r="L1399">
        <v>60</v>
      </c>
      <c r="M1399" t="s">
        <v>25</v>
      </c>
      <c r="N1399">
        <v>1.1394</v>
      </c>
      <c r="O1399">
        <v>1.3221471837359884</v>
      </c>
      <c r="P1399">
        <v>6.1562567538361781E-3</v>
      </c>
      <c r="Q1399">
        <v>1.1394</v>
      </c>
      <c r="R1399">
        <v>17202.353562</v>
      </c>
      <c r="S1399" t="s">
        <v>19</v>
      </c>
      <c r="T1399">
        <v>1.083</v>
      </c>
      <c r="U1399">
        <v>16350.841589999998</v>
      </c>
      <c r="V1399">
        <v>851.51197200000206</v>
      </c>
      <c r="W1399">
        <v>5.2077562326869935E-2</v>
      </c>
    </row>
    <row r="1400" spans="1:23" x14ac:dyDescent="0.25">
      <c r="A1400" t="s">
        <v>299</v>
      </c>
      <c r="B1400" t="s">
        <v>37</v>
      </c>
      <c r="C1400" t="s">
        <v>91</v>
      </c>
      <c r="D1400" t="s">
        <v>31</v>
      </c>
      <c r="E1400" t="s">
        <v>74</v>
      </c>
      <c r="F1400" s="1">
        <v>45939</v>
      </c>
      <c r="G1400">
        <v>45969</v>
      </c>
      <c r="H1400" t="s">
        <v>6</v>
      </c>
      <c r="I1400">
        <v>12436.83</v>
      </c>
      <c r="J1400" t="s">
        <v>75</v>
      </c>
      <c r="K1400" t="s">
        <v>300</v>
      </c>
      <c r="L1400">
        <v>30</v>
      </c>
      <c r="M1400" t="s">
        <v>37</v>
      </c>
      <c r="N1400">
        <v>1.1611</v>
      </c>
      <c r="O1400">
        <v>1.3372106414833584</v>
      </c>
      <c r="P1400">
        <v>6.5450958286358508E-3</v>
      </c>
      <c r="Q1400">
        <v>1.1611</v>
      </c>
      <c r="R1400">
        <v>14440.403313000001</v>
      </c>
      <c r="S1400" t="s">
        <v>14</v>
      </c>
      <c r="T1400">
        <v>1.1060000000000001</v>
      </c>
      <c r="U1400">
        <v>13755.133980000001</v>
      </c>
      <c r="V1400">
        <v>685.26933300000019</v>
      </c>
      <c r="W1400">
        <v>4.9819168173598563E-2</v>
      </c>
    </row>
    <row r="1401" spans="1:23" x14ac:dyDescent="0.25">
      <c r="A1401" t="s">
        <v>297</v>
      </c>
      <c r="B1401" t="s">
        <v>38</v>
      </c>
      <c r="C1401" t="s">
        <v>87</v>
      </c>
      <c r="D1401" t="s">
        <v>33</v>
      </c>
      <c r="E1401" t="s">
        <v>88</v>
      </c>
      <c r="F1401" s="1">
        <v>45811</v>
      </c>
      <c r="G1401">
        <v>45841</v>
      </c>
      <c r="H1401" t="s">
        <v>6</v>
      </c>
      <c r="I1401">
        <v>8093.57</v>
      </c>
      <c r="J1401" t="s">
        <v>75</v>
      </c>
      <c r="K1401" t="s">
        <v>298</v>
      </c>
      <c r="L1401">
        <v>30</v>
      </c>
      <c r="M1401" t="s">
        <v>38</v>
      </c>
      <c r="N1401">
        <v>1.1386000000000001</v>
      </c>
      <c r="O1401">
        <v>1.3496917970602182</v>
      </c>
      <c r="P1401">
        <v>6.9852760736196324E-3</v>
      </c>
      <c r="Q1401">
        <v>1.1386000000000001</v>
      </c>
      <c r="R1401">
        <v>9215.3388020000002</v>
      </c>
      <c r="S1401" t="s">
        <v>12</v>
      </c>
      <c r="T1401">
        <v>1.07</v>
      </c>
      <c r="U1401">
        <v>8660.1198999999997</v>
      </c>
      <c r="V1401">
        <v>555.21890200000053</v>
      </c>
      <c r="W1401">
        <v>6.4112149532710341E-2</v>
      </c>
    </row>
    <row r="1402" spans="1:23" x14ac:dyDescent="0.25">
      <c r="A1402" t="s">
        <v>295</v>
      </c>
      <c r="B1402" t="s">
        <v>37</v>
      </c>
      <c r="C1402" t="s">
        <v>91</v>
      </c>
      <c r="D1402" t="s">
        <v>31</v>
      </c>
      <c r="E1402" t="s">
        <v>74</v>
      </c>
      <c r="F1402" s="1">
        <v>46043</v>
      </c>
      <c r="G1402">
        <v>46073</v>
      </c>
      <c r="H1402" t="s">
        <v>6</v>
      </c>
      <c r="I1402">
        <v>7203.08</v>
      </c>
      <c r="J1402" t="s">
        <v>75</v>
      </c>
      <c r="K1402" t="s">
        <v>296</v>
      </c>
      <c r="L1402">
        <v>30</v>
      </c>
      <c r="M1402" t="s">
        <v>37</v>
      </c>
      <c r="N1402">
        <v>1.1738999999999999</v>
      </c>
      <c r="O1402">
        <v>1.3425205855443734</v>
      </c>
      <c r="P1402">
        <v>6.3375263186308912E-3</v>
      </c>
      <c r="Q1402">
        <v>1.1738999999999999</v>
      </c>
      <c r="R1402">
        <v>8455.6956119999995</v>
      </c>
      <c r="S1402" t="s">
        <v>16</v>
      </c>
      <c r="T1402">
        <v>1.0649999999999999</v>
      </c>
      <c r="U1402">
        <v>7671.2801999999992</v>
      </c>
      <c r="V1402">
        <v>784.41541200000029</v>
      </c>
      <c r="W1402">
        <v>0.10225352112676062</v>
      </c>
    </row>
    <row r="1403" spans="1:23" x14ac:dyDescent="0.25">
      <c r="A1403" t="s">
        <v>293</v>
      </c>
      <c r="B1403" t="s">
        <v>40</v>
      </c>
      <c r="C1403" t="s">
        <v>78</v>
      </c>
      <c r="D1403" t="s">
        <v>33</v>
      </c>
      <c r="E1403" t="s">
        <v>79</v>
      </c>
      <c r="F1403" s="1">
        <v>45952</v>
      </c>
      <c r="G1403">
        <v>45982</v>
      </c>
      <c r="H1403" t="s">
        <v>9</v>
      </c>
      <c r="I1403">
        <v>2258915.79</v>
      </c>
      <c r="J1403" t="s">
        <v>75</v>
      </c>
      <c r="K1403" t="s">
        <v>294</v>
      </c>
      <c r="L1403">
        <v>30</v>
      </c>
      <c r="M1403" t="s">
        <v>40</v>
      </c>
      <c r="N1403">
        <v>1.1587000000000001</v>
      </c>
      <c r="O1403">
        <v>1.333525146737254</v>
      </c>
      <c r="P1403">
        <v>6.5865165984538435E-3</v>
      </c>
      <c r="Q1403">
        <v>6.5865165984538435E-3</v>
      </c>
      <c r="R1403">
        <v>14878.386345344477</v>
      </c>
      <c r="S1403" t="s">
        <v>14</v>
      </c>
      <c r="T1403">
        <v>6.9800000000000001E-3</v>
      </c>
      <c r="U1403">
        <v>15767.232214200001</v>
      </c>
      <c r="V1403">
        <v>-888.8458688555238</v>
      </c>
      <c r="W1403">
        <v>-5.6372980164205826E-2</v>
      </c>
    </row>
    <row r="1404" spans="1:23" x14ac:dyDescent="0.25">
      <c r="A1404" t="s">
        <v>291</v>
      </c>
      <c r="B1404" t="s">
        <v>20</v>
      </c>
      <c r="C1404" t="s">
        <v>123</v>
      </c>
      <c r="D1404" t="s">
        <v>31</v>
      </c>
      <c r="E1404" t="s">
        <v>124</v>
      </c>
      <c r="F1404" s="1">
        <v>45728</v>
      </c>
      <c r="G1404">
        <v>45773</v>
      </c>
      <c r="H1404" t="s">
        <v>6</v>
      </c>
      <c r="I1404">
        <v>43985.74</v>
      </c>
      <c r="J1404" t="s">
        <v>75</v>
      </c>
      <c r="K1404" t="s">
        <v>292</v>
      </c>
      <c r="L1404">
        <v>45</v>
      </c>
      <c r="M1404" t="s">
        <v>20</v>
      </c>
      <c r="N1404">
        <v>1.0886</v>
      </c>
      <c r="O1404">
        <v>1.2947501129903185</v>
      </c>
      <c r="P1404">
        <v>6.710226222030451E-3</v>
      </c>
      <c r="Q1404">
        <v>1.0886</v>
      </c>
      <c r="R1404">
        <v>47882.876563999998</v>
      </c>
      <c r="S1404" t="s">
        <v>11</v>
      </c>
      <c r="T1404">
        <v>1.052</v>
      </c>
      <c r="U1404">
        <v>46272.998480000002</v>
      </c>
      <c r="V1404">
        <v>1609.8780839999963</v>
      </c>
      <c r="W1404">
        <v>3.479087452471475E-2</v>
      </c>
    </row>
    <row r="1405" spans="1:23" x14ac:dyDescent="0.25">
      <c r="A1405" t="s">
        <v>289</v>
      </c>
      <c r="B1405" t="s">
        <v>41</v>
      </c>
      <c r="C1405" t="s">
        <v>172</v>
      </c>
      <c r="D1405" t="s">
        <v>33</v>
      </c>
      <c r="E1405" t="s">
        <v>83</v>
      </c>
      <c r="F1405" s="1">
        <v>45764</v>
      </c>
      <c r="G1405">
        <v>45794</v>
      </c>
      <c r="H1405" t="s">
        <v>9</v>
      </c>
      <c r="I1405">
        <v>1621815.46</v>
      </c>
      <c r="J1405" t="s">
        <v>75</v>
      </c>
      <c r="K1405" t="s">
        <v>290</v>
      </c>
      <c r="L1405">
        <v>30</v>
      </c>
      <c r="M1405" t="s">
        <v>41</v>
      </c>
      <c r="N1405">
        <v>1.1359999999999999</v>
      </c>
      <c r="O1405">
        <v>1.322883793509019</v>
      </c>
      <c r="P1405">
        <v>7.0132115075935298E-3</v>
      </c>
      <c r="Q1405">
        <v>7.0132115075935298E-3</v>
      </c>
      <c r="R1405">
        <v>11374.134847265093</v>
      </c>
      <c r="S1405" t="s">
        <v>12</v>
      </c>
      <c r="T1405">
        <v>6.7000000000000002E-3</v>
      </c>
      <c r="U1405">
        <v>10866.163581999999</v>
      </c>
      <c r="V1405">
        <v>507.97126526509419</v>
      </c>
      <c r="W1405">
        <v>4.6747986207989541E-2</v>
      </c>
    </row>
    <row r="1406" spans="1:23" x14ac:dyDescent="0.25">
      <c r="A1406" t="s">
        <v>287</v>
      </c>
      <c r="B1406" t="s">
        <v>32</v>
      </c>
      <c r="C1406" t="s">
        <v>106</v>
      </c>
      <c r="D1406" t="s">
        <v>31</v>
      </c>
      <c r="E1406" t="s">
        <v>74</v>
      </c>
      <c r="F1406" s="1">
        <v>46255</v>
      </c>
      <c r="G1406">
        <v>46285</v>
      </c>
      <c r="H1406" t="s">
        <v>6</v>
      </c>
      <c r="I1406">
        <v>14368.85</v>
      </c>
      <c r="J1406" t="s">
        <v>75</v>
      </c>
      <c r="K1406" t="s">
        <v>288</v>
      </c>
      <c r="L1406">
        <v>30</v>
      </c>
      <c r="M1406" t="s">
        <v>32</v>
      </c>
      <c r="N1406">
        <v>1.1698999999999999</v>
      </c>
      <c r="O1406">
        <v>1.3655888875919224</v>
      </c>
      <c r="P1406">
        <v>6.3013034579338578E-3</v>
      </c>
      <c r="Q1406">
        <v>1.1698999999999999</v>
      </c>
      <c r="R1406">
        <v>16810.117614999999</v>
      </c>
      <c r="S1406" t="s">
        <v>21</v>
      </c>
      <c r="T1406">
        <v>1.101</v>
      </c>
      <c r="U1406">
        <v>15820.10385</v>
      </c>
      <c r="V1406">
        <v>990.01376499999969</v>
      </c>
      <c r="W1406">
        <v>6.2579473206176184E-2</v>
      </c>
    </row>
    <row r="1407" spans="1:23" x14ac:dyDescent="0.25">
      <c r="A1407" t="s">
        <v>285</v>
      </c>
      <c r="B1407" t="s">
        <v>44</v>
      </c>
      <c r="C1407" t="s">
        <v>138</v>
      </c>
      <c r="D1407" t="s">
        <v>33</v>
      </c>
      <c r="E1407" t="s">
        <v>88</v>
      </c>
      <c r="F1407" s="1">
        <v>46140</v>
      </c>
      <c r="G1407">
        <v>46185</v>
      </c>
      <c r="H1407" t="s">
        <v>9</v>
      </c>
      <c r="I1407">
        <v>337118.71999999997</v>
      </c>
      <c r="J1407" t="s">
        <v>75</v>
      </c>
      <c r="K1407" t="s">
        <v>286</v>
      </c>
      <c r="L1407">
        <v>45</v>
      </c>
      <c r="M1407" t="s">
        <v>44</v>
      </c>
      <c r="N1407">
        <v>1.1679999999999999</v>
      </c>
      <c r="O1407">
        <v>1.3469411289857578</v>
      </c>
      <c r="P1407">
        <v>6.2600493086075668E-3</v>
      </c>
      <c r="Q1407">
        <v>6.2600493086075668E-3</v>
      </c>
      <c r="R1407">
        <v>2110.3798100546678</v>
      </c>
      <c r="S1407" t="s">
        <v>19</v>
      </c>
      <c r="T1407">
        <v>6.6E-3</v>
      </c>
      <c r="U1407">
        <v>2224.9835519999997</v>
      </c>
      <c r="V1407">
        <v>-114.60374194533188</v>
      </c>
      <c r="W1407">
        <v>-5.1507680514004936E-2</v>
      </c>
    </row>
    <row r="1408" spans="1:23" x14ac:dyDescent="0.25">
      <c r="A1408" t="s">
        <v>283</v>
      </c>
      <c r="B1408" t="s">
        <v>43</v>
      </c>
      <c r="C1408" t="s">
        <v>215</v>
      </c>
      <c r="D1408" t="s">
        <v>35</v>
      </c>
      <c r="E1408" t="s">
        <v>152</v>
      </c>
      <c r="F1408" s="1">
        <v>45770</v>
      </c>
      <c r="G1408">
        <v>45800</v>
      </c>
      <c r="H1408" t="s">
        <v>6</v>
      </c>
      <c r="I1408">
        <v>9066.69</v>
      </c>
      <c r="J1408" t="s">
        <v>75</v>
      </c>
      <c r="K1408" t="s">
        <v>284</v>
      </c>
      <c r="L1408">
        <v>30</v>
      </c>
      <c r="M1408" t="s">
        <v>43</v>
      </c>
      <c r="N1408">
        <v>1.1415</v>
      </c>
      <c r="O1408">
        <v>1.3305281316657536</v>
      </c>
      <c r="P1408">
        <v>7.0602424542305781E-3</v>
      </c>
      <c r="Q1408">
        <v>1.1415</v>
      </c>
      <c r="R1408">
        <v>10349.626635000001</v>
      </c>
      <c r="S1408" t="s">
        <v>12</v>
      </c>
      <c r="T1408">
        <v>1.07</v>
      </c>
      <c r="U1408">
        <v>9701.3583000000017</v>
      </c>
      <c r="V1408">
        <v>648.26833499999884</v>
      </c>
      <c r="W1408">
        <v>6.6822429906541927E-2</v>
      </c>
    </row>
    <row r="1409" spans="1:23" x14ac:dyDescent="0.25">
      <c r="A1409" t="s">
        <v>281</v>
      </c>
      <c r="B1409" t="s">
        <v>20</v>
      </c>
      <c r="C1409" t="s">
        <v>123</v>
      </c>
      <c r="D1409" t="s">
        <v>31</v>
      </c>
      <c r="E1409" t="s">
        <v>124</v>
      </c>
      <c r="F1409" s="1">
        <v>45905</v>
      </c>
      <c r="G1409">
        <v>45950</v>
      </c>
      <c r="H1409" t="s">
        <v>6</v>
      </c>
      <c r="I1409">
        <v>73067.28</v>
      </c>
      <c r="J1409" t="s">
        <v>75</v>
      </c>
      <c r="K1409" t="s">
        <v>282</v>
      </c>
      <c r="L1409">
        <v>45</v>
      </c>
      <c r="M1409" t="s">
        <v>20</v>
      </c>
      <c r="N1409">
        <v>1.1697</v>
      </c>
      <c r="O1409">
        <v>1.347891219174925</v>
      </c>
      <c r="P1409">
        <v>6.7577560806516834E-3</v>
      </c>
      <c r="Q1409">
        <v>1.1697</v>
      </c>
      <c r="R1409">
        <v>85466.797416000001</v>
      </c>
      <c r="S1409" t="s">
        <v>13</v>
      </c>
      <c r="T1409">
        <v>1.0880000000000001</v>
      </c>
      <c r="U1409">
        <v>79497.20064000001</v>
      </c>
      <c r="V1409">
        <v>5969.5967759999912</v>
      </c>
      <c r="W1409">
        <v>7.5091911764705768E-2</v>
      </c>
    </row>
    <row r="1410" spans="1:23" x14ac:dyDescent="0.25">
      <c r="A1410" t="s">
        <v>279</v>
      </c>
      <c r="B1410" t="s">
        <v>24</v>
      </c>
      <c r="C1410" t="s">
        <v>73</v>
      </c>
      <c r="D1410" t="s">
        <v>31</v>
      </c>
      <c r="E1410" t="s">
        <v>74</v>
      </c>
      <c r="F1410" s="1">
        <v>45845</v>
      </c>
      <c r="G1410">
        <v>45875</v>
      </c>
      <c r="H1410" t="s">
        <v>6</v>
      </c>
      <c r="I1410">
        <v>41553.85</v>
      </c>
      <c r="J1410" t="s">
        <v>75</v>
      </c>
      <c r="K1410" t="s">
        <v>280</v>
      </c>
      <c r="L1410">
        <v>30</v>
      </c>
      <c r="M1410" t="s">
        <v>24</v>
      </c>
      <c r="N1410">
        <v>1.1728000000000001</v>
      </c>
      <c r="O1410">
        <v>1.3619788642434096</v>
      </c>
      <c r="P1410">
        <v>6.8701306308944993E-3</v>
      </c>
      <c r="Q1410">
        <v>1.1728000000000001</v>
      </c>
      <c r="R1410">
        <v>48734.355280000003</v>
      </c>
      <c r="S1410" t="s">
        <v>13</v>
      </c>
      <c r="T1410">
        <v>1.0880000000000001</v>
      </c>
      <c r="U1410">
        <v>45210.588800000005</v>
      </c>
      <c r="V1410">
        <v>3523.7664799999984</v>
      </c>
      <c r="W1410">
        <v>7.7941176470588194E-2</v>
      </c>
    </row>
    <row r="1411" spans="1:23" x14ac:dyDescent="0.25">
      <c r="A1411" t="s">
        <v>277</v>
      </c>
      <c r="B1411" t="s">
        <v>24</v>
      </c>
      <c r="C1411" t="s">
        <v>73</v>
      </c>
      <c r="D1411" t="s">
        <v>31</v>
      </c>
      <c r="E1411" t="s">
        <v>74</v>
      </c>
      <c r="F1411" s="1">
        <v>46255</v>
      </c>
      <c r="G1411">
        <v>46285</v>
      </c>
      <c r="H1411" t="s">
        <v>6</v>
      </c>
      <c r="I1411">
        <v>25585.93</v>
      </c>
      <c r="J1411" t="s">
        <v>75</v>
      </c>
      <c r="K1411" t="s">
        <v>278</v>
      </c>
      <c r="L1411">
        <v>30</v>
      </c>
      <c r="M1411" t="s">
        <v>24</v>
      </c>
      <c r="N1411">
        <v>1.1698999999999999</v>
      </c>
      <c r="O1411">
        <v>1.3655888875919224</v>
      </c>
      <c r="P1411">
        <v>6.3013034579338578E-3</v>
      </c>
      <c r="Q1411">
        <v>1.1698999999999999</v>
      </c>
      <c r="R1411">
        <v>29932.979507</v>
      </c>
      <c r="S1411" t="s">
        <v>21</v>
      </c>
      <c r="T1411">
        <v>1.101</v>
      </c>
      <c r="U1411">
        <v>28170.108929999999</v>
      </c>
      <c r="V1411">
        <v>1762.8705770000015</v>
      </c>
      <c r="W1411">
        <v>6.2579473206176267E-2</v>
      </c>
    </row>
    <row r="1412" spans="1:23" x14ac:dyDescent="0.25">
      <c r="A1412" t="s">
        <v>275</v>
      </c>
      <c r="B1412" t="s">
        <v>36</v>
      </c>
      <c r="C1412" t="s">
        <v>116</v>
      </c>
      <c r="D1412" t="s">
        <v>31</v>
      </c>
      <c r="E1412" t="s">
        <v>74</v>
      </c>
      <c r="F1412" s="1">
        <v>45690</v>
      </c>
      <c r="G1412">
        <v>45735</v>
      </c>
      <c r="H1412" t="s">
        <v>6</v>
      </c>
      <c r="I1412">
        <v>4251.75</v>
      </c>
      <c r="J1412" t="s">
        <v>75</v>
      </c>
      <c r="K1412" t="s">
        <v>276</v>
      </c>
      <c r="L1412">
        <v>45</v>
      </c>
      <c r="M1412" t="s">
        <v>36</v>
      </c>
      <c r="N1412">
        <v>1.0466</v>
      </c>
      <c r="O1412">
        <v>1.2635518531932874</v>
      </c>
      <c r="P1412">
        <v>6.6743192398443976E-3</v>
      </c>
      <c r="Q1412">
        <v>1.0466</v>
      </c>
      <c r="R1412">
        <v>4449.8815500000001</v>
      </c>
      <c r="S1412" t="s">
        <v>11</v>
      </c>
      <c r="T1412">
        <v>1.052</v>
      </c>
      <c r="U1412">
        <v>4472.8410000000003</v>
      </c>
      <c r="V1412">
        <v>-22.959450000000288</v>
      </c>
      <c r="W1412">
        <v>-5.1330798479088096E-3</v>
      </c>
    </row>
    <row r="1413" spans="1:23" x14ac:dyDescent="0.25">
      <c r="A1413" t="s">
        <v>273</v>
      </c>
      <c r="B1413" t="s">
        <v>38</v>
      </c>
      <c r="C1413" t="s">
        <v>87</v>
      </c>
      <c r="D1413" t="s">
        <v>33</v>
      </c>
      <c r="E1413" t="s">
        <v>88</v>
      </c>
      <c r="F1413" s="1">
        <v>45849</v>
      </c>
      <c r="G1413">
        <v>45879</v>
      </c>
      <c r="H1413" t="s">
        <v>6</v>
      </c>
      <c r="I1413">
        <v>6811.12</v>
      </c>
      <c r="J1413" t="s">
        <v>75</v>
      </c>
      <c r="K1413" t="s">
        <v>274</v>
      </c>
      <c r="L1413">
        <v>30</v>
      </c>
      <c r="M1413" t="s">
        <v>38</v>
      </c>
      <c r="N1413">
        <v>1.1682999999999999</v>
      </c>
      <c r="O1413">
        <v>1.3495437218435946</v>
      </c>
      <c r="P1413">
        <v>6.7999534369361497E-3</v>
      </c>
      <c r="Q1413">
        <v>1.1682999999999999</v>
      </c>
      <c r="R1413">
        <v>7957.4314959999992</v>
      </c>
      <c r="S1413" t="s">
        <v>13</v>
      </c>
      <c r="T1413">
        <v>1.0880000000000001</v>
      </c>
      <c r="U1413">
        <v>7410.49856</v>
      </c>
      <c r="V1413">
        <v>546.93293599999924</v>
      </c>
      <c r="W1413">
        <v>7.3805147058823434E-2</v>
      </c>
    </row>
    <row r="1414" spans="1:23" x14ac:dyDescent="0.25">
      <c r="A1414" t="s">
        <v>271</v>
      </c>
      <c r="B1414" t="s">
        <v>28</v>
      </c>
      <c r="C1414" t="s">
        <v>111</v>
      </c>
      <c r="D1414" t="s">
        <v>31</v>
      </c>
      <c r="E1414" t="s">
        <v>74</v>
      </c>
      <c r="F1414" s="1">
        <v>46312</v>
      </c>
      <c r="G1414">
        <v>46357</v>
      </c>
      <c r="H1414" t="s">
        <v>9</v>
      </c>
      <c r="I1414">
        <v>4281290.91</v>
      </c>
      <c r="J1414" t="s">
        <v>84</v>
      </c>
      <c r="K1414" t="s">
        <v>272</v>
      </c>
      <c r="L1414">
        <v>45</v>
      </c>
      <c r="M1414" t="s">
        <v>28</v>
      </c>
      <c r="N1414">
        <v>1.1176999999999999</v>
      </c>
      <c r="O1414">
        <v>1.320456022210408</v>
      </c>
      <c r="P1414">
        <v>6.3200452360757699E-3</v>
      </c>
      <c r="Q1414">
        <v>6.3200452360757699E-3</v>
      </c>
      <c r="R1414">
        <v>27057.952219999999</v>
      </c>
      <c r="S1414" t="s">
        <v>23</v>
      </c>
      <c r="T1414">
        <v>6.8799999999999998E-3</v>
      </c>
      <c r="U1414">
        <v>29455.281460800001</v>
      </c>
      <c r="V1414">
        <v>-2397.3292408000016</v>
      </c>
      <c r="W1414">
        <v>-8.1388773826196206E-2</v>
      </c>
    </row>
    <row r="1415" spans="1:23" x14ac:dyDescent="0.25">
      <c r="A1415" t="s">
        <v>269</v>
      </c>
      <c r="B1415" t="s">
        <v>30</v>
      </c>
      <c r="C1415" t="s">
        <v>103</v>
      </c>
      <c r="D1415" t="s">
        <v>31</v>
      </c>
      <c r="E1415" t="s">
        <v>74</v>
      </c>
      <c r="F1415" s="1">
        <v>45911</v>
      </c>
      <c r="G1415">
        <v>45941</v>
      </c>
      <c r="H1415" t="s">
        <v>9</v>
      </c>
      <c r="I1415">
        <v>2274381.9</v>
      </c>
      <c r="J1415" t="s">
        <v>75</v>
      </c>
      <c r="K1415" t="s">
        <v>270</v>
      </c>
      <c r="L1415">
        <v>30</v>
      </c>
      <c r="M1415" t="s">
        <v>30</v>
      </c>
      <c r="N1415">
        <v>1.1685000000000001</v>
      </c>
      <c r="O1415">
        <v>1.3513357233722678</v>
      </c>
      <c r="P1415">
        <v>6.7590236001850998E-3</v>
      </c>
      <c r="Q1415">
        <v>6.7590236001850998E-3</v>
      </c>
      <c r="R1415">
        <v>15372.600937933827</v>
      </c>
      <c r="S1415" t="s">
        <v>13</v>
      </c>
      <c r="T1415">
        <v>6.8399999999999997E-3</v>
      </c>
      <c r="U1415">
        <v>15556.772195999998</v>
      </c>
      <c r="V1415">
        <v>-184.1712580661715</v>
      </c>
      <c r="W1415">
        <v>-1.1838654943698805E-2</v>
      </c>
    </row>
    <row r="1416" spans="1:23" x14ac:dyDescent="0.25">
      <c r="A1416" t="s">
        <v>267</v>
      </c>
      <c r="B1416" t="s">
        <v>26</v>
      </c>
      <c r="C1416" t="s">
        <v>94</v>
      </c>
      <c r="D1416" t="s">
        <v>31</v>
      </c>
      <c r="E1416" t="s">
        <v>74</v>
      </c>
      <c r="F1416" s="1">
        <v>46218</v>
      </c>
      <c r="G1416">
        <v>46248</v>
      </c>
      <c r="H1416" t="s">
        <v>8</v>
      </c>
      <c r="I1416">
        <v>8088.06</v>
      </c>
      <c r="J1416" t="s">
        <v>75</v>
      </c>
      <c r="K1416" t="s">
        <v>268</v>
      </c>
      <c r="L1416">
        <v>30</v>
      </c>
      <c r="M1416" t="s">
        <v>26</v>
      </c>
      <c r="N1416">
        <v>1.1406000000000001</v>
      </c>
      <c r="O1416">
        <v>1.3404157803814651</v>
      </c>
      <c r="P1416">
        <v>6.1580822805312602E-3</v>
      </c>
      <c r="Q1416">
        <v>1.3404157803814651</v>
      </c>
      <c r="R1416">
        <v>10841.363256672113</v>
      </c>
      <c r="S1416" t="s">
        <v>21</v>
      </c>
      <c r="T1416">
        <v>1.2929999999999999</v>
      </c>
      <c r="U1416">
        <v>10457.861580000001</v>
      </c>
      <c r="V1416">
        <v>383.50167667211281</v>
      </c>
      <c r="W1416">
        <v>3.6671137185974569E-2</v>
      </c>
    </row>
    <row r="1417" spans="1:23" x14ac:dyDescent="0.25">
      <c r="A1417" t="s">
        <v>265</v>
      </c>
      <c r="B1417" t="s">
        <v>37</v>
      </c>
      <c r="C1417" t="s">
        <v>91</v>
      </c>
      <c r="D1417" t="s">
        <v>31</v>
      </c>
      <c r="E1417" t="s">
        <v>74</v>
      </c>
      <c r="F1417" s="1">
        <v>46108</v>
      </c>
      <c r="G1417">
        <v>46138</v>
      </c>
      <c r="H1417" t="s">
        <v>6</v>
      </c>
      <c r="I1417">
        <v>8005.78</v>
      </c>
      <c r="J1417" t="s">
        <v>75</v>
      </c>
      <c r="K1417" t="s">
        <v>266</v>
      </c>
      <c r="L1417">
        <v>30</v>
      </c>
      <c r="M1417" t="s">
        <v>37</v>
      </c>
      <c r="N1417">
        <v>1.1516999999999999</v>
      </c>
      <c r="O1417">
        <v>1.3280673431734318</v>
      </c>
      <c r="P1417">
        <v>6.2538010425716769E-3</v>
      </c>
      <c r="Q1417">
        <v>1.1516999999999999</v>
      </c>
      <c r="R1417">
        <v>9220.2568259999989</v>
      </c>
      <c r="S1417" t="s">
        <v>16</v>
      </c>
      <c r="T1417">
        <v>1.0649999999999999</v>
      </c>
      <c r="U1417">
        <v>8526.1556999999993</v>
      </c>
      <c r="V1417">
        <v>694.10112599999957</v>
      </c>
      <c r="W1417">
        <v>8.140845070422531E-2</v>
      </c>
    </row>
    <row r="1418" spans="1:23" x14ac:dyDescent="0.25">
      <c r="A1418" t="s">
        <v>263</v>
      </c>
      <c r="B1418" t="s">
        <v>28</v>
      </c>
      <c r="C1418" t="s">
        <v>111</v>
      </c>
      <c r="D1418" t="s">
        <v>31</v>
      </c>
      <c r="E1418" t="s">
        <v>74</v>
      </c>
      <c r="F1418" s="1">
        <v>46174</v>
      </c>
      <c r="G1418">
        <v>46219</v>
      </c>
      <c r="H1418" t="s">
        <v>9</v>
      </c>
      <c r="I1418">
        <v>1089377.96</v>
      </c>
      <c r="J1418" t="s">
        <v>75</v>
      </c>
      <c r="K1418" t="s">
        <v>264</v>
      </c>
      <c r="L1418">
        <v>45</v>
      </c>
      <c r="M1418" t="s">
        <v>28</v>
      </c>
      <c r="N1418">
        <v>1.1646000000000001</v>
      </c>
      <c r="O1418">
        <v>1.3464673441781416</v>
      </c>
      <c r="P1418">
        <v>6.2700549154732421E-3</v>
      </c>
      <c r="Q1418">
        <v>6.2700549154732421E-3</v>
      </c>
      <c r="R1418">
        <v>6830.4596329062124</v>
      </c>
      <c r="S1418" t="s">
        <v>19</v>
      </c>
      <c r="T1418">
        <v>6.6E-3</v>
      </c>
      <c r="U1418">
        <v>7189.8945359999998</v>
      </c>
      <c r="V1418">
        <v>-359.4349030937874</v>
      </c>
      <c r="W1418">
        <v>-4.9991679473751244E-2</v>
      </c>
    </row>
    <row r="1419" spans="1:23" x14ac:dyDescent="0.25">
      <c r="A1419" t="s">
        <v>261</v>
      </c>
      <c r="B1419" t="s">
        <v>44</v>
      </c>
      <c r="C1419" t="s">
        <v>138</v>
      </c>
      <c r="D1419" t="s">
        <v>33</v>
      </c>
      <c r="E1419" t="s">
        <v>88</v>
      </c>
      <c r="F1419" s="1">
        <v>46192</v>
      </c>
      <c r="G1419">
        <v>46237</v>
      </c>
      <c r="H1419" t="s">
        <v>9</v>
      </c>
      <c r="I1419">
        <v>136358.23000000001</v>
      </c>
      <c r="J1419" t="s">
        <v>75</v>
      </c>
      <c r="K1419" t="s">
        <v>262</v>
      </c>
      <c r="L1419">
        <v>45</v>
      </c>
      <c r="M1419" t="s">
        <v>44</v>
      </c>
      <c r="N1419">
        <v>1.1467000000000001</v>
      </c>
      <c r="O1419">
        <v>1.3233240626406473</v>
      </c>
      <c r="P1419">
        <v>6.2024015577672011E-3</v>
      </c>
      <c r="Q1419">
        <v>6.2024015577672011E-3</v>
      </c>
      <c r="R1419">
        <v>845.74849816637834</v>
      </c>
      <c r="S1419" t="s">
        <v>19</v>
      </c>
      <c r="T1419">
        <v>6.6E-3</v>
      </c>
      <c r="U1419">
        <v>899.96431800000005</v>
      </c>
      <c r="V1419">
        <v>-54.215819833621708</v>
      </c>
      <c r="W1419">
        <v>-6.0242188217090743E-2</v>
      </c>
    </row>
    <row r="1420" spans="1:23" x14ac:dyDescent="0.25">
      <c r="A1420" t="s">
        <v>259</v>
      </c>
      <c r="B1420" t="s">
        <v>36</v>
      </c>
      <c r="C1420" t="s">
        <v>116</v>
      </c>
      <c r="D1420" t="s">
        <v>31</v>
      </c>
      <c r="E1420" t="s">
        <v>74</v>
      </c>
      <c r="F1420" s="1">
        <v>46352</v>
      </c>
      <c r="G1420">
        <v>46397</v>
      </c>
      <c r="H1420" t="s">
        <v>6</v>
      </c>
      <c r="I1420">
        <v>27551.02</v>
      </c>
      <c r="J1420" t="s">
        <v>84</v>
      </c>
      <c r="K1420" t="s">
        <v>260</v>
      </c>
      <c r="L1420">
        <v>45</v>
      </c>
      <c r="M1420" t="s">
        <v>36</v>
      </c>
      <c r="N1420">
        <v>1.1176999999999999</v>
      </c>
      <c r="O1420">
        <v>1.320456022210408</v>
      </c>
      <c r="P1420">
        <v>6.3200452360757699E-3</v>
      </c>
      <c r="Q1420">
        <v>1.1176999999999999</v>
      </c>
      <c r="R1420">
        <v>30793.775053999998</v>
      </c>
      <c r="S1420" t="s">
        <v>23</v>
      </c>
      <c r="T1420">
        <v>1.119</v>
      </c>
      <c r="U1420">
        <v>30829.591380000002</v>
      </c>
      <c r="V1420">
        <v>-35.816326000003755</v>
      </c>
      <c r="W1420">
        <v>-1.1617515638964577E-3</v>
      </c>
    </row>
    <row r="1421" spans="1:23" x14ac:dyDescent="0.25">
      <c r="A1421" t="s">
        <v>257</v>
      </c>
      <c r="B1421" t="s">
        <v>28</v>
      </c>
      <c r="C1421" t="s">
        <v>111</v>
      </c>
      <c r="D1421" t="s">
        <v>31</v>
      </c>
      <c r="E1421" t="s">
        <v>74</v>
      </c>
      <c r="F1421" s="1">
        <v>45989</v>
      </c>
      <c r="G1421">
        <v>46034</v>
      </c>
      <c r="H1421" t="s">
        <v>9</v>
      </c>
      <c r="I1421">
        <v>6281353.6500000004</v>
      </c>
      <c r="J1421" t="s">
        <v>75</v>
      </c>
      <c r="K1421" t="s">
        <v>258</v>
      </c>
      <c r="L1421">
        <v>45</v>
      </c>
      <c r="M1421" t="s">
        <v>28</v>
      </c>
      <c r="N1421">
        <v>1.1566000000000001</v>
      </c>
      <c r="O1421">
        <v>1.3215265082266912</v>
      </c>
      <c r="P1421">
        <v>6.405272193609127E-3</v>
      </c>
      <c r="Q1421">
        <v>6.405272193609127E-3</v>
      </c>
      <c r="R1421">
        <v>40233.779872570201</v>
      </c>
      <c r="S1421" t="s">
        <v>14</v>
      </c>
      <c r="T1421">
        <v>6.9800000000000001E-3</v>
      </c>
      <c r="U1421">
        <v>43843.848477000007</v>
      </c>
      <c r="V1421">
        <v>-3610.0686044298054</v>
      </c>
      <c r="W1421">
        <v>-8.2339227276629401E-2</v>
      </c>
    </row>
    <row r="1422" spans="1:23" x14ac:dyDescent="0.25">
      <c r="A1422" t="s">
        <v>255</v>
      </c>
      <c r="B1422" t="s">
        <v>43</v>
      </c>
      <c r="C1422" t="s">
        <v>215</v>
      </c>
      <c r="D1422" t="s">
        <v>35</v>
      </c>
      <c r="E1422" t="s">
        <v>152</v>
      </c>
      <c r="F1422" s="1">
        <v>46061</v>
      </c>
      <c r="G1422">
        <v>46091</v>
      </c>
      <c r="H1422" t="s">
        <v>6</v>
      </c>
      <c r="I1422">
        <v>14614.88</v>
      </c>
      <c r="J1422" t="s">
        <v>75</v>
      </c>
      <c r="K1422" t="s">
        <v>256</v>
      </c>
      <c r="L1422">
        <v>30</v>
      </c>
      <c r="M1422" t="s">
        <v>43</v>
      </c>
      <c r="N1422">
        <v>1.1555</v>
      </c>
      <c r="O1422">
        <v>1.3367963164349013</v>
      </c>
      <c r="P1422">
        <v>6.2983756677204832E-3</v>
      </c>
      <c r="Q1422">
        <v>1.1555</v>
      </c>
      <c r="R1422">
        <v>16887.493839999999</v>
      </c>
      <c r="S1422" t="s">
        <v>16</v>
      </c>
      <c r="T1422">
        <v>1.0649999999999999</v>
      </c>
      <c r="U1422">
        <v>15564.847199999998</v>
      </c>
      <c r="V1422">
        <v>1322.6466400000008</v>
      </c>
      <c r="W1422">
        <v>8.4976525821596302E-2</v>
      </c>
    </row>
    <row r="1423" spans="1:23" x14ac:dyDescent="0.25">
      <c r="A1423" t="s">
        <v>253</v>
      </c>
      <c r="B1423" t="s">
        <v>41</v>
      </c>
      <c r="C1423" t="s">
        <v>172</v>
      </c>
      <c r="D1423" t="s">
        <v>33</v>
      </c>
      <c r="E1423" t="s">
        <v>83</v>
      </c>
      <c r="F1423" s="1">
        <v>45696</v>
      </c>
      <c r="G1423">
        <v>45726</v>
      </c>
      <c r="H1423" t="s">
        <v>9</v>
      </c>
      <c r="I1423">
        <v>683055.42</v>
      </c>
      <c r="J1423" t="s">
        <v>75</v>
      </c>
      <c r="K1423" t="s">
        <v>254</v>
      </c>
      <c r="L1423">
        <v>30</v>
      </c>
      <c r="M1423" t="s">
        <v>41</v>
      </c>
      <c r="N1423">
        <v>1.0557000000000001</v>
      </c>
      <c r="O1423">
        <v>1.2751848093926659</v>
      </c>
      <c r="P1423">
        <v>6.7456869009584666E-3</v>
      </c>
      <c r="Q1423">
        <v>6.7456869009584666E-3</v>
      </c>
      <c r="R1423">
        <v>4607.6779993226837</v>
      </c>
      <c r="S1423" t="s">
        <v>11</v>
      </c>
      <c r="T1423">
        <v>6.5599999999999999E-3</v>
      </c>
      <c r="U1423">
        <v>4480.8435552000001</v>
      </c>
      <c r="V1423">
        <v>126.83444412268364</v>
      </c>
      <c r="W1423">
        <v>2.8305930024156455E-2</v>
      </c>
    </row>
    <row r="1424" spans="1:23" x14ac:dyDescent="0.25">
      <c r="A1424" t="s">
        <v>251</v>
      </c>
      <c r="B1424" t="s">
        <v>26</v>
      </c>
      <c r="C1424" t="s">
        <v>94</v>
      </c>
      <c r="D1424" t="s">
        <v>31</v>
      </c>
      <c r="E1424" t="s">
        <v>74</v>
      </c>
      <c r="F1424" s="1">
        <v>45762</v>
      </c>
      <c r="G1424">
        <v>45792</v>
      </c>
      <c r="H1424" t="s">
        <v>8</v>
      </c>
      <c r="I1424">
        <v>5628.7</v>
      </c>
      <c r="J1424" t="s">
        <v>75</v>
      </c>
      <c r="K1424" t="s">
        <v>252</v>
      </c>
      <c r="L1424">
        <v>30</v>
      </c>
      <c r="M1424" t="s">
        <v>26</v>
      </c>
      <c r="N1424">
        <v>1.1324000000000001</v>
      </c>
      <c r="O1424">
        <v>1.3233609910015194</v>
      </c>
      <c r="P1424">
        <v>6.9966017917825153E-3</v>
      </c>
      <c r="Q1424">
        <v>1.3233609910015194</v>
      </c>
      <c r="R1424">
        <v>7448.8020100502517</v>
      </c>
      <c r="S1424" t="s">
        <v>12</v>
      </c>
      <c r="T1424">
        <v>1.26</v>
      </c>
      <c r="U1424">
        <v>7092.1620000000003</v>
      </c>
      <c r="V1424">
        <v>356.64001005025148</v>
      </c>
      <c r="W1424">
        <v>5.0286500794856553E-2</v>
      </c>
    </row>
    <row r="1425" spans="1:23" x14ac:dyDescent="0.25">
      <c r="A1425" t="s">
        <v>249</v>
      </c>
      <c r="B1425" t="s">
        <v>42</v>
      </c>
      <c r="C1425" t="s">
        <v>151</v>
      </c>
      <c r="D1425" t="s">
        <v>35</v>
      </c>
      <c r="E1425" t="s">
        <v>152</v>
      </c>
      <c r="F1425" s="1">
        <v>46363</v>
      </c>
      <c r="G1425">
        <v>46393</v>
      </c>
      <c r="H1425" t="s">
        <v>8</v>
      </c>
      <c r="I1425">
        <v>5735.54</v>
      </c>
      <c r="J1425" t="s">
        <v>84</v>
      </c>
      <c r="K1425" t="s">
        <v>250</v>
      </c>
      <c r="L1425">
        <v>30</v>
      </c>
      <c r="M1425" t="s">
        <v>42</v>
      </c>
      <c r="N1425">
        <v>1.1176999999999999</v>
      </c>
      <c r="O1425">
        <v>1.320456022210408</v>
      </c>
      <c r="P1425">
        <v>6.3200452360757699E-3</v>
      </c>
      <c r="Q1425">
        <v>1.320456022210408</v>
      </c>
      <c r="R1425">
        <v>7573.5283336286839</v>
      </c>
      <c r="S1425" t="s">
        <v>23</v>
      </c>
      <c r="T1425">
        <v>1.3149999999999999</v>
      </c>
      <c r="U1425">
        <v>7542.2350999999999</v>
      </c>
      <c r="V1425">
        <v>31.293233628683993</v>
      </c>
      <c r="W1425">
        <v>4.1490663197019662E-3</v>
      </c>
    </row>
    <row r="1426" spans="1:23" x14ac:dyDescent="0.25">
      <c r="A1426" t="s">
        <v>247</v>
      </c>
      <c r="B1426" t="s">
        <v>36</v>
      </c>
      <c r="C1426" t="s">
        <v>116</v>
      </c>
      <c r="D1426" t="s">
        <v>31</v>
      </c>
      <c r="E1426" t="s">
        <v>74</v>
      </c>
      <c r="F1426" s="1">
        <v>45720</v>
      </c>
      <c r="G1426">
        <v>45765</v>
      </c>
      <c r="H1426" t="s">
        <v>6</v>
      </c>
      <c r="I1426">
        <v>20534.060000000001</v>
      </c>
      <c r="J1426" t="s">
        <v>75</v>
      </c>
      <c r="K1426" t="s">
        <v>248</v>
      </c>
      <c r="L1426">
        <v>45</v>
      </c>
      <c r="M1426" t="s">
        <v>36</v>
      </c>
      <c r="N1426">
        <v>1.0557000000000001</v>
      </c>
      <c r="O1426">
        <v>1.2751848093926659</v>
      </c>
      <c r="P1426">
        <v>6.7456869009584666E-3</v>
      </c>
      <c r="Q1426">
        <v>1.0557000000000001</v>
      </c>
      <c r="R1426">
        <v>21677.807142000001</v>
      </c>
      <c r="S1426" t="s">
        <v>11</v>
      </c>
      <c r="T1426">
        <v>1.052</v>
      </c>
      <c r="U1426">
        <v>21601.831120000003</v>
      </c>
      <c r="V1426">
        <v>75.97602199999892</v>
      </c>
      <c r="W1426">
        <v>3.5171102661596455E-3</v>
      </c>
    </row>
    <row r="1427" spans="1:23" x14ac:dyDescent="0.25">
      <c r="A1427" t="s">
        <v>245</v>
      </c>
      <c r="B1427" t="s">
        <v>28</v>
      </c>
      <c r="C1427" t="s">
        <v>111</v>
      </c>
      <c r="D1427" t="s">
        <v>31</v>
      </c>
      <c r="E1427" t="s">
        <v>74</v>
      </c>
      <c r="F1427" s="1">
        <v>46300</v>
      </c>
      <c r="G1427">
        <v>46345</v>
      </c>
      <c r="H1427" t="s">
        <v>9</v>
      </c>
      <c r="I1427">
        <v>2306408.69</v>
      </c>
      <c r="J1427" t="s">
        <v>84</v>
      </c>
      <c r="K1427" t="s">
        <v>246</v>
      </c>
      <c r="L1427">
        <v>45</v>
      </c>
      <c r="M1427" t="s">
        <v>28</v>
      </c>
      <c r="N1427">
        <v>1.1204000000000001</v>
      </c>
      <c r="O1427">
        <v>1.3224740321057602</v>
      </c>
      <c r="P1427">
        <v>6.3199458483754519E-3</v>
      </c>
      <c r="Q1427">
        <v>6.3199458483754519E-3</v>
      </c>
      <c r="R1427">
        <v>14576.378025022565</v>
      </c>
      <c r="S1427" t="s">
        <v>23</v>
      </c>
      <c r="T1427">
        <v>6.8799999999999998E-3</v>
      </c>
      <c r="U1427">
        <v>15868.091787199999</v>
      </c>
      <c r="V1427">
        <v>-1291.7137621774345</v>
      </c>
      <c r="W1427">
        <v>-8.1403219712870317E-2</v>
      </c>
    </row>
    <row r="1428" spans="1:23" x14ac:dyDescent="0.25">
      <c r="A1428" t="s">
        <v>243</v>
      </c>
      <c r="B1428" t="s">
        <v>34</v>
      </c>
      <c r="C1428" t="s">
        <v>177</v>
      </c>
      <c r="D1428" t="s">
        <v>31</v>
      </c>
      <c r="E1428" t="s">
        <v>74</v>
      </c>
      <c r="F1428" s="1">
        <v>46188</v>
      </c>
      <c r="G1428">
        <v>46248</v>
      </c>
      <c r="H1428" t="s">
        <v>8</v>
      </c>
      <c r="I1428">
        <v>6505.32</v>
      </c>
      <c r="J1428" t="s">
        <v>75</v>
      </c>
      <c r="K1428" t="s">
        <v>244</v>
      </c>
      <c r="L1428">
        <v>60</v>
      </c>
      <c r="M1428" t="s">
        <v>34</v>
      </c>
      <c r="N1428">
        <v>1.1607000000000001</v>
      </c>
      <c r="O1428">
        <v>1.3421134789496203</v>
      </c>
      <c r="P1428">
        <v>6.2426719733232935E-3</v>
      </c>
      <c r="Q1428">
        <v>1.3421134789496203</v>
      </c>
      <c r="R1428">
        <v>8730.8776568805442</v>
      </c>
      <c r="S1428" t="s">
        <v>19</v>
      </c>
      <c r="T1428">
        <v>1.2709999999999999</v>
      </c>
      <c r="U1428">
        <v>8268.2617199999986</v>
      </c>
      <c r="V1428">
        <v>462.61593688054563</v>
      </c>
      <c r="W1428">
        <v>5.5950809559103518E-2</v>
      </c>
    </row>
    <row r="1429" spans="1:23" x14ac:dyDescent="0.25">
      <c r="A1429" t="s">
        <v>241</v>
      </c>
      <c r="B1429" t="s">
        <v>25</v>
      </c>
      <c r="C1429" t="s">
        <v>169</v>
      </c>
      <c r="D1429" t="s">
        <v>31</v>
      </c>
      <c r="E1429" t="s">
        <v>124</v>
      </c>
      <c r="F1429" s="1">
        <v>45894</v>
      </c>
      <c r="G1429">
        <v>45954</v>
      </c>
      <c r="H1429" t="s">
        <v>6</v>
      </c>
      <c r="I1429">
        <v>63941.9</v>
      </c>
      <c r="J1429" t="s">
        <v>75</v>
      </c>
      <c r="K1429" t="s">
        <v>242</v>
      </c>
      <c r="L1429">
        <v>60</v>
      </c>
      <c r="M1429" t="s">
        <v>25</v>
      </c>
      <c r="N1429">
        <v>1.1697</v>
      </c>
      <c r="O1429">
        <v>1.3508488278092159</v>
      </c>
      <c r="P1429">
        <v>6.7863773497331163E-3</v>
      </c>
      <c r="Q1429">
        <v>1.1697</v>
      </c>
      <c r="R1429">
        <v>74792.840429999997</v>
      </c>
      <c r="S1429" t="s">
        <v>13</v>
      </c>
      <c r="T1429">
        <v>1.0880000000000001</v>
      </c>
      <c r="U1429">
        <v>69568.787200000006</v>
      </c>
      <c r="V1429">
        <v>5224.0532299999904</v>
      </c>
      <c r="W1429">
        <v>7.509191176470574E-2</v>
      </c>
    </row>
    <row r="1430" spans="1:23" x14ac:dyDescent="0.25">
      <c r="A1430" t="s">
        <v>239</v>
      </c>
      <c r="B1430" t="s">
        <v>41</v>
      </c>
      <c r="C1430" t="s">
        <v>172</v>
      </c>
      <c r="D1430" t="s">
        <v>33</v>
      </c>
      <c r="E1430" t="s">
        <v>83</v>
      </c>
      <c r="F1430" s="1">
        <v>46225</v>
      </c>
      <c r="G1430">
        <v>46255</v>
      </c>
      <c r="H1430" t="s">
        <v>9</v>
      </c>
      <c r="I1430">
        <v>2265686</v>
      </c>
      <c r="J1430" t="s">
        <v>75</v>
      </c>
      <c r="K1430" t="s">
        <v>240</v>
      </c>
      <c r="L1430">
        <v>30</v>
      </c>
      <c r="M1430" t="s">
        <v>41</v>
      </c>
      <c r="N1430">
        <v>1.1408</v>
      </c>
      <c r="O1430">
        <v>1.3367705647996251</v>
      </c>
      <c r="P1430">
        <v>6.132344245551793E-3</v>
      </c>
      <c r="Q1430">
        <v>6.132344245551793E-3</v>
      </c>
      <c r="R1430">
        <v>13893.96650432726</v>
      </c>
      <c r="S1430" t="s">
        <v>21</v>
      </c>
      <c r="T1430">
        <v>6.7400000000000003E-3</v>
      </c>
      <c r="U1430">
        <v>15270.72364</v>
      </c>
      <c r="V1430">
        <v>-1376.7571356727403</v>
      </c>
      <c r="W1430">
        <v>-9.0156640125846732E-2</v>
      </c>
    </row>
    <row r="1431" spans="1:23" x14ac:dyDescent="0.25">
      <c r="A1431" t="s">
        <v>237</v>
      </c>
      <c r="B1431" t="s">
        <v>32</v>
      </c>
      <c r="C1431" t="s">
        <v>106</v>
      </c>
      <c r="D1431" t="s">
        <v>31</v>
      </c>
      <c r="E1431" t="s">
        <v>74</v>
      </c>
      <c r="F1431" s="1">
        <v>46262</v>
      </c>
      <c r="G1431">
        <v>46292</v>
      </c>
      <c r="H1431" t="s">
        <v>6</v>
      </c>
      <c r="I1431">
        <v>5473.87</v>
      </c>
      <c r="J1431" t="s">
        <v>75</v>
      </c>
      <c r="K1431" t="s">
        <v>238</v>
      </c>
      <c r="L1431">
        <v>30</v>
      </c>
      <c r="M1431" t="s">
        <v>32</v>
      </c>
      <c r="N1431">
        <v>1.1642999999999999</v>
      </c>
      <c r="O1431">
        <v>1.3582594493700419</v>
      </c>
      <c r="P1431">
        <v>6.2623709122203094E-3</v>
      </c>
      <c r="Q1431">
        <v>1.1642999999999999</v>
      </c>
      <c r="R1431">
        <v>6373.2268409999997</v>
      </c>
      <c r="S1431" t="s">
        <v>21</v>
      </c>
      <c r="T1431">
        <v>1.101</v>
      </c>
      <c r="U1431">
        <v>6026.7308699999994</v>
      </c>
      <c r="V1431">
        <v>346.49597100000028</v>
      </c>
      <c r="W1431">
        <v>5.7493188010899234E-2</v>
      </c>
    </row>
    <row r="1432" spans="1:23" x14ac:dyDescent="0.25">
      <c r="A1432" t="s">
        <v>235</v>
      </c>
      <c r="B1432" t="s">
        <v>44</v>
      </c>
      <c r="C1432" t="s">
        <v>138</v>
      </c>
      <c r="D1432" t="s">
        <v>33</v>
      </c>
      <c r="E1432" t="s">
        <v>88</v>
      </c>
      <c r="F1432" s="1">
        <v>45757</v>
      </c>
      <c r="G1432">
        <v>45802</v>
      </c>
      <c r="H1432" t="s">
        <v>9</v>
      </c>
      <c r="I1432">
        <v>772976.88</v>
      </c>
      <c r="J1432" t="s">
        <v>75</v>
      </c>
      <c r="K1432" t="s">
        <v>236</v>
      </c>
      <c r="L1432">
        <v>45</v>
      </c>
      <c r="M1432" t="s">
        <v>44</v>
      </c>
      <c r="N1432">
        <v>1.1082000000000001</v>
      </c>
      <c r="O1432">
        <v>1.2922861640720658</v>
      </c>
      <c r="P1432">
        <v>6.8712797619047625E-3</v>
      </c>
      <c r="Q1432">
        <v>6.8712797619047625E-3</v>
      </c>
      <c r="R1432">
        <v>5311.340391964286</v>
      </c>
      <c r="S1432" t="s">
        <v>12</v>
      </c>
      <c r="T1432">
        <v>6.7000000000000002E-3</v>
      </c>
      <c r="U1432">
        <v>5178.9450960000004</v>
      </c>
      <c r="V1432">
        <v>132.39529596428565</v>
      </c>
      <c r="W1432">
        <v>2.5564143567874897E-2</v>
      </c>
    </row>
    <row r="1433" spans="1:23" x14ac:dyDescent="0.25">
      <c r="A1433" t="s">
        <v>233</v>
      </c>
      <c r="B1433" t="s">
        <v>20</v>
      </c>
      <c r="C1433" t="s">
        <v>123</v>
      </c>
      <c r="D1433" t="s">
        <v>31</v>
      </c>
      <c r="E1433" t="s">
        <v>124</v>
      </c>
      <c r="F1433" s="1">
        <v>45742</v>
      </c>
      <c r="G1433">
        <v>45787</v>
      </c>
      <c r="H1433" t="s">
        <v>6</v>
      </c>
      <c r="I1433">
        <v>27344.21</v>
      </c>
      <c r="J1433" t="s">
        <v>75</v>
      </c>
      <c r="K1433" t="s">
        <v>234</v>
      </c>
      <c r="L1433">
        <v>45</v>
      </c>
      <c r="M1433" t="s">
        <v>20</v>
      </c>
      <c r="N1433">
        <v>1.0788</v>
      </c>
      <c r="O1433">
        <v>1.2900756968776532</v>
      </c>
      <c r="P1433">
        <v>6.6510480887792848E-3</v>
      </c>
      <c r="Q1433">
        <v>1.0788</v>
      </c>
      <c r="R1433">
        <v>29498.933747999999</v>
      </c>
      <c r="S1433" t="s">
        <v>11</v>
      </c>
      <c r="T1433">
        <v>1.052</v>
      </c>
      <c r="U1433">
        <v>28766.108919999999</v>
      </c>
      <c r="V1433">
        <v>732.82482800000071</v>
      </c>
      <c r="W1433">
        <v>2.5475285171102688E-2</v>
      </c>
    </row>
    <row r="1434" spans="1:23" x14ac:dyDescent="0.25">
      <c r="A1434" t="s">
        <v>231</v>
      </c>
      <c r="B1434" t="s">
        <v>26</v>
      </c>
      <c r="C1434" t="s">
        <v>94</v>
      </c>
      <c r="D1434" t="s">
        <v>31</v>
      </c>
      <c r="E1434" t="s">
        <v>74</v>
      </c>
      <c r="F1434" s="1">
        <v>45827</v>
      </c>
      <c r="G1434">
        <v>45857</v>
      </c>
      <c r="H1434" t="s">
        <v>8</v>
      </c>
      <c r="I1434">
        <v>7210.94</v>
      </c>
      <c r="J1434" t="s">
        <v>75</v>
      </c>
      <c r="K1434" t="s">
        <v>232</v>
      </c>
      <c r="L1434">
        <v>30</v>
      </c>
      <c r="M1434" t="s">
        <v>26</v>
      </c>
      <c r="N1434">
        <v>1.1477999999999999</v>
      </c>
      <c r="O1434">
        <v>1.3438707411310151</v>
      </c>
      <c r="P1434">
        <v>6.8648325358851674E-3</v>
      </c>
      <c r="Q1434">
        <v>1.3438707411310151</v>
      </c>
      <c r="R1434">
        <v>9690.5712820512817</v>
      </c>
      <c r="S1434" t="s">
        <v>12</v>
      </c>
      <c r="T1434">
        <v>1.26</v>
      </c>
      <c r="U1434">
        <v>9085.7844000000005</v>
      </c>
      <c r="V1434">
        <v>604.78688205128128</v>
      </c>
      <c r="W1434">
        <v>6.656408026271031E-2</v>
      </c>
    </row>
    <row r="1435" spans="1:23" x14ac:dyDescent="0.25">
      <c r="A1435" t="s">
        <v>229</v>
      </c>
      <c r="B1435" t="s">
        <v>20</v>
      </c>
      <c r="C1435" t="s">
        <v>123</v>
      </c>
      <c r="D1435" t="s">
        <v>31</v>
      </c>
      <c r="E1435" t="s">
        <v>124</v>
      </c>
      <c r="F1435" s="1">
        <v>46317</v>
      </c>
      <c r="G1435">
        <v>46362</v>
      </c>
      <c r="H1435" t="s">
        <v>6</v>
      </c>
      <c r="I1435">
        <v>42161</v>
      </c>
      <c r="J1435" t="s">
        <v>84</v>
      </c>
      <c r="K1435" t="s">
        <v>230</v>
      </c>
      <c r="L1435">
        <v>45</v>
      </c>
      <c r="M1435" t="s">
        <v>20</v>
      </c>
      <c r="N1435">
        <v>1.1176999999999999</v>
      </c>
      <c r="O1435">
        <v>1.320456022210408</v>
      </c>
      <c r="P1435">
        <v>6.3200452360757699E-3</v>
      </c>
      <c r="Q1435">
        <v>1.1176999999999999</v>
      </c>
      <c r="R1435">
        <v>47123.349699999999</v>
      </c>
      <c r="S1435" t="s">
        <v>23</v>
      </c>
      <c r="T1435">
        <v>1.119</v>
      </c>
      <c r="U1435">
        <v>47178.159</v>
      </c>
      <c r="V1435">
        <v>-54.809300000000803</v>
      </c>
      <c r="W1435">
        <v>-1.1617515638963532E-3</v>
      </c>
    </row>
    <row r="1436" spans="1:23" x14ac:dyDescent="0.25">
      <c r="A1436" t="s">
        <v>227</v>
      </c>
      <c r="B1436" t="s">
        <v>24</v>
      </c>
      <c r="C1436" t="s">
        <v>73</v>
      </c>
      <c r="D1436" t="s">
        <v>31</v>
      </c>
      <c r="E1436" t="s">
        <v>74</v>
      </c>
      <c r="F1436" s="1">
        <v>46111</v>
      </c>
      <c r="G1436">
        <v>46141</v>
      </c>
      <c r="H1436" t="s">
        <v>6</v>
      </c>
      <c r="I1436">
        <v>42487.9</v>
      </c>
      <c r="J1436" t="s">
        <v>75</v>
      </c>
      <c r="K1436" t="s">
        <v>228</v>
      </c>
      <c r="L1436">
        <v>30</v>
      </c>
      <c r="M1436" t="s">
        <v>24</v>
      </c>
      <c r="N1436">
        <v>1.1484000000000001</v>
      </c>
      <c r="O1436">
        <v>1.3229957489948505</v>
      </c>
      <c r="P1436">
        <v>6.2712975098296198E-3</v>
      </c>
      <c r="Q1436">
        <v>1.1484000000000001</v>
      </c>
      <c r="R1436">
        <v>48793.104360000005</v>
      </c>
      <c r="S1436" t="s">
        <v>16</v>
      </c>
      <c r="T1436">
        <v>1.0649999999999999</v>
      </c>
      <c r="U1436">
        <v>45249.613499999999</v>
      </c>
      <c r="V1436">
        <v>3543.4908600000053</v>
      </c>
      <c r="W1436">
        <v>7.830985915492969E-2</v>
      </c>
    </row>
    <row r="1437" spans="1:23" x14ac:dyDescent="0.25">
      <c r="A1437" t="s">
        <v>225</v>
      </c>
      <c r="B1437" t="s">
        <v>20</v>
      </c>
      <c r="C1437" t="s">
        <v>123</v>
      </c>
      <c r="D1437" t="s">
        <v>31</v>
      </c>
      <c r="E1437" t="s">
        <v>124</v>
      </c>
      <c r="F1437" s="1">
        <v>46168</v>
      </c>
      <c r="G1437">
        <v>46213</v>
      </c>
      <c r="H1437" t="s">
        <v>6</v>
      </c>
      <c r="I1437">
        <v>40612.19</v>
      </c>
      <c r="J1437" t="s">
        <v>75</v>
      </c>
      <c r="K1437" t="s">
        <v>226</v>
      </c>
      <c r="L1437">
        <v>45</v>
      </c>
      <c r="M1437" t="s">
        <v>20</v>
      </c>
      <c r="N1437">
        <v>1.1634</v>
      </c>
      <c r="O1437">
        <v>1.3469175108538349</v>
      </c>
      <c r="P1437">
        <v>6.2811791383219958E-3</v>
      </c>
      <c r="Q1437">
        <v>1.1634</v>
      </c>
      <c r="R1437">
        <v>47248.221846</v>
      </c>
      <c r="S1437" t="s">
        <v>19</v>
      </c>
      <c r="T1437">
        <v>1.083</v>
      </c>
      <c r="U1437">
        <v>43983.001770000003</v>
      </c>
      <c r="V1437">
        <v>3265.2200759999978</v>
      </c>
      <c r="W1437">
        <v>7.4238227146814356E-2</v>
      </c>
    </row>
    <row r="1438" spans="1:23" x14ac:dyDescent="0.25">
      <c r="A1438" t="s">
        <v>223</v>
      </c>
      <c r="B1438" t="s">
        <v>20</v>
      </c>
      <c r="C1438" t="s">
        <v>123</v>
      </c>
      <c r="D1438" t="s">
        <v>31</v>
      </c>
      <c r="E1438" t="s">
        <v>124</v>
      </c>
      <c r="F1438" s="1">
        <v>45727</v>
      </c>
      <c r="G1438">
        <v>45772</v>
      </c>
      <c r="H1438" t="s">
        <v>6</v>
      </c>
      <c r="I1438">
        <v>12596.84</v>
      </c>
      <c r="J1438" t="s">
        <v>75</v>
      </c>
      <c r="K1438" t="s">
        <v>224</v>
      </c>
      <c r="L1438">
        <v>45</v>
      </c>
      <c r="M1438" t="s">
        <v>20</v>
      </c>
      <c r="N1438">
        <v>1.0911999999999999</v>
      </c>
      <c r="O1438">
        <v>1.2932894019484673</v>
      </c>
      <c r="P1438">
        <v>6.7558197127290734E-3</v>
      </c>
      <c r="Q1438">
        <v>1.0911999999999999</v>
      </c>
      <c r="R1438">
        <v>13745.671807999999</v>
      </c>
      <c r="S1438" t="s">
        <v>11</v>
      </c>
      <c r="T1438">
        <v>1.052</v>
      </c>
      <c r="U1438">
        <v>13251.875680000001</v>
      </c>
      <c r="V1438">
        <v>493.79612799999813</v>
      </c>
      <c r="W1438">
        <v>3.7262357414448527E-2</v>
      </c>
    </row>
    <row r="1439" spans="1:23" x14ac:dyDescent="0.25">
      <c r="A1439" t="s">
        <v>221</v>
      </c>
      <c r="B1439" t="s">
        <v>22</v>
      </c>
      <c r="C1439" t="s">
        <v>127</v>
      </c>
      <c r="D1439" t="s">
        <v>31</v>
      </c>
      <c r="E1439" t="s">
        <v>124</v>
      </c>
      <c r="F1439" s="1">
        <v>46076</v>
      </c>
      <c r="G1439">
        <v>46136</v>
      </c>
      <c r="H1439" t="s">
        <v>9</v>
      </c>
      <c r="I1439">
        <v>6170799.4800000004</v>
      </c>
      <c r="J1439" t="s">
        <v>75</v>
      </c>
      <c r="K1439" t="s">
        <v>222</v>
      </c>
      <c r="L1439">
        <v>60</v>
      </c>
      <c r="M1439" t="s">
        <v>22</v>
      </c>
      <c r="N1439">
        <v>1.1783999999999999</v>
      </c>
      <c r="O1439">
        <v>1.3492099839706893</v>
      </c>
      <c r="P1439">
        <v>6.4591098443323829E-3</v>
      </c>
      <c r="Q1439">
        <v>6.4591098443323829E-3</v>
      </c>
      <c r="R1439">
        <v>39857.871668669155</v>
      </c>
      <c r="S1439" t="s">
        <v>16</v>
      </c>
      <c r="T1439">
        <v>6.4599999999999996E-3</v>
      </c>
      <c r="U1439">
        <v>39863.364640799999</v>
      </c>
      <c r="V1439">
        <v>-5.4929721308435546</v>
      </c>
      <c r="W1439">
        <v>-1.377949949869891E-4</v>
      </c>
    </row>
    <row r="1440" spans="1:23" x14ac:dyDescent="0.25">
      <c r="A1440" t="s">
        <v>219</v>
      </c>
      <c r="B1440" t="s">
        <v>24</v>
      </c>
      <c r="C1440" t="s">
        <v>73</v>
      </c>
      <c r="D1440" t="s">
        <v>31</v>
      </c>
      <c r="E1440" t="s">
        <v>74</v>
      </c>
      <c r="F1440" s="1">
        <v>46225</v>
      </c>
      <c r="G1440">
        <v>46255</v>
      </c>
      <c r="H1440" t="s">
        <v>6</v>
      </c>
      <c r="I1440">
        <v>28792.69</v>
      </c>
      <c r="J1440" t="s">
        <v>75</v>
      </c>
      <c r="K1440" t="s">
        <v>220</v>
      </c>
      <c r="L1440">
        <v>30</v>
      </c>
      <c r="M1440" t="s">
        <v>24</v>
      </c>
      <c r="N1440">
        <v>1.1408</v>
      </c>
      <c r="O1440">
        <v>1.3367705647996251</v>
      </c>
      <c r="P1440">
        <v>6.132344245551793E-3</v>
      </c>
      <c r="Q1440">
        <v>1.1408</v>
      </c>
      <c r="R1440">
        <v>32846.700751999997</v>
      </c>
      <c r="S1440" t="s">
        <v>21</v>
      </c>
      <c r="T1440">
        <v>1.101</v>
      </c>
      <c r="U1440">
        <v>31700.751689999997</v>
      </c>
      <c r="V1440">
        <v>1145.9490619999997</v>
      </c>
      <c r="W1440">
        <v>3.6148955495004534E-2</v>
      </c>
    </row>
    <row r="1441" spans="1:23" x14ac:dyDescent="0.25">
      <c r="A1441" t="s">
        <v>217</v>
      </c>
      <c r="B1441" t="s">
        <v>36</v>
      </c>
      <c r="C1441" t="s">
        <v>116</v>
      </c>
      <c r="D1441" t="s">
        <v>31</v>
      </c>
      <c r="E1441" t="s">
        <v>74</v>
      </c>
      <c r="F1441" s="1">
        <v>46202</v>
      </c>
      <c r="G1441">
        <v>46247</v>
      </c>
      <c r="H1441" t="s">
        <v>6</v>
      </c>
      <c r="I1441">
        <v>12169.69</v>
      </c>
      <c r="J1441" t="s">
        <v>75</v>
      </c>
      <c r="K1441" t="s">
        <v>218</v>
      </c>
      <c r="L1441">
        <v>45</v>
      </c>
      <c r="M1441" t="s">
        <v>36</v>
      </c>
      <c r="N1441">
        <v>1.1406000000000001</v>
      </c>
      <c r="O1441">
        <v>1.3229716406657774</v>
      </c>
      <c r="P1441">
        <v>6.1780955476113102E-3</v>
      </c>
      <c r="Q1441">
        <v>1.1406000000000001</v>
      </c>
      <c r="R1441">
        <v>13880.748414000002</v>
      </c>
      <c r="S1441" t="s">
        <v>19</v>
      </c>
      <c r="T1441">
        <v>1.083</v>
      </c>
      <c r="U1441">
        <v>13179.77427</v>
      </c>
      <c r="V1441">
        <v>700.97414400000162</v>
      </c>
      <c r="W1441">
        <v>5.3185595567867158E-2</v>
      </c>
    </row>
    <row r="1442" spans="1:23" x14ac:dyDescent="0.25">
      <c r="A1442" t="s">
        <v>214</v>
      </c>
      <c r="B1442" t="s">
        <v>43</v>
      </c>
      <c r="C1442" t="s">
        <v>215</v>
      </c>
      <c r="D1442" t="s">
        <v>35</v>
      </c>
      <c r="E1442" t="s">
        <v>152</v>
      </c>
      <c r="F1442" s="1">
        <v>46357</v>
      </c>
      <c r="G1442">
        <v>46387</v>
      </c>
      <c r="H1442" t="s">
        <v>6</v>
      </c>
      <c r="I1442">
        <v>3388.43</v>
      </c>
      <c r="J1442" t="s">
        <v>84</v>
      </c>
      <c r="K1442" t="s">
        <v>216</v>
      </c>
      <c r="L1442">
        <v>30</v>
      </c>
      <c r="M1442" t="s">
        <v>43</v>
      </c>
      <c r="N1442">
        <v>1.1176999999999999</v>
      </c>
      <c r="O1442">
        <v>1.320456022210408</v>
      </c>
      <c r="P1442">
        <v>6.3200452360757699E-3</v>
      </c>
      <c r="Q1442">
        <v>1.1176999999999999</v>
      </c>
      <c r="R1442">
        <v>3787.2482109999996</v>
      </c>
      <c r="S1442" t="s">
        <v>23</v>
      </c>
      <c r="T1442">
        <v>1.119</v>
      </c>
      <c r="U1442">
        <v>3791.6531699999996</v>
      </c>
      <c r="V1442">
        <v>-4.4049589999999625</v>
      </c>
      <c r="W1442">
        <v>-1.1617515638963263E-3</v>
      </c>
    </row>
    <row r="1443" spans="1:23" x14ac:dyDescent="0.25">
      <c r="A1443" t="s">
        <v>212</v>
      </c>
      <c r="B1443" t="s">
        <v>26</v>
      </c>
      <c r="C1443" t="s">
        <v>94</v>
      </c>
      <c r="D1443" t="s">
        <v>31</v>
      </c>
      <c r="E1443" t="s">
        <v>74</v>
      </c>
      <c r="F1443" s="1">
        <v>45801</v>
      </c>
      <c r="G1443">
        <v>45831</v>
      </c>
      <c r="H1443" t="s">
        <v>8</v>
      </c>
      <c r="I1443">
        <v>35616.089999999997</v>
      </c>
      <c r="J1443" t="s">
        <v>75</v>
      </c>
      <c r="K1443" t="s">
        <v>213</v>
      </c>
      <c r="L1443">
        <v>30</v>
      </c>
      <c r="M1443" t="s">
        <v>26</v>
      </c>
      <c r="N1443">
        <v>1.1404000000000001</v>
      </c>
      <c r="O1443">
        <v>1.3160992498557416</v>
      </c>
      <c r="P1443">
        <v>6.6453003904201387E-3</v>
      </c>
      <c r="Q1443">
        <v>1.3160992498557416</v>
      </c>
      <c r="R1443">
        <v>46874.309331794575</v>
      </c>
      <c r="S1443" t="s">
        <v>12</v>
      </c>
      <c r="T1443">
        <v>1.26</v>
      </c>
      <c r="U1443">
        <v>44876.273399999998</v>
      </c>
      <c r="V1443">
        <v>1998.0359317945768</v>
      </c>
      <c r="W1443">
        <v>4.4523214171223423E-2</v>
      </c>
    </row>
    <row r="1444" spans="1:23" x14ac:dyDescent="0.25">
      <c r="A1444" t="s">
        <v>210</v>
      </c>
      <c r="B1444" t="s">
        <v>32</v>
      </c>
      <c r="C1444" t="s">
        <v>106</v>
      </c>
      <c r="D1444" t="s">
        <v>31</v>
      </c>
      <c r="E1444" t="s">
        <v>74</v>
      </c>
      <c r="F1444" s="1">
        <v>46022</v>
      </c>
      <c r="G1444">
        <v>46052</v>
      </c>
      <c r="H1444" t="s">
        <v>6</v>
      </c>
      <c r="I1444">
        <v>23049.22</v>
      </c>
      <c r="J1444" t="s">
        <v>75</v>
      </c>
      <c r="K1444" t="s">
        <v>211</v>
      </c>
      <c r="L1444">
        <v>30</v>
      </c>
      <c r="M1444" t="s">
        <v>32</v>
      </c>
      <c r="N1444">
        <v>1.175</v>
      </c>
      <c r="O1444">
        <v>1.3465505386202155</v>
      </c>
      <c r="P1444">
        <v>6.3827475691237987E-3</v>
      </c>
      <c r="Q1444">
        <v>1.175</v>
      </c>
      <c r="R1444">
        <v>27082.833500000001</v>
      </c>
      <c r="S1444" t="s">
        <v>14</v>
      </c>
      <c r="T1444">
        <v>1.1060000000000001</v>
      </c>
      <c r="U1444">
        <v>25492.437320000005</v>
      </c>
      <c r="V1444">
        <v>1590.3961799999961</v>
      </c>
      <c r="W1444">
        <v>6.2386980108498934E-2</v>
      </c>
    </row>
    <row r="1445" spans="1:23" x14ac:dyDescent="0.25">
      <c r="A1445" t="s">
        <v>208</v>
      </c>
      <c r="B1445" t="s">
        <v>34</v>
      </c>
      <c r="C1445" t="s">
        <v>177</v>
      </c>
      <c r="D1445" t="s">
        <v>31</v>
      </c>
      <c r="E1445" t="s">
        <v>74</v>
      </c>
      <c r="F1445" s="1">
        <v>46163</v>
      </c>
      <c r="G1445">
        <v>46223</v>
      </c>
      <c r="H1445" t="s">
        <v>8</v>
      </c>
      <c r="I1445">
        <v>26176.75</v>
      </c>
      <c r="J1445" t="s">
        <v>75</v>
      </c>
      <c r="K1445" t="s">
        <v>209</v>
      </c>
      <c r="L1445">
        <v>60</v>
      </c>
      <c r="M1445" t="s">
        <v>34</v>
      </c>
      <c r="N1445">
        <v>1.1598999999999999</v>
      </c>
      <c r="O1445">
        <v>1.3419642960443348</v>
      </c>
      <c r="P1445">
        <v>6.2836556693211983E-3</v>
      </c>
      <c r="Q1445">
        <v>1.3419642960443348</v>
      </c>
      <c r="R1445">
        <v>35128.26388647854</v>
      </c>
      <c r="S1445" t="s">
        <v>19</v>
      </c>
      <c r="T1445">
        <v>1.2709999999999999</v>
      </c>
      <c r="U1445">
        <v>33270.649249999995</v>
      </c>
      <c r="V1445">
        <v>1857.6146364785454</v>
      </c>
      <c r="W1445">
        <v>5.5833435125361902E-2</v>
      </c>
    </row>
    <row r="1446" spans="1:23" x14ac:dyDescent="0.25">
      <c r="A1446" t="s">
        <v>206</v>
      </c>
      <c r="B1446" t="s">
        <v>26</v>
      </c>
      <c r="C1446" t="s">
        <v>94</v>
      </c>
      <c r="D1446" t="s">
        <v>31</v>
      </c>
      <c r="E1446" t="s">
        <v>74</v>
      </c>
      <c r="F1446" s="1">
        <v>45879</v>
      </c>
      <c r="G1446">
        <v>45909</v>
      </c>
      <c r="H1446" t="s">
        <v>8</v>
      </c>
      <c r="I1446">
        <v>23323.23</v>
      </c>
      <c r="J1446" t="s">
        <v>75</v>
      </c>
      <c r="K1446" t="s">
        <v>207</v>
      </c>
      <c r="L1446">
        <v>30</v>
      </c>
      <c r="M1446" t="s">
        <v>26</v>
      </c>
      <c r="N1446">
        <v>1.1583000000000001</v>
      </c>
      <c r="O1446">
        <v>1.3122238586156112</v>
      </c>
      <c r="P1446">
        <v>6.4047553220901304E-3</v>
      </c>
      <c r="Q1446">
        <v>1.3122238586156112</v>
      </c>
      <c r="R1446">
        <v>30605.298865979381</v>
      </c>
      <c r="S1446" t="s">
        <v>13</v>
      </c>
      <c r="T1446">
        <v>1.282</v>
      </c>
      <c r="U1446">
        <v>29900.380860000001</v>
      </c>
      <c r="V1446">
        <v>704.91800597937981</v>
      </c>
      <c r="W1446">
        <v>2.3575552742286367E-2</v>
      </c>
    </row>
    <row r="1447" spans="1:23" x14ac:dyDescent="0.25">
      <c r="A1447" t="s">
        <v>204</v>
      </c>
      <c r="B1447" t="s">
        <v>20</v>
      </c>
      <c r="C1447" t="s">
        <v>123</v>
      </c>
      <c r="D1447" t="s">
        <v>31</v>
      </c>
      <c r="E1447" t="s">
        <v>124</v>
      </c>
      <c r="F1447" s="1">
        <v>45696</v>
      </c>
      <c r="G1447">
        <v>45741</v>
      </c>
      <c r="H1447" t="s">
        <v>6</v>
      </c>
      <c r="I1447">
        <v>12975.04</v>
      </c>
      <c r="J1447" t="s">
        <v>75</v>
      </c>
      <c r="K1447" t="s">
        <v>205</v>
      </c>
      <c r="L1447">
        <v>45</v>
      </c>
      <c r="M1447" t="s">
        <v>20</v>
      </c>
      <c r="N1447">
        <v>1.0557000000000001</v>
      </c>
      <c r="O1447">
        <v>1.2751848093926659</v>
      </c>
      <c r="P1447">
        <v>6.7456869009584666E-3</v>
      </c>
      <c r="Q1447">
        <v>1.0557000000000001</v>
      </c>
      <c r="R1447">
        <v>13697.749728000003</v>
      </c>
      <c r="S1447" t="s">
        <v>11</v>
      </c>
      <c r="T1447">
        <v>1.052</v>
      </c>
      <c r="U1447">
        <v>13649.742080000002</v>
      </c>
      <c r="V1447">
        <v>48.0076480000007</v>
      </c>
      <c r="W1447">
        <v>3.5171102661597465E-3</v>
      </c>
    </row>
    <row r="1448" spans="1:23" x14ac:dyDescent="0.25">
      <c r="A1448" t="s">
        <v>202</v>
      </c>
      <c r="B1448" t="s">
        <v>37</v>
      </c>
      <c r="C1448" t="s">
        <v>91</v>
      </c>
      <c r="D1448" t="s">
        <v>31</v>
      </c>
      <c r="E1448" t="s">
        <v>74</v>
      </c>
      <c r="F1448" s="1">
        <v>45816</v>
      </c>
      <c r="G1448">
        <v>45846</v>
      </c>
      <c r="H1448" t="s">
        <v>6</v>
      </c>
      <c r="I1448">
        <v>2396.3200000000002</v>
      </c>
      <c r="J1448" t="s">
        <v>75</v>
      </c>
      <c r="K1448" t="s">
        <v>203</v>
      </c>
      <c r="L1448">
        <v>30</v>
      </c>
      <c r="M1448" t="s">
        <v>37</v>
      </c>
      <c r="N1448">
        <v>1.1608000000000001</v>
      </c>
      <c r="O1448">
        <v>1.3415000577834277</v>
      </c>
      <c r="P1448">
        <v>6.725376593279259E-3</v>
      </c>
      <c r="Q1448">
        <v>1.1608000000000001</v>
      </c>
      <c r="R1448">
        <v>2781.6482560000004</v>
      </c>
      <c r="S1448" t="s">
        <v>12</v>
      </c>
      <c r="T1448">
        <v>1.07</v>
      </c>
      <c r="U1448">
        <v>2564.0624000000003</v>
      </c>
      <c r="V1448">
        <v>217.58585600000015</v>
      </c>
      <c r="W1448">
        <v>8.4859813084112196E-2</v>
      </c>
    </row>
    <row r="1449" spans="1:23" x14ac:dyDescent="0.25">
      <c r="A1449" t="s">
        <v>200</v>
      </c>
      <c r="B1449" t="s">
        <v>28</v>
      </c>
      <c r="C1449" t="s">
        <v>111</v>
      </c>
      <c r="D1449" t="s">
        <v>31</v>
      </c>
      <c r="E1449" t="s">
        <v>74</v>
      </c>
      <c r="F1449" s="1">
        <v>45782</v>
      </c>
      <c r="G1449">
        <v>45827</v>
      </c>
      <c r="H1449" t="s">
        <v>9</v>
      </c>
      <c r="I1449">
        <v>3747462.46</v>
      </c>
      <c r="J1449" t="s">
        <v>75</v>
      </c>
      <c r="K1449" t="s">
        <v>201</v>
      </c>
      <c r="L1449">
        <v>45</v>
      </c>
      <c r="M1449" t="s">
        <v>28</v>
      </c>
      <c r="N1449">
        <v>1.1343000000000001</v>
      </c>
      <c r="O1449">
        <v>1.3321197886083382</v>
      </c>
      <c r="P1449">
        <v>6.9507935535265651E-3</v>
      </c>
      <c r="Q1449">
        <v>6.9507935535265651E-3</v>
      </c>
      <c r="R1449">
        <v>26047.837909050802</v>
      </c>
      <c r="S1449" t="s">
        <v>12</v>
      </c>
      <c r="T1449">
        <v>6.7000000000000002E-3</v>
      </c>
      <c r="U1449">
        <v>25107.998481999999</v>
      </c>
      <c r="V1449">
        <v>939.83942705080335</v>
      </c>
      <c r="W1449">
        <v>3.7431873660681361E-2</v>
      </c>
    </row>
    <row r="1450" spans="1:23" x14ac:dyDescent="0.25">
      <c r="A1450" t="s">
        <v>198</v>
      </c>
      <c r="B1450" t="s">
        <v>28</v>
      </c>
      <c r="C1450" t="s">
        <v>111</v>
      </c>
      <c r="D1450" t="s">
        <v>31</v>
      </c>
      <c r="E1450" t="s">
        <v>74</v>
      </c>
      <c r="F1450" s="1">
        <v>45855</v>
      </c>
      <c r="G1450">
        <v>45900</v>
      </c>
      <c r="H1450" t="s">
        <v>9</v>
      </c>
      <c r="I1450">
        <v>3120410.18</v>
      </c>
      <c r="J1450" t="s">
        <v>75</v>
      </c>
      <c r="K1450" t="s">
        <v>199</v>
      </c>
      <c r="L1450">
        <v>45</v>
      </c>
      <c r="M1450" t="s">
        <v>28</v>
      </c>
      <c r="N1450">
        <v>1.1578999999999999</v>
      </c>
      <c r="O1450">
        <v>1.3395418787598334</v>
      </c>
      <c r="P1450">
        <v>6.7210355235662869E-3</v>
      </c>
      <c r="Q1450">
        <v>6.7210355235662869E-3</v>
      </c>
      <c r="R1450">
        <v>20972.387667877872</v>
      </c>
      <c r="S1450" t="s">
        <v>13</v>
      </c>
      <c r="T1450">
        <v>6.8399999999999997E-3</v>
      </c>
      <c r="U1450">
        <v>21343.6056312</v>
      </c>
      <c r="V1450">
        <v>-371.21796332212762</v>
      </c>
      <c r="W1450">
        <v>-1.7392467314870298E-2</v>
      </c>
    </row>
    <row r="1451" spans="1:23" x14ac:dyDescent="0.25">
      <c r="A1451" t="s">
        <v>195</v>
      </c>
      <c r="B1451" t="s">
        <v>36</v>
      </c>
      <c r="C1451" t="s">
        <v>116</v>
      </c>
      <c r="D1451" t="s">
        <v>31</v>
      </c>
      <c r="E1451" t="s">
        <v>74</v>
      </c>
      <c r="F1451" s="1">
        <v>45980</v>
      </c>
      <c r="G1451">
        <v>46025</v>
      </c>
      <c r="H1451" t="s">
        <v>6</v>
      </c>
      <c r="I1451">
        <v>16423.03</v>
      </c>
      <c r="J1451" t="s">
        <v>75</v>
      </c>
      <c r="K1451" t="s">
        <v>196</v>
      </c>
      <c r="L1451">
        <v>45</v>
      </c>
      <c r="M1451" t="s">
        <v>36</v>
      </c>
      <c r="N1451">
        <v>1.1583000000000001</v>
      </c>
      <c r="O1451">
        <v>1.3122238586156112</v>
      </c>
      <c r="P1451">
        <v>6.4047553220901304E-3</v>
      </c>
      <c r="Q1451">
        <v>1.1583000000000001</v>
      </c>
      <c r="R1451">
        <v>19022.795649</v>
      </c>
      <c r="S1451" t="s">
        <v>14</v>
      </c>
      <c r="T1451">
        <v>1.1060000000000001</v>
      </c>
      <c r="U1451">
        <v>18163.871180000002</v>
      </c>
      <c r="V1451">
        <v>858.92446899999777</v>
      </c>
      <c r="W1451">
        <v>4.7287522603978172E-2</v>
      </c>
    </row>
    <row r="1452" spans="1:23" x14ac:dyDescent="0.25">
      <c r="A1452" t="s">
        <v>195</v>
      </c>
      <c r="B1452" t="s">
        <v>44</v>
      </c>
      <c r="C1452" t="s">
        <v>138</v>
      </c>
      <c r="D1452" t="s">
        <v>33</v>
      </c>
      <c r="E1452" t="s">
        <v>88</v>
      </c>
      <c r="F1452" s="1">
        <v>46358</v>
      </c>
      <c r="G1452">
        <v>46403</v>
      </c>
      <c r="H1452" t="s">
        <v>9</v>
      </c>
      <c r="I1452">
        <v>439426.68</v>
      </c>
      <c r="J1452" t="s">
        <v>84</v>
      </c>
      <c r="K1452" t="s">
        <v>197</v>
      </c>
      <c r="L1452">
        <v>45</v>
      </c>
      <c r="M1452" t="s">
        <v>44</v>
      </c>
      <c r="N1452">
        <v>1.1176999999999999</v>
      </c>
      <c r="O1452">
        <v>1.320456022210408</v>
      </c>
      <c r="P1452">
        <v>6.3200452360757699E-3</v>
      </c>
      <c r="Q1452">
        <v>6.3200452360757699E-3</v>
      </c>
      <c r="R1452">
        <v>2777.1964955385915</v>
      </c>
      <c r="S1452" t="s">
        <v>23</v>
      </c>
      <c r="T1452">
        <v>6.8799999999999998E-3</v>
      </c>
      <c r="U1452">
        <v>3023.2555583999997</v>
      </c>
      <c r="V1452">
        <v>-246.05906286140817</v>
      </c>
      <c r="W1452">
        <v>-8.1388773826196234E-2</v>
      </c>
    </row>
    <row r="1453" spans="1:23" x14ac:dyDescent="0.25">
      <c r="A1453" t="s">
        <v>193</v>
      </c>
      <c r="B1453" t="s">
        <v>30</v>
      </c>
      <c r="C1453" t="s">
        <v>103</v>
      </c>
      <c r="D1453" t="s">
        <v>31</v>
      </c>
      <c r="E1453" t="s">
        <v>74</v>
      </c>
      <c r="F1453" s="1">
        <v>46092</v>
      </c>
      <c r="G1453">
        <v>46122</v>
      </c>
      <c r="H1453" t="s">
        <v>9</v>
      </c>
      <c r="I1453">
        <v>1978829.95</v>
      </c>
      <c r="J1453" t="s">
        <v>75</v>
      </c>
      <c r="K1453" t="s">
        <v>194</v>
      </c>
      <c r="L1453">
        <v>30</v>
      </c>
      <c r="M1453" t="s">
        <v>30</v>
      </c>
      <c r="N1453">
        <v>1.1580999999999999</v>
      </c>
      <c r="O1453">
        <v>1.3409677755520302</v>
      </c>
      <c r="P1453">
        <v>6.3067036976528889E-3</v>
      </c>
      <c r="Q1453">
        <v>6.3067036976528889E-3</v>
      </c>
      <c r="R1453">
        <v>12479.89416269128</v>
      </c>
      <c r="S1453" t="s">
        <v>16</v>
      </c>
      <c r="T1453">
        <v>6.4599999999999996E-3</v>
      </c>
      <c r="U1453">
        <v>12783.241477</v>
      </c>
      <c r="V1453">
        <v>-303.34731430871943</v>
      </c>
      <c r="W1453">
        <v>-2.3730077762710751E-2</v>
      </c>
    </row>
    <row r="1454" spans="1:23" x14ac:dyDescent="0.25">
      <c r="A1454" t="s">
        <v>191</v>
      </c>
      <c r="B1454" t="s">
        <v>25</v>
      </c>
      <c r="C1454" t="s">
        <v>169</v>
      </c>
      <c r="D1454" t="s">
        <v>31</v>
      </c>
      <c r="E1454" t="s">
        <v>124</v>
      </c>
      <c r="F1454" s="1">
        <v>46074</v>
      </c>
      <c r="G1454">
        <v>46134</v>
      </c>
      <c r="H1454" t="s">
        <v>6</v>
      </c>
      <c r="I1454">
        <v>8451.4699999999993</v>
      </c>
      <c r="J1454" t="s">
        <v>75</v>
      </c>
      <c r="K1454" t="s">
        <v>192</v>
      </c>
      <c r="L1454">
        <v>60</v>
      </c>
      <c r="M1454" t="s">
        <v>25</v>
      </c>
      <c r="N1454">
        <v>1.1555</v>
      </c>
      <c r="O1454">
        <v>1.3367963164349013</v>
      </c>
      <c r="P1454">
        <v>6.2983756677204832E-3</v>
      </c>
      <c r="Q1454">
        <v>1.1555</v>
      </c>
      <c r="R1454">
        <v>9765.6735849999986</v>
      </c>
      <c r="S1454" t="s">
        <v>16</v>
      </c>
      <c r="T1454">
        <v>1.0649999999999999</v>
      </c>
      <c r="U1454">
        <v>9000.8155499999993</v>
      </c>
      <c r="V1454">
        <v>764.85803499999929</v>
      </c>
      <c r="W1454">
        <v>8.4976525821596177E-2</v>
      </c>
    </row>
    <row r="1455" spans="1:23" x14ac:dyDescent="0.25">
      <c r="A1455" t="s">
        <v>189</v>
      </c>
      <c r="B1455" t="s">
        <v>26</v>
      </c>
      <c r="C1455" t="s">
        <v>94</v>
      </c>
      <c r="D1455" t="s">
        <v>31</v>
      </c>
      <c r="E1455" t="s">
        <v>74</v>
      </c>
      <c r="F1455" s="1">
        <v>45877</v>
      </c>
      <c r="G1455">
        <v>45907</v>
      </c>
      <c r="H1455" t="s">
        <v>8</v>
      </c>
      <c r="I1455">
        <v>29390.73</v>
      </c>
      <c r="J1455" t="s">
        <v>75</v>
      </c>
      <c r="K1455" t="s">
        <v>190</v>
      </c>
      <c r="L1455">
        <v>30</v>
      </c>
      <c r="M1455" t="s">
        <v>26</v>
      </c>
      <c r="N1455">
        <v>1.1648000000000001</v>
      </c>
      <c r="O1455">
        <v>1.343328335832084</v>
      </c>
      <c r="P1455">
        <v>6.7650133581136024E-3</v>
      </c>
      <c r="Q1455">
        <v>1.343328335832084</v>
      </c>
      <c r="R1455">
        <v>39481.400419790109</v>
      </c>
      <c r="S1455" t="s">
        <v>13</v>
      </c>
      <c r="T1455">
        <v>1.282</v>
      </c>
      <c r="U1455">
        <v>37678.915860000001</v>
      </c>
      <c r="V1455">
        <v>1802.4845597901076</v>
      </c>
      <c r="W1455">
        <v>4.7838015469644342E-2</v>
      </c>
    </row>
    <row r="1456" spans="1:23" x14ac:dyDescent="0.25">
      <c r="A1456" t="s">
        <v>187</v>
      </c>
      <c r="B1456" t="s">
        <v>30</v>
      </c>
      <c r="C1456" t="s">
        <v>103</v>
      </c>
      <c r="D1456" t="s">
        <v>31</v>
      </c>
      <c r="E1456" t="s">
        <v>74</v>
      </c>
      <c r="F1456" s="1">
        <v>46234</v>
      </c>
      <c r="G1456">
        <v>46264</v>
      </c>
      <c r="H1456" t="s">
        <v>9</v>
      </c>
      <c r="I1456">
        <v>3764835.97</v>
      </c>
      <c r="J1456" t="s">
        <v>75</v>
      </c>
      <c r="K1456" t="s">
        <v>188</v>
      </c>
      <c r="L1456">
        <v>30</v>
      </c>
      <c r="M1456" t="s">
        <v>30</v>
      </c>
      <c r="N1456">
        <v>1.1485000000000001</v>
      </c>
      <c r="O1456">
        <v>1.3421289425402874</v>
      </c>
      <c r="P1456">
        <v>6.2408302994077054E-3</v>
      </c>
      <c r="Q1456">
        <v>6.2408302994077054E-3</v>
      </c>
      <c r="R1456">
        <v>23495.702393875999</v>
      </c>
      <c r="S1456" t="s">
        <v>21</v>
      </c>
      <c r="T1456">
        <v>6.7400000000000003E-3</v>
      </c>
      <c r="U1456">
        <v>25374.994437800004</v>
      </c>
      <c r="V1456">
        <v>-1879.2920439240042</v>
      </c>
      <c r="W1456">
        <v>-7.4060786438026022E-2</v>
      </c>
    </row>
    <row r="1457" spans="1:23" x14ac:dyDescent="0.25">
      <c r="A1457" t="s">
        <v>185</v>
      </c>
      <c r="B1457" t="s">
        <v>30</v>
      </c>
      <c r="C1457" t="s">
        <v>103</v>
      </c>
      <c r="D1457" t="s">
        <v>31</v>
      </c>
      <c r="E1457" t="s">
        <v>74</v>
      </c>
      <c r="F1457" s="1">
        <v>45908</v>
      </c>
      <c r="G1457">
        <v>45938</v>
      </c>
      <c r="H1457" t="s">
        <v>9</v>
      </c>
      <c r="I1457">
        <v>842750.02</v>
      </c>
      <c r="J1457" t="s">
        <v>75</v>
      </c>
      <c r="K1457" t="s">
        <v>186</v>
      </c>
      <c r="L1457">
        <v>30</v>
      </c>
      <c r="M1457" t="s">
        <v>30</v>
      </c>
      <c r="N1457">
        <v>1.1728000000000001</v>
      </c>
      <c r="O1457">
        <v>1.3528665359326335</v>
      </c>
      <c r="P1457">
        <v>6.7639425572409029E-3</v>
      </c>
      <c r="Q1457">
        <v>6.7639425572409029E-3</v>
      </c>
      <c r="R1457">
        <v>5700.3127253936218</v>
      </c>
      <c r="S1457" t="s">
        <v>13</v>
      </c>
      <c r="T1457">
        <v>6.8399999999999997E-3</v>
      </c>
      <c r="U1457">
        <v>5764.4101368000001</v>
      </c>
      <c r="V1457">
        <v>-64.097411406378342</v>
      </c>
      <c r="W1457">
        <v>-1.1119509175306663E-2</v>
      </c>
    </row>
    <row r="1458" spans="1:23" x14ac:dyDescent="0.25">
      <c r="A1458" t="s">
        <v>183</v>
      </c>
      <c r="B1458" t="s">
        <v>38</v>
      </c>
      <c r="C1458" t="s">
        <v>87</v>
      </c>
      <c r="D1458" t="s">
        <v>33</v>
      </c>
      <c r="E1458" t="s">
        <v>88</v>
      </c>
      <c r="F1458" s="1">
        <v>46059</v>
      </c>
      <c r="G1458">
        <v>46089</v>
      </c>
      <c r="H1458" t="s">
        <v>6</v>
      </c>
      <c r="I1458">
        <v>2435.4299999999998</v>
      </c>
      <c r="J1458" t="s">
        <v>75</v>
      </c>
      <c r="K1458" t="s">
        <v>184</v>
      </c>
      <c r="L1458">
        <v>30</v>
      </c>
      <c r="M1458" t="s">
        <v>38</v>
      </c>
      <c r="N1458">
        <v>1.1794</v>
      </c>
      <c r="O1458">
        <v>1.3589123170872219</v>
      </c>
      <c r="P1458">
        <v>6.3658444432449935E-3</v>
      </c>
      <c r="Q1458">
        <v>1.1794</v>
      </c>
      <c r="R1458">
        <v>2872.3461419999999</v>
      </c>
      <c r="S1458" t="s">
        <v>16</v>
      </c>
      <c r="T1458">
        <v>1.0649999999999999</v>
      </c>
      <c r="U1458">
        <v>2593.7329499999996</v>
      </c>
      <c r="V1458">
        <v>278.61319200000025</v>
      </c>
      <c r="W1458">
        <v>0.10741784037558696</v>
      </c>
    </row>
    <row r="1459" spans="1:23" x14ac:dyDescent="0.25">
      <c r="A1459" t="s">
        <v>181</v>
      </c>
      <c r="B1459" t="s">
        <v>44</v>
      </c>
      <c r="C1459" t="s">
        <v>138</v>
      </c>
      <c r="D1459" t="s">
        <v>33</v>
      </c>
      <c r="E1459" t="s">
        <v>88</v>
      </c>
      <c r="F1459" s="1">
        <v>46176</v>
      </c>
      <c r="G1459">
        <v>46221</v>
      </c>
      <c r="H1459" t="s">
        <v>9</v>
      </c>
      <c r="I1459">
        <v>892030</v>
      </c>
      <c r="J1459" t="s">
        <v>75</v>
      </c>
      <c r="K1459" t="s">
        <v>182</v>
      </c>
      <c r="L1459">
        <v>45</v>
      </c>
      <c r="M1459" t="s">
        <v>44</v>
      </c>
      <c r="N1459">
        <v>1.1614</v>
      </c>
      <c r="O1459">
        <v>1.3446798656941068</v>
      </c>
      <c r="P1459">
        <v>6.2555208445545622E-3</v>
      </c>
      <c r="Q1459">
        <v>6.2555208445545622E-3</v>
      </c>
      <c r="R1459">
        <v>5580.1122589680062</v>
      </c>
      <c r="S1459" t="s">
        <v>19</v>
      </c>
      <c r="T1459">
        <v>6.6E-3</v>
      </c>
      <c r="U1459">
        <v>5887.3980000000001</v>
      </c>
      <c r="V1459">
        <v>-307.28574103199389</v>
      </c>
      <c r="W1459">
        <v>-5.2193811431126939E-2</v>
      </c>
    </row>
    <row r="1460" spans="1:23" x14ac:dyDescent="0.25">
      <c r="A1460" t="s">
        <v>179</v>
      </c>
      <c r="B1460" t="s">
        <v>38</v>
      </c>
      <c r="C1460" t="s">
        <v>87</v>
      </c>
      <c r="D1460" t="s">
        <v>33</v>
      </c>
      <c r="E1460" t="s">
        <v>88</v>
      </c>
      <c r="F1460" s="1">
        <v>45800</v>
      </c>
      <c r="G1460">
        <v>45830</v>
      </c>
      <c r="H1460" t="s">
        <v>6</v>
      </c>
      <c r="I1460">
        <v>6774.46</v>
      </c>
      <c r="J1460" t="s">
        <v>75</v>
      </c>
      <c r="K1460" t="s">
        <v>180</v>
      </c>
      <c r="L1460">
        <v>30</v>
      </c>
      <c r="M1460" t="s">
        <v>38</v>
      </c>
      <c r="N1460">
        <v>1.1301000000000001</v>
      </c>
      <c r="O1460">
        <v>1.3482462419470296</v>
      </c>
      <c r="P1460">
        <v>7.0135915099609021E-3</v>
      </c>
      <c r="Q1460">
        <v>1.1301000000000001</v>
      </c>
      <c r="R1460">
        <v>7655.8172460000005</v>
      </c>
      <c r="S1460" t="s">
        <v>12</v>
      </c>
      <c r="T1460">
        <v>1.07</v>
      </c>
      <c r="U1460">
        <v>7248.6722000000009</v>
      </c>
      <c r="V1460">
        <v>407.14504599999964</v>
      </c>
      <c r="W1460">
        <v>5.6168224299065365E-2</v>
      </c>
    </row>
    <row r="1461" spans="1:23" x14ac:dyDescent="0.25">
      <c r="A1461" t="s">
        <v>176</v>
      </c>
      <c r="B1461" t="s">
        <v>34</v>
      </c>
      <c r="C1461" t="s">
        <v>177</v>
      </c>
      <c r="D1461" t="s">
        <v>31</v>
      </c>
      <c r="E1461" t="s">
        <v>74</v>
      </c>
      <c r="F1461" s="1">
        <v>45854</v>
      </c>
      <c r="G1461">
        <v>45914</v>
      </c>
      <c r="H1461" t="s">
        <v>8</v>
      </c>
      <c r="I1461">
        <v>15393.63</v>
      </c>
      <c r="J1461" t="s">
        <v>75</v>
      </c>
      <c r="K1461" t="s">
        <v>178</v>
      </c>
      <c r="L1461">
        <v>60</v>
      </c>
      <c r="M1461" t="s">
        <v>34</v>
      </c>
      <c r="N1461">
        <v>1.1601999999999999</v>
      </c>
      <c r="O1461">
        <v>1.3398775840166299</v>
      </c>
      <c r="P1461">
        <v>6.723458507185906E-3</v>
      </c>
      <c r="Q1461">
        <v>1.3398775840166299</v>
      </c>
      <c r="R1461">
        <v>20625.579773645914</v>
      </c>
      <c r="S1461" t="s">
        <v>13</v>
      </c>
      <c r="T1461">
        <v>1.282</v>
      </c>
      <c r="U1461">
        <v>19734.63366</v>
      </c>
      <c r="V1461">
        <v>890.94611364591401</v>
      </c>
      <c r="W1461">
        <v>4.5146321385826728E-2</v>
      </c>
    </row>
    <row r="1462" spans="1:23" x14ac:dyDescent="0.25">
      <c r="A1462" t="s">
        <v>174</v>
      </c>
      <c r="B1462" t="s">
        <v>39</v>
      </c>
      <c r="C1462" t="s">
        <v>82</v>
      </c>
      <c r="D1462" t="s">
        <v>33</v>
      </c>
      <c r="E1462" t="s">
        <v>83</v>
      </c>
      <c r="F1462" s="1">
        <v>45730</v>
      </c>
      <c r="G1462">
        <v>45775</v>
      </c>
      <c r="H1462" t="s">
        <v>8</v>
      </c>
      <c r="I1462">
        <v>13192.37</v>
      </c>
      <c r="J1462" t="s">
        <v>75</v>
      </c>
      <c r="K1462" t="s">
        <v>175</v>
      </c>
      <c r="L1462">
        <v>45</v>
      </c>
      <c r="M1462" t="s">
        <v>39</v>
      </c>
      <c r="N1462">
        <v>1.0889</v>
      </c>
      <c r="O1462">
        <v>1.2934915600536925</v>
      </c>
      <c r="P1462">
        <v>6.7265875957499381E-3</v>
      </c>
      <c r="Q1462">
        <v>1.2934915600536925</v>
      </c>
      <c r="R1462">
        <v>17064.219252105533</v>
      </c>
      <c r="S1462" t="s">
        <v>11</v>
      </c>
      <c r="T1462">
        <v>1.238</v>
      </c>
      <c r="U1462">
        <v>16332.154060000001</v>
      </c>
      <c r="V1462">
        <v>732.06519210553233</v>
      </c>
      <c r="W1462">
        <v>4.4823554162918069E-2</v>
      </c>
    </row>
    <row r="1463" spans="1:23" x14ac:dyDescent="0.25">
      <c r="A1463" t="s">
        <v>171</v>
      </c>
      <c r="B1463" t="s">
        <v>41</v>
      </c>
      <c r="C1463" t="s">
        <v>172</v>
      </c>
      <c r="D1463" t="s">
        <v>33</v>
      </c>
      <c r="E1463" t="s">
        <v>83</v>
      </c>
      <c r="F1463" s="1">
        <v>46074</v>
      </c>
      <c r="G1463">
        <v>46104</v>
      </c>
      <c r="H1463" t="s">
        <v>9</v>
      </c>
      <c r="I1463">
        <v>2246246.54</v>
      </c>
      <c r="J1463" t="s">
        <v>75</v>
      </c>
      <c r="K1463" t="s">
        <v>173</v>
      </c>
      <c r="L1463">
        <v>30</v>
      </c>
      <c r="M1463" t="s">
        <v>41</v>
      </c>
      <c r="N1463">
        <v>1.1555</v>
      </c>
      <c r="O1463">
        <v>1.3367963164349013</v>
      </c>
      <c r="P1463">
        <v>6.2983756677204832E-3</v>
      </c>
      <c r="Q1463">
        <v>6.2983756677204832E-3</v>
      </c>
      <c r="R1463">
        <v>14147.704551237326</v>
      </c>
      <c r="S1463" t="s">
        <v>16</v>
      </c>
      <c r="T1463">
        <v>6.4599999999999996E-3</v>
      </c>
      <c r="U1463">
        <v>14510.752648399999</v>
      </c>
      <c r="V1463">
        <v>-363.048097162673</v>
      </c>
      <c r="W1463">
        <v>-2.5019246482897207E-2</v>
      </c>
    </row>
    <row r="1464" spans="1:23" x14ac:dyDescent="0.25">
      <c r="A1464" t="s">
        <v>168</v>
      </c>
      <c r="B1464" t="s">
        <v>25</v>
      </c>
      <c r="C1464" t="s">
        <v>169</v>
      </c>
      <c r="D1464" t="s">
        <v>31</v>
      </c>
      <c r="E1464" t="s">
        <v>124</v>
      </c>
      <c r="F1464" s="1">
        <v>46060</v>
      </c>
      <c r="G1464">
        <v>46120</v>
      </c>
      <c r="H1464" t="s">
        <v>6</v>
      </c>
      <c r="I1464">
        <v>56073.7</v>
      </c>
      <c r="J1464" t="s">
        <v>75</v>
      </c>
      <c r="K1464" t="s">
        <v>170</v>
      </c>
      <c r="L1464">
        <v>60</v>
      </c>
      <c r="M1464" t="s">
        <v>25</v>
      </c>
      <c r="N1464">
        <v>1.1555</v>
      </c>
      <c r="O1464">
        <v>1.3367963164349013</v>
      </c>
      <c r="P1464">
        <v>6.2983756677204832E-3</v>
      </c>
      <c r="Q1464">
        <v>1.1555</v>
      </c>
      <c r="R1464">
        <v>64793.160349999998</v>
      </c>
      <c r="S1464" t="s">
        <v>16</v>
      </c>
      <c r="T1464">
        <v>1.0649999999999999</v>
      </c>
      <c r="U1464">
        <v>59718.490499999993</v>
      </c>
      <c r="V1464">
        <v>5074.6698500000057</v>
      </c>
      <c r="W1464">
        <v>8.4976525821596344E-2</v>
      </c>
    </row>
    <row r="1465" spans="1:23" x14ac:dyDescent="0.25">
      <c r="A1465" t="s">
        <v>166</v>
      </c>
      <c r="B1465" t="s">
        <v>22</v>
      </c>
      <c r="C1465" t="s">
        <v>127</v>
      </c>
      <c r="D1465" t="s">
        <v>31</v>
      </c>
      <c r="E1465" t="s">
        <v>124</v>
      </c>
      <c r="F1465" s="1">
        <v>46319</v>
      </c>
      <c r="G1465">
        <v>46379</v>
      </c>
      <c r="H1465" t="s">
        <v>9</v>
      </c>
      <c r="I1465">
        <v>10974087.33</v>
      </c>
      <c r="J1465" t="s">
        <v>84</v>
      </c>
      <c r="K1465" t="s">
        <v>167</v>
      </c>
      <c r="L1465">
        <v>60</v>
      </c>
      <c r="M1465" t="s">
        <v>22</v>
      </c>
      <c r="N1465">
        <v>1.1176999999999999</v>
      </c>
      <c r="O1465">
        <v>1.320456022210408</v>
      </c>
      <c r="P1465">
        <v>6.3200452360757699E-3</v>
      </c>
      <c r="Q1465">
        <v>6.3200452360757699E-3</v>
      </c>
      <c r="R1465">
        <v>69356.728350245961</v>
      </c>
      <c r="S1465" t="s">
        <v>23</v>
      </c>
      <c r="T1465">
        <v>6.8799999999999998E-3</v>
      </c>
      <c r="U1465">
        <v>75501.720830399994</v>
      </c>
      <c r="V1465">
        <v>-6144.9924801540328</v>
      </c>
      <c r="W1465">
        <v>-8.138877382619622E-2</v>
      </c>
    </row>
    <row r="1466" spans="1:23" x14ac:dyDescent="0.25">
      <c r="A1466" t="s">
        <v>164</v>
      </c>
      <c r="B1466" t="s">
        <v>30</v>
      </c>
      <c r="C1466" t="s">
        <v>103</v>
      </c>
      <c r="D1466" t="s">
        <v>31</v>
      </c>
      <c r="E1466" t="s">
        <v>74</v>
      </c>
      <c r="F1466" s="1">
        <v>46339</v>
      </c>
      <c r="G1466">
        <v>46369</v>
      </c>
      <c r="H1466" t="s">
        <v>9</v>
      </c>
      <c r="I1466">
        <v>742723.33</v>
      </c>
      <c r="J1466" t="s">
        <v>84</v>
      </c>
      <c r="K1466" t="s">
        <v>165</v>
      </c>
      <c r="L1466">
        <v>30</v>
      </c>
      <c r="M1466" t="s">
        <v>30</v>
      </c>
      <c r="N1466">
        <v>1.1176999999999999</v>
      </c>
      <c r="O1466">
        <v>1.320456022210408</v>
      </c>
      <c r="P1466">
        <v>6.3200452360757699E-3</v>
      </c>
      <c r="Q1466">
        <v>6.3200452360757699E-3</v>
      </c>
      <c r="R1466">
        <v>4694.0450434888317</v>
      </c>
      <c r="S1466" t="s">
        <v>23</v>
      </c>
      <c r="T1466">
        <v>6.8799999999999998E-3</v>
      </c>
      <c r="U1466">
        <v>5109.9365103999999</v>
      </c>
      <c r="V1466">
        <v>-415.89146691116821</v>
      </c>
      <c r="W1466">
        <v>-8.1388773826196276E-2</v>
      </c>
    </row>
    <row r="1467" spans="1:23" x14ac:dyDescent="0.25">
      <c r="A1467" t="s">
        <v>162</v>
      </c>
      <c r="B1467" t="s">
        <v>39</v>
      </c>
      <c r="C1467" t="s">
        <v>82</v>
      </c>
      <c r="D1467" t="s">
        <v>33</v>
      </c>
      <c r="E1467" t="s">
        <v>83</v>
      </c>
      <c r="F1467" s="1">
        <v>46377</v>
      </c>
      <c r="G1467">
        <v>46422</v>
      </c>
      <c r="H1467" t="s">
        <v>8</v>
      </c>
      <c r="I1467">
        <v>7264.2</v>
      </c>
      <c r="J1467" t="s">
        <v>84</v>
      </c>
      <c r="K1467" t="s">
        <v>163</v>
      </c>
      <c r="L1467">
        <v>45</v>
      </c>
      <c r="M1467" t="s">
        <v>39</v>
      </c>
      <c r="N1467">
        <v>1.1176999999999999</v>
      </c>
      <c r="O1467">
        <v>1.320456022210408</v>
      </c>
      <c r="P1467">
        <v>6.3200452360757699E-3</v>
      </c>
      <c r="Q1467">
        <v>1.320456022210408</v>
      </c>
      <c r="R1467">
        <v>9592.0566365408449</v>
      </c>
      <c r="S1467" t="s">
        <v>23</v>
      </c>
      <c r="T1467">
        <v>1.3149999999999999</v>
      </c>
      <c r="U1467">
        <v>9552.4229999999989</v>
      </c>
      <c r="V1467">
        <v>39.633636540846055</v>
      </c>
      <c r="W1467">
        <v>4.1490663197019289E-3</v>
      </c>
    </row>
    <row r="1468" spans="1:23" x14ac:dyDescent="0.25">
      <c r="A1468" t="s">
        <v>160</v>
      </c>
      <c r="B1468" t="s">
        <v>39</v>
      </c>
      <c r="C1468" t="s">
        <v>82</v>
      </c>
      <c r="D1468" t="s">
        <v>33</v>
      </c>
      <c r="E1468" t="s">
        <v>83</v>
      </c>
      <c r="F1468" s="1">
        <v>45706</v>
      </c>
      <c r="G1468">
        <v>45751</v>
      </c>
      <c r="H1468" t="s">
        <v>8</v>
      </c>
      <c r="I1468">
        <v>1431.23</v>
      </c>
      <c r="J1468" t="s">
        <v>75</v>
      </c>
      <c r="K1468" t="s">
        <v>161</v>
      </c>
      <c r="L1468">
        <v>45</v>
      </c>
      <c r="M1468" t="s">
        <v>39</v>
      </c>
      <c r="N1468">
        <v>1.0447</v>
      </c>
      <c r="O1468">
        <v>1.2582956940680516</v>
      </c>
      <c r="P1468">
        <v>6.5890886155786808E-3</v>
      </c>
      <c r="Q1468">
        <v>1.2582956940680516</v>
      </c>
      <c r="R1468">
        <v>1800.9105462210175</v>
      </c>
      <c r="S1468" t="s">
        <v>11</v>
      </c>
      <c r="T1468">
        <v>1.238</v>
      </c>
      <c r="U1468">
        <v>1771.86274</v>
      </c>
      <c r="V1468">
        <v>29.047806221017481</v>
      </c>
      <c r="W1468">
        <v>1.6393937050122449E-2</v>
      </c>
    </row>
    <row r="1469" spans="1:23" x14ac:dyDescent="0.25">
      <c r="A1469" t="s">
        <v>158</v>
      </c>
      <c r="B1469" t="s">
        <v>28</v>
      </c>
      <c r="C1469" t="s">
        <v>111</v>
      </c>
      <c r="D1469" t="s">
        <v>31</v>
      </c>
      <c r="E1469" t="s">
        <v>74</v>
      </c>
      <c r="F1469" s="1">
        <v>45761</v>
      </c>
      <c r="G1469">
        <v>45806</v>
      </c>
      <c r="H1469" t="s">
        <v>9</v>
      </c>
      <c r="I1469">
        <v>991121.9</v>
      </c>
      <c r="J1469" t="s">
        <v>75</v>
      </c>
      <c r="K1469" t="s">
        <v>159</v>
      </c>
      <c r="L1469">
        <v>45</v>
      </c>
      <c r="M1469" t="s">
        <v>28</v>
      </c>
      <c r="N1469">
        <v>1.1376999999999999</v>
      </c>
      <c r="O1469">
        <v>1.3170415475267123</v>
      </c>
      <c r="P1469">
        <v>6.981039455114438E-3</v>
      </c>
      <c r="Q1469">
        <v>6.981039455114438E-3</v>
      </c>
      <c r="R1469">
        <v>6919.0610887279863</v>
      </c>
      <c r="S1469" t="s">
        <v>12</v>
      </c>
      <c r="T1469">
        <v>6.7000000000000002E-3</v>
      </c>
      <c r="U1469">
        <v>6640.5167300000003</v>
      </c>
      <c r="V1469">
        <v>278.54435872798604</v>
      </c>
      <c r="W1469">
        <v>4.1946187330513064E-2</v>
      </c>
    </row>
    <row r="1470" spans="1:23" x14ac:dyDescent="0.25">
      <c r="A1470" t="s">
        <v>156</v>
      </c>
      <c r="B1470" t="s">
        <v>39</v>
      </c>
      <c r="C1470" t="s">
        <v>82</v>
      </c>
      <c r="D1470" t="s">
        <v>33</v>
      </c>
      <c r="E1470" t="s">
        <v>83</v>
      </c>
      <c r="F1470" s="1">
        <v>45798</v>
      </c>
      <c r="G1470">
        <v>45843</v>
      </c>
      <c r="H1470" t="s">
        <v>8</v>
      </c>
      <c r="I1470">
        <v>8030.69</v>
      </c>
      <c r="J1470" t="s">
        <v>75</v>
      </c>
      <c r="K1470" t="s">
        <v>157</v>
      </c>
      <c r="L1470">
        <v>45</v>
      </c>
      <c r="M1470" t="s">
        <v>39</v>
      </c>
      <c r="N1470">
        <v>1.1321000000000001</v>
      </c>
      <c r="O1470">
        <v>1.3403978214539427</v>
      </c>
      <c r="P1470">
        <v>6.9556402064389292E-3</v>
      </c>
      <c r="Q1470">
        <v>1.3403978214539427</v>
      </c>
      <c r="R1470">
        <v>10764.319380771962</v>
      </c>
      <c r="S1470" t="s">
        <v>12</v>
      </c>
      <c r="T1470">
        <v>1.26</v>
      </c>
      <c r="U1470">
        <v>10118.669399999999</v>
      </c>
      <c r="V1470">
        <v>645.64998077196287</v>
      </c>
      <c r="W1470">
        <v>6.380779480471642E-2</v>
      </c>
    </row>
    <row r="1471" spans="1:23" x14ac:dyDescent="0.25">
      <c r="A1471" t="s">
        <v>154</v>
      </c>
      <c r="B1471" t="s">
        <v>26</v>
      </c>
      <c r="C1471" t="s">
        <v>94</v>
      </c>
      <c r="D1471" t="s">
        <v>31</v>
      </c>
      <c r="E1471" t="s">
        <v>74</v>
      </c>
      <c r="F1471" s="1">
        <v>45792</v>
      </c>
      <c r="G1471">
        <v>45822</v>
      </c>
      <c r="H1471" t="s">
        <v>8</v>
      </c>
      <c r="I1471">
        <v>20636.830000000002</v>
      </c>
      <c r="J1471" t="s">
        <v>75</v>
      </c>
      <c r="K1471" t="s">
        <v>155</v>
      </c>
      <c r="L1471">
        <v>30</v>
      </c>
      <c r="M1471" t="s">
        <v>26</v>
      </c>
      <c r="N1471">
        <v>1.1185</v>
      </c>
      <c r="O1471">
        <v>1.3277540360873694</v>
      </c>
      <c r="P1471">
        <v>6.8493570116350275E-3</v>
      </c>
      <c r="Q1471">
        <v>1.3277540360873694</v>
      </c>
      <c r="R1471">
        <v>27400.634324548912</v>
      </c>
      <c r="S1471" t="s">
        <v>12</v>
      </c>
      <c r="T1471">
        <v>1.26</v>
      </c>
      <c r="U1471">
        <v>26002.405800000004</v>
      </c>
      <c r="V1471">
        <v>1398.2285245489074</v>
      </c>
      <c r="W1471">
        <v>5.3773044513785229E-2</v>
      </c>
    </row>
    <row r="1472" spans="1:23" x14ac:dyDescent="0.25">
      <c r="A1472" t="s">
        <v>150</v>
      </c>
      <c r="B1472" t="s">
        <v>42</v>
      </c>
      <c r="C1472" t="s">
        <v>151</v>
      </c>
      <c r="D1472" t="s">
        <v>35</v>
      </c>
      <c r="E1472" t="s">
        <v>152</v>
      </c>
      <c r="F1472" s="1">
        <v>45945</v>
      </c>
      <c r="G1472">
        <v>45975</v>
      </c>
      <c r="H1472" t="s">
        <v>8</v>
      </c>
      <c r="I1472">
        <v>3512.95</v>
      </c>
      <c r="J1472" t="s">
        <v>75</v>
      </c>
      <c r="K1472" t="s">
        <v>153</v>
      </c>
      <c r="L1472">
        <v>30</v>
      </c>
      <c r="M1472" t="s">
        <v>42</v>
      </c>
      <c r="N1472">
        <v>1.1621999999999999</v>
      </c>
      <c r="O1472">
        <v>1.3350947731188969</v>
      </c>
      <c r="P1472">
        <v>6.5985351728836648E-3</v>
      </c>
      <c r="Q1472">
        <v>1.3350947731188969</v>
      </c>
      <c r="R1472">
        <v>4690.1211832280287</v>
      </c>
      <c r="S1472" t="s">
        <v>14</v>
      </c>
      <c r="T1472">
        <v>1.304</v>
      </c>
      <c r="U1472">
        <v>4580.8868000000002</v>
      </c>
      <c r="V1472">
        <v>109.23438322802849</v>
      </c>
      <c r="W1472">
        <v>2.3845684907129443E-2</v>
      </c>
    </row>
    <row r="1473" spans="1:23" x14ac:dyDescent="0.25">
      <c r="A1473" t="s">
        <v>148</v>
      </c>
      <c r="B1473" t="s">
        <v>24</v>
      </c>
      <c r="C1473" t="s">
        <v>73</v>
      </c>
      <c r="D1473" t="s">
        <v>31</v>
      </c>
      <c r="E1473" t="s">
        <v>74</v>
      </c>
      <c r="F1473" s="1">
        <v>46263</v>
      </c>
      <c r="G1473">
        <v>46293</v>
      </c>
      <c r="H1473" t="s">
        <v>6</v>
      </c>
      <c r="I1473">
        <v>40466.83</v>
      </c>
      <c r="J1473" t="s">
        <v>75</v>
      </c>
      <c r="K1473" t="s">
        <v>149</v>
      </c>
      <c r="L1473">
        <v>30</v>
      </c>
      <c r="M1473" t="s">
        <v>24</v>
      </c>
      <c r="N1473">
        <v>1.1642999999999999</v>
      </c>
      <c r="O1473">
        <v>1.3582594493700419</v>
      </c>
      <c r="P1473">
        <v>6.2623709122203094E-3</v>
      </c>
      <c r="Q1473">
        <v>1.1642999999999999</v>
      </c>
      <c r="R1473">
        <v>47115.530168999998</v>
      </c>
      <c r="S1473" t="s">
        <v>21</v>
      </c>
      <c r="T1473">
        <v>1.101</v>
      </c>
      <c r="U1473">
        <v>44553.979830000004</v>
      </c>
      <c r="V1473">
        <v>2561.550338999994</v>
      </c>
      <c r="W1473">
        <v>5.7493188010899039E-2</v>
      </c>
    </row>
    <row r="1474" spans="1:23" x14ac:dyDescent="0.25">
      <c r="A1474" t="s">
        <v>146</v>
      </c>
      <c r="B1474" t="s">
        <v>37</v>
      </c>
      <c r="C1474" t="s">
        <v>91</v>
      </c>
      <c r="D1474" t="s">
        <v>31</v>
      </c>
      <c r="E1474" t="s">
        <v>74</v>
      </c>
      <c r="F1474" s="1">
        <v>45865</v>
      </c>
      <c r="G1474">
        <v>45895</v>
      </c>
      <c r="H1474" t="s">
        <v>6</v>
      </c>
      <c r="I1474">
        <v>14545.55</v>
      </c>
      <c r="J1474" t="s">
        <v>75</v>
      </c>
      <c r="K1474" t="s">
        <v>147</v>
      </c>
      <c r="L1474">
        <v>30</v>
      </c>
      <c r="M1474" t="s">
        <v>37</v>
      </c>
      <c r="N1474">
        <v>1.155</v>
      </c>
      <c r="O1474">
        <v>1.312350869219407</v>
      </c>
      <c r="P1474">
        <v>6.4753041430733868E-3</v>
      </c>
      <c r="Q1474">
        <v>1.155</v>
      </c>
      <c r="R1474">
        <v>16800.110249999998</v>
      </c>
      <c r="S1474" t="s">
        <v>13</v>
      </c>
      <c r="T1474">
        <v>1.0880000000000001</v>
      </c>
      <c r="U1474">
        <v>15825.5584</v>
      </c>
      <c r="V1474">
        <v>974.55184999999801</v>
      </c>
      <c r="W1474">
        <v>6.1580882352941048E-2</v>
      </c>
    </row>
    <row r="1475" spans="1:23" x14ac:dyDescent="0.25">
      <c r="A1475" t="s">
        <v>144</v>
      </c>
      <c r="B1475" t="s">
        <v>30</v>
      </c>
      <c r="C1475" t="s">
        <v>103</v>
      </c>
      <c r="D1475" t="s">
        <v>31</v>
      </c>
      <c r="E1475" t="s">
        <v>74</v>
      </c>
      <c r="F1475" s="1">
        <v>45691</v>
      </c>
      <c r="G1475">
        <v>45721</v>
      </c>
      <c r="H1475" t="s">
        <v>9</v>
      </c>
      <c r="I1475">
        <v>1421811.26</v>
      </c>
      <c r="J1475" t="s">
        <v>75</v>
      </c>
      <c r="K1475" t="s">
        <v>145</v>
      </c>
      <c r="L1475">
        <v>30</v>
      </c>
      <c r="M1475" t="s">
        <v>30</v>
      </c>
      <c r="N1475">
        <v>1.0274000000000001</v>
      </c>
      <c r="O1475">
        <v>1.2358063895304081</v>
      </c>
      <c r="P1475">
        <v>6.4669226411531444E-3</v>
      </c>
      <c r="Q1475">
        <v>6.4669226411531444E-3</v>
      </c>
      <c r="R1475">
        <v>9194.7434287404794</v>
      </c>
      <c r="S1475" t="s">
        <v>11</v>
      </c>
      <c r="T1475">
        <v>6.5599999999999999E-3</v>
      </c>
      <c r="U1475">
        <v>9327.0818655999992</v>
      </c>
      <c r="V1475">
        <v>-132.33843685951979</v>
      </c>
      <c r="W1475">
        <v>-1.4188621775435293E-2</v>
      </c>
    </row>
    <row r="1476" spans="1:23" x14ac:dyDescent="0.25">
      <c r="A1476" t="s">
        <v>142</v>
      </c>
      <c r="B1476" t="s">
        <v>26</v>
      </c>
      <c r="C1476" t="s">
        <v>94</v>
      </c>
      <c r="D1476" t="s">
        <v>31</v>
      </c>
      <c r="E1476" t="s">
        <v>74</v>
      </c>
      <c r="F1476" s="1">
        <v>46215</v>
      </c>
      <c r="G1476">
        <v>46245</v>
      </c>
      <c r="H1476" t="s">
        <v>8</v>
      </c>
      <c r="I1476">
        <v>19226.02</v>
      </c>
      <c r="J1476" t="s">
        <v>75</v>
      </c>
      <c r="K1476" t="s">
        <v>143</v>
      </c>
      <c r="L1476">
        <v>30</v>
      </c>
      <c r="M1476" t="s">
        <v>26</v>
      </c>
      <c r="N1476">
        <v>1.143</v>
      </c>
      <c r="O1476">
        <v>1.3422582349832657</v>
      </c>
      <c r="P1476">
        <v>6.1777105177818611E-3</v>
      </c>
      <c r="Q1476">
        <v>1.3422582349832657</v>
      </c>
      <c r="R1476">
        <v>25806.283670952966</v>
      </c>
      <c r="S1476" t="s">
        <v>21</v>
      </c>
      <c r="T1476">
        <v>1.2929999999999999</v>
      </c>
      <c r="U1476">
        <v>24859.243859999999</v>
      </c>
      <c r="V1476">
        <v>947.03981095296695</v>
      </c>
      <c r="W1476">
        <v>3.809608274034474E-2</v>
      </c>
    </row>
    <row r="1477" spans="1:23" x14ac:dyDescent="0.25">
      <c r="A1477" t="s">
        <v>140</v>
      </c>
      <c r="B1477" t="s">
        <v>38</v>
      </c>
      <c r="C1477" t="s">
        <v>87</v>
      </c>
      <c r="D1477" t="s">
        <v>33</v>
      </c>
      <c r="E1477" t="s">
        <v>88</v>
      </c>
      <c r="F1477" s="1">
        <v>46128</v>
      </c>
      <c r="G1477">
        <v>46158</v>
      </c>
      <c r="H1477" t="s">
        <v>6</v>
      </c>
      <c r="I1477">
        <v>9805.5400000000009</v>
      </c>
      <c r="J1477" t="s">
        <v>75</v>
      </c>
      <c r="K1477" t="s">
        <v>141</v>
      </c>
      <c r="L1477">
        <v>30</v>
      </c>
      <c r="M1477" t="s">
        <v>38</v>
      </c>
      <c r="N1477">
        <v>1.1781999999999999</v>
      </c>
      <c r="O1477">
        <v>1.3543618452059361</v>
      </c>
      <c r="P1477">
        <v>6.2901073087395223E-3</v>
      </c>
      <c r="Q1477">
        <v>1.1781999999999999</v>
      </c>
      <c r="R1477">
        <v>11552.887228</v>
      </c>
      <c r="S1477" t="s">
        <v>19</v>
      </c>
      <c r="T1477">
        <v>1.083</v>
      </c>
      <c r="U1477">
        <v>10619.399820000001</v>
      </c>
      <c r="V1477">
        <v>933.48740799999905</v>
      </c>
      <c r="W1477">
        <v>8.7903970452446814E-2</v>
      </c>
    </row>
    <row r="1478" spans="1:23" x14ac:dyDescent="0.25">
      <c r="A1478" t="s">
        <v>137</v>
      </c>
      <c r="B1478" t="s">
        <v>44</v>
      </c>
      <c r="C1478" t="s">
        <v>138</v>
      </c>
      <c r="D1478" t="s">
        <v>33</v>
      </c>
      <c r="E1478" t="s">
        <v>88</v>
      </c>
      <c r="F1478" s="1">
        <v>45743</v>
      </c>
      <c r="G1478">
        <v>45788</v>
      </c>
      <c r="H1478" t="s">
        <v>9</v>
      </c>
      <c r="I1478">
        <v>673370.32</v>
      </c>
      <c r="J1478" t="s">
        <v>75</v>
      </c>
      <c r="K1478" t="s">
        <v>139</v>
      </c>
      <c r="L1478">
        <v>45</v>
      </c>
      <c r="M1478" t="s">
        <v>44</v>
      </c>
      <c r="N1478">
        <v>1.0785</v>
      </c>
      <c r="O1478">
        <v>1.2944381766244988</v>
      </c>
      <c r="P1478">
        <v>6.63488157490003E-3</v>
      </c>
      <c r="Q1478">
        <v>6.63488157490003E-3</v>
      </c>
      <c r="R1478">
        <v>4467.7323292525371</v>
      </c>
      <c r="S1478" t="s">
        <v>11</v>
      </c>
      <c r="T1478">
        <v>6.5599999999999999E-3</v>
      </c>
      <c r="U1478">
        <v>4417.3092991999993</v>
      </c>
      <c r="V1478">
        <v>50.423030052537797</v>
      </c>
      <c r="W1478">
        <v>1.1414874222565694E-2</v>
      </c>
    </row>
    <row r="1479" spans="1:23" x14ac:dyDescent="0.25">
      <c r="A1479" t="s">
        <v>135</v>
      </c>
      <c r="B1479" t="s">
        <v>37</v>
      </c>
      <c r="C1479" t="s">
        <v>91</v>
      </c>
      <c r="D1479" t="s">
        <v>31</v>
      </c>
      <c r="E1479" t="s">
        <v>74</v>
      </c>
      <c r="F1479" s="1">
        <v>45677</v>
      </c>
      <c r="G1479">
        <v>45707</v>
      </c>
      <c r="H1479" t="s">
        <v>6</v>
      </c>
      <c r="I1479">
        <v>10120.870000000001</v>
      </c>
      <c r="J1479" t="s">
        <v>75</v>
      </c>
      <c r="K1479" t="s">
        <v>136</v>
      </c>
      <c r="L1479">
        <v>30</v>
      </c>
      <c r="M1479" t="s">
        <v>37</v>
      </c>
      <c r="N1479">
        <v>1.0316000000000001</v>
      </c>
      <c r="O1479">
        <v>1.2195583297867312</v>
      </c>
      <c r="P1479">
        <v>6.3931581556767479E-3</v>
      </c>
      <c r="Q1479">
        <v>1.0316000000000001</v>
      </c>
      <c r="R1479">
        <v>10440.689492000001</v>
      </c>
      <c r="S1479" t="s">
        <v>11</v>
      </c>
      <c r="T1479">
        <v>1.052</v>
      </c>
      <c r="U1479">
        <v>10647.155240000002</v>
      </c>
      <c r="V1479">
        <v>-206.46574800000053</v>
      </c>
      <c r="W1479">
        <v>-1.9391634980988639E-2</v>
      </c>
    </row>
    <row r="1480" spans="1:23" x14ac:dyDescent="0.25">
      <c r="A1480" t="s">
        <v>133</v>
      </c>
      <c r="B1480" t="s">
        <v>37</v>
      </c>
      <c r="C1480" t="s">
        <v>91</v>
      </c>
      <c r="D1480" t="s">
        <v>31</v>
      </c>
      <c r="E1480" t="s">
        <v>74</v>
      </c>
      <c r="F1480" s="1">
        <v>45729</v>
      </c>
      <c r="G1480">
        <v>45759</v>
      </c>
      <c r="H1480" t="s">
        <v>6</v>
      </c>
      <c r="I1480">
        <v>8413.61</v>
      </c>
      <c r="J1480" t="s">
        <v>75</v>
      </c>
      <c r="K1480" t="s">
        <v>134</v>
      </c>
      <c r="L1480">
        <v>30</v>
      </c>
      <c r="M1480" t="s">
        <v>37</v>
      </c>
      <c r="N1480">
        <v>1.083</v>
      </c>
      <c r="O1480">
        <v>1.2927021413736304</v>
      </c>
      <c r="P1480">
        <v>6.741782868525897E-3</v>
      </c>
      <c r="Q1480">
        <v>1.083</v>
      </c>
      <c r="R1480">
        <v>9111.9396300000008</v>
      </c>
      <c r="S1480" t="s">
        <v>11</v>
      </c>
      <c r="T1480">
        <v>1.052</v>
      </c>
      <c r="U1480">
        <v>8851.1177200000002</v>
      </c>
      <c r="V1480">
        <v>260.82191000000057</v>
      </c>
      <c r="W1480">
        <v>2.9467680608365084E-2</v>
      </c>
    </row>
    <row r="1481" spans="1:23" x14ac:dyDescent="0.25">
      <c r="A1481" t="s">
        <v>131</v>
      </c>
      <c r="B1481" t="s">
        <v>20</v>
      </c>
      <c r="C1481" t="s">
        <v>123</v>
      </c>
      <c r="D1481" t="s">
        <v>31</v>
      </c>
      <c r="E1481" t="s">
        <v>124</v>
      </c>
      <c r="F1481" s="1">
        <v>45930</v>
      </c>
      <c r="G1481">
        <v>45975</v>
      </c>
      <c r="H1481" t="s">
        <v>6</v>
      </c>
      <c r="I1481">
        <v>68783.42</v>
      </c>
      <c r="J1481" t="s">
        <v>75</v>
      </c>
      <c r="K1481" t="s">
        <v>132</v>
      </c>
      <c r="L1481">
        <v>45</v>
      </c>
      <c r="M1481" t="s">
        <v>20</v>
      </c>
      <c r="N1481">
        <v>1.1740999999999999</v>
      </c>
      <c r="O1481">
        <v>1.344286695672086</v>
      </c>
      <c r="P1481">
        <v>6.7570211786372007E-3</v>
      </c>
      <c r="Q1481">
        <v>1.1740999999999999</v>
      </c>
      <c r="R1481">
        <v>80758.613421999995</v>
      </c>
      <c r="S1481" t="s">
        <v>13</v>
      </c>
      <c r="T1481">
        <v>1.0880000000000001</v>
      </c>
      <c r="U1481">
        <v>74836.360960000005</v>
      </c>
      <c r="V1481">
        <v>5922.2524619999895</v>
      </c>
      <c r="W1481">
        <v>7.9136029411764564E-2</v>
      </c>
    </row>
    <row r="1482" spans="1:23" x14ac:dyDescent="0.25">
      <c r="A1482" t="s">
        <v>129</v>
      </c>
      <c r="B1482" t="s">
        <v>26</v>
      </c>
      <c r="C1482" t="s">
        <v>94</v>
      </c>
      <c r="D1482" t="s">
        <v>31</v>
      </c>
      <c r="E1482" t="s">
        <v>74</v>
      </c>
      <c r="F1482" s="1">
        <v>45767</v>
      </c>
      <c r="G1482">
        <v>45797</v>
      </c>
      <c r="H1482" t="s">
        <v>8</v>
      </c>
      <c r="I1482">
        <v>24039.06</v>
      </c>
      <c r="J1482" t="s">
        <v>75</v>
      </c>
      <c r="K1482" t="s">
        <v>130</v>
      </c>
      <c r="L1482">
        <v>30</v>
      </c>
      <c r="M1482" t="s">
        <v>26</v>
      </c>
      <c r="N1482">
        <v>1.1574</v>
      </c>
      <c r="O1482">
        <v>1.357972544878564</v>
      </c>
      <c r="P1482">
        <v>6.9351069566780518E-3</v>
      </c>
      <c r="Q1482">
        <v>1.357972544878564</v>
      </c>
      <c r="R1482">
        <v>32644.383484688493</v>
      </c>
      <c r="S1482" t="s">
        <v>12</v>
      </c>
      <c r="T1482">
        <v>1.26</v>
      </c>
      <c r="U1482">
        <v>30289.215600000003</v>
      </c>
      <c r="V1482">
        <v>2355.1678846884897</v>
      </c>
      <c r="W1482">
        <v>7.7755987998860215E-2</v>
      </c>
    </row>
    <row r="1483" spans="1:23" x14ac:dyDescent="0.25">
      <c r="A1483" t="s">
        <v>126</v>
      </c>
      <c r="B1483" t="s">
        <v>22</v>
      </c>
      <c r="C1483" t="s">
        <v>127</v>
      </c>
      <c r="D1483" t="s">
        <v>31</v>
      </c>
      <c r="E1483" t="s">
        <v>124</v>
      </c>
      <c r="F1483" s="1">
        <v>45742</v>
      </c>
      <c r="G1483">
        <v>45802</v>
      </c>
      <c r="H1483" t="s">
        <v>9</v>
      </c>
      <c r="I1483">
        <v>12493079.390000001</v>
      </c>
      <c r="J1483" t="s">
        <v>75</v>
      </c>
      <c r="K1483" t="s">
        <v>128</v>
      </c>
      <c r="L1483">
        <v>60</v>
      </c>
      <c r="M1483" t="s">
        <v>22</v>
      </c>
      <c r="N1483">
        <v>1.0788</v>
      </c>
      <c r="O1483">
        <v>1.2900756968776532</v>
      </c>
      <c r="P1483">
        <v>6.6510480887792848E-3</v>
      </c>
      <c r="Q1483">
        <v>6.6510480887792848E-3</v>
      </c>
      <c r="R1483">
        <v>83092.071799827376</v>
      </c>
      <c r="S1483" t="s">
        <v>11</v>
      </c>
      <c r="T1483">
        <v>6.5599999999999999E-3</v>
      </c>
      <c r="U1483">
        <v>81954.600798400003</v>
      </c>
      <c r="V1483">
        <v>1137.4710014273733</v>
      </c>
      <c r="W1483">
        <v>1.3879281826110488E-2</v>
      </c>
    </row>
    <row r="1484" spans="1:23" x14ac:dyDescent="0.25">
      <c r="A1484" t="s">
        <v>122</v>
      </c>
      <c r="B1484" t="s">
        <v>20</v>
      </c>
      <c r="C1484" t="s">
        <v>123</v>
      </c>
      <c r="D1484" t="s">
        <v>31</v>
      </c>
      <c r="E1484" t="s">
        <v>124</v>
      </c>
      <c r="F1484" s="1">
        <v>45933</v>
      </c>
      <c r="G1484">
        <v>45978</v>
      </c>
      <c r="H1484" t="s">
        <v>6</v>
      </c>
      <c r="I1484">
        <v>31593.49</v>
      </c>
      <c r="J1484" t="s">
        <v>75</v>
      </c>
      <c r="K1484" t="s">
        <v>125</v>
      </c>
      <c r="L1484">
        <v>45</v>
      </c>
      <c r="M1484" t="s">
        <v>20</v>
      </c>
      <c r="N1484">
        <v>1.1734</v>
      </c>
      <c r="O1484">
        <v>1.3447169378867752</v>
      </c>
      <c r="P1484">
        <v>6.7865818392134182E-3</v>
      </c>
      <c r="Q1484">
        <v>1.1734</v>
      </c>
      <c r="R1484">
        <v>37071.801166000005</v>
      </c>
      <c r="S1484" t="s">
        <v>14</v>
      </c>
      <c r="T1484">
        <v>1.1060000000000001</v>
      </c>
      <c r="U1484">
        <v>34942.399940000003</v>
      </c>
      <c r="V1484">
        <v>2129.4012260000018</v>
      </c>
      <c r="W1484">
        <v>6.0940325497287569E-2</v>
      </c>
    </row>
    <row r="1485" spans="1:23" x14ac:dyDescent="0.25">
      <c r="A1485" t="s">
        <v>120</v>
      </c>
      <c r="B1485" t="s">
        <v>26</v>
      </c>
      <c r="C1485" t="s">
        <v>94</v>
      </c>
      <c r="D1485" t="s">
        <v>31</v>
      </c>
      <c r="E1485" t="s">
        <v>74</v>
      </c>
      <c r="F1485" s="1">
        <v>45704</v>
      </c>
      <c r="G1485">
        <v>45734</v>
      </c>
      <c r="H1485" t="s">
        <v>8</v>
      </c>
      <c r="I1485">
        <v>16048.44</v>
      </c>
      <c r="J1485" t="s">
        <v>75</v>
      </c>
      <c r="K1485" t="s">
        <v>121</v>
      </c>
      <c r="L1485">
        <v>30</v>
      </c>
      <c r="M1485" t="s">
        <v>26</v>
      </c>
      <c r="N1485">
        <v>1.0889</v>
      </c>
      <c r="O1485">
        <v>1.2934915600536925</v>
      </c>
      <c r="P1485">
        <v>6.7265875957499381E-3</v>
      </c>
      <c r="Q1485">
        <v>1.2934915600536925</v>
      </c>
      <c r="R1485">
        <v>20758.52169202808</v>
      </c>
      <c r="S1485" t="s">
        <v>11</v>
      </c>
      <c r="T1485">
        <v>1.238</v>
      </c>
      <c r="U1485">
        <v>19867.968720000001</v>
      </c>
      <c r="V1485">
        <v>890.55297202807924</v>
      </c>
      <c r="W1485">
        <v>4.4823554162917931E-2</v>
      </c>
    </row>
    <row r="1486" spans="1:23" x14ac:dyDescent="0.25">
      <c r="A1486" t="s">
        <v>118</v>
      </c>
      <c r="B1486" t="s">
        <v>30</v>
      </c>
      <c r="C1486" t="s">
        <v>103</v>
      </c>
      <c r="D1486" t="s">
        <v>31</v>
      </c>
      <c r="E1486" t="s">
        <v>74</v>
      </c>
      <c r="F1486" s="1">
        <v>46188</v>
      </c>
      <c r="G1486">
        <v>46218</v>
      </c>
      <c r="H1486" t="s">
        <v>9</v>
      </c>
      <c r="I1486">
        <v>618939.86</v>
      </c>
      <c r="J1486" t="s">
        <v>75</v>
      </c>
      <c r="K1486" t="s">
        <v>119</v>
      </c>
      <c r="L1486">
        <v>30</v>
      </c>
      <c r="M1486" t="s">
        <v>30</v>
      </c>
      <c r="N1486">
        <v>1.1607000000000001</v>
      </c>
      <c r="O1486">
        <v>1.3421134789496203</v>
      </c>
      <c r="P1486">
        <v>6.2426719733232935E-3</v>
      </c>
      <c r="Q1486">
        <v>6.2426719733232935E-3</v>
      </c>
      <c r="R1486">
        <v>3863.8385171946429</v>
      </c>
      <c r="S1486" t="s">
        <v>19</v>
      </c>
      <c r="T1486">
        <v>6.6E-3</v>
      </c>
      <c r="U1486">
        <v>4085.003076</v>
      </c>
      <c r="V1486">
        <v>-221.16455880535705</v>
      </c>
      <c r="W1486">
        <v>-5.4140610102531302E-2</v>
      </c>
    </row>
    <row r="1487" spans="1:23" x14ac:dyDescent="0.25">
      <c r="A1487" t="s">
        <v>115</v>
      </c>
      <c r="B1487" t="s">
        <v>36</v>
      </c>
      <c r="C1487" t="s">
        <v>116</v>
      </c>
      <c r="D1487" t="s">
        <v>31</v>
      </c>
      <c r="E1487" t="s">
        <v>74</v>
      </c>
      <c r="F1487" s="1">
        <v>45935</v>
      </c>
      <c r="G1487">
        <v>45980</v>
      </c>
      <c r="H1487" t="s">
        <v>6</v>
      </c>
      <c r="I1487">
        <v>8439.7000000000007</v>
      </c>
      <c r="J1487" t="s">
        <v>75</v>
      </c>
      <c r="K1487" t="s">
        <v>117</v>
      </c>
      <c r="L1487">
        <v>45</v>
      </c>
      <c r="M1487" t="s">
        <v>36</v>
      </c>
      <c r="N1487">
        <v>1.1894</v>
      </c>
      <c r="O1487">
        <v>1.3679125934445082</v>
      </c>
      <c r="P1487">
        <v>6.4462630751720776E-3</v>
      </c>
      <c r="Q1487">
        <v>1.1894</v>
      </c>
      <c r="R1487">
        <v>10038.179180000001</v>
      </c>
      <c r="S1487" t="s">
        <v>14</v>
      </c>
      <c r="T1487">
        <v>1.1060000000000001</v>
      </c>
      <c r="U1487">
        <v>9334.3082000000013</v>
      </c>
      <c r="V1487">
        <v>703.87097999999969</v>
      </c>
      <c r="W1487">
        <v>7.5406871609403209E-2</v>
      </c>
    </row>
    <row r="1488" spans="1:23" x14ac:dyDescent="0.25">
      <c r="A1488" t="s">
        <v>113</v>
      </c>
      <c r="B1488" t="s">
        <v>26</v>
      </c>
      <c r="C1488" t="s">
        <v>94</v>
      </c>
      <c r="D1488" t="s">
        <v>31</v>
      </c>
      <c r="E1488" t="s">
        <v>74</v>
      </c>
      <c r="F1488" s="1">
        <v>45749</v>
      </c>
      <c r="G1488">
        <v>45779</v>
      </c>
      <c r="H1488" t="s">
        <v>8</v>
      </c>
      <c r="I1488">
        <v>26754.59</v>
      </c>
      <c r="J1488" t="s">
        <v>75</v>
      </c>
      <c r="K1488" t="s">
        <v>114</v>
      </c>
      <c r="L1488">
        <v>30</v>
      </c>
      <c r="M1488" t="s">
        <v>26</v>
      </c>
      <c r="N1488">
        <v>1.0803</v>
      </c>
      <c r="O1488">
        <v>1.2944700736924091</v>
      </c>
      <c r="P1488">
        <v>6.7007815407517683E-3</v>
      </c>
      <c r="Q1488">
        <v>1.2944700736924091</v>
      </c>
      <c r="R1488">
        <v>34633.01608891019</v>
      </c>
      <c r="S1488" t="s">
        <v>12</v>
      </c>
      <c r="T1488">
        <v>1.26</v>
      </c>
      <c r="U1488">
        <v>33710.7834</v>
      </c>
      <c r="V1488">
        <v>922.23268891018961</v>
      </c>
      <c r="W1488">
        <v>2.7357201343181765E-2</v>
      </c>
    </row>
    <row r="1489" spans="1:23" x14ac:dyDescent="0.25">
      <c r="A1489" t="s">
        <v>110</v>
      </c>
      <c r="B1489" t="s">
        <v>28</v>
      </c>
      <c r="C1489" t="s">
        <v>111</v>
      </c>
      <c r="D1489" t="s">
        <v>31</v>
      </c>
      <c r="E1489" t="s">
        <v>74</v>
      </c>
      <c r="F1489" s="1">
        <v>46075</v>
      </c>
      <c r="G1489">
        <v>46120</v>
      </c>
      <c r="H1489" t="s">
        <v>9</v>
      </c>
      <c r="I1489">
        <v>3587555.89</v>
      </c>
      <c r="J1489" t="s">
        <v>75</v>
      </c>
      <c r="K1489" t="s">
        <v>112</v>
      </c>
      <c r="L1489">
        <v>45</v>
      </c>
      <c r="M1489" t="s">
        <v>28</v>
      </c>
      <c r="N1489">
        <v>1.1555</v>
      </c>
      <c r="O1489">
        <v>1.3367963164349013</v>
      </c>
      <c r="P1489">
        <v>6.2983756677204832E-3</v>
      </c>
      <c r="Q1489">
        <v>6.2983756677204832E-3</v>
      </c>
      <c r="R1489">
        <v>22595.774724163304</v>
      </c>
      <c r="S1489" t="s">
        <v>16</v>
      </c>
      <c r="T1489">
        <v>6.4599999999999996E-3</v>
      </c>
      <c r="U1489">
        <v>23175.611049399999</v>
      </c>
      <c r="V1489">
        <v>-579.83632523669439</v>
      </c>
      <c r="W1489">
        <v>-2.50192464828972E-2</v>
      </c>
    </row>
    <row r="1490" spans="1:23" x14ac:dyDescent="0.25">
      <c r="A1490" t="s">
        <v>108</v>
      </c>
      <c r="B1490" t="s">
        <v>40</v>
      </c>
      <c r="C1490" t="s">
        <v>78</v>
      </c>
      <c r="D1490" t="s">
        <v>33</v>
      </c>
      <c r="E1490" t="s">
        <v>79</v>
      </c>
      <c r="F1490" s="1">
        <v>46114</v>
      </c>
      <c r="G1490">
        <v>46144</v>
      </c>
      <c r="H1490" t="s">
        <v>9</v>
      </c>
      <c r="I1490">
        <v>1979754.22</v>
      </c>
      <c r="J1490" t="s">
        <v>75</v>
      </c>
      <c r="K1490" t="s">
        <v>109</v>
      </c>
      <c r="L1490">
        <v>30</v>
      </c>
      <c r="M1490" t="s">
        <v>40</v>
      </c>
      <c r="N1490">
        <v>1.1525000000000001</v>
      </c>
      <c r="O1490">
        <v>1.3208714886594157</v>
      </c>
      <c r="P1490">
        <v>6.2656300967706864E-3</v>
      </c>
      <c r="Q1490">
        <v>6.2656300967706864E-3</v>
      </c>
      <c r="R1490">
        <v>12404.407625040774</v>
      </c>
      <c r="S1490" t="s">
        <v>19</v>
      </c>
      <c r="T1490">
        <v>6.6E-3</v>
      </c>
      <c r="U1490">
        <v>13066.377852</v>
      </c>
      <c r="V1490">
        <v>-661.97022695922533</v>
      </c>
      <c r="W1490">
        <v>-5.0662106549896009E-2</v>
      </c>
    </row>
    <row r="1491" spans="1:23" x14ac:dyDescent="0.25">
      <c r="A1491" t="s">
        <v>105</v>
      </c>
      <c r="B1491" t="s">
        <v>32</v>
      </c>
      <c r="C1491" t="s">
        <v>106</v>
      </c>
      <c r="D1491" t="s">
        <v>31</v>
      </c>
      <c r="E1491" t="s">
        <v>74</v>
      </c>
      <c r="F1491" s="1">
        <v>46279</v>
      </c>
      <c r="G1491">
        <v>46309</v>
      </c>
      <c r="H1491" t="s">
        <v>6</v>
      </c>
      <c r="I1491">
        <v>3672.96</v>
      </c>
      <c r="J1491" t="s">
        <v>75</v>
      </c>
      <c r="K1491" t="s">
        <v>107</v>
      </c>
      <c r="L1491">
        <v>30</v>
      </c>
      <c r="M1491" t="s">
        <v>32</v>
      </c>
      <c r="N1491">
        <v>1.1551</v>
      </c>
      <c r="O1491">
        <v>1.3494474169957242</v>
      </c>
      <c r="P1491">
        <v>6.4704234819628051E-3</v>
      </c>
      <c r="Q1491">
        <v>1.1551</v>
      </c>
      <c r="R1491">
        <v>4242.6360960000002</v>
      </c>
      <c r="S1491" t="s">
        <v>21</v>
      </c>
      <c r="T1491">
        <v>1.101</v>
      </c>
      <c r="U1491">
        <v>4043.9289600000002</v>
      </c>
      <c r="V1491">
        <v>198.70713599999999</v>
      </c>
      <c r="W1491">
        <v>4.9137148047229788E-2</v>
      </c>
    </row>
    <row r="1492" spans="1:23" x14ac:dyDescent="0.25">
      <c r="A1492" t="s">
        <v>102</v>
      </c>
      <c r="B1492" t="s">
        <v>30</v>
      </c>
      <c r="C1492" t="s">
        <v>103</v>
      </c>
      <c r="D1492" t="s">
        <v>31</v>
      </c>
      <c r="E1492" t="s">
        <v>74</v>
      </c>
      <c r="F1492" s="1">
        <v>46150</v>
      </c>
      <c r="G1492">
        <v>46180</v>
      </c>
      <c r="H1492" t="s">
        <v>9</v>
      </c>
      <c r="I1492">
        <v>517662.57</v>
      </c>
      <c r="J1492" t="s">
        <v>75</v>
      </c>
      <c r="K1492" t="s">
        <v>104</v>
      </c>
      <c r="L1492">
        <v>30</v>
      </c>
      <c r="M1492" t="s">
        <v>30</v>
      </c>
      <c r="N1492">
        <v>1.1760999999999999</v>
      </c>
      <c r="O1492">
        <v>1.3610693206804767</v>
      </c>
      <c r="P1492">
        <v>6.3790204480121491E-3</v>
      </c>
      <c r="Q1492">
        <v>6.3790204480121491E-3</v>
      </c>
      <c r="R1492">
        <v>3302.1801192005205</v>
      </c>
      <c r="S1492" t="s">
        <v>19</v>
      </c>
      <c r="T1492">
        <v>6.6E-3</v>
      </c>
      <c r="U1492">
        <v>3416.5729620000002</v>
      </c>
      <c r="V1492">
        <v>-114.39284279947969</v>
      </c>
      <c r="W1492">
        <v>-3.3481750301189585E-2</v>
      </c>
    </row>
    <row r="1493" spans="1:23" x14ac:dyDescent="0.25">
      <c r="A1493" t="s">
        <v>100</v>
      </c>
      <c r="B1493" t="s">
        <v>38</v>
      </c>
      <c r="C1493" t="s">
        <v>87</v>
      </c>
      <c r="D1493" t="s">
        <v>33</v>
      </c>
      <c r="E1493" t="s">
        <v>88</v>
      </c>
      <c r="F1493" s="1">
        <v>46114</v>
      </c>
      <c r="G1493">
        <v>46144</v>
      </c>
      <c r="H1493" t="s">
        <v>6</v>
      </c>
      <c r="I1493">
        <v>10080.530000000001</v>
      </c>
      <c r="J1493" t="s">
        <v>75</v>
      </c>
      <c r="K1493" t="s">
        <v>101</v>
      </c>
      <c r="L1493">
        <v>30</v>
      </c>
      <c r="M1493" t="s">
        <v>38</v>
      </c>
      <c r="N1493">
        <v>1.1525000000000001</v>
      </c>
      <c r="O1493">
        <v>1.3208714886594157</v>
      </c>
      <c r="P1493">
        <v>6.2656300967706864E-3</v>
      </c>
      <c r="Q1493">
        <v>1.1525000000000001</v>
      </c>
      <c r="R1493">
        <v>11617.810825000002</v>
      </c>
      <c r="S1493" t="s">
        <v>19</v>
      </c>
      <c r="T1493">
        <v>1.083</v>
      </c>
      <c r="U1493">
        <v>10917.21399</v>
      </c>
      <c r="V1493">
        <v>700.5968350000021</v>
      </c>
      <c r="W1493">
        <v>6.4173591874423092E-2</v>
      </c>
    </row>
    <row r="1494" spans="1:23" x14ac:dyDescent="0.25">
      <c r="A1494" t="s">
        <v>98</v>
      </c>
      <c r="B1494" t="s">
        <v>24</v>
      </c>
      <c r="C1494" t="s">
        <v>73</v>
      </c>
      <c r="D1494" t="s">
        <v>31</v>
      </c>
      <c r="E1494" t="s">
        <v>74</v>
      </c>
      <c r="F1494" s="1">
        <v>46066</v>
      </c>
      <c r="G1494">
        <v>46096</v>
      </c>
      <c r="H1494" t="s">
        <v>6</v>
      </c>
      <c r="I1494">
        <v>28206.02</v>
      </c>
      <c r="J1494" t="s">
        <v>75</v>
      </c>
      <c r="K1494" t="s">
        <v>99</v>
      </c>
      <c r="L1494">
        <v>30</v>
      </c>
      <c r="M1494" t="s">
        <v>24</v>
      </c>
      <c r="N1494">
        <v>1.1861999999999999</v>
      </c>
      <c r="O1494">
        <v>1.3609453877925652</v>
      </c>
      <c r="P1494">
        <v>6.5236759610625304E-3</v>
      </c>
      <c r="Q1494">
        <v>1.1861999999999999</v>
      </c>
      <c r="R1494">
        <v>33457.980923999996</v>
      </c>
      <c r="S1494" t="s">
        <v>16</v>
      </c>
      <c r="T1494">
        <v>1.0649999999999999</v>
      </c>
      <c r="U1494">
        <v>30039.4113</v>
      </c>
      <c r="V1494">
        <v>3418.5696239999961</v>
      </c>
      <c r="W1494">
        <v>0.11380281690140832</v>
      </c>
    </row>
    <row r="1495" spans="1:23" x14ac:dyDescent="0.25">
      <c r="A1495" t="s">
        <v>96</v>
      </c>
      <c r="B1495" t="s">
        <v>37</v>
      </c>
      <c r="C1495" t="s">
        <v>91</v>
      </c>
      <c r="D1495" t="s">
        <v>31</v>
      </c>
      <c r="E1495" t="s">
        <v>74</v>
      </c>
      <c r="F1495" s="1">
        <v>46288</v>
      </c>
      <c r="G1495">
        <v>46318</v>
      </c>
      <c r="H1495" t="s">
        <v>6</v>
      </c>
      <c r="I1495">
        <v>2169.6799999999998</v>
      </c>
      <c r="J1495" t="s">
        <v>75</v>
      </c>
      <c r="K1495" t="s">
        <v>97</v>
      </c>
      <c r="L1495">
        <v>30</v>
      </c>
      <c r="M1495" t="s">
        <v>37</v>
      </c>
      <c r="N1495">
        <v>1.1411</v>
      </c>
      <c r="O1495">
        <v>1.327632344386271</v>
      </c>
      <c r="P1495">
        <v>6.3324084350721427E-3</v>
      </c>
      <c r="Q1495">
        <v>1.1411</v>
      </c>
      <c r="R1495">
        <v>2475.821848</v>
      </c>
      <c r="S1495" t="s">
        <v>21</v>
      </c>
      <c r="T1495">
        <v>1.101</v>
      </c>
      <c r="U1495">
        <v>2388.8176799999997</v>
      </c>
      <c r="V1495">
        <v>87.004168000000391</v>
      </c>
      <c r="W1495">
        <v>3.6421435059037409E-2</v>
      </c>
    </row>
    <row r="1496" spans="1:23" x14ac:dyDescent="0.25">
      <c r="A1496" t="s">
        <v>93</v>
      </c>
      <c r="B1496" t="s">
        <v>26</v>
      </c>
      <c r="C1496" t="s">
        <v>94</v>
      </c>
      <c r="D1496" t="s">
        <v>31</v>
      </c>
      <c r="E1496" t="s">
        <v>74</v>
      </c>
      <c r="F1496" s="1">
        <v>45832</v>
      </c>
      <c r="G1496">
        <v>45862</v>
      </c>
      <c r="H1496" t="s">
        <v>8</v>
      </c>
      <c r="I1496">
        <v>8945.84</v>
      </c>
      <c r="J1496" t="s">
        <v>75</v>
      </c>
      <c r="K1496" t="s">
        <v>95</v>
      </c>
      <c r="L1496">
        <v>30</v>
      </c>
      <c r="M1496" t="s">
        <v>26</v>
      </c>
      <c r="N1496">
        <v>1.1607000000000001</v>
      </c>
      <c r="O1496">
        <v>1.3612055822680897</v>
      </c>
      <c r="P1496">
        <v>6.8978427527188451E-3</v>
      </c>
      <c r="Q1496">
        <v>1.3612055822680897</v>
      </c>
      <c r="R1496">
        <v>12177.127346077168</v>
      </c>
      <c r="S1496" t="s">
        <v>12</v>
      </c>
      <c r="T1496">
        <v>1.26</v>
      </c>
      <c r="U1496">
        <v>11271.758400000001</v>
      </c>
      <c r="V1496">
        <v>905.36894607716749</v>
      </c>
      <c r="W1496">
        <v>8.0321890688960063E-2</v>
      </c>
    </row>
    <row r="1497" spans="1:23" x14ac:dyDescent="0.25">
      <c r="A1497" t="s">
        <v>90</v>
      </c>
      <c r="B1497" t="s">
        <v>37</v>
      </c>
      <c r="C1497" t="s">
        <v>91</v>
      </c>
      <c r="D1497" t="s">
        <v>31</v>
      </c>
      <c r="E1497" t="s">
        <v>74</v>
      </c>
      <c r="F1497" s="1">
        <v>46206</v>
      </c>
      <c r="G1497">
        <v>46236</v>
      </c>
      <c r="H1497" t="s">
        <v>6</v>
      </c>
      <c r="I1497">
        <v>14309.35</v>
      </c>
      <c r="J1497" t="s">
        <v>75</v>
      </c>
      <c r="K1497" t="s">
        <v>92</v>
      </c>
      <c r="L1497">
        <v>30</v>
      </c>
      <c r="M1497" t="s">
        <v>37</v>
      </c>
      <c r="N1497">
        <v>1.1448</v>
      </c>
      <c r="O1497">
        <v>1.3355109659356044</v>
      </c>
      <c r="P1497">
        <v>6.2055507372072863E-3</v>
      </c>
      <c r="Q1497">
        <v>1.1448</v>
      </c>
      <c r="R1497">
        <v>16381.34388</v>
      </c>
      <c r="S1497" t="s">
        <v>21</v>
      </c>
      <c r="T1497">
        <v>1.101</v>
      </c>
      <c r="U1497">
        <v>15754.594349999999</v>
      </c>
      <c r="V1497">
        <v>626.74953000000096</v>
      </c>
      <c r="W1497">
        <v>3.9782016348773902E-2</v>
      </c>
    </row>
    <row r="1498" spans="1:23" x14ac:dyDescent="0.25">
      <c r="A1498" t="s">
        <v>86</v>
      </c>
      <c r="B1498" t="s">
        <v>38</v>
      </c>
      <c r="C1498" t="s">
        <v>87</v>
      </c>
      <c r="D1498" t="s">
        <v>33</v>
      </c>
      <c r="E1498" t="s">
        <v>88</v>
      </c>
      <c r="F1498" s="1">
        <v>45672</v>
      </c>
      <c r="G1498">
        <v>45702</v>
      </c>
      <c r="H1498" t="s">
        <v>6</v>
      </c>
      <c r="I1498">
        <v>2619.62</v>
      </c>
      <c r="J1498" t="s">
        <v>75</v>
      </c>
      <c r="K1498" t="s">
        <v>89</v>
      </c>
      <c r="L1498">
        <v>30</v>
      </c>
      <c r="M1498" t="s">
        <v>38</v>
      </c>
      <c r="N1498">
        <v>1.03</v>
      </c>
      <c r="O1498">
        <v>1.2216384187491844</v>
      </c>
      <c r="P1498">
        <v>6.3678516228748072E-3</v>
      </c>
      <c r="Q1498">
        <v>1.03</v>
      </c>
      <c r="R1498">
        <v>2698.2085999999999</v>
      </c>
      <c r="S1498" t="s">
        <v>11</v>
      </c>
      <c r="T1498">
        <v>1.052</v>
      </c>
      <c r="U1498">
        <v>2755.84024</v>
      </c>
      <c r="V1498">
        <v>-57.631640000000061</v>
      </c>
      <c r="W1498">
        <v>-2.0912547528517133E-2</v>
      </c>
    </row>
    <row r="1499" spans="1:23" x14ac:dyDescent="0.25">
      <c r="A1499" t="s">
        <v>81</v>
      </c>
      <c r="B1499" t="s">
        <v>39</v>
      </c>
      <c r="C1499" t="s">
        <v>82</v>
      </c>
      <c r="D1499" t="s">
        <v>33</v>
      </c>
      <c r="E1499" t="s">
        <v>83</v>
      </c>
      <c r="F1499" s="1">
        <v>46330</v>
      </c>
      <c r="G1499">
        <v>46375</v>
      </c>
      <c r="H1499" t="s">
        <v>8</v>
      </c>
      <c r="I1499">
        <v>8105.55</v>
      </c>
      <c r="J1499" t="s">
        <v>84</v>
      </c>
      <c r="K1499" t="s">
        <v>85</v>
      </c>
      <c r="L1499">
        <v>45</v>
      </c>
      <c r="M1499" t="s">
        <v>39</v>
      </c>
      <c r="N1499">
        <v>1.1176999999999999</v>
      </c>
      <c r="O1499">
        <v>1.320456022210408</v>
      </c>
      <c r="P1499">
        <v>6.3200452360757699E-3</v>
      </c>
      <c r="Q1499">
        <v>1.320456022210408</v>
      </c>
      <c r="R1499">
        <v>10703.022310827573</v>
      </c>
      <c r="S1499" t="s">
        <v>23</v>
      </c>
      <c r="T1499">
        <v>1.3149999999999999</v>
      </c>
      <c r="U1499">
        <v>10658.79825</v>
      </c>
      <c r="V1499">
        <v>44.224060827573339</v>
      </c>
      <c r="W1499">
        <v>4.149066319701974E-3</v>
      </c>
    </row>
    <row r="1500" spans="1:23" x14ac:dyDescent="0.25">
      <c r="A1500" t="s">
        <v>77</v>
      </c>
      <c r="B1500" t="s">
        <v>40</v>
      </c>
      <c r="C1500" t="s">
        <v>78</v>
      </c>
      <c r="D1500" t="s">
        <v>33</v>
      </c>
      <c r="E1500" t="s">
        <v>79</v>
      </c>
      <c r="F1500" s="1">
        <v>45855</v>
      </c>
      <c r="G1500">
        <v>45885</v>
      </c>
      <c r="H1500" t="s">
        <v>9</v>
      </c>
      <c r="I1500">
        <v>802342.96</v>
      </c>
      <c r="J1500" t="s">
        <v>75</v>
      </c>
      <c r="K1500" t="s">
        <v>80</v>
      </c>
      <c r="L1500">
        <v>30</v>
      </c>
      <c r="M1500" t="s">
        <v>40</v>
      </c>
      <c r="N1500">
        <v>1.1578999999999999</v>
      </c>
      <c r="O1500">
        <v>1.3395418787598334</v>
      </c>
      <c r="P1500">
        <v>6.7210355235662869E-3</v>
      </c>
      <c r="Q1500">
        <v>6.7210355235662869E-3</v>
      </c>
      <c r="R1500">
        <v>5392.5755362433238</v>
      </c>
      <c r="S1500" t="s">
        <v>13</v>
      </c>
      <c r="T1500">
        <v>6.8399999999999997E-3</v>
      </c>
      <c r="U1500">
        <v>5488.0258463999999</v>
      </c>
      <c r="V1500">
        <v>-95.450310156676096</v>
      </c>
      <c r="W1500">
        <v>-1.7392467314870423E-2</v>
      </c>
    </row>
    <row r="1501" spans="1:23" x14ac:dyDescent="0.25">
      <c r="A1501" t="s">
        <v>72</v>
      </c>
      <c r="B1501" t="s">
        <v>24</v>
      </c>
      <c r="C1501" t="s">
        <v>73</v>
      </c>
      <c r="D1501" t="s">
        <v>31</v>
      </c>
      <c r="E1501" t="s">
        <v>74</v>
      </c>
      <c r="F1501" s="1">
        <v>46129</v>
      </c>
      <c r="G1501">
        <v>46159</v>
      </c>
      <c r="H1501" t="s">
        <v>6</v>
      </c>
      <c r="I1501">
        <v>16673.8</v>
      </c>
      <c r="J1501" t="s">
        <v>75</v>
      </c>
      <c r="K1501" t="s">
        <v>76</v>
      </c>
      <c r="L1501">
        <v>30</v>
      </c>
      <c r="M1501" t="s">
        <v>24</v>
      </c>
      <c r="N1501">
        <v>1.1797</v>
      </c>
      <c r="O1501">
        <v>1.3533636196769456</v>
      </c>
      <c r="P1501">
        <v>6.2843596846366926E-3</v>
      </c>
      <c r="Q1501">
        <v>1.1797</v>
      </c>
      <c r="R1501">
        <v>19670.081859999998</v>
      </c>
      <c r="S1501" t="s">
        <v>19</v>
      </c>
      <c r="T1501">
        <v>1.083</v>
      </c>
      <c r="U1501">
        <v>18057.725399999999</v>
      </c>
      <c r="V1501">
        <v>1612.3564599999991</v>
      </c>
      <c r="W1501">
        <v>8.9289012003693394E-2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/>
  </sheetViews>
  <sheetFormatPr defaultRowHeight="15" x14ac:dyDescent="0.25"/>
  <cols>
    <col min="1" max="1" width="12.7109375" customWidth="1"/>
    <col min="2" max="2" width="8.85546875" customWidth="1"/>
    <col min="3" max="3" width="13.7109375" customWidth="1"/>
    <col min="4" max="4" width="15" customWidth="1"/>
    <col min="5" max="5" width="12.140625" customWidth="1"/>
    <col min="6" max="6" width="11.5703125" customWidth="1"/>
    <col min="7" max="7" width="23.7109375" customWidth="1"/>
  </cols>
  <sheetData>
    <row r="1" spans="1:7" x14ac:dyDescent="0.25">
      <c r="A1" t="s">
        <v>51</v>
      </c>
      <c r="B1" t="s">
        <v>3102</v>
      </c>
      <c r="C1" t="s">
        <v>53</v>
      </c>
      <c r="D1" t="s">
        <v>55</v>
      </c>
      <c r="E1" t="s">
        <v>56</v>
      </c>
      <c r="F1" t="s">
        <v>2</v>
      </c>
      <c r="G1" t="s">
        <v>57</v>
      </c>
    </row>
    <row r="2" spans="1:7" x14ac:dyDescent="0.25">
      <c r="A2" t="s">
        <v>2907</v>
      </c>
      <c r="B2">
        <v>2</v>
      </c>
      <c r="C2" t="s">
        <v>215</v>
      </c>
      <c r="D2" s="1">
        <v>46154</v>
      </c>
      <c r="E2">
        <v>46184</v>
      </c>
      <c r="F2" t="s">
        <v>6</v>
      </c>
      <c r="G2">
        <v>10360.629999999999</v>
      </c>
    </row>
    <row r="3" spans="1:7" x14ac:dyDescent="0.25">
      <c r="A3" t="s">
        <v>2907</v>
      </c>
      <c r="B3">
        <v>2</v>
      </c>
      <c r="C3" t="s">
        <v>73</v>
      </c>
      <c r="D3" s="1">
        <v>45932</v>
      </c>
      <c r="E3">
        <v>45962</v>
      </c>
      <c r="F3" t="s">
        <v>6</v>
      </c>
      <c r="G3">
        <v>7161.98</v>
      </c>
    </row>
    <row r="4" spans="1:7" x14ac:dyDescent="0.25">
      <c r="A4" t="s">
        <v>2828</v>
      </c>
      <c r="B4">
        <v>2</v>
      </c>
      <c r="C4" t="s">
        <v>106</v>
      </c>
      <c r="D4" s="1">
        <v>45968</v>
      </c>
      <c r="E4">
        <v>45998</v>
      </c>
      <c r="F4" t="s">
        <v>6</v>
      </c>
      <c r="G4">
        <v>9627.0499999999993</v>
      </c>
    </row>
    <row r="5" spans="1:7" x14ac:dyDescent="0.25">
      <c r="A5" t="s">
        <v>2828</v>
      </c>
      <c r="B5">
        <v>2</v>
      </c>
      <c r="C5" t="s">
        <v>123</v>
      </c>
      <c r="D5" s="1">
        <v>46204</v>
      </c>
      <c r="E5">
        <v>46249</v>
      </c>
      <c r="F5" t="s">
        <v>6</v>
      </c>
      <c r="G5">
        <v>60070.79</v>
      </c>
    </row>
    <row r="6" spans="1:7" x14ac:dyDescent="0.25">
      <c r="A6" t="s">
        <v>2789</v>
      </c>
      <c r="B6">
        <v>2</v>
      </c>
      <c r="C6" t="s">
        <v>169</v>
      </c>
      <c r="D6" s="1">
        <v>46172</v>
      </c>
      <c r="E6">
        <v>46232</v>
      </c>
      <c r="F6" t="s">
        <v>6</v>
      </c>
      <c r="G6">
        <v>49309.84</v>
      </c>
    </row>
    <row r="7" spans="1:7" x14ac:dyDescent="0.25">
      <c r="A7" t="s">
        <v>2789</v>
      </c>
      <c r="B7">
        <v>2</v>
      </c>
      <c r="C7" t="s">
        <v>94</v>
      </c>
      <c r="D7" s="1">
        <v>45832</v>
      </c>
      <c r="E7">
        <v>45862</v>
      </c>
      <c r="F7" t="s">
        <v>8</v>
      </c>
      <c r="G7">
        <v>9631.91</v>
      </c>
    </row>
    <row r="8" spans="1:7" x14ac:dyDescent="0.25">
      <c r="A8" t="s">
        <v>2764</v>
      </c>
      <c r="B8">
        <v>2</v>
      </c>
      <c r="C8" t="s">
        <v>87</v>
      </c>
      <c r="D8" s="1">
        <v>46079</v>
      </c>
      <c r="E8">
        <v>46109</v>
      </c>
      <c r="F8" t="s">
        <v>6</v>
      </c>
      <c r="G8">
        <v>9796.32</v>
      </c>
    </row>
    <row r="9" spans="1:7" x14ac:dyDescent="0.25">
      <c r="A9" t="s">
        <v>2764</v>
      </c>
      <c r="B9">
        <v>2</v>
      </c>
      <c r="C9" t="s">
        <v>78</v>
      </c>
      <c r="D9" s="1">
        <v>46197</v>
      </c>
      <c r="E9">
        <v>46227</v>
      </c>
      <c r="F9" t="s">
        <v>9</v>
      </c>
      <c r="G9">
        <v>1234843.8500000001</v>
      </c>
    </row>
    <row r="10" spans="1:7" x14ac:dyDescent="0.25">
      <c r="A10" t="s">
        <v>2680</v>
      </c>
      <c r="B10">
        <v>2</v>
      </c>
      <c r="C10" t="s">
        <v>78</v>
      </c>
      <c r="D10" s="1">
        <v>45770</v>
      </c>
      <c r="E10">
        <v>45800</v>
      </c>
      <c r="F10" t="s">
        <v>9</v>
      </c>
      <c r="G10">
        <v>1202749.04</v>
      </c>
    </row>
    <row r="11" spans="1:7" x14ac:dyDescent="0.25">
      <c r="A11" t="s">
        <v>2680</v>
      </c>
      <c r="B11">
        <v>2</v>
      </c>
      <c r="C11" t="s">
        <v>103</v>
      </c>
      <c r="D11" s="1">
        <v>45976</v>
      </c>
      <c r="E11">
        <v>46006</v>
      </c>
      <c r="F11" t="s">
        <v>9</v>
      </c>
      <c r="G11">
        <v>1847613.07</v>
      </c>
    </row>
    <row r="12" spans="1:7" x14ac:dyDescent="0.25">
      <c r="A12" t="s">
        <v>2511</v>
      </c>
      <c r="B12">
        <v>2</v>
      </c>
      <c r="C12" t="s">
        <v>127</v>
      </c>
      <c r="D12" s="1">
        <v>45749</v>
      </c>
      <c r="E12">
        <v>45809</v>
      </c>
      <c r="F12" t="s">
        <v>9</v>
      </c>
      <c r="G12">
        <v>8802664.7699999996</v>
      </c>
    </row>
    <row r="13" spans="1:7" x14ac:dyDescent="0.25">
      <c r="A13" t="s">
        <v>2511</v>
      </c>
      <c r="B13">
        <v>2</v>
      </c>
      <c r="C13" t="s">
        <v>123</v>
      </c>
      <c r="D13" s="1">
        <v>45907</v>
      </c>
      <c r="E13">
        <v>45952</v>
      </c>
      <c r="F13" t="s">
        <v>6</v>
      </c>
      <c r="G13">
        <v>51941.85</v>
      </c>
    </row>
    <row r="14" spans="1:7" x14ac:dyDescent="0.25">
      <c r="A14" t="s">
        <v>2268</v>
      </c>
      <c r="B14">
        <v>2</v>
      </c>
      <c r="C14" t="s">
        <v>73</v>
      </c>
      <c r="D14" s="1">
        <v>45978</v>
      </c>
      <c r="E14">
        <v>46008</v>
      </c>
      <c r="F14" t="s">
        <v>6</v>
      </c>
      <c r="G14">
        <v>14297.29</v>
      </c>
    </row>
    <row r="15" spans="1:7" x14ac:dyDescent="0.25">
      <c r="A15" t="s">
        <v>2268</v>
      </c>
      <c r="B15">
        <v>2</v>
      </c>
      <c r="C15" t="s">
        <v>123</v>
      </c>
      <c r="D15" s="1">
        <v>45758</v>
      </c>
      <c r="E15">
        <v>45803</v>
      </c>
      <c r="F15" t="s">
        <v>6</v>
      </c>
      <c r="G15">
        <v>20824.330000000002</v>
      </c>
    </row>
    <row r="16" spans="1:7" x14ac:dyDescent="0.25">
      <c r="A16" t="s">
        <v>1775</v>
      </c>
      <c r="B16">
        <v>2</v>
      </c>
      <c r="C16" t="s">
        <v>73</v>
      </c>
      <c r="D16" s="1">
        <v>46064</v>
      </c>
      <c r="E16">
        <v>46094</v>
      </c>
      <c r="F16" t="s">
        <v>6</v>
      </c>
      <c r="G16">
        <v>43061.85</v>
      </c>
    </row>
    <row r="17" spans="1:7" x14ac:dyDescent="0.25">
      <c r="A17" t="s">
        <v>1775</v>
      </c>
      <c r="B17">
        <v>2</v>
      </c>
      <c r="C17" t="s">
        <v>177</v>
      </c>
      <c r="D17" s="1">
        <v>46259</v>
      </c>
      <c r="E17">
        <v>46319</v>
      </c>
      <c r="F17" t="s">
        <v>8</v>
      </c>
      <c r="G17">
        <v>6771.3</v>
      </c>
    </row>
    <row r="18" spans="1:7" x14ac:dyDescent="0.25">
      <c r="A18" t="s">
        <v>1604</v>
      </c>
      <c r="B18">
        <v>2</v>
      </c>
      <c r="C18" t="s">
        <v>169</v>
      </c>
      <c r="D18" s="1">
        <v>46183</v>
      </c>
      <c r="E18">
        <v>46243</v>
      </c>
      <c r="F18" t="s">
        <v>6</v>
      </c>
      <c r="G18">
        <v>76459.789999999994</v>
      </c>
    </row>
    <row r="19" spans="1:7" x14ac:dyDescent="0.25">
      <c r="A19" t="s">
        <v>1604</v>
      </c>
      <c r="B19">
        <v>2</v>
      </c>
      <c r="C19" t="s">
        <v>177</v>
      </c>
      <c r="D19" s="1">
        <v>46159</v>
      </c>
      <c r="E19">
        <v>46219</v>
      </c>
      <c r="F19" t="s">
        <v>8</v>
      </c>
      <c r="G19">
        <v>29757.11</v>
      </c>
    </row>
    <row r="20" spans="1:7" x14ac:dyDescent="0.25">
      <c r="A20" t="s">
        <v>1315</v>
      </c>
      <c r="B20">
        <v>2</v>
      </c>
      <c r="C20" t="s">
        <v>103</v>
      </c>
      <c r="D20" s="1">
        <v>45712</v>
      </c>
      <c r="E20">
        <v>45742</v>
      </c>
      <c r="F20" t="s">
        <v>9</v>
      </c>
      <c r="G20">
        <v>4350994.54</v>
      </c>
    </row>
    <row r="21" spans="1:7" x14ac:dyDescent="0.25">
      <c r="A21" t="s">
        <v>1315</v>
      </c>
      <c r="B21">
        <v>2</v>
      </c>
      <c r="C21" t="s">
        <v>78</v>
      </c>
      <c r="D21" s="1">
        <v>45894</v>
      </c>
      <c r="E21">
        <v>45924</v>
      </c>
      <c r="F21" t="s">
        <v>9</v>
      </c>
      <c r="G21">
        <v>281405.31</v>
      </c>
    </row>
    <row r="22" spans="1:7" x14ac:dyDescent="0.25">
      <c r="A22" t="s">
        <v>1122</v>
      </c>
      <c r="B22">
        <v>2</v>
      </c>
      <c r="C22" t="s">
        <v>116</v>
      </c>
      <c r="D22" s="1">
        <v>45863</v>
      </c>
      <c r="E22">
        <v>45908</v>
      </c>
      <c r="F22" t="s">
        <v>6</v>
      </c>
      <c r="G22">
        <v>14092.13</v>
      </c>
    </row>
    <row r="23" spans="1:7" x14ac:dyDescent="0.25">
      <c r="A23" t="s">
        <v>1122</v>
      </c>
      <c r="B23">
        <v>2</v>
      </c>
      <c r="C23" t="s">
        <v>103</v>
      </c>
      <c r="D23" s="1">
        <v>45701</v>
      </c>
      <c r="E23">
        <v>45731</v>
      </c>
      <c r="F23" t="s">
        <v>9</v>
      </c>
      <c r="G23">
        <v>483596.31</v>
      </c>
    </row>
    <row r="24" spans="1:7" x14ac:dyDescent="0.25">
      <c r="A24" t="s">
        <v>717</v>
      </c>
      <c r="B24">
        <v>2</v>
      </c>
      <c r="C24" t="s">
        <v>78</v>
      </c>
      <c r="D24" s="1">
        <v>46381</v>
      </c>
      <c r="E24">
        <v>46411</v>
      </c>
      <c r="F24" t="s">
        <v>9</v>
      </c>
      <c r="G24">
        <v>486839.99</v>
      </c>
    </row>
    <row r="25" spans="1:7" x14ac:dyDescent="0.25">
      <c r="A25" t="s">
        <v>717</v>
      </c>
      <c r="B25">
        <v>2</v>
      </c>
      <c r="C25" t="s">
        <v>127</v>
      </c>
      <c r="D25" s="1">
        <v>45836</v>
      </c>
      <c r="E25">
        <v>45896</v>
      </c>
      <c r="F25" t="s">
        <v>9</v>
      </c>
      <c r="G25">
        <v>11211875.68</v>
      </c>
    </row>
    <row r="26" spans="1:7" x14ac:dyDescent="0.25">
      <c r="A26" t="s">
        <v>598</v>
      </c>
      <c r="B26">
        <v>2</v>
      </c>
      <c r="C26" t="s">
        <v>73</v>
      </c>
      <c r="D26" s="1">
        <v>46245</v>
      </c>
      <c r="E26">
        <v>46275</v>
      </c>
      <c r="F26" t="s">
        <v>6</v>
      </c>
      <c r="G26">
        <v>21253.33</v>
      </c>
    </row>
    <row r="27" spans="1:7" x14ac:dyDescent="0.25">
      <c r="A27" t="s">
        <v>598</v>
      </c>
      <c r="B27">
        <v>2</v>
      </c>
      <c r="C27" t="s">
        <v>94</v>
      </c>
      <c r="D27" s="1">
        <v>45769</v>
      </c>
      <c r="E27">
        <v>45799</v>
      </c>
      <c r="F27" t="s">
        <v>8</v>
      </c>
      <c r="G27">
        <v>12125.7</v>
      </c>
    </row>
    <row r="28" spans="1:7" x14ac:dyDescent="0.25">
      <c r="A28" t="s">
        <v>473</v>
      </c>
      <c r="B28">
        <v>2</v>
      </c>
      <c r="C28" t="s">
        <v>87</v>
      </c>
      <c r="D28" s="1">
        <v>46253</v>
      </c>
      <c r="E28">
        <v>46283</v>
      </c>
      <c r="F28" t="s">
        <v>6</v>
      </c>
      <c r="G28">
        <v>6438.88</v>
      </c>
    </row>
    <row r="29" spans="1:7" x14ac:dyDescent="0.25">
      <c r="A29" t="s">
        <v>473</v>
      </c>
      <c r="B29">
        <v>2</v>
      </c>
      <c r="C29" t="s">
        <v>123</v>
      </c>
      <c r="D29" s="1">
        <v>46028</v>
      </c>
      <c r="E29">
        <v>46073</v>
      </c>
      <c r="F29" t="s">
        <v>6</v>
      </c>
      <c r="G29">
        <v>16852.86</v>
      </c>
    </row>
    <row r="30" spans="1:7" x14ac:dyDescent="0.25">
      <c r="A30" t="s">
        <v>195</v>
      </c>
      <c r="B30">
        <v>2</v>
      </c>
      <c r="C30" t="s">
        <v>138</v>
      </c>
      <c r="D30" s="1">
        <v>46358</v>
      </c>
      <c r="E30">
        <v>46403</v>
      </c>
      <c r="F30" t="s">
        <v>9</v>
      </c>
      <c r="G30">
        <v>439426.68</v>
      </c>
    </row>
    <row r="31" spans="1:7" x14ac:dyDescent="0.25">
      <c r="A31" t="s">
        <v>195</v>
      </c>
      <c r="B31">
        <v>2</v>
      </c>
      <c r="C31" t="s">
        <v>116</v>
      </c>
      <c r="D31" s="1">
        <v>45980</v>
      </c>
      <c r="E31">
        <v>46025</v>
      </c>
      <c r="F31" t="s">
        <v>6</v>
      </c>
      <c r="G31">
        <v>16423.03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/>
  </sheetViews>
  <sheetFormatPr defaultRowHeight="15" x14ac:dyDescent="0.25"/>
  <cols>
    <col min="1" max="1" width="13.7109375" customWidth="1"/>
    <col min="2" max="2" width="14.140625" customWidth="1"/>
    <col min="3" max="3" width="16.42578125" customWidth="1"/>
  </cols>
  <sheetData>
    <row r="1" spans="1:3" x14ac:dyDescent="0.25">
      <c r="A1" t="s">
        <v>53</v>
      </c>
      <c r="B1" t="s">
        <v>29</v>
      </c>
      <c r="C1" t="s">
        <v>3103</v>
      </c>
    </row>
    <row r="2" spans="1:3" x14ac:dyDescent="0.25">
      <c r="A2" t="s">
        <v>73</v>
      </c>
      <c r="B2" t="s">
        <v>31</v>
      </c>
      <c r="C2">
        <v>122</v>
      </c>
    </row>
    <row r="3" spans="1:3" x14ac:dyDescent="0.25">
      <c r="A3" t="s">
        <v>123</v>
      </c>
      <c r="B3" t="s">
        <v>31</v>
      </c>
      <c r="C3">
        <v>100</v>
      </c>
    </row>
    <row r="4" spans="1:3" x14ac:dyDescent="0.25">
      <c r="A4" t="s">
        <v>106</v>
      </c>
      <c r="B4" t="s">
        <v>31</v>
      </c>
      <c r="C4">
        <v>98</v>
      </c>
    </row>
    <row r="5" spans="1:3" x14ac:dyDescent="0.25">
      <c r="A5" t="s">
        <v>87</v>
      </c>
      <c r="B5" t="s">
        <v>33</v>
      </c>
      <c r="C5">
        <v>106</v>
      </c>
    </row>
    <row r="6" spans="1:3" x14ac:dyDescent="0.25">
      <c r="A6" t="s">
        <v>116</v>
      </c>
      <c r="B6" t="s">
        <v>31</v>
      </c>
      <c r="C6">
        <v>78</v>
      </c>
    </row>
    <row r="7" spans="1:3" x14ac:dyDescent="0.25">
      <c r="A7" t="s">
        <v>215</v>
      </c>
      <c r="B7" t="s">
        <v>35</v>
      </c>
      <c r="C7">
        <v>52</v>
      </c>
    </row>
    <row r="8" spans="1:3" x14ac:dyDescent="0.25">
      <c r="A8" t="s">
        <v>169</v>
      </c>
      <c r="B8" t="s">
        <v>31</v>
      </c>
      <c r="C8">
        <v>51</v>
      </c>
    </row>
    <row r="9" spans="1:3" x14ac:dyDescent="0.25">
      <c r="A9" t="s">
        <v>91</v>
      </c>
      <c r="B9" t="s">
        <v>31</v>
      </c>
      <c r="C9">
        <v>95</v>
      </c>
    </row>
    <row r="10" spans="1:3" x14ac:dyDescent="0.25">
      <c r="A10" t="s">
        <v>94</v>
      </c>
      <c r="B10" t="s">
        <v>31</v>
      </c>
      <c r="C10">
        <v>106</v>
      </c>
    </row>
    <row r="11" spans="1:3" x14ac:dyDescent="0.25">
      <c r="A11" t="s">
        <v>82</v>
      </c>
      <c r="B11" t="s">
        <v>33</v>
      </c>
      <c r="C11">
        <v>69</v>
      </c>
    </row>
    <row r="12" spans="1:3" x14ac:dyDescent="0.25">
      <c r="A12" t="s">
        <v>151</v>
      </c>
      <c r="B12" t="s">
        <v>35</v>
      </c>
      <c r="C12">
        <v>62</v>
      </c>
    </row>
    <row r="13" spans="1:3" x14ac:dyDescent="0.25">
      <c r="A13" t="s">
        <v>177</v>
      </c>
      <c r="B13" t="s">
        <v>31</v>
      </c>
      <c r="C13">
        <v>74</v>
      </c>
    </row>
    <row r="14" spans="1:3" x14ac:dyDescent="0.25">
      <c r="A14" t="s">
        <v>111</v>
      </c>
      <c r="B14" t="s">
        <v>31</v>
      </c>
      <c r="C14">
        <v>107</v>
      </c>
    </row>
    <row r="15" spans="1:3" x14ac:dyDescent="0.25">
      <c r="A15" t="s">
        <v>127</v>
      </c>
      <c r="B15" t="s">
        <v>31</v>
      </c>
      <c r="C15">
        <v>68</v>
      </c>
    </row>
    <row r="16" spans="1:3" x14ac:dyDescent="0.25">
      <c r="A16" t="s">
        <v>78</v>
      </c>
      <c r="B16" t="s">
        <v>33</v>
      </c>
      <c r="C16">
        <v>73</v>
      </c>
    </row>
    <row r="17" spans="1:3" x14ac:dyDescent="0.25">
      <c r="A17" t="s">
        <v>103</v>
      </c>
      <c r="B17" t="s">
        <v>31</v>
      </c>
      <c r="C17">
        <v>122</v>
      </c>
    </row>
    <row r="18" spans="1:3" x14ac:dyDescent="0.25">
      <c r="A18" t="s">
        <v>138</v>
      </c>
      <c r="B18" t="s">
        <v>33</v>
      </c>
      <c r="C18">
        <v>63</v>
      </c>
    </row>
    <row r="19" spans="1:3" x14ac:dyDescent="0.25">
      <c r="A19" t="s">
        <v>172</v>
      </c>
      <c r="B19" t="s">
        <v>33</v>
      </c>
      <c r="C19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Analysis</vt:lpstr>
      <vt:lpstr>Dashboard</vt:lpstr>
      <vt:lpstr>Invoices_Clean</vt:lpstr>
      <vt:lpstr>Calendar</vt:lpstr>
      <vt:lpstr>ECB_FX_Rates</vt:lpstr>
      <vt:lpstr>suppliers</vt:lpstr>
      <vt:lpstr>budget_rates_synthetic</vt:lpstr>
      <vt:lpstr>Key_Validation</vt:lpstr>
      <vt:lpstr>Duplicate_Investigation</vt:lpstr>
      <vt:lpstr>Department_Investigation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Sangiovanni</cp:lastModifiedBy>
  <dcterms:modified xsi:type="dcterms:W3CDTF">2026-10-08T20:12:59Z</dcterms:modified>
</cp:coreProperties>
</file>